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AF1C384-9F0B-400B-A4F6-4607D3EC1EFC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7" i="1" l="1"/>
  <c r="CK5" i="1"/>
  <c r="CK247" i="1" l="1"/>
  <c r="AD55" i="1"/>
  <c r="AC55" i="1"/>
  <c r="AB55" i="1"/>
  <c r="CJ11" i="1"/>
  <c r="CJ55" i="1"/>
  <c r="CJ28" i="1"/>
  <c r="CH5" i="1" l="1"/>
  <c r="CJ5" i="1"/>
  <c r="CJ18" i="1"/>
  <c r="CJ31" i="1"/>
  <c r="CJ34" i="1" s="1"/>
  <c r="AD43" i="1"/>
  <c r="AC43" i="1"/>
  <c r="AB43" i="1"/>
  <c r="AD33" i="1"/>
  <c r="AC33" i="1"/>
  <c r="AB33" i="1"/>
  <c r="AD32" i="1"/>
  <c r="AC32" i="1"/>
  <c r="AB32" i="1"/>
  <c r="AD30" i="1"/>
  <c r="AC30" i="1"/>
  <c r="AB30" i="1"/>
  <c r="AD29" i="1"/>
  <c r="AC29" i="1"/>
  <c r="AB29" i="1"/>
  <c r="AD22" i="1"/>
  <c r="AC22" i="1"/>
  <c r="AB22" i="1"/>
  <c r="AD21" i="1"/>
  <c r="AC21" i="1"/>
  <c r="AB21" i="1"/>
  <c r="AD17" i="1"/>
  <c r="AC17" i="1"/>
  <c r="AB17" i="1"/>
  <c r="U5" i="1"/>
  <c r="Y8" i="1"/>
  <c r="X8" i="1"/>
  <c r="W8" i="1"/>
  <c r="V8" i="1"/>
  <c r="U8" i="1"/>
  <c r="CI5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BP5" i="1"/>
  <c r="AI172" i="1"/>
  <c r="AI171" i="1"/>
  <c r="AI148" i="1"/>
  <c r="AI145" i="1"/>
  <c r="AI144" i="1"/>
  <c r="AI143" i="1"/>
  <c r="AI141" i="1"/>
  <c r="AI139" i="1"/>
  <c r="AI135" i="1"/>
  <c r="AI134" i="1"/>
  <c r="AI133" i="1"/>
  <c r="AI132" i="1"/>
  <c r="AI130" i="1"/>
  <c r="AI126" i="1"/>
  <c r="AI125" i="1"/>
  <c r="AK144" i="1"/>
  <c r="AM144" i="1"/>
  <c r="AO144" i="1"/>
  <c r="AQ144" i="1"/>
  <c r="AS144" i="1"/>
  <c r="AU144" i="1"/>
  <c r="AW144" i="1"/>
  <c r="AY144" i="1"/>
  <c r="BA144" i="1"/>
  <c r="BC144" i="1"/>
  <c r="BE144" i="1"/>
  <c r="BG144" i="1"/>
  <c r="BI144" i="1"/>
  <c r="BK144" i="1"/>
  <c r="BM144" i="1"/>
  <c r="BO144" i="1"/>
  <c r="BQ144" i="1"/>
  <c r="BS144" i="1"/>
  <c r="BU144" i="1"/>
  <c r="BW144" i="1"/>
  <c r="BY144" i="1"/>
  <c r="CA144" i="1"/>
  <c r="CC144" i="1"/>
  <c r="CE144" i="1"/>
  <c r="CG144" i="1"/>
  <c r="CI144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I217" i="1"/>
  <c r="AB7" i="2"/>
  <c r="AF7" i="2"/>
  <c r="AD8" i="2"/>
  <c r="AD16" i="2"/>
  <c r="AD24" i="2"/>
  <c r="AD32" i="2"/>
  <c r="AB9" i="2"/>
  <c r="AD10" i="2"/>
  <c r="AB11" i="2"/>
  <c r="AF11" i="2"/>
  <c r="AD12" i="2"/>
  <c r="AB5" i="2"/>
  <c r="AB111" i="2" s="1"/>
  <c r="AB13" i="2"/>
  <c r="AB21" i="2"/>
  <c r="AF5" i="2"/>
  <c r="AF13" i="2"/>
  <c r="AF21" i="2"/>
  <c r="AF29" i="2"/>
  <c r="AD6" i="2"/>
  <c r="AB17" i="2"/>
  <c r="AB27" i="2"/>
  <c r="AD36" i="2"/>
  <c r="AD47" i="2"/>
  <c r="AD55" i="2"/>
  <c r="AC11" i="2"/>
  <c r="AC23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F17" i="2"/>
  <c r="AF27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70" i="2"/>
  <c r="AC94" i="2"/>
  <c r="AE73" i="2"/>
  <c r="AE97" i="2"/>
  <c r="AF93" i="2"/>
  <c r="AB20" i="2"/>
  <c r="AE86" i="2"/>
  <c r="AD65" i="2"/>
  <c r="AE67" i="2"/>
  <c r="AF76" i="2"/>
  <c r="AC74" i="2"/>
  <c r="AD71" i="2"/>
  <c r="AD87" i="2"/>
  <c r="AD107" i="2"/>
  <c r="AC68" i="2"/>
  <c r="AC92" i="2"/>
  <c r="AE105" i="2"/>
  <c r="AD18" i="2"/>
  <c r="AD28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3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F105" i="2"/>
  <c r="AE96" i="2"/>
  <c r="AB55" i="2"/>
  <c r="AC41" i="2"/>
  <c r="AC107" i="2"/>
  <c r="AD35" i="2"/>
  <c r="AF86" i="2"/>
  <c r="AE91" i="2"/>
  <c r="AC8" i="2"/>
  <c r="AC98" i="2"/>
  <c r="AE99" i="2"/>
  <c r="AD81" i="2"/>
  <c r="AE52" i="2"/>
  <c r="AD90" i="2"/>
  <c r="AD42" i="2"/>
  <c r="AE29" i="2"/>
  <c r="AC69" i="2"/>
  <c r="AC81" i="2"/>
  <c r="AF57" i="2"/>
  <c r="AD69" i="2"/>
  <c r="AE65" i="2"/>
  <c r="AB19" i="2"/>
  <c r="AB29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C14" i="2"/>
  <c r="AE62" i="2"/>
  <c r="AE74" i="2"/>
  <c r="AF70" i="2"/>
  <c r="AF106" i="2"/>
  <c r="AE42" i="2"/>
  <c r="AF92" i="2"/>
  <c r="AE57" i="2"/>
  <c r="AF62" i="2"/>
  <c r="AC49" i="2"/>
  <c r="AD97" i="2"/>
  <c r="AC110" i="2"/>
  <c r="AB16" i="2"/>
  <c r="AD19" i="2"/>
  <c r="AF78" i="2"/>
  <c r="AE19" i="2"/>
  <c r="AB6" i="2"/>
  <c r="AD98" i="2"/>
  <c r="AE94" i="2"/>
  <c r="AE59" i="2"/>
  <c r="AD95" i="2"/>
  <c r="AC108" i="2"/>
  <c r="AD85" i="2"/>
  <c r="AE89" i="2"/>
  <c r="AE93" i="2"/>
  <c r="AF19" i="2"/>
  <c r="AD30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97" i="2"/>
  <c r="AD23" i="2"/>
  <c r="AD58" i="2"/>
  <c r="AE17" i="2"/>
  <c r="AE44" i="2"/>
  <c r="AC63" i="2"/>
  <c r="AC75" i="2"/>
  <c r="AC87" i="2"/>
  <c r="AE110" i="2"/>
  <c r="AF41" i="2"/>
  <c r="AC12" i="2"/>
  <c r="AC55" i="2"/>
  <c r="AD77" i="2"/>
  <c r="AD93" i="2"/>
  <c r="AE11" i="2"/>
  <c r="AE77" i="2"/>
  <c r="AB18" i="2"/>
  <c r="AD80" i="2"/>
  <c r="AE108" i="2"/>
  <c r="AC22" i="2"/>
  <c r="AE78" i="2"/>
  <c r="AF49" i="2"/>
  <c r="AB112" i="2"/>
  <c r="AE75" i="2"/>
  <c r="AE63" i="2"/>
  <c r="AD63" i="2"/>
  <c r="AE25" i="2"/>
  <c r="AC91" i="2"/>
  <c r="AB76" i="2"/>
  <c r="AC16" i="2"/>
  <c r="AB66" i="2"/>
  <c r="AB98" i="2"/>
  <c r="AE68" i="2"/>
  <c r="AD54" i="2"/>
  <c r="AE79" i="2"/>
  <c r="AF84" i="2"/>
  <c r="AC86" i="2"/>
  <c r="AF25" i="2"/>
  <c r="AB46" i="2"/>
  <c r="AC21" i="2"/>
  <c r="AB22" i="2"/>
  <c r="AD74" i="2"/>
  <c r="AD110" i="2"/>
  <c r="AE5" i="2"/>
  <c r="AE56" i="2"/>
  <c r="AD79" i="2"/>
  <c r="AC80" i="2"/>
  <c r="AD105" i="2"/>
  <c r="AD20" i="2"/>
  <c r="AB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24" i="2"/>
  <c r="AC78" i="2"/>
  <c r="AC106" i="2"/>
  <c r="AC56" i="2"/>
  <c r="AD33" i="2"/>
  <c r="AD52" i="2"/>
  <c r="AF63" i="2"/>
  <c r="AF79" i="2"/>
  <c r="AF87" i="2"/>
  <c r="AF107" i="2"/>
  <c r="AB28" i="2"/>
  <c r="AE21" i="2"/>
  <c r="AE48" i="2"/>
  <c r="AC77" i="2"/>
  <c r="AD11" i="2"/>
  <c r="AC28" i="2"/>
  <c r="AF74" i="2"/>
  <c r="AF90" i="2"/>
  <c r="AE27" i="2"/>
  <c r="AE18" i="2"/>
  <c r="AB34" i="2"/>
  <c r="AD64" i="2"/>
  <c r="AD72" i="2"/>
  <c r="AD88" i="2"/>
  <c r="AD31" i="2"/>
  <c r="AF14" i="2"/>
  <c r="AD75" i="2"/>
  <c r="AC82" i="2"/>
  <c r="AC47" i="2"/>
  <c r="AB82" i="2"/>
  <c r="AE85" i="2"/>
  <c r="AE50" i="2"/>
  <c r="AD22" i="2"/>
  <c r="AF31" i="2"/>
  <c r="AD43" i="2"/>
  <c r="AD51" i="2"/>
  <c r="AC5" i="2"/>
  <c r="AC17" i="2"/>
  <c r="AC29" i="2"/>
  <c r="AC44" i="2"/>
  <c r="AD17" i="2"/>
  <c r="AF71" i="2"/>
  <c r="AF95" i="2"/>
  <c r="AC105" i="2"/>
  <c r="AB60" i="2"/>
  <c r="AC65" i="2"/>
  <c r="AC89" i="2"/>
  <c r="AD46" i="2"/>
  <c r="AF110" i="2"/>
  <c r="AC72" i="2"/>
  <c r="AC96" i="2"/>
  <c r="AC60" i="2"/>
  <c r="AF80" i="2"/>
  <c r="AF96" i="2"/>
  <c r="AE81" i="2"/>
  <c r="AE109" i="2"/>
  <c r="AE30" i="2"/>
  <c r="AD108" i="2"/>
  <c r="AE90" i="2"/>
  <c r="AC79" i="2"/>
  <c r="AB51" i="2"/>
  <c r="AC76" i="2"/>
  <c r="AE46" i="2"/>
  <c r="AE107" i="2"/>
  <c r="AF68" i="2"/>
  <c r="AC62" i="2"/>
  <c r="AC33" i="2"/>
  <c r="AB57" i="2"/>
  <c r="AD82" i="2"/>
  <c r="AF22" i="2"/>
  <c r="AC32" i="2"/>
  <c r="AB23" i="2"/>
  <c r="AB33" i="2"/>
  <c r="AB44" i="2"/>
  <c r="AB52" i="2"/>
  <c r="AE6" i="2"/>
  <c r="AE45" i="2"/>
  <c r="AB53" i="2"/>
  <c r="AD96" i="2"/>
  <c r="AE66" i="2"/>
  <c r="AE31" i="2"/>
  <c r="AD91" i="2"/>
  <c r="AC43" i="2"/>
  <c r="AC104" i="2"/>
  <c r="AF9" i="2"/>
  <c r="AF23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C109" i="2"/>
  <c r="AF34" i="2"/>
  <c r="AC67" i="2"/>
  <c r="AB92" i="2"/>
  <c r="AE80" i="2"/>
  <c r="AE92" i="2"/>
  <c r="AF94" i="2"/>
  <c r="AC9" i="2"/>
  <c r="AB41" i="2"/>
  <c r="AD66" i="2"/>
  <c r="AD7" i="2"/>
  <c r="AD14" i="2"/>
  <c r="AB25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F6" i="2"/>
  <c r="AB36" i="2"/>
  <c r="AB64" i="2"/>
  <c r="AC26" i="2"/>
  <c r="AC53" i="2"/>
  <c r="AF104" i="2"/>
  <c r="AB15" i="2"/>
  <c r="AB35" i="2"/>
  <c r="AB54" i="2"/>
  <c r="AC48" i="2"/>
  <c r="AF15" i="2"/>
  <c r="AD26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C66" i="2"/>
  <c r="AC90" i="2"/>
  <c r="AC35" i="2"/>
  <c r="AC50" i="2"/>
  <c r="AD9" i="2"/>
  <c r="AD25" i="2"/>
  <c r="AD44" i="2"/>
  <c r="AF59" i="2"/>
  <c r="AF67" i="2"/>
  <c r="AF75" i="2"/>
  <c r="AF83" i="2"/>
  <c r="AF91" i="2"/>
  <c r="AF99" i="2"/>
  <c r="AF111" i="2"/>
  <c r="AB12" i="2"/>
  <c r="AB113" i="2" l="1"/>
  <c r="AI136" i="1"/>
  <c r="CJ7" i="1"/>
  <c r="CJ10" i="1" s="1"/>
  <c r="CJ24" i="1"/>
  <c r="CJ25" i="1" s="1"/>
  <c r="Z5" i="1"/>
  <c r="Y5" i="1"/>
  <c r="X5" i="1"/>
  <c r="W5" i="1"/>
  <c r="V5" i="1"/>
  <c r="B1" i="9"/>
  <c r="AC113" i="2"/>
  <c r="AC111" i="2"/>
  <c r="AE111" i="2"/>
  <c r="AE112" i="2"/>
  <c r="AE113" i="2"/>
  <c r="A1" i="9"/>
  <c r="L1" i="9"/>
  <c r="AF113" i="2"/>
  <c r="AF112" i="2"/>
  <c r="AD112" i="2"/>
  <c r="AD113" i="2"/>
  <c r="AC112" i="2"/>
  <c r="AD111" i="2"/>
  <c r="CL6" i="1" l="1"/>
  <c r="CZ247" i="1"/>
  <c r="CY247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J247" i="1"/>
  <c r="CJ144" i="1"/>
  <c r="CK144" i="1" s="1"/>
  <c r="CL144" i="1" s="1"/>
  <c r="CM144" i="1" s="1"/>
  <c r="CN144" i="1" s="1"/>
  <c r="CO144" i="1" s="1"/>
  <c r="CP144" i="1" s="1"/>
  <c r="CQ144" i="1" s="1"/>
  <c r="CR144" i="1" s="1"/>
  <c r="CS144" i="1" s="1"/>
  <c r="CT144" i="1" s="1"/>
  <c r="CU144" i="1" s="1"/>
  <c r="CV144" i="1" s="1"/>
  <c r="CW144" i="1" s="1"/>
  <c r="CX144" i="1" s="1"/>
  <c r="CY144" i="1" s="1"/>
  <c r="CZ144" i="1" s="1"/>
  <c r="CI247" i="1"/>
  <c r="CH247" i="1" l="1"/>
  <c r="CF247" i="1"/>
  <c r="CG247" i="1"/>
  <c r="AB167" i="1"/>
  <c r="AC167" i="1"/>
  <c r="AD167" i="1"/>
  <c r="AB181" i="1"/>
  <c r="AC181" i="1"/>
  <c r="AD181" i="1"/>
  <c r="CD247" i="1"/>
  <c r="CE247" i="1"/>
  <c r="AH205" i="1"/>
  <c r="AH210" i="1"/>
  <c r="AH214" i="1"/>
  <c r="AH217" i="1"/>
  <c r="AH247" i="1"/>
  <c r="Y247" i="1"/>
  <c r="CC247" i="1"/>
  <c r="CB247" i="1"/>
  <c r="AA167" i="1"/>
  <c r="AI247" i="1"/>
  <c r="AJ247" i="1"/>
  <c r="AK247" i="1"/>
  <c r="AA181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M6" i="1" l="1"/>
  <c r="CN6" i="1"/>
  <c r="Y1" i="1"/>
  <c r="Z1" i="1" s="1"/>
  <c r="AA1" i="1" l="1"/>
  <c r="AB1" i="1" s="1"/>
  <c r="AC1" i="1" s="1"/>
  <c r="AD1" i="1" s="1"/>
  <c r="A1" i="3" l="1"/>
  <c r="A1" i="6" l="1"/>
  <c r="A1" i="4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K43" i="1" s="1"/>
  <c r="AA43" i="1" s="1"/>
  <c r="BG5" i="3"/>
  <c r="BK25" i="3"/>
  <c r="BF18" i="3"/>
  <c r="CK33" i="1" s="1"/>
  <c r="AA33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K31" i="1" s="1"/>
  <c r="BH33" i="3"/>
  <c r="BH19" i="3"/>
  <c r="BL17" i="3"/>
  <c r="BP6" i="3"/>
  <c r="BP8" i="3"/>
  <c r="BE31" i="3"/>
  <c r="BF7" i="3"/>
  <c r="BN23" i="3"/>
  <c r="BL40" i="3"/>
  <c r="BM16" i="3"/>
  <c r="BG33" i="3"/>
  <c r="BH29" i="3"/>
  <c r="AA55" i="2"/>
  <c r="AA24" i="2"/>
  <c r="AA72" i="2"/>
  <c r="Z150" i="1" s="1"/>
  <c r="Y68" i="2"/>
  <c r="Z109" i="2"/>
  <c r="AA93" i="2"/>
  <c r="Z180" i="1" s="1"/>
  <c r="BD32" i="3"/>
  <c r="BA31" i="3"/>
  <c r="BA9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K55" i="1" s="1"/>
  <c r="AA55" i="1" s="1"/>
  <c r="BT12" i="3"/>
  <c r="BP33" i="3"/>
  <c r="BP13" i="3"/>
  <c r="BG8" i="3"/>
  <c r="BE13" i="3"/>
  <c r="BM17" i="3"/>
  <c r="BK22" i="3"/>
  <c r="BK36" i="3"/>
  <c r="BF15" i="3"/>
  <c r="CK32" i="1" s="1"/>
  <c r="AA32" i="1" s="1"/>
  <c r="BH34" i="3"/>
  <c r="BM14" i="3"/>
  <c r="BG35" i="3"/>
  <c r="BH15" i="3"/>
  <c r="BL15" i="3"/>
  <c r="BN34" i="3"/>
  <c r="BL25" i="3"/>
  <c r="BF24" i="3"/>
  <c r="BT9" i="3"/>
  <c r="BP14" i="3"/>
  <c r="BG32" i="3"/>
  <c r="BL8" i="3"/>
  <c r="BF25" i="3"/>
  <c r="CK44" i="1" s="1"/>
  <c r="BH42" i="3"/>
  <c r="BE18" i="3"/>
  <c r="BI34" i="3"/>
  <c r="BL35" i="3"/>
  <c r="Y13" i="2"/>
  <c r="AA19" i="2"/>
  <c r="Z30" i="1" s="1"/>
  <c r="AA77" i="2"/>
  <c r="Z153" i="1" s="1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Z127" i="1" s="1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H26" i="3"/>
  <c r="BF45" i="3"/>
  <c r="CK71" i="1" s="1"/>
  <c r="CJ71" i="1" s="1"/>
  <c r="CI71" i="1" s="1"/>
  <c r="BK19" i="3"/>
  <c r="BK35" i="3"/>
  <c r="BJ40" i="3"/>
  <c r="Y83" i="2"/>
  <c r="Y88" i="2"/>
  <c r="Y28" i="2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K47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F32" i="3"/>
  <c r="BN36" i="3"/>
  <c r="BT13" i="3"/>
  <c r="BP20" i="3"/>
  <c r="BI33" i="3"/>
  <c r="BN9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K72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F16" i="3"/>
  <c r="CK28" i="1" s="1"/>
  <c r="BT25" i="3"/>
  <c r="BP28" i="3"/>
  <c r="BM35" i="3"/>
  <c r="BF13" i="3"/>
  <c r="BL28" i="3"/>
  <c r="BI6" i="3"/>
  <c r="BE22" i="3"/>
  <c r="BI38" i="3"/>
  <c r="BH7" i="3"/>
  <c r="AA40" i="2"/>
  <c r="Y94" i="2"/>
  <c r="Z48" i="2"/>
  <c r="AA14" i="2"/>
  <c r="Z28" i="1" s="1"/>
  <c r="Z108" i="2"/>
  <c r="AA78" i="2"/>
  <c r="Z168" i="1" s="1"/>
  <c r="AA47" i="2"/>
  <c r="Z132" i="1" s="1"/>
  <c r="BC37" i="3"/>
  <c r="BB32" i="3"/>
  <c r="BD39" i="3"/>
  <c r="BB37" i="3"/>
  <c r="Z20" i="2"/>
  <c r="Y19" i="2"/>
  <c r="Z5" i="2"/>
  <c r="AA50" i="2"/>
  <c r="Z157" i="1" s="1"/>
  <c r="Z70" i="2"/>
  <c r="Y61" i="2"/>
  <c r="BC13" i="3"/>
  <c r="BA36" i="3"/>
  <c r="BC42" i="3"/>
  <c r="AA88" i="2"/>
  <c r="AA20" i="2"/>
  <c r="Y47" i="2"/>
  <c r="Z94" i="2"/>
  <c r="AA13" i="2"/>
  <c r="Z32" i="1" s="1"/>
  <c r="AA32" i="2"/>
  <c r="Z53" i="1" s="1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Z31" i="1" s="1"/>
  <c r="FC12" i="4" a="1"/>
  <c r="EZ8" i="4" a="1"/>
  <c r="EX5" i="4" a="1"/>
  <c r="FD6" i="4" a="1"/>
  <c r="FE14" i="4" a="1"/>
  <c r="FF8" i="4" a="1"/>
  <c r="EX14" i="4" a="1"/>
  <c r="FB15" i="4" a="1"/>
  <c r="EX6" i="4" a="1"/>
  <c r="FD5" i="4" a="1"/>
  <c r="Z33" i="2"/>
  <c r="AA75" i="2"/>
  <c r="Z167" i="1" s="1"/>
  <c r="Z169" i="1" s="1"/>
  <c r="Y87" i="2"/>
  <c r="FD7" i="4" a="1"/>
  <c r="FF12" i="4" a="1"/>
  <c r="FD16" i="4" a="1"/>
  <c r="BE11" i="3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K23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Z158" i="1" s="1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126" i="1" s="1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D25" i="3"/>
  <c r="BA23" i="3"/>
  <c r="BD17" i="3"/>
  <c r="AA49" i="2"/>
  <c r="Z171" i="1" s="1"/>
  <c r="BB23" i="3"/>
  <c r="Y18" i="2"/>
  <c r="Z82" i="2"/>
  <c r="Z42" i="2"/>
  <c r="AA45" i="2"/>
  <c r="Z130" i="1" s="1"/>
  <c r="EY11" i="4" a="1"/>
  <c r="FF15" i="4" a="1"/>
  <c r="EY13" i="4" a="1"/>
  <c r="FB13" i="4" a="1"/>
  <c r="EY12" i="4" a="1"/>
  <c r="FE11" i="4" a="1"/>
  <c r="EX16" i="4" a="1"/>
  <c r="FF9" i="4" a="1"/>
  <c r="FE15" i="4" a="1"/>
  <c r="BM1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K17" i="1" s="1"/>
  <c r="AA17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K22" i="1" s="1"/>
  <c r="AA22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Z155" i="1" s="1"/>
  <c r="AA7" i="2"/>
  <c r="Z17" i="1" s="1"/>
  <c r="Z50" i="2"/>
  <c r="Z72" i="2"/>
  <c r="BA17" i="3"/>
  <c r="BC41" i="3"/>
  <c r="BA29" i="3"/>
  <c r="BB38" i="3"/>
  <c r="Y17" i="2"/>
  <c r="Y108" i="2"/>
  <c r="Y33" i="2"/>
  <c r="AA35" i="2"/>
  <c r="Z59" i="1" s="1"/>
  <c r="AA76" i="2"/>
  <c r="Z152" i="1" s="1"/>
  <c r="Z21" i="2"/>
  <c r="BC17" i="3"/>
  <c r="BB19" i="3"/>
  <c r="BA5" i="3"/>
  <c r="AA28" i="2"/>
  <c r="Z59" i="2"/>
  <c r="AA85" i="2"/>
  <c r="Z178" i="1" s="1"/>
  <c r="Y31" i="2"/>
  <c r="AA65" i="2"/>
  <c r="AA92" i="2"/>
  <c r="AA33" i="2"/>
  <c r="Z54" i="1" s="1"/>
  <c r="BD46" i="3"/>
  <c r="BA24" i="3"/>
  <c r="Z88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K16" i="1" s="1"/>
  <c r="BH25" i="3"/>
  <c r="BL45" i="3"/>
  <c r="BN20" i="3"/>
  <c r="BH35" i="3"/>
  <c r="BT45" i="3"/>
  <c r="BG40" i="3"/>
  <c r="BF17" i="3"/>
  <c r="CK29" i="1" s="1"/>
  <c r="AA29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Z23" i="1" s="1"/>
  <c r="Y57" i="2"/>
  <c r="Y34" i="2"/>
  <c r="Y74" i="2"/>
  <c r="BA7" i="3"/>
  <c r="BC23" i="3"/>
  <c r="Z58" i="2"/>
  <c r="BA11" i="3"/>
  <c r="BA34" i="3"/>
  <c r="BD24" i="3"/>
  <c r="BD15" i="3"/>
  <c r="Y54" i="2"/>
  <c r="Z69" i="2"/>
  <c r="FF14" i="4" a="1"/>
  <c r="FC6" i="4" a="1"/>
  <c r="BI25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K2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AA54" i="2"/>
  <c r="Z161" i="1" s="1"/>
  <c r="AA18" i="2"/>
  <c r="Z33" i="1" s="1"/>
  <c r="V6" i="2"/>
  <c r="Y21" i="2"/>
  <c r="Z54" i="2"/>
  <c r="Z62" i="2"/>
  <c r="BC20" i="3"/>
  <c r="BA26" i="3"/>
  <c r="BC8" i="3"/>
  <c r="BC10" i="3"/>
  <c r="BD36" i="3"/>
  <c r="AA106" i="2"/>
  <c r="Z85" i="1" s="1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K21" i="1" s="1"/>
  <c r="AA21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K59" i="1" s="1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Z144" i="1" s="1"/>
  <c r="AA44" i="2"/>
  <c r="Y24" i="2"/>
  <c r="BD42" i="3"/>
  <c r="AY29" i="3"/>
  <c r="BC25" i="3"/>
  <c r="BC11" i="3"/>
  <c r="BT23" i="3"/>
  <c r="BR38" i="3"/>
  <c r="BO34" i="3"/>
  <c r="BM22" i="3"/>
  <c r="BM11" i="3"/>
  <c r="BN29" i="3"/>
  <c r="BN10" i="3"/>
  <c r="BJ30" i="3"/>
  <c r="BL20" i="3"/>
  <c r="BJ16" i="3"/>
  <c r="AA17" i="2"/>
  <c r="Z29" i="1" s="1"/>
  <c r="AA94" i="2"/>
  <c r="BC32" i="3"/>
  <c r="Z47" i="2"/>
  <c r="Z14" i="2"/>
  <c r="Z81" i="2"/>
  <c r="Y71" i="2"/>
  <c r="BC14" i="3"/>
  <c r="BD19" i="3"/>
  <c r="Z31" i="2"/>
  <c r="AA22" i="2"/>
  <c r="BD41" i="3"/>
  <c r="Z87" i="2"/>
  <c r="Y95" i="2"/>
  <c r="BT30" i="3"/>
  <c r="Z64" i="2"/>
  <c r="Z74" i="2"/>
  <c r="AA27" i="2"/>
  <c r="Z40" i="1" s="1"/>
  <c r="Z97" i="2"/>
  <c r="Y63" i="2"/>
  <c r="EZ5" i="4" a="1"/>
  <c r="BP30" i="3"/>
  <c r="BV40" i="3"/>
  <c r="BS38" i="3"/>
  <c r="BM30" i="3"/>
  <c r="BM13" i="3"/>
  <c r="BN37" i="3"/>
  <c r="BN18" i="3"/>
  <c r="BT19" i="3"/>
  <c r="BJ27" i="3"/>
  <c r="BH45" i="3"/>
  <c r="Y75" i="2"/>
  <c r="Z9" i="2"/>
  <c r="BB22" i="3"/>
  <c r="AA87" i="2"/>
  <c r="Z134" i="1" s="1"/>
  <c r="AA36" i="2"/>
  <c r="AA6" i="2"/>
  <c r="Z16" i="1" s="1"/>
  <c r="Z86" i="2"/>
  <c r="BA32" i="3"/>
  <c r="BA27" i="3"/>
  <c r="AA74" i="2"/>
  <c r="AA98" i="2"/>
  <c r="Y77" i="2"/>
  <c r="BA12" i="3"/>
  <c r="Y48" i="2"/>
  <c r="Y66" i="2"/>
  <c r="Y70" i="2"/>
  <c r="Z34" i="2"/>
  <c r="Z7" i="2"/>
  <c r="BB34" i="3"/>
  <c r="EZ7" i="4" a="1"/>
  <c r="BN40" i="3"/>
  <c r="BM41" i="3"/>
  <c r="BR46" i="3"/>
  <c r="BP5" i="3"/>
  <c r="BH5" i="3"/>
  <c r="BK16" i="3"/>
  <c r="BE6" i="3"/>
  <c r="BN26" i="3"/>
  <c r="BT8" i="3"/>
  <c r="BF35" i="3"/>
  <c r="CK54" i="1" s="1"/>
  <c r="BF28" i="3"/>
  <c r="CK40" i="1" s="1"/>
  <c r="Z89" i="2"/>
  <c r="Z13" i="2"/>
  <c r="BB30" i="3"/>
  <c r="Z107" i="2"/>
  <c r="AA30" i="2"/>
  <c r="Z47" i="1" s="1"/>
  <c r="AA11" i="2"/>
  <c r="Z21" i="1" s="1"/>
  <c r="Y25" i="2"/>
  <c r="BC7" i="3"/>
  <c r="BD45" i="3"/>
  <c r="AA5" i="2"/>
  <c r="Y55" i="2"/>
  <c r="Y81" i="2"/>
  <c r="BD28" i="3"/>
  <c r="Y56" i="2"/>
  <c r="BD16" i="3"/>
  <c r="Z24" i="2"/>
  <c r="AA83" i="2"/>
  <c r="Z172" i="1" s="1"/>
  <c r="Z78" i="2"/>
  <c r="Y41" i="2"/>
  <c r="BC24" i="3"/>
  <c r="FE12" i="4" a="1"/>
  <c r="FC16" i="4" a="1"/>
  <c r="EX15" i="4" a="1"/>
  <c r="FC11" i="4" a="1"/>
  <c r="BK18" i="3"/>
  <c r="Y46" i="2"/>
  <c r="BU7" i="3"/>
  <c r="BF21" i="3"/>
  <c r="CK30" i="1" s="1"/>
  <c r="AA30" i="1" s="1"/>
  <c r="BS6" i="3"/>
  <c r="BT33" i="3"/>
  <c r="BH37" i="3"/>
  <c r="BU13" i="3"/>
  <c r="BN39" i="3"/>
  <c r="BO10" i="3"/>
  <c r="BP22" i="3"/>
  <c r="BL37" i="3"/>
  <c r="BI21" i="3"/>
  <c r="BI18" i="3"/>
  <c r="BF38" i="3"/>
  <c r="BP26" i="3"/>
  <c r="BK5" i="3"/>
  <c r="BK78" i="3" s="1"/>
  <c r="Z104" i="2"/>
  <c r="BB24" i="3"/>
  <c r="BB41" i="3"/>
  <c r="Z110" i="2"/>
  <c r="Z11" i="2"/>
  <c r="Z61" i="2"/>
  <c r="Z15" i="2"/>
  <c r="BD30" i="3"/>
  <c r="BB46" i="3"/>
  <c r="Z18" i="2"/>
  <c r="AA71" i="2"/>
  <c r="Z148" i="1" s="1"/>
  <c r="Y30" i="2"/>
  <c r="BB33" i="3"/>
  <c r="Y93" i="2"/>
  <c r="BB42" i="3"/>
  <c r="Z27" i="2"/>
  <c r="AA25" i="2"/>
  <c r="Z44" i="1" s="1"/>
  <c r="Z60" i="2"/>
  <c r="AA59" i="2"/>
  <c r="FE5" i="4" a="1"/>
  <c r="EY5" i="4" a="1"/>
  <c r="BU19" i="3"/>
  <c r="BI22" i="3"/>
  <c r="BS12" i="3"/>
  <c r="BG26" i="3"/>
  <c r="BT20" i="3"/>
  <c r="BI23" i="3"/>
  <c r="BM26" i="3"/>
  <c r="BJ46" i="3"/>
  <c r="BM25" i="3"/>
  <c r="BG11" i="3"/>
  <c r="Y26" i="2"/>
  <c r="BB20" i="3"/>
  <c r="BA19" i="3"/>
  <c r="Z40" i="2"/>
  <c r="Y65" i="2"/>
  <c r="AA63" i="2"/>
  <c r="Z140" i="1" s="1"/>
  <c r="Z68" i="2"/>
  <c r="BA37" i="3"/>
  <c r="AA56" i="2"/>
  <c r="Z135" i="1" s="1"/>
  <c r="Z35" i="2"/>
  <c r="AA64" i="2"/>
  <c r="Z141" i="1" s="1"/>
  <c r="Y82" i="2"/>
  <c r="BA8" i="3"/>
  <c r="AA31" i="2"/>
  <c r="BA13" i="3"/>
  <c r="BA18" i="3"/>
  <c r="Z56" i="2"/>
  <c r="Y40" i="2"/>
  <c r="Y110" i="2"/>
  <c r="FC14" i="4" a="1"/>
  <c r="FD15" i="4" a="1"/>
  <c r="FB9" i="4" a="1"/>
  <c r="FB11" i="4" a="1"/>
  <c r="EZ9" i="4" a="1"/>
  <c r="BB27" i="3"/>
  <c r="BB10" i="3"/>
  <c r="BA30" i="3"/>
  <c r="FC8" i="4" a="1"/>
  <c r="FB14" i="4" a="1"/>
  <c r="FB5" i="4" a="1"/>
  <c r="AA91" i="2"/>
  <c r="BC28" i="3"/>
  <c r="BA40" i="3"/>
  <c r="AA16" i="2"/>
  <c r="Y92" i="2"/>
  <c r="Y45" i="2"/>
  <c r="AA67" i="2"/>
  <c r="Z145" i="1" s="1"/>
  <c r="BC26" i="3"/>
  <c r="BC35" i="3"/>
  <c r="BD34" i="3"/>
  <c r="FA6" i="4" a="1"/>
  <c r="EX13" i="4" a="1"/>
  <c r="EZ16" i="4" a="1"/>
  <c r="FD13" i="4" a="1"/>
  <c r="FA14" i="4" a="1"/>
  <c r="BC45" i="3"/>
  <c r="BB31" i="3"/>
  <c r="FA9" i="4" a="1"/>
  <c r="FA5" i="4" a="1"/>
  <c r="BU25" i="3"/>
  <c r="BM42" i="3"/>
  <c r="BO16" i="3"/>
  <c r="BM37" i="3"/>
  <c r="BP9" i="3"/>
  <c r="BK28" i="3"/>
  <c r="BE30" i="3"/>
  <c r="BJ6" i="3"/>
  <c r="BE29" i="3"/>
  <c r="BI14" i="3"/>
  <c r="AB39" i="3"/>
  <c r="C4" i="2"/>
  <c r="BA45" i="3"/>
  <c r="BA22" i="3"/>
  <c r="Y42" i="2"/>
  <c r="Z53" i="2"/>
  <c r="Z80" i="2"/>
  <c r="BA15" i="3"/>
  <c r="BB14" i="3"/>
  <c r="AA73" i="2"/>
  <c r="Z151" i="1" s="1"/>
  <c r="Y8" i="2"/>
  <c r="AA84" i="2"/>
  <c r="Z99" i="2"/>
  <c r="AA97" i="2"/>
  <c r="BB6" i="3"/>
  <c r="Y79" i="2"/>
  <c r="BD20" i="3"/>
  <c r="EY14" i="4" a="1"/>
  <c r="FF5" i="4" a="1"/>
  <c r="Y106" i="2"/>
  <c r="AA60" i="2"/>
  <c r="BB26" i="3"/>
  <c r="Z65" i="2"/>
  <c r="BB35" i="3"/>
  <c r="BU31" i="3"/>
  <c r="BR14" i="3"/>
  <c r="BS18" i="3"/>
  <c r="BN7" i="3"/>
  <c r="BP21" i="3"/>
  <c r="BM39" i="3"/>
  <c r="BM38" i="3"/>
  <c r="BJ38" i="3"/>
  <c r="BK34" i="3"/>
  <c r="BG21" i="3"/>
  <c r="Y73" i="2"/>
  <c r="Y23" i="2"/>
  <c r="BC18" i="3"/>
  <c r="BC12" i="3"/>
  <c r="AA66" i="2"/>
  <c r="BU37" i="3"/>
  <c r="BR20" i="3"/>
  <c r="BO22" i="3"/>
  <c r="BN19" i="3"/>
  <c r="BP27" i="3"/>
  <c r="BL6" i="3"/>
  <c r="BH21" i="3"/>
  <c r="BH27" i="3"/>
  <c r="BI41" i="3"/>
  <c r="BE28" i="3"/>
  <c r="Y60" i="2"/>
  <c r="Z30" i="2"/>
  <c r="BD26" i="3"/>
  <c r="BB15" i="3"/>
  <c r="AA9" i="2"/>
  <c r="Z96" i="2"/>
  <c r="Y50" i="2"/>
  <c r="BD10" i="3"/>
  <c r="BA41" i="3"/>
  <c r="Y16" i="2"/>
  <c r="Z106" i="2"/>
  <c r="AA46" i="2"/>
  <c r="AA52" i="2"/>
  <c r="Z159" i="1" s="1"/>
  <c r="BC21" i="3"/>
  <c r="Z16" i="2"/>
  <c r="BC22" i="3"/>
  <c r="AA69" i="2"/>
  <c r="BB39" i="3"/>
  <c r="Y105" i="2"/>
  <c r="BB29" i="3"/>
  <c r="FC9" i="4" a="1"/>
  <c r="FF11" i="4" a="1"/>
  <c r="FE9" i="4" a="1"/>
  <c r="EY8" i="4" a="1"/>
  <c r="EZ6" i="4" a="1"/>
  <c r="BA46" i="3"/>
  <c r="FC5" i="4" a="1"/>
  <c r="EX9" i="4" a="1"/>
  <c r="EY9" i="4" a="1"/>
  <c r="FD9" i="4" a="1"/>
  <c r="BD12" i="3"/>
  <c r="FA11" i="4" a="1"/>
  <c r="EX8" i="4" a="1"/>
  <c r="BJ37" i="3"/>
  <c r="AA41" i="2"/>
  <c r="Z125" i="1" s="1"/>
  <c r="EZ13" i="4" a="1"/>
  <c r="BU45" i="3"/>
  <c r="BR26" i="3"/>
  <c r="BS24" i="3"/>
  <c r="BF31" i="3"/>
  <c r="BP7" i="3"/>
  <c r="BH10" i="3"/>
  <c r="BF34" i="3"/>
  <c r="CK53" i="1" s="1"/>
  <c r="BF40" i="3"/>
  <c r="BM45" i="3"/>
  <c r="BI30" i="3"/>
  <c r="AA61" i="2"/>
  <c r="AA90" i="2"/>
  <c r="BB9" i="3"/>
  <c r="BD13" i="3"/>
  <c r="AA48" i="2"/>
  <c r="Z133" i="1" s="1"/>
  <c r="Y62" i="2"/>
  <c r="Z91" i="2"/>
  <c r="BA39" i="3"/>
  <c r="BC29" i="3"/>
  <c r="AA108" i="2"/>
  <c r="Z87" i="1" s="1"/>
  <c r="Z10" i="2"/>
  <c r="Z45" i="2"/>
  <c r="AA21" i="2"/>
  <c r="BD7" i="3"/>
  <c r="Z32" i="2"/>
  <c r="BD38" i="3"/>
  <c r="Z28" i="2"/>
  <c r="Z63" i="2"/>
  <c r="AA57" i="2"/>
  <c r="Z163" i="1" s="1"/>
  <c r="EZ12" i="4" a="1"/>
  <c r="Z26" i="2"/>
  <c r="BD14" i="3"/>
  <c r="Z51" i="2"/>
  <c r="Y53" i="2"/>
  <c r="FF16" i="4" a="1"/>
  <c r="FD12" i="4" a="1"/>
  <c r="FF6" i="4" a="1"/>
  <c r="FA13" i="4" a="1"/>
  <c r="FE13" i="4" a="1"/>
  <c r="FA7" i="4" a="1"/>
  <c r="FD8" i="4" a="1"/>
  <c r="EZ15" i="4" a="1"/>
  <c r="EY16" i="4" a="1"/>
  <c r="FE16" i="4" a="1"/>
  <c r="BC40" i="3"/>
  <c r="FC7" i="4" a="1"/>
  <c r="BE10" i="3"/>
  <c r="Y98" i="2"/>
  <c r="Z75" i="2"/>
  <c r="Y90" i="2"/>
  <c r="EZ14" i="4" a="1"/>
  <c r="BV8" i="3"/>
  <c r="BR32" i="3"/>
  <c r="BO28" i="3"/>
  <c r="BN45" i="3"/>
  <c r="BE7" i="3"/>
  <c r="BH18" i="3"/>
  <c r="BL29" i="3"/>
  <c r="BL9" i="3"/>
  <c r="BJ11" i="3"/>
  <c r="BG37" i="3"/>
  <c r="Y76" i="2"/>
  <c r="AA29" i="2"/>
  <c r="Z55" i="1" s="1"/>
  <c r="BD18" i="3"/>
  <c r="Y6" i="2"/>
  <c r="AA10" i="2"/>
  <c r="AA86" i="2"/>
  <c r="Z143" i="1" s="1"/>
  <c r="Y15" i="2"/>
  <c r="BD11" i="3"/>
  <c r="BB21" i="3"/>
  <c r="Z23" i="2"/>
  <c r="C5" i="2"/>
  <c r="AA70" i="2"/>
  <c r="Z105" i="2"/>
  <c r="BB12" i="3"/>
  <c r="AA23" i="2"/>
  <c r="Z43" i="1" s="1"/>
  <c r="BC31" i="3"/>
  <c r="Z71" i="2"/>
  <c r="BS36" i="3"/>
  <c r="BV34" i="3"/>
  <c r="BS30" i="3"/>
  <c r="BK9" i="3"/>
  <c r="BE9" i="3"/>
  <c r="BN25" i="3"/>
  <c r="BL7" i="3"/>
  <c r="BL41" i="3"/>
  <c r="BL18" i="3"/>
  <c r="BJ8" i="3"/>
  <c r="AA110" i="2"/>
  <c r="Z75" i="1" s="1"/>
  <c r="AA105" i="2"/>
  <c r="BD22" i="3"/>
  <c r="AA62" i="2"/>
  <c r="Z139" i="1" s="1"/>
  <c r="Y49" i="2"/>
  <c r="Y91" i="2"/>
  <c r="AA58" i="2"/>
  <c r="BC19" i="3"/>
  <c r="BB18" i="3"/>
  <c r="Y96" i="2"/>
  <c r="Y11" i="2"/>
  <c r="Z98" i="2"/>
  <c r="BB13" i="3"/>
  <c r="BB8" i="3"/>
  <c r="Z84" i="2"/>
  <c r="BC30" i="3"/>
  <c r="Y27" i="2"/>
  <c r="BB36" i="3"/>
  <c r="AA107" i="2"/>
  <c r="Z86" i="1" s="1"/>
  <c r="BC46" i="3"/>
  <c r="EY7" i="4" a="1"/>
  <c r="FA12" i="4" a="1"/>
  <c r="FD11" i="4" a="1"/>
  <c r="FC15" i="4" a="1"/>
  <c r="FB16" i="4" a="1"/>
  <c r="Z90" i="2"/>
  <c r="BA33" i="3"/>
  <c r="Y59" i="2"/>
  <c r="BD27" i="3"/>
  <c r="AA95" i="2"/>
  <c r="Z179" i="1" s="1"/>
  <c r="BB11" i="3"/>
  <c r="BF30" i="3"/>
  <c r="BC27" i="3"/>
  <c r="Y9" i="2"/>
  <c r="AA79" i="2"/>
  <c r="Z154" i="1" s="1"/>
  <c r="BB5" i="3"/>
  <c r="Y89" i="2"/>
  <c r="FF13" i="4" a="1"/>
  <c r="FA16" i="4" a="1"/>
  <c r="EY15" i="4" a="1"/>
  <c r="BU66" i="3"/>
  <c r="BP50" i="3"/>
  <c r="Z181" i="1" l="1"/>
  <c r="Z202" i="1"/>
  <c r="Z261" i="1"/>
  <c r="Z239" i="1"/>
  <c r="Z18" i="1"/>
  <c r="Z260" i="1"/>
  <c r="Z162" i="1"/>
  <c r="Z156" i="1"/>
  <c r="Z188" i="1"/>
  <c r="Z191" i="1"/>
  <c r="Z34" i="1"/>
  <c r="Z35" i="1" s="1"/>
  <c r="Z136" i="1"/>
  <c r="Z164" i="1"/>
  <c r="Z193" i="1" s="1"/>
  <c r="Z192" i="1" s="1"/>
  <c r="Z187" i="1"/>
  <c r="Z128" i="1"/>
  <c r="Z142" i="1"/>
  <c r="Z146" i="1" s="1"/>
  <c r="BQ62" i="3"/>
  <c r="BQ56" i="3"/>
  <c r="BH59" i="3"/>
  <c r="BH62" i="3"/>
  <c r="BP57" i="3"/>
  <c r="AA72" i="1"/>
  <c r="Z72" i="1" s="1"/>
  <c r="CJ72" i="1"/>
  <c r="CI72" i="1" s="1"/>
  <c r="CK260" i="1"/>
  <c r="CK239" i="1"/>
  <c r="CK18" i="1"/>
  <c r="CK7" i="1" s="1"/>
  <c r="CK261" i="1"/>
  <c r="CK202" i="1"/>
  <c r="CK73" i="1"/>
  <c r="CK34" i="1"/>
  <c r="CK35" i="1" s="1"/>
  <c r="CG53" i="1"/>
  <c r="CG23" i="1"/>
  <c r="X134" i="1"/>
  <c r="X162" i="1" s="1"/>
  <c r="CG47" i="1"/>
  <c r="CI53" i="1"/>
  <c r="CJ53" i="1" s="1"/>
  <c r="CI17" i="1"/>
  <c r="X75" i="1"/>
  <c r="Y126" i="1"/>
  <c r="X55" i="1"/>
  <c r="Y29" i="1"/>
  <c r="X140" i="1"/>
  <c r="X125" i="1"/>
  <c r="Y125" i="1"/>
  <c r="Y17" i="1"/>
  <c r="Y158" i="1"/>
  <c r="Y140" i="1"/>
  <c r="X161" i="1"/>
  <c r="Y127" i="1"/>
  <c r="Y180" i="1"/>
  <c r="CH54" i="1"/>
  <c r="Y168" i="1"/>
  <c r="X33" i="1"/>
  <c r="CG40" i="1"/>
  <c r="CI31" i="1"/>
  <c r="CH55" i="1"/>
  <c r="CI32" i="1"/>
  <c r="CG43" i="1"/>
  <c r="CF44" i="1"/>
  <c r="X154" i="1"/>
  <c r="Y135" i="1"/>
  <c r="X86" i="1"/>
  <c r="X179" i="1"/>
  <c r="Y54" i="1"/>
  <c r="Y159" i="1"/>
  <c r="X159" i="1"/>
  <c r="X40" i="1"/>
  <c r="X202" i="1" s="1"/>
  <c r="CG21" i="1"/>
  <c r="CF33" i="1"/>
  <c r="CI29" i="1"/>
  <c r="Y40" i="1"/>
  <c r="Y202" i="1" s="1"/>
  <c r="Y148" i="1"/>
  <c r="Z210" i="1" s="1"/>
  <c r="CI22" i="1"/>
  <c r="CF53" i="1"/>
  <c r="CF43" i="1"/>
  <c r="CH16" i="1"/>
  <c r="CF21" i="1"/>
  <c r="CF30" i="1"/>
  <c r="CG54" i="1"/>
  <c r="CG16" i="1"/>
  <c r="CG59" i="1"/>
  <c r="CF23" i="1"/>
  <c r="CI44" i="1"/>
  <c r="CH53" i="1"/>
  <c r="CI28" i="1"/>
  <c r="CM28" i="1" s="1"/>
  <c r="CQ28" i="1" s="1"/>
  <c r="CU28" i="1" s="1"/>
  <c r="CY28" i="1" s="1"/>
  <c r="X143" i="1"/>
  <c r="X139" i="1" s="1"/>
  <c r="Y134" i="1"/>
  <c r="Y162" i="1" s="1"/>
  <c r="Y53" i="1"/>
  <c r="X145" i="1"/>
  <c r="Y172" i="1"/>
  <c r="X17" i="1"/>
  <c r="X180" i="1"/>
  <c r="X135" i="1"/>
  <c r="X133" i="1"/>
  <c r="CH43" i="1"/>
  <c r="CG22" i="1"/>
  <c r="CH30" i="1"/>
  <c r="CG55" i="1"/>
  <c r="CF31" i="1"/>
  <c r="CI40" i="1"/>
  <c r="CF22" i="1"/>
  <c r="X47" i="1"/>
  <c r="X153" i="1"/>
  <c r="Y130" i="1"/>
  <c r="X163" i="1"/>
  <c r="X130" i="1"/>
  <c r="X21" i="1"/>
  <c r="Y85" i="1"/>
  <c r="Y178" i="1"/>
  <c r="X132" i="1"/>
  <c r="Y59" i="1"/>
  <c r="Y33" i="1"/>
  <c r="Y167" i="1"/>
  <c r="Y43" i="1"/>
  <c r="Y163" i="1"/>
  <c r="Y151" i="1"/>
  <c r="Y16" i="1"/>
  <c r="CF54" i="1"/>
  <c r="CH71" i="1"/>
  <c r="CG71" i="1" s="1"/>
  <c r="CF71" i="1" s="1"/>
  <c r="CE71" i="1" s="1"/>
  <c r="CD71" i="1" s="1"/>
  <c r="CC71" i="1" s="1"/>
  <c r="CB71" i="1" s="1"/>
  <c r="CA71" i="1" s="1"/>
  <c r="BZ71" i="1" s="1"/>
  <c r="BY71" i="1" s="1"/>
  <c r="BX71" i="1" s="1"/>
  <c r="BW71" i="1" s="1"/>
  <c r="BV71" i="1" s="1"/>
  <c r="BU71" i="1" s="1"/>
  <c r="BT71" i="1" s="1"/>
  <c r="BS71" i="1" s="1"/>
  <c r="BR71" i="1" s="1"/>
  <c r="BQ71" i="1" s="1"/>
  <c r="BP71" i="1" s="1"/>
  <c r="BO71" i="1" s="1"/>
  <c r="BN71" i="1" s="1"/>
  <c r="BM71" i="1" s="1"/>
  <c r="BL71" i="1" s="1"/>
  <c r="BK71" i="1" s="1"/>
  <c r="BJ71" i="1" s="1"/>
  <c r="BI71" i="1" s="1"/>
  <c r="BH71" i="1" s="1"/>
  <c r="BG71" i="1" s="1"/>
  <c r="BF71" i="1" s="1"/>
  <c r="BE71" i="1" s="1"/>
  <c r="BD71" i="1" s="1"/>
  <c r="BC71" i="1" s="1"/>
  <c r="BB71" i="1" s="1"/>
  <c r="BA71" i="1" s="1"/>
  <c r="AZ71" i="1" s="1"/>
  <c r="AY71" i="1" s="1"/>
  <c r="AX71" i="1" s="1"/>
  <c r="AW71" i="1" s="1"/>
  <c r="AV71" i="1" s="1"/>
  <c r="AU71" i="1" s="1"/>
  <c r="AT71" i="1" s="1"/>
  <c r="AS71" i="1" s="1"/>
  <c r="AR71" i="1" s="1"/>
  <c r="AQ71" i="1" s="1"/>
  <c r="AP71" i="1" s="1"/>
  <c r="AO71" i="1" s="1"/>
  <c r="AN71" i="1" s="1"/>
  <c r="AM71" i="1" s="1"/>
  <c r="AL71" i="1" s="1"/>
  <c r="AK71" i="1" s="1"/>
  <c r="AJ71" i="1" s="1"/>
  <c r="AI71" i="1" s="1"/>
  <c r="AH71" i="1" s="1"/>
  <c r="CG33" i="1"/>
  <c r="CG30" i="1"/>
  <c r="CI54" i="1"/>
  <c r="CJ54" i="1" s="1"/>
  <c r="CF40" i="1"/>
  <c r="CH59" i="1"/>
  <c r="CH47" i="1"/>
  <c r="CF59" i="1"/>
  <c r="CG31" i="1"/>
  <c r="CI16" i="1"/>
  <c r="CH31" i="1"/>
  <c r="CI23" i="1"/>
  <c r="CI21" i="1"/>
  <c r="CF16" i="1"/>
  <c r="CH29" i="1"/>
  <c r="CG28" i="1"/>
  <c r="CH40" i="1"/>
  <c r="CH202" i="1" s="1"/>
  <c r="CF32" i="1"/>
  <c r="X168" i="1"/>
  <c r="Y144" i="1"/>
  <c r="Y31" i="1"/>
  <c r="X44" i="1"/>
  <c r="Y143" i="1"/>
  <c r="Y139" i="1" s="1"/>
  <c r="Y55" i="1"/>
  <c r="Y23" i="1"/>
  <c r="X148" i="1"/>
  <c r="Y30" i="1"/>
  <c r="X31" i="1"/>
  <c r="X157" i="1"/>
  <c r="X85" i="1"/>
  <c r="Y155" i="1"/>
  <c r="Y179" i="1"/>
  <c r="Y154" i="1"/>
  <c r="Y153" i="1"/>
  <c r="Y21" i="1"/>
  <c r="Y171" i="1"/>
  <c r="X54" i="1"/>
  <c r="X155" i="1"/>
  <c r="Y28" i="1"/>
  <c r="X171" i="1"/>
  <c r="X87" i="1"/>
  <c r="X30" i="1"/>
  <c r="X126" i="1"/>
  <c r="Y75" i="1"/>
  <c r="X29" i="1"/>
  <c r="X127" i="1"/>
  <c r="Y86" i="1"/>
  <c r="Y44" i="1"/>
  <c r="Y132" i="1"/>
  <c r="X16" i="1"/>
  <c r="CH32" i="1"/>
  <c r="CI47" i="1"/>
  <c r="CG32" i="1"/>
  <c r="CH22" i="1"/>
  <c r="CI43" i="1"/>
  <c r="CH23" i="1"/>
  <c r="CH21" i="1"/>
  <c r="CF47" i="1"/>
  <c r="CF28" i="1"/>
  <c r="CN28" i="1" s="1"/>
  <c r="CR28" i="1" s="1"/>
  <c r="CG44" i="1"/>
  <c r="CH44" i="1"/>
  <c r="CH28" i="1"/>
  <c r="CL28" i="1" s="1"/>
  <c r="CP28" i="1" s="1"/>
  <c r="CT28" i="1" s="1"/>
  <c r="CX28" i="1" s="1"/>
  <c r="CI30" i="1"/>
  <c r="CI33" i="1"/>
  <c r="CG29" i="1"/>
  <c r="CD47" i="1"/>
  <c r="CF55" i="1"/>
  <c r="CI55" i="1"/>
  <c r="CF17" i="1"/>
  <c r="CF29" i="1"/>
  <c r="CH33" i="1"/>
  <c r="CI59" i="1"/>
  <c r="CG17" i="1"/>
  <c r="CH17" i="1"/>
  <c r="Y150" i="1"/>
  <c r="X59" i="1"/>
  <c r="Y141" i="1"/>
  <c r="Y32" i="1"/>
  <c r="X53" i="1"/>
  <c r="X23" i="1"/>
  <c r="Y157" i="1"/>
  <c r="X150" i="1"/>
  <c r="Y161" i="1"/>
  <c r="Y47" i="1"/>
  <c r="Y87" i="1"/>
  <c r="X43" i="1"/>
  <c r="X144" i="1"/>
  <c r="X141" i="1"/>
  <c r="X167" i="1"/>
  <c r="X158" i="1"/>
  <c r="Y133" i="1"/>
  <c r="X152" i="1"/>
  <c r="Y145" i="1"/>
  <c r="Y152" i="1"/>
  <c r="X172" i="1"/>
  <c r="X32" i="1"/>
  <c r="X28" i="1"/>
  <c r="X151" i="1"/>
  <c r="X178" i="1"/>
  <c r="JP9" i="4" s="1"/>
  <c r="JP16" i="4" s="1"/>
  <c r="JO16" i="4" s="1"/>
  <c r="JO9" i="4" s="1"/>
  <c r="JN9" i="4" s="1"/>
  <c r="JN16" i="4" s="1"/>
  <c r="BH61" i="3"/>
  <c r="BK8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BB65" i="3"/>
  <c r="BB74" i="3"/>
  <c r="BB78" i="3"/>
  <c r="BG77" i="3"/>
  <c r="BH68" i="3"/>
  <c r="BF88" i="3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BT49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BB92" i="3"/>
  <c r="BB85" i="3"/>
  <c r="BB89" i="3"/>
  <c r="BG93" i="3"/>
  <c r="BH76" i="3"/>
  <c r="BF90" i="3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BF85" i="3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BJ84" i="3"/>
  <c r="BJ95" i="3"/>
  <c r="BJ94" i="3"/>
  <c r="BU58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E85" i="3"/>
  <c r="BG59" i="3"/>
  <c r="BF87" i="3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BV48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Z81" i="1" s="1"/>
  <c r="BO60" i="3"/>
  <c r="BS70" i="3"/>
  <c r="BP63" i="3"/>
  <c r="BH89" i="3"/>
  <c r="BE91" i="3"/>
  <c r="BI75" i="3"/>
  <c r="BM85" i="3"/>
  <c r="BF57" i="3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K81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P92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P6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BF66" i="3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K64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K7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BF82" i="3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A88" i="3"/>
  <c r="BE95" i="3"/>
  <c r="BQ93" i="3"/>
  <c r="BV64" i="3"/>
  <c r="BO57" i="3"/>
  <c r="BS50" i="3"/>
  <c r="BR75" i="3"/>
  <c r="BV70" i="3"/>
  <c r="BT66" i="3"/>
  <c r="BN81" i="3"/>
  <c r="BO69" i="3"/>
  <c r="BS81" i="3"/>
  <c r="BL95" i="3"/>
  <c r="BI71" i="3"/>
  <c r="BM89" i="3"/>
  <c r="BJ70" i="3"/>
  <c r="BJ63" i="3"/>
  <c r="BK77" i="3"/>
  <c r="BK94" i="3"/>
  <c r="GT14" i="4" a="1"/>
  <c r="FU7" i="4" a="1"/>
  <c r="GB8" i="4" a="1"/>
  <c r="HA14" i="4" a="1"/>
  <c r="GW5" i="4" a="1"/>
  <c r="FM9" i="4" a="1"/>
  <c r="FW15" i="4" a="1"/>
  <c r="FQ8" i="4" a="1"/>
  <c r="GZ9" i="4" a="1"/>
  <c r="GI5" i="4" a="1"/>
  <c r="GS8" i="4" a="1"/>
  <c r="GM11" i="4" a="1"/>
  <c r="GJ5" i="4" a="1"/>
  <c r="FT6" i="4" a="1"/>
  <c r="GY7" i="4" a="1"/>
  <c r="FJ5" i="4" a="1"/>
  <c r="GA8" i="4" a="1"/>
  <c r="GV9" i="4" a="1"/>
  <c r="GV5" i="4" a="1"/>
  <c r="GS11" i="4" a="1"/>
  <c r="GX12" i="4" a="1"/>
  <c r="GZ13" i="4" a="1"/>
  <c r="GY11" i="4" a="1"/>
  <c r="HD12" i="4" a="1"/>
  <c r="HF13" i="4" a="1"/>
  <c r="FO6" i="4" a="1"/>
  <c r="FU13" i="4" a="1"/>
  <c r="GF15" i="4" a="1"/>
  <c r="FH16" i="4" a="1"/>
  <c r="GJ16" i="4" a="1"/>
  <c r="FS12" i="4" a="1"/>
  <c r="GJ11" i="4" a="1"/>
  <c r="HB14" i="4" a="1"/>
  <c r="HF6" i="4" a="1"/>
  <c r="GV13" i="4" a="1"/>
  <c r="GB15" i="4" a="1"/>
  <c r="HC15" i="4" a="1"/>
  <c r="GW16" i="4" a="1"/>
  <c r="GN13" i="4" a="1"/>
  <c r="BC63" i="3"/>
  <c r="BC86" i="3"/>
  <c r="BD68" i="3"/>
  <c r="BO65" i="3"/>
  <c r="BV73" i="3"/>
  <c r="BI79" i="3"/>
  <c r="BF68" i="3"/>
  <c r="BJ72" i="3"/>
  <c r="BK88" i="3"/>
  <c r="FR9" i="4" a="1"/>
  <c r="GX8" i="4" a="1"/>
  <c r="GC8" i="4" a="1"/>
  <c r="FV11" i="4" a="1"/>
  <c r="FL6" i="4" a="1"/>
  <c r="FI12" i="4" a="1"/>
  <c r="FM6" i="4" a="1"/>
  <c r="GR6" i="4" a="1"/>
  <c r="FR5" i="4" a="1"/>
  <c r="FT11" i="4" a="1"/>
  <c r="HA11" i="4" a="1"/>
  <c r="HC12" i="4" a="1"/>
  <c r="HG11" i="4" a="1"/>
  <c r="GF13" i="4" a="1"/>
  <c r="FH13" i="4" a="1"/>
  <c r="HE15" i="4" a="1"/>
  <c r="GI15" i="4" a="1"/>
  <c r="BC55" i="3"/>
  <c r="BQ48" i="3"/>
  <c r="BE60" i="3"/>
  <c r="BQ89" i="3"/>
  <c r="BF97" i="3"/>
  <c r="BN82" i="3"/>
  <c r="BH57" i="3"/>
  <c r="BE71" i="3"/>
  <c r="BQ84" i="3"/>
  <c r="BV49" i="3"/>
  <c r="BO72" i="3"/>
  <c r="BU57" i="3"/>
  <c r="BR82" i="3"/>
  <c r="BT71" i="3"/>
  <c r="BN89" i="3"/>
  <c r="BP54" i="3"/>
  <c r="BO61" i="3"/>
  <c r="BS49" i="3"/>
  <c r="BL73" i="3"/>
  <c r="BI77" i="3"/>
  <c r="BF64" i="3"/>
  <c r="BJ76" i="3"/>
  <c r="BJ67" i="3"/>
  <c r="BK75" i="3"/>
  <c r="BK95" i="3"/>
  <c r="FS5" i="4" a="1"/>
  <c r="FO8" i="4" a="1"/>
  <c r="GX9" i="4" a="1"/>
  <c r="FT7" i="4" a="1"/>
  <c r="GC7" i="4" a="1"/>
  <c r="HB9" i="4" a="1"/>
  <c r="FG5" i="4" a="1"/>
  <c r="GM8" i="4" a="1"/>
  <c r="GK5" i="4" a="1"/>
  <c r="GF5" i="4" a="1"/>
  <c r="FK7" i="4" a="1"/>
  <c r="GG12" i="4" a="1"/>
  <c r="FG7" i="4" a="1"/>
  <c r="GL7" i="4" a="1"/>
  <c r="FY12" i="4" a="1"/>
  <c r="GD5" i="4" a="1"/>
  <c r="HA8" i="4" a="1"/>
  <c r="GD11" i="4" a="1"/>
  <c r="FN9" i="4" a="1"/>
  <c r="HD11" i="4" a="1"/>
  <c r="HF12" i="4" a="1"/>
  <c r="FN7" i="4" a="1"/>
  <c r="FH12" i="4" a="1"/>
  <c r="FJ13" i="4" a="1"/>
  <c r="FQ14" i="4" a="1"/>
  <c r="FN8" i="4" a="1"/>
  <c r="HA13" i="4" a="1"/>
  <c r="GL15" i="4" a="1"/>
  <c r="FL16" i="4" a="1"/>
  <c r="GP16" i="4" a="1"/>
  <c r="FN14" i="4" a="1"/>
  <c r="FN12" i="4" a="1"/>
  <c r="FM15" i="4" a="1"/>
  <c r="HH8" i="4" a="1"/>
  <c r="FG14" i="4" a="1"/>
  <c r="BH67" i="3"/>
  <c r="BE97" i="3"/>
  <c r="BQ97" i="3"/>
  <c r="BV85" i="3"/>
  <c r="BO90" i="3"/>
  <c r="BU69" i="3"/>
  <c r="BR94" i="3"/>
  <c r="BT72" i="3"/>
  <c r="BN59" i="3"/>
  <c r="BP90" i="3"/>
  <c r="BO86" i="3"/>
  <c r="BS58" i="3"/>
  <c r="BL50" i="3"/>
  <c r="BI60" i="3"/>
  <c r="BF96" i="3"/>
  <c r="BJ80" i="3"/>
  <c r="BJ69" i="3"/>
  <c r="BK59" i="3"/>
  <c r="BK91" i="3"/>
  <c r="GC5" i="4" a="1"/>
  <c r="FY8" i="4" a="1"/>
  <c r="HH9" i="4" a="1"/>
  <c r="GH8" i="4" a="1"/>
  <c r="HA7" i="4" a="1"/>
  <c r="FL11" i="4" a="1"/>
  <c r="FU5" i="4" a="1"/>
  <c r="GY8" i="4" a="1"/>
  <c r="FH8" i="4" a="1"/>
  <c r="GT5" i="4" a="1"/>
  <c r="HG7" i="4" a="1"/>
  <c r="HH12" i="4" a="1"/>
  <c r="FZ7" i="4" a="1"/>
  <c r="FJ6" i="4" a="1"/>
  <c r="GZ12" i="4" a="1"/>
  <c r="GY5" i="4" a="1"/>
  <c r="GN5" i="4" a="1"/>
  <c r="GO6" i="4" a="1"/>
  <c r="HE9" i="4" a="1"/>
  <c r="FG12" i="4" a="1"/>
  <c r="FI13" i="4" a="1"/>
  <c r="GT7" i="4" a="1"/>
  <c r="FM12" i="4" a="1"/>
  <c r="FR13" i="4" a="1"/>
  <c r="FT14" i="4" a="1"/>
  <c r="GT8" i="4" a="1"/>
  <c r="FO14" i="4" a="1"/>
  <c r="GN15" i="4" a="1"/>
  <c r="FP16" i="4" a="1"/>
  <c r="GR16" i="4" a="1"/>
  <c r="GD14" i="4" a="1"/>
  <c r="GT12" i="4" a="1"/>
  <c r="FT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GM15" i="4" a="1"/>
  <c r="GG16" i="4" a="1"/>
  <c r="BC96" i="3"/>
  <c r="BC87" i="3"/>
  <c r="BD60" i="3"/>
  <c r="BD63" i="3"/>
  <c r="BC61" i="3"/>
  <c r="GY15" i="4" a="1"/>
  <c r="GJ15" i="4" a="1"/>
  <c r="BD57" i="3"/>
  <c r="BD84" i="3"/>
  <c r="BH74" i="3"/>
  <c r="BI68" i="3"/>
  <c r="BQ90" i="3"/>
  <c r="BT61" i="3"/>
  <c r="BS48" i="3"/>
  <c r="BU73" i="3"/>
  <c r="BR79" i="3"/>
  <c r="BT88" i="3"/>
  <c r="BN54" i="3"/>
  <c r="BP79" i="3"/>
  <c r="BO64" i="3"/>
  <c r="BP65" i="3"/>
  <c r="BE47" i="3"/>
  <c r="BI87" i="3"/>
  <c r="BF72" i="3"/>
  <c r="BJ89" i="3"/>
  <c r="BJ71" i="3"/>
  <c r="BK48" i="3"/>
  <c r="BK54" i="3"/>
  <c r="GB5" i="4" a="1"/>
  <c r="GK8" i="4" a="1"/>
  <c r="FW6" i="4" a="1"/>
  <c r="FY9" i="4" a="1"/>
  <c r="GQ8" i="4" a="1"/>
  <c r="GB11" i="4" a="1"/>
  <c r="GL5" i="4" a="1"/>
  <c r="GX5" i="4" a="1"/>
  <c r="GB12" i="4" a="1"/>
  <c r="FP6" i="4" a="1"/>
  <c r="HC6" i="4" a="1"/>
  <c r="GD13" i="4" a="1"/>
  <c r="HC7" i="4" a="1"/>
  <c r="GG7" i="4" a="1"/>
  <c r="FV13" i="4" a="1"/>
  <c r="FU6" i="4" a="1"/>
  <c r="GW6" i="4" a="1"/>
  <c r="FS7" i="4" a="1"/>
  <c r="FG11" i="4" a="1"/>
  <c r="FJ12" i="4" a="1"/>
  <c r="FL13" i="4" a="1"/>
  <c r="FM8" i="4" a="1"/>
  <c r="FP12" i="4" a="1"/>
  <c r="FW13" i="4" a="1"/>
  <c r="FY14" i="4" a="1"/>
  <c r="FQ9" i="4" a="1"/>
  <c r="FZ14" i="4" a="1"/>
  <c r="GP15" i="4" a="1"/>
  <c r="FR16" i="4" a="1"/>
  <c r="GT16" i="4" a="1"/>
  <c r="GY14" i="4" a="1"/>
  <c r="FM13" i="4" a="1"/>
  <c r="FX15" i="4" a="1"/>
  <c r="FI11" i="4" a="1"/>
  <c r="FW14" i="4" a="1"/>
  <c r="FI16" i="4" a="1"/>
  <c r="HE16" i="4" a="1"/>
  <c r="BC78" i="3"/>
  <c r="FP13" i="4" a="1"/>
  <c r="BC75" i="3"/>
  <c r="BC84" i="3"/>
  <c r="BH48" i="3"/>
  <c r="BI58" i="3"/>
  <c r="BQ66" i="3"/>
  <c r="BT93" i="3"/>
  <c r="BS63" i="3"/>
  <c r="BU96" i="3"/>
  <c r="BR68" i="3"/>
  <c r="BT70" i="3"/>
  <c r="BN64" i="3"/>
  <c r="BF81" i="3"/>
  <c r="BO83" i="3"/>
  <c r="BG82" i="3"/>
  <c r="BE89" i="3"/>
  <c r="BI91" i="3"/>
  <c r="BF70" i="3"/>
  <c r="BJ87" i="3"/>
  <c r="BJ75" i="3"/>
  <c r="BK85" i="3"/>
  <c r="BK65" i="3"/>
  <c r="GQ5" i="4" a="1"/>
  <c r="GM5" i="4" a="1"/>
  <c r="FZ6" i="4" a="1"/>
  <c r="FO5" i="4" a="1"/>
  <c r="HC8" i="4" a="1"/>
  <c r="GD7" i="4" a="1"/>
  <c r="FH6" i="4" a="1"/>
  <c r="GB6" i="4" a="1"/>
  <c r="GW12" i="4" a="1"/>
  <c r="FO7" i="4" a="1"/>
  <c r="GW7" i="4" a="1"/>
  <c r="FX14" i="4" a="1"/>
  <c r="GZ5" i="4" a="1"/>
  <c r="FX8" i="4" a="1"/>
  <c r="GT13" i="4" a="1"/>
  <c r="FR7" i="4" a="1"/>
  <c r="HB7" i="4" a="1"/>
  <c r="GP11" i="4" a="1"/>
  <c r="FK11" i="4" a="1"/>
  <c r="FO12" i="4" a="1"/>
  <c r="FT13" i="4" a="1"/>
  <c r="FK9" i="4" a="1"/>
  <c r="FX12" i="4" a="1"/>
  <c r="FZ13" i="4" a="1"/>
  <c r="GB14" i="4" a="1"/>
  <c r="HC9" i="4" a="1"/>
  <c r="GE14" i="4" a="1"/>
  <c r="GT15" i="4" a="1"/>
  <c r="FT16" i="4" a="1"/>
  <c r="GV16" i="4" a="1"/>
  <c r="GP6" i="4" a="1"/>
  <c r="FX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GW11" i="4" a="1"/>
  <c r="GL8" i="4" a="1"/>
  <c r="BC70" i="3"/>
  <c r="BD87" i="3"/>
  <c r="BD71" i="3"/>
  <c r="BS60" i="3"/>
  <c r="BS66" i="3"/>
  <c r="BG62" i="3"/>
  <c r="BM87" i="3"/>
  <c r="BJ74" i="3"/>
  <c r="BK73" i="3"/>
  <c r="BK79" i="3"/>
  <c r="GE9" i="4" a="1"/>
  <c r="GC6" i="4" a="1"/>
  <c r="GG6" i="4" a="1"/>
  <c r="FW7" i="4" a="1"/>
  <c r="FZ9" i="4" a="1"/>
  <c r="FG8" i="4" a="1"/>
  <c r="GE6" i="4" a="1"/>
  <c r="HH5" i="4" a="1"/>
  <c r="FN13" i="4" a="1"/>
  <c r="GE12" i="4" a="1"/>
  <c r="GK12" i="4" a="1"/>
  <c r="GM13" i="4" a="1"/>
  <c r="FL15" i="4" a="1"/>
  <c r="FZ16" i="4" a="1"/>
  <c r="HD16" i="4" a="1"/>
  <c r="HB8" i="4" a="1"/>
  <c r="FV14" i="4" a="1"/>
  <c r="GZ11" i="4" a="1"/>
  <c r="BC62" i="3"/>
  <c r="Y113" i="2"/>
  <c r="FG13" i="4" a="1"/>
  <c r="GD8" i="4" a="1"/>
  <c r="GA16" i="4" a="1"/>
  <c r="BC64" i="3"/>
  <c r="BC69" i="3"/>
  <c r="BL49" i="3"/>
  <c r="BI81" i="3"/>
  <c r="BQ69" i="3"/>
  <c r="BT90" i="3"/>
  <c r="BS68" i="3"/>
  <c r="BU92" i="3"/>
  <c r="BV57" i="3"/>
  <c r="BT56" i="3"/>
  <c r="BN90" i="3"/>
  <c r="BF73" i="3"/>
  <c r="BO78" i="3"/>
  <c r="BG68" i="3"/>
  <c r="BE65" i="3"/>
  <c r="BI50" i="3"/>
  <c r="BF56" i="3"/>
  <c r="BJ91" i="3"/>
  <c r="BJ79" i="3"/>
  <c r="BK80" i="3"/>
  <c r="BK47" i="3"/>
  <c r="HG5" i="4" a="1"/>
  <c r="FG6" i="4" a="1"/>
  <c r="HE8" i="4" a="1"/>
  <c r="FH5" i="4" a="1"/>
  <c r="HC5" i="4" a="1"/>
  <c r="GU11" i="4" a="1"/>
  <c r="GF6" i="4" a="1"/>
  <c r="HF8" i="4" a="1"/>
  <c r="FS13" i="4" a="1"/>
  <c r="FI8" i="4" a="1"/>
  <c r="GF8" i="4" a="1"/>
  <c r="GV14" i="4" a="1"/>
  <c r="FM7" i="4" a="1"/>
  <c r="GV8" i="4" a="1"/>
  <c r="FP14" i="4" a="1"/>
  <c r="GM7" i="4" a="1"/>
  <c r="FT9" i="4" a="1"/>
  <c r="FL12" i="4" a="1"/>
  <c r="FO11" i="4" a="1"/>
  <c r="FR12" i="4" a="1"/>
  <c r="FY13" i="4" a="1"/>
  <c r="FP9" i="4" a="1"/>
  <c r="GC12" i="4" a="1"/>
  <c r="GE13" i="4" a="1"/>
  <c r="GG14" i="4" a="1"/>
  <c r="FQ11" i="4" a="1"/>
  <c r="GP14" i="4" a="1"/>
  <c r="GV15" i="4" a="1"/>
  <c r="FV16" i="4" a="1"/>
  <c r="GX16" i="4" a="1"/>
  <c r="GJ7" i="4" a="1"/>
  <c r="GS13" i="4" a="1"/>
  <c r="FM11" i="4" a="1"/>
  <c r="GM14" i="4" a="1"/>
  <c r="GQ15" i="4" a="1"/>
  <c r="FM16" i="4" a="1"/>
  <c r="GK16" i="4" a="1"/>
  <c r="BC81" i="3"/>
  <c r="BC91" i="3"/>
  <c r="BU84" i="3"/>
  <c r="GN6" i="4" a="1"/>
  <c r="BL68" i="3"/>
  <c r="BI66" i="3"/>
  <c r="BQ87" i="3"/>
  <c r="BN78" i="3"/>
  <c r="BS59" i="3"/>
  <c r="BU95" i="3"/>
  <c r="BV67" i="3"/>
  <c r="BT79" i="3"/>
  <c r="BN60" i="3"/>
  <c r="BF48" i="3"/>
  <c r="BO93" i="3"/>
  <c r="BG48" i="3"/>
  <c r="BE59" i="3"/>
  <c r="BM47" i="3"/>
  <c r="BF50" i="3"/>
  <c r="CK82" i="1" s="1"/>
  <c r="BJ54" i="3"/>
  <c r="BJ81" i="3"/>
  <c r="BK66" i="3"/>
  <c r="BK96" i="3"/>
  <c r="FX6" i="4" a="1"/>
  <c r="HH6" i="4" a="1"/>
  <c r="GI9" i="4" a="1"/>
  <c r="FV5" i="4" a="1"/>
  <c r="FY6" i="4" a="1"/>
  <c r="FQ12" i="4" a="1"/>
  <c r="HA6" i="4" a="1"/>
  <c r="GB9" i="4" a="1"/>
  <c r="GY13" i="4" a="1"/>
  <c r="HE5" i="4" a="1"/>
  <c r="HD8" i="4" a="1"/>
  <c r="FZ15" i="4" a="1"/>
  <c r="GF7" i="4" a="1"/>
  <c r="FU9" i="4" a="1"/>
  <c r="FJ15" i="4" a="1"/>
  <c r="FL8" i="4" a="1"/>
  <c r="FL7" i="4" a="1"/>
  <c r="GR12" i="4" a="1"/>
  <c r="FS11" i="4" a="1"/>
  <c r="FZ12" i="4" a="1"/>
  <c r="GB13" i="4" a="1"/>
  <c r="GF9" i="4" a="1"/>
  <c r="GF12" i="4" a="1"/>
  <c r="GH13" i="4" a="1"/>
  <c r="GO14" i="4" a="1"/>
  <c r="GG11" i="4" a="1"/>
  <c r="HF14" i="4" a="1"/>
  <c r="GX15" i="4" a="1"/>
  <c r="FX16" i="4" a="1"/>
  <c r="HB16" i="4" a="1"/>
  <c r="FV8" i="4" a="1"/>
  <c r="FK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BL70" i="3"/>
  <c r="BI67" i="3"/>
  <c r="BU78" i="3"/>
  <c r="BN76" i="3"/>
  <c r="BV91" i="3"/>
  <c r="BT65" i="3"/>
  <c r="BN94" i="3"/>
  <c r="AA111" i="2"/>
  <c r="BE67" i="3"/>
  <c r="BJ48" i="3"/>
  <c r="BK60" i="3"/>
  <c r="GX11" i="4" a="1"/>
  <c r="GI13" i="4" a="1"/>
  <c r="FP8" i="4" a="1"/>
  <c r="FU14" i="4" a="1"/>
  <c r="GK7" i="4" a="1"/>
  <c r="GZ7" i="4" a="1"/>
  <c r="GR9" i="4" a="1"/>
  <c r="FK8" i="4" a="1"/>
  <c r="FW11" i="4" a="1"/>
  <c r="GG13" i="4" a="1"/>
  <c r="GI11" i="4" a="1"/>
  <c r="GR14" i="4" a="1"/>
  <c r="GR11" i="4" a="1"/>
  <c r="GZ15" i="4" a="1"/>
  <c r="GC13" i="4" a="1"/>
  <c r="GA12" i="4" a="1"/>
  <c r="HC14" i="4" a="1"/>
  <c r="GU15" i="4" a="1"/>
  <c r="FQ16" i="4" a="1"/>
  <c r="GO16" i="4" a="1"/>
  <c r="GY9" i="4" a="1"/>
  <c r="BC95" i="3"/>
  <c r="BC76" i="3"/>
  <c r="BD97" i="3"/>
  <c r="BD66" i="3"/>
  <c r="GS16" i="4" a="1"/>
  <c r="BC66" i="3"/>
  <c r="BD65" i="3"/>
  <c r="FL14" i="4" a="1"/>
  <c r="HD13" i="4" a="1"/>
  <c r="GY16" i="4" a="1"/>
  <c r="BD48" i="3"/>
  <c r="GC16" i="4" a="1"/>
  <c r="BD58" i="3"/>
  <c r="BL94" i="3"/>
  <c r="BF94" i="3"/>
  <c r="BR62" i="3"/>
  <c r="BO66" i="3"/>
  <c r="BS96" i="3"/>
  <c r="BR88" i="3"/>
  <c r="BV58" i="3"/>
  <c r="BT86" i="3"/>
  <c r="BN47" i="3"/>
  <c r="AA113" i="2"/>
  <c r="Z82" i="1" s="1"/>
  <c r="BS74" i="3"/>
  <c r="BG84" i="3"/>
  <c r="BE69" i="3"/>
  <c r="BM58" i="3"/>
  <c r="BJ47" i="3"/>
  <c r="BJ55" i="3"/>
  <c r="BK81" i="3"/>
  <c r="BK62" i="3"/>
  <c r="BK89" i="3"/>
  <c r="GH7" i="4" a="1"/>
  <c r="GH6" i="4" a="1"/>
  <c r="GJ12" i="4" a="1"/>
  <c r="HD6" i="4" a="1"/>
  <c r="FL9" i="4" a="1"/>
  <c r="HG13" i="4" a="1"/>
  <c r="GO5" i="4" a="1"/>
  <c r="GN8" i="4" a="1"/>
  <c r="FO15" i="4" a="1"/>
  <c r="HD7" i="4" a="1"/>
  <c r="HF9" i="4" a="1"/>
  <c r="GE5" i="4" a="1"/>
  <c r="FW8" i="4" a="1"/>
  <c r="FN11" i="4" a="1"/>
  <c r="FZ8" i="4" a="1"/>
  <c r="FP7" i="4" a="1"/>
  <c r="GJ8" i="4" a="1"/>
  <c r="GL13" i="4" a="1"/>
  <c r="GE11" i="4" a="1"/>
  <c r="GH12" i="4" a="1"/>
  <c r="GO13" i="4" a="1"/>
  <c r="GL11" i="4" a="1"/>
  <c r="GN12" i="4" a="1"/>
  <c r="GU13" i="4" a="1"/>
  <c r="GW14" i="4" a="1"/>
  <c r="FV12" i="4" a="1"/>
  <c r="FP15" i="4" a="1"/>
  <c r="HB15" i="4" a="1"/>
  <c r="GD16" i="4" a="1"/>
  <c r="HF16" i="4" a="1"/>
  <c r="GQ9" i="4" a="1"/>
  <c r="GA14" i="4" a="1"/>
  <c r="HE13" i="4" a="1"/>
  <c r="GL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GA13" i="4" a="1"/>
  <c r="GE7" i="4" a="1"/>
  <c r="GX6" i="4" a="1"/>
  <c r="GC14" i="4" a="1"/>
  <c r="GI6" i="4" a="1"/>
  <c r="FJ9" i="4" a="1"/>
  <c r="GP8" i="4" a="1"/>
  <c r="FU8" i="4" a="1"/>
  <c r="FX11" i="4" a="1"/>
  <c r="FN5" i="4" a="1"/>
  <c r="GF11" i="4" a="1"/>
  <c r="GD9" i="4" a="1"/>
  <c r="FM14" i="4" a="1"/>
  <c r="GK11" i="4" a="1"/>
  <c r="GM12" i="4" a="1"/>
  <c r="GR13" i="4" a="1"/>
  <c r="GQ11" i="4" a="1"/>
  <c r="GS12" i="4" a="1"/>
  <c r="GX13" i="4" a="1"/>
  <c r="GG15" i="4" a="1"/>
  <c r="BC79" i="3"/>
  <c r="BD95" i="3"/>
  <c r="BL65" i="3"/>
  <c r="BF59" i="3"/>
  <c r="BR65" i="3"/>
  <c r="BO75" i="3"/>
  <c r="BS91" i="3"/>
  <c r="BR49" i="3"/>
  <c r="BV78" i="3"/>
  <c r="BT60" i="3"/>
  <c r="BN68" i="3"/>
  <c r="Y111" i="2"/>
  <c r="BS76" i="3"/>
  <c r="BH93" i="3"/>
  <c r="BE73" i="3"/>
  <c r="BM83" i="3"/>
  <c r="BJ66" i="3"/>
  <c r="BJ64" i="3"/>
  <c r="BK69" i="3"/>
  <c r="BK86" i="3"/>
  <c r="BK93" i="3"/>
  <c r="GR5" i="4" a="1"/>
  <c r="FQ7" i="4" a="1"/>
  <c r="GI8" i="4" a="1"/>
  <c r="GN7" i="4" a="1"/>
  <c r="HG8" i="4" a="1"/>
  <c r="GZ14" i="4" a="1"/>
  <c r="GQ12" i="4" a="1"/>
  <c r="FS15" i="4" a="1"/>
  <c r="HD15" i="4" a="1"/>
  <c r="GF16" i="4" a="1"/>
  <c r="HH16" i="4" a="1"/>
  <c r="HG9" i="4" a="1"/>
  <c r="GL14" i="4" a="1"/>
  <c r="GI14" i="4" a="1"/>
  <c r="FQ15" i="4" a="1"/>
  <c r="FU16" i="4" a="1"/>
  <c r="BD80" i="3"/>
  <c r="FJ16" i="4" a="1"/>
  <c r="FS14" i="4" a="1"/>
  <c r="BD81" i="3"/>
  <c r="HG15" i="4" a="1"/>
  <c r="HA16" i="4" a="1"/>
  <c r="BL61" i="3"/>
  <c r="BF54" i="3"/>
  <c r="BR91" i="3"/>
  <c r="BO81" i="3"/>
  <c r="BS72" i="3"/>
  <c r="BR55" i="3"/>
  <c r="BV89" i="3"/>
  <c r="BT48" i="3"/>
  <c r="BN63" i="3"/>
  <c r="BO47" i="3"/>
  <c r="BS79" i="3"/>
  <c r="BL54" i="3"/>
  <c r="BE81" i="3"/>
  <c r="BM63" i="3"/>
  <c r="BJ68" i="3"/>
  <c r="BJ50" i="3"/>
  <c r="BK82" i="3"/>
  <c r="BK90" i="3"/>
  <c r="BK61" i="3"/>
  <c r="FN6" i="4" a="1"/>
  <c r="HH7" i="4" a="1"/>
  <c r="GQ13" i="4" a="1"/>
  <c r="GX7" i="4" a="1"/>
  <c r="GR7" i="4" a="1"/>
  <c r="HD14" i="4" a="1"/>
  <c r="HB6" i="4" a="1"/>
  <c r="GK9" i="4" a="1"/>
  <c r="GO9" i="4" a="1"/>
  <c r="GG8" i="4" a="1"/>
  <c r="HD5" i="4" a="1"/>
  <c r="FZ5" i="4" a="1"/>
  <c r="GU5" i="4" a="1"/>
  <c r="GZ6" i="4" a="1"/>
  <c r="FW5" i="4" a="1"/>
  <c r="FJ8" i="4" a="1"/>
  <c r="GC9" i="4" a="1"/>
  <c r="FG15" i="4" a="1"/>
  <c r="GN11" i="4" a="1"/>
  <c r="GU12" i="4" a="1"/>
  <c r="GW13" i="4" a="1"/>
  <c r="GT11" i="4" a="1"/>
  <c r="HA12" i="4" a="1"/>
  <c r="HC13" i="4" a="1"/>
  <c r="HH14" i="4" a="1"/>
  <c r="HB12" i="4" a="1"/>
  <c r="GC15" i="4" a="1"/>
  <c r="HH15" i="4" a="1"/>
  <c r="GH16" i="4" a="1"/>
  <c r="GO11" i="4" a="1"/>
  <c r="FU11" i="4" a="1"/>
  <c r="GQ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FY16" i="4" a="1"/>
  <c r="BD47" i="3"/>
  <c r="BD91" i="3"/>
  <c r="BA65" i="3"/>
  <c r="BV75" i="3"/>
  <c r="BR85" i="3"/>
  <c r="BN87" i="3"/>
  <c r="BO56" i="3"/>
  <c r="BS87" i="3"/>
  <c r="BL85" i="3"/>
  <c r="BJ65" i="3"/>
  <c r="BK56" i="3"/>
  <c r="GE15" i="4" a="1"/>
  <c r="GS7" i="4" a="1"/>
  <c r="FR15" i="4" a="1"/>
  <c r="GQ6" i="4" a="1"/>
  <c r="GP9" i="4" a="1"/>
  <c r="FT5" i="4" a="1"/>
  <c r="HC11" i="4" a="1"/>
  <c r="GO8" i="4" a="1"/>
  <c r="FR8" i="4" a="1"/>
  <c r="HE6" i="4" a="1"/>
  <c r="FY7" i="4" a="1"/>
  <c r="GN16" i="4" a="1"/>
  <c r="HE11" i="4" a="1"/>
  <c r="FI15" i="4" a="1"/>
  <c r="Z112" i="2"/>
  <c r="Z106" i="1" l="1"/>
  <c r="Z24" i="1"/>
  <c r="Z252" i="1"/>
  <c r="Z165" i="1"/>
  <c r="Z173" i="1" s="1"/>
  <c r="Z190" i="1"/>
  <c r="Z137" i="1"/>
  <c r="Z176" i="1"/>
  <c r="Z117" i="1" s="1"/>
  <c r="Z256" i="1"/>
  <c r="Z254" i="1"/>
  <c r="Z183" i="1"/>
  <c r="Z41" i="1"/>
  <c r="Z45" i="1"/>
  <c r="CK106" i="1"/>
  <c r="CK107" i="1" s="1"/>
  <c r="CK24" i="1"/>
  <c r="CK20" i="1"/>
  <c r="KB9" i="4"/>
  <c r="CF158" i="1"/>
  <c r="CH167" i="1"/>
  <c r="CH161" i="1"/>
  <c r="CH191" i="1" s="1"/>
  <c r="JR8" i="4" s="1"/>
  <c r="KC7" i="4" s="1"/>
  <c r="JU16" i="4" s="1"/>
  <c r="CH151" i="1"/>
  <c r="JX9" i="4" s="1"/>
  <c r="JY7" i="4" s="1"/>
  <c r="CH163" i="1"/>
  <c r="KE15" i="4" s="1"/>
  <c r="JX16" i="4" s="1"/>
  <c r="JX21" i="4" s="1"/>
  <c r="JT15" i="4" s="1"/>
  <c r="JR9" i="4" s="1"/>
  <c r="KE16" i="4"/>
  <c r="CH159" i="1"/>
  <c r="KC16" i="4" s="1"/>
  <c r="CH172" i="1"/>
  <c r="CI172" i="1" s="1"/>
  <c r="CJ172" i="1" s="1"/>
  <c r="CK172" i="1" s="1"/>
  <c r="CL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KE9" i="4" s="1"/>
  <c r="CH139" i="1"/>
  <c r="CH148" i="1"/>
  <c r="CI148" i="1" s="1"/>
  <c r="CJ148" i="1" s="1"/>
  <c r="CK148" i="1" s="1"/>
  <c r="CK210" i="1" s="1"/>
  <c r="JY9" i="4" s="1"/>
  <c r="KA16" i="4" s="1"/>
  <c r="CH162" i="1"/>
  <c r="CH152" i="1"/>
  <c r="CH187" i="1" s="1"/>
  <c r="KC15" i="4" s="1"/>
  <c r="CH140" i="1"/>
  <c r="CI140" i="1" s="1"/>
  <c r="CH157" i="1"/>
  <c r="JW16" i="4" s="1"/>
  <c r="JX8" i="4" s="1"/>
  <c r="CH132" i="1"/>
  <c r="CH141" i="1"/>
  <c r="CI141" i="1" s="1"/>
  <c r="CJ141" i="1" s="1"/>
  <c r="CK141" i="1" s="1"/>
  <c r="CL141" i="1" s="1"/>
  <c r="CM141" i="1" s="1"/>
  <c r="CN141" i="1" s="1"/>
  <c r="CO141" i="1" s="1"/>
  <c r="CH135" i="1"/>
  <c r="CI135" i="1" s="1"/>
  <c r="CH134" i="1"/>
  <c r="KD16" i="4" s="1"/>
  <c r="CH154" i="1"/>
  <c r="CH150" i="1"/>
  <c r="KG16" i="4" s="1"/>
  <c r="JQ16" i="4" s="1"/>
  <c r="CH160" i="1"/>
  <c r="CH171" i="1"/>
  <c r="CI171" i="1" s="1"/>
  <c r="CJ171" i="1" s="1"/>
  <c r="CK171" i="1" s="1"/>
  <c r="JY16" i="4" s="1"/>
  <c r="CH145" i="1"/>
  <c r="CI145" i="1" s="1"/>
  <c r="CH168" i="1"/>
  <c r="KB15" i="4" s="1"/>
  <c r="KG9" i="4" s="1"/>
  <c r="KE8" i="4" s="1"/>
  <c r="JZ8" i="4" s="1"/>
  <c r="KH9" i="4" s="1"/>
  <c r="JW8" i="4" s="1"/>
  <c r="KB16" i="4" s="1"/>
  <c r="KB21" i="4" s="1"/>
  <c r="JR16" i="4" s="1"/>
  <c r="JR21" i="4" s="1"/>
  <c r="CK85" i="1" s="1"/>
  <c r="KF9" i="4" s="1"/>
  <c r="JT9" i="4" s="1"/>
  <c r="CH133" i="1"/>
  <c r="CI133" i="1" s="1"/>
  <c r="CJ133" i="1" s="1"/>
  <c r="CK133" i="1" s="1"/>
  <c r="JZ16" i="4" s="1"/>
  <c r="KD9" i="4" s="1"/>
  <c r="CF135" i="1"/>
  <c r="CH126" i="1"/>
  <c r="CI126" i="1" s="1"/>
  <c r="CJ126" i="1" s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CF150" i="1"/>
  <c r="CH81" i="1"/>
  <c r="CF133" i="1"/>
  <c r="CF141" i="1"/>
  <c r="KC14" i="4" s="1"/>
  <c r="KF8" i="4" s="1"/>
  <c r="JR7" i="4" s="1"/>
  <c r="CJ81" i="1"/>
  <c r="CH155" i="1"/>
  <c r="CF148" i="1"/>
  <c r="CF154" i="1"/>
  <c r="CF140" i="1"/>
  <c r="CF152" i="1"/>
  <c r="CH125" i="1"/>
  <c r="CF159" i="1"/>
  <c r="CG82" i="1"/>
  <c r="CF171" i="1"/>
  <c r="CF155" i="1"/>
  <c r="X81" i="1"/>
  <c r="CF126" i="1"/>
  <c r="CF167" i="1"/>
  <c r="CH158" i="1"/>
  <c r="CF161" i="1"/>
  <c r="CF134" i="1"/>
  <c r="CH153" i="1"/>
  <c r="CH188" i="1" s="1"/>
  <c r="CF162" i="1"/>
  <c r="CF143" i="1"/>
  <c r="Y82" i="1"/>
  <c r="CH82" i="1"/>
  <c r="CF172" i="1"/>
  <c r="CF125" i="1"/>
  <c r="CF157" i="1"/>
  <c r="CH127" i="1"/>
  <c r="CF160" i="1"/>
  <c r="JW9" i="4" s="1"/>
  <c r="KA9" i="4" s="1"/>
  <c r="JS9" i="4" s="1"/>
  <c r="JQ9" i="4" s="1"/>
  <c r="CJ82" i="1"/>
  <c r="CF168" i="1"/>
  <c r="CG81" i="1"/>
  <c r="CF132" i="1"/>
  <c r="CI82" i="1"/>
  <c r="CH143" i="1"/>
  <c r="CI143" i="1" s="1"/>
  <c r="CJ143" i="1" s="1"/>
  <c r="CK143" i="1" s="1"/>
  <c r="CL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CF130" i="1"/>
  <c r="CF127" i="1"/>
  <c r="CF139" i="1"/>
  <c r="CF151" i="1"/>
  <c r="CF163" i="1"/>
  <c r="CF153" i="1"/>
  <c r="CF81" i="1"/>
  <c r="KC9" i="4" s="1"/>
  <c r="JV9" i="4" s="1"/>
  <c r="JZ9" i="4" s="1"/>
  <c r="CH130" i="1"/>
  <c r="CI130" i="1" s="1"/>
  <c r="CJ130" i="1" s="1"/>
  <c r="CK130" i="1" s="1"/>
  <c r="CL130" i="1" s="1"/>
  <c r="CM130" i="1" s="1"/>
  <c r="CN130" i="1" s="1"/>
  <c r="CO130" i="1" s="1"/>
  <c r="CP130" i="1" s="1"/>
  <c r="CQ130" i="1" s="1"/>
  <c r="CR130" i="1" s="1"/>
  <c r="CS130" i="1" s="1"/>
  <c r="CT130" i="1" s="1"/>
  <c r="CU130" i="1" s="1"/>
  <c r="CV130" i="1" s="1"/>
  <c r="CW130" i="1" s="1"/>
  <c r="CX130" i="1" s="1"/>
  <c r="CY130" i="1" s="1"/>
  <c r="CZ130" i="1" s="1"/>
  <c r="CF145" i="1"/>
  <c r="CI81" i="1"/>
  <c r="CF82" i="1"/>
  <c r="Y260" i="1"/>
  <c r="CJ106" i="1"/>
  <c r="CH72" i="1"/>
  <c r="CG72" i="1" s="1"/>
  <c r="CF72" i="1" s="1"/>
  <c r="CE72" i="1" s="1"/>
  <c r="CD72" i="1" s="1"/>
  <c r="CC72" i="1" s="1"/>
  <c r="CB72" i="1" s="1"/>
  <c r="CA72" i="1" s="1"/>
  <c r="BZ72" i="1" s="1"/>
  <c r="BY72" i="1" s="1"/>
  <c r="BX72" i="1" s="1"/>
  <c r="BW72" i="1" s="1"/>
  <c r="BV72" i="1" s="1"/>
  <c r="BU72" i="1" s="1"/>
  <c r="BT72" i="1" s="1"/>
  <c r="BS72" i="1" s="1"/>
  <c r="BR72" i="1" s="1"/>
  <c r="BQ72" i="1" s="1"/>
  <c r="BP72" i="1" s="1"/>
  <c r="BO72" i="1" s="1"/>
  <c r="BN72" i="1" s="1"/>
  <c r="BM72" i="1" s="1"/>
  <c r="BL72" i="1" s="1"/>
  <c r="BK72" i="1" s="1"/>
  <c r="BJ72" i="1" s="1"/>
  <c r="BI72" i="1" s="1"/>
  <c r="BH72" i="1" s="1"/>
  <c r="BG72" i="1" s="1"/>
  <c r="BF72" i="1" s="1"/>
  <c r="BE72" i="1" s="1"/>
  <c r="BD72" i="1" s="1"/>
  <c r="BC72" i="1" s="1"/>
  <c r="BB72" i="1" s="1"/>
  <c r="BA72" i="1" s="1"/>
  <c r="AZ72" i="1" s="1"/>
  <c r="AY72" i="1" s="1"/>
  <c r="AX72" i="1" s="1"/>
  <c r="AW72" i="1" s="1"/>
  <c r="AV72" i="1" s="1"/>
  <c r="AU72" i="1" s="1"/>
  <c r="AT72" i="1" s="1"/>
  <c r="AS72" i="1" s="1"/>
  <c r="AR72" i="1" s="1"/>
  <c r="AQ72" i="1" s="1"/>
  <c r="AP72" i="1" s="1"/>
  <c r="AO72" i="1" s="1"/>
  <c r="AN72" i="1" s="1"/>
  <c r="AM72" i="1" s="1"/>
  <c r="AL72" i="1" s="1"/>
  <c r="AK72" i="1" s="1"/>
  <c r="AJ72" i="1" s="1"/>
  <c r="AI72" i="1" s="1"/>
  <c r="AH72" i="1" s="1"/>
  <c r="CG202" i="1"/>
  <c r="CF239" i="1"/>
  <c r="Y34" i="1"/>
  <c r="Y142" i="1"/>
  <c r="Y181" i="1"/>
  <c r="Y169" i="1"/>
  <c r="Z217" i="1" s="1"/>
  <c r="Y156" i="1"/>
  <c r="Z204" i="1" s="1"/>
  <c r="X260" i="1"/>
  <c r="X187" i="1"/>
  <c r="Y187" i="1"/>
  <c r="X181" i="1"/>
  <c r="X188" i="1"/>
  <c r="X156" i="1"/>
  <c r="Y239" i="1"/>
  <c r="Y18" i="1"/>
  <c r="Y261" i="1"/>
  <c r="Y191" i="1"/>
  <c r="CF202" i="1"/>
  <c r="CF261" i="1"/>
  <c r="X239" i="1"/>
  <c r="X18" i="1"/>
  <c r="X191" i="1"/>
  <c r="X261" i="1"/>
  <c r="Y164" i="1"/>
  <c r="Z205" i="1" s="1"/>
  <c r="CG261" i="1"/>
  <c r="CF260" i="1"/>
  <c r="X142" i="1"/>
  <c r="CH239" i="1"/>
  <c r="CH18" i="1"/>
  <c r="CI106" i="1"/>
  <c r="Y210" i="1"/>
  <c r="Y188" i="1"/>
  <c r="JX7" i="4"/>
  <c r="CF18" i="1"/>
  <c r="X164" i="1"/>
  <c r="Y128" i="1"/>
  <c r="X136" i="1"/>
  <c r="X169" i="1"/>
  <c r="X128" i="1"/>
  <c r="X183" i="1" s="1"/>
  <c r="Y136" i="1"/>
  <c r="X34" i="1"/>
  <c r="X35" i="1" s="1"/>
  <c r="JV15" i="4"/>
  <c r="KA15" i="4"/>
  <c r="CG260" i="1"/>
  <c r="CI34" i="1"/>
  <c r="CF34" i="1"/>
  <c r="CG18" i="1"/>
  <c r="CG34" i="1"/>
  <c r="CH260" i="1"/>
  <c r="CI261" i="1"/>
  <c r="CG239" i="1"/>
  <c r="CI239" i="1"/>
  <c r="CH261" i="1"/>
  <c r="CI260" i="1"/>
  <c r="CI18" i="1"/>
  <c r="Y81" i="1"/>
  <c r="X82" i="1"/>
  <c r="CH34" i="1"/>
  <c r="CI202" i="1"/>
  <c r="CI73" i="1"/>
  <c r="JP15" i="4"/>
  <c r="JP14" i="4"/>
  <c r="JP8" i="4"/>
  <c r="JP7" i="4"/>
  <c r="CV28" i="1"/>
  <c r="CZ28" i="1" s="1"/>
  <c r="JP21" i="4"/>
  <c r="CI85" i="1" s="1"/>
  <c r="JO21" i="4"/>
  <c r="CH85" i="1" s="1"/>
  <c r="JO7" i="4"/>
  <c r="JO15" i="4"/>
  <c r="JO14" i="4"/>
  <c r="JO8" i="4"/>
  <c r="JN21" i="4"/>
  <c r="CG85" i="1" s="1"/>
  <c r="JN15" i="4"/>
  <c r="JN14" i="4"/>
  <c r="JN7" i="4"/>
  <c r="JN8" i="4"/>
  <c r="CA21" i="1"/>
  <c r="JY21" i="4" l="1"/>
  <c r="CJ135" i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Z36" i="1"/>
  <c r="Z25" i="1"/>
  <c r="Z189" i="1"/>
  <c r="Z194" i="1"/>
  <c r="Z19" i="1"/>
  <c r="Z196" i="1"/>
  <c r="Z174" i="1"/>
  <c r="Z257" i="1"/>
  <c r="Z214" i="1"/>
  <c r="Z206" i="1"/>
  <c r="JQ21" i="4"/>
  <c r="CJ85" i="1" s="1"/>
  <c r="JT16" i="4" s="1"/>
  <c r="CI210" i="1"/>
  <c r="KA21" i="4"/>
  <c r="JS16" i="4" s="1"/>
  <c r="KF16" i="4" s="1"/>
  <c r="JV16" i="4" s="1"/>
  <c r="KB14" i="4" s="1"/>
  <c r="JU9" i="4" s="1"/>
  <c r="JU21" i="4" s="1"/>
  <c r="KH16" i="4" s="1"/>
  <c r="JT21" i="4"/>
  <c r="JU7" i="4" s="1"/>
  <c r="KC8" i="4" s="1"/>
  <c r="Y193" i="1"/>
  <c r="KG14" i="4"/>
  <c r="KC21" i="4"/>
  <c r="KE21" i="4"/>
  <c r="JQ15" i="4"/>
  <c r="KE14" i="4"/>
  <c r="JT7" i="4"/>
  <c r="JT8" i="4"/>
  <c r="JT20" i="4" s="1"/>
  <c r="KH14" i="4"/>
  <c r="JS7" i="4"/>
  <c r="JR15" i="4"/>
  <c r="JR20" i="4" s="1"/>
  <c r="CK87" i="1" s="1"/>
  <c r="KD8" i="4"/>
  <c r="KE7" i="4"/>
  <c r="KB7" i="4"/>
  <c r="CK27" i="1"/>
  <c r="CK25" i="1"/>
  <c r="CK36" i="1"/>
  <c r="JY15" i="4"/>
  <c r="KH7" i="4"/>
  <c r="KD15" i="4"/>
  <c r="KF7" i="4"/>
  <c r="KA7" i="4"/>
  <c r="JW15" i="4"/>
  <c r="JW20" i="4" s="1"/>
  <c r="KG8" i="4"/>
  <c r="KH8" i="4"/>
  <c r="JS14" i="4"/>
  <c r="KG21" i="4"/>
  <c r="KG7" i="4"/>
  <c r="JS8" i="4"/>
  <c r="JT14" i="4"/>
  <c r="JQ7" i="4"/>
  <c r="KG15" i="4"/>
  <c r="KG20" i="4" s="1"/>
  <c r="JX15" i="4"/>
  <c r="JX20" i="4" s="1"/>
  <c r="KD21" i="4"/>
  <c r="KD14" i="4"/>
  <c r="KH15" i="4"/>
  <c r="KH20" i="4" s="1"/>
  <c r="JZ15" i="4"/>
  <c r="JZ20" i="4" s="1"/>
  <c r="KD7" i="4"/>
  <c r="CL171" i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K110" i="1"/>
  <c r="CK233" i="1"/>
  <c r="CG7" i="1"/>
  <c r="CG10" i="1" s="1"/>
  <c r="CK196" i="1"/>
  <c r="CK19" i="1"/>
  <c r="CG73" i="1"/>
  <c r="CF73" i="1"/>
  <c r="Y7" i="1"/>
  <c r="X7" i="1"/>
  <c r="CF188" i="1"/>
  <c r="CG188" i="1" s="1"/>
  <c r="CF191" i="1"/>
  <c r="CG191" i="1" s="1"/>
  <c r="JZ7" i="4"/>
  <c r="JY14" i="4"/>
  <c r="JY19" i="4" s="1"/>
  <c r="JQ14" i="4"/>
  <c r="JZ14" i="4"/>
  <c r="JZ21" i="4"/>
  <c r="JS15" i="4"/>
  <c r="CH169" i="1"/>
  <c r="JV7" i="4"/>
  <c r="JW21" i="4"/>
  <c r="JQ8" i="4"/>
  <c r="KA14" i="4"/>
  <c r="JR14" i="4"/>
  <c r="JR19" i="4" s="1"/>
  <c r="CK86" i="1" s="1"/>
  <c r="KB8" i="4"/>
  <c r="KB20" i="4" s="1"/>
  <c r="JW14" i="4"/>
  <c r="JX14" i="4"/>
  <c r="JX19" i="4" s="1"/>
  <c r="KF14" i="4"/>
  <c r="JU14" i="4"/>
  <c r="JY8" i="4"/>
  <c r="JV14" i="4"/>
  <c r="JV19" i="4" s="1"/>
  <c r="KA8" i="4"/>
  <c r="KA20" i="4" s="1"/>
  <c r="JV8" i="4"/>
  <c r="JV20" i="4" s="1"/>
  <c r="KF15" i="4"/>
  <c r="KF20" i="4" s="1"/>
  <c r="JU15" i="4"/>
  <c r="CF187" i="1"/>
  <c r="CG187" i="1" s="1"/>
  <c r="JU8" i="4"/>
  <c r="JW7" i="4"/>
  <c r="CH164" i="1"/>
  <c r="CH193" i="1" s="1"/>
  <c r="CH192" i="1" s="1"/>
  <c r="CF164" i="1"/>
  <c r="CF193" i="1" s="1"/>
  <c r="CF136" i="1"/>
  <c r="CG132" i="1"/>
  <c r="CF156" i="1"/>
  <c r="CG143" i="1"/>
  <c r="CG135" i="1"/>
  <c r="CH156" i="1"/>
  <c r="AA141" i="1"/>
  <c r="CH73" i="1"/>
  <c r="CG140" i="1"/>
  <c r="CH128" i="1"/>
  <c r="CI125" i="1"/>
  <c r="CJ125" i="1" s="1"/>
  <c r="CK125" i="1" s="1"/>
  <c r="CL125" i="1" s="1"/>
  <c r="CM125" i="1" s="1"/>
  <c r="CN125" i="1" s="1"/>
  <c r="CO125" i="1" s="1"/>
  <c r="CP125" i="1" s="1"/>
  <c r="CQ125" i="1" s="1"/>
  <c r="CR125" i="1" s="1"/>
  <c r="CS125" i="1" s="1"/>
  <c r="CT125" i="1" s="1"/>
  <c r="CU125" i="1" s="1"/>
  <c r="CV125" i="1" s="1"/>
  <c r="CW125" i="1" s="1"/>
  <c r="CG171" i="1"/>
  <c r="CG134" i="1"/>
  <c r="CG145" i="1"/>
  <c r="CF142" i="1"/>
  <c r="CF146" i="1" s="1"/>
  <c r="CG139" i="1"/>
  <c r="CH136" i="1"/>
  <c r="CI132" i="1"/>
  <c r="CJ132" i="1" s="1"/>
  <c r="CK132" i="1" s="1"/>
  <c r="CG172" i="1"/>
  <c r="CF169" i="1"/>
  <c r="CG148" i="1"/>
  <c r="CH210" i="1" s="1"/>
  <c r="CG141" i="1"/>
  <c r="CG130" i="1"/>
  <c r="CG126" i="1"/>
  <c r="CG133" i="1"/>
  <c r="CI7" i="1"/>
  <c r="CI10" i="1" s="1"/>
  <c r="CJ20" i="1"/>
  <c r="CF7" i="1"/>
  <c r="CF10" i="1" s="1"/>
  <c r="CJ19" i="1"/>
  <c r="CG125" i="1"/>
  <c r="CF128" i="1"/>
  <c r="CH142" i="1"/>
  <c r="CH146" i="1" s="1"/>
  <c r="AA28" i="1"/>
  <c r="CO28" i="1"/>
  <c r="CH24" i="1"/>
  <c r="CH36" i="1" s="1"/>
  <c r="CH7" i="1"/>
  <c r="CH10" i="1" s="1"/>
  <c r="CI134" i="1"/>
  <c r="X165" i="1"/>
  <c r="CJ145" i="1"/>
  <c r="CK145" i="1" s="1"/>
  <c r="CL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KE20" i="4"/>
  <c r="CF24" i="1"/>
  <c r="CJ26" i="1" s="1"/>
  <c r="CF35" i="1"/>
  <c r="X137" i="1"/>
  <c r="Y146" i="1"/>
  <c r="Z211" i="1" s="1"/>
  <c r="Z209" i="1" s="1"/>
  <c r="Y41" i="1"/>
  <c r="Y190" i="1"/>
  <c r="Y189" i="1" s="1"/>
  <c r="Y165" i="1"/>
  <c r="X190" i="1"/>
  <c r="X189" i="1" s="1"/>
  <c r="Y204" i="1"/>
  <c r="Y106" i="1"/>
  <c r="Y196" i="1"/>
  <c r="Y35" i="1"/>
  <c r="Y24" i="1"/>
  <c r="Z26" i="1" s="1"/>
  <c r="Y19" i="1"/>
  <c r="X106" i="1"/>
  <c r="X24" i="1"/>
  <c r="X146" i="1"/>
  <c r="X252" i="1" s="1"/>
  <c r="X41" i="1"/>
  <c r="CP141" i="1"/>
  <c r="CQ141" i="1" s="1"/>
  <c r="CR141" i="1" s="1"/>
  <c r="CS141" i="1" s="1"/>
  <c r="AB141" i="1"/>
  <c r="CH35" i="1"/>
  <c r="X256" i="1"/>
  <c r="Y217" i="1"/>
  <c r="KC19" i="4"/>
  <c r="Y183" i="1"/>
  <c r="Y256" i="1"/>
  <c r="X45" i="1"/>
  <c r="X176" i="1"/>
  <c r="X117" i="1" s="1"/>
  <c r="X193" i="1"/>
  <c r="Y205" i="1"/>
  <c r="CJ210" i="1"/>
  <c r="Y257" i="1"/>
  <c r="Y214" i="1"/>
  <c r="Y176" i="1"/>
  <c r="Y117" i="1" s="1"/>
  <c r="Y45" i="1"/>
  <c r="Y137" i="1"/>
  <c r="CH20" i="1"/>
  <c r="CI24" i="1"/>
  <c r="CJ27" i="1" s="1"/>
  <c r="CI107" i="1"/>
  <c r="CI110" i="1" s="1"/>
  <c r="CG35" i="1"/>
  <c r="CI233" i="1"/>
  <c r="CI20" i="1"/>
  <c r="CI35" i="1"/>
  <c r="CG24" i="1"/>
  <c r="CK26" i="1" s="1"/>
  <c r="CG20" i="1"/>
  <c r="JP20" i="4"/>
  <c r="CI87" i="1" s="1"/>
  <c r="JP19" i="4"/>
  <c r="CI86" i="1" s="1"/>
  <c r="JO19" i="4"/>
  <c r="CH86" i="1" s="1"/>
  <c r="JO20" i="4"/>
  <c r="CH87" i="1" s="1"/>
  <c r="JN20" i="4"/>
  <c r="CG87" i="1" s="1"/>
  <c r="JN19" i="4"/>
  <c r="CG86" i="1" s="1"/>
  <c r="JV21" i="4" l="1"/>
  <c r="JZ19" i="4"/>
  <c r="Z240" i="1"/>
  <c r="Z241" i="1" s="1"/>
  <c r="Z37" i="1"/>
  <c r="Z42" i="1"/>
  <c r="Z120" i="1"/>
  <c r="KH19" i="4"/>
  <c r="KH21" i="4"/>
  <c r="Y192" i="1"/>
  <c r="JQ19" i="4"/>
  <c r="CJ86" i="1" s="1"/>
  <c r="KD20" i="4"/>
  <c r="JS19" i="4"/>
  <c r="KG19" i="4"/>
  <c r="JT19" i="4"/>
  <c r="KF21" i="4"/>
  <c r="JU19" i="4"/>
  <c r="JS21" i="4"/>
  <c r="KC20" i="4"/>
  <c r="KB19" i="4"/>
  <c r="KE19" i="4"/>
  <c r="JY20" i="4"/>
  <c r="JS20" i="4"/>
  <c r="JQ20" i="4"/>
  <c r="CJ87" i="1" s="1"/>
  <c r="KA19" i="4"/>
  <c r="JW19" i="4"/>
  <c r="KF19" i="4"/>
  <c r="JU20" i="4"/>
  <c r="KD19" i="4"/>
  <c r="CK240" i="1"/>
  <c r="CK241" i="1" s="1"/>
  <c r="CK42" i="1"/>
  <c r="CK46" i="1" s="1"/>
  <c r="CK37" i="1"/>
  <c r="CF137" i="1"/>
  <c r="Y6" i="1"/>
  <c r="Y10" i="1"/>
  <c r="X10" i="1"/>
  <c r="X6" i="1"/>
  <c r="CK111" i="1"/>
  <c r="CK115" i="1"/>
  <c r="CL132" i="1"/>
  <c r="CM132" i="1" s="1"/>
  <c r="CN132" i="1" s="1"/>
  <c r="CK112" i="1"/>
  <c r="CK116" i="1"/>
  <c r="Y25" i="1"/>
  <c r="CF192" i="1"/>
  <c r="CG192" i="1" s="1"/>
  <c r="CG193" i="1" s="1"/>
  <c r="Y36" i="1"/>
  <c r="Z38" i="1" s="1"/>
  <c r="CG142" i="1"/>
  <c r="CG146" i="1" s="1"/>
  <c r="CG136" i="1"/>
  <c r="CH257" i="1" s="1"/>
  <c r="Y194" i="1"/>
  <c r="Z197" i="1" s="1"/>
  <c r="Z198" i="1" s="1"/>
  <c r="CH25" i="1"/>
  <c r="CF165" i="1"/>
  <c r="CF173" i="1" s="1"/>
  <c r="CF190" i="1"/>
  <c r="CH165" i="1"/>
  <c r="CH173" i="1" s="1"/>
  <c r="CH190" i="1"/>
  <c r="CH137" i="1"/>
  <c r="AB28" i="1"/>
  <c r="CS28" i="1"/>
  <c r="CI139" i="1"/>
  <c r="CJ134" i="1"/>
  <c r="CK134" i="1" s="1"/>
  <c r="CK136" i="1" s="1"/>
  <c r="CI136" i="1"/>
  <c r="CI214" i="1" s="1"/>
  <c r="Y173" i="1"/>
  <c r="Y174" i="1" s="1"/>
  <c r="CF25" i="1"/>
  <c r="CF36" i="1"/>
  <c r="Y254" i="1"/>
  <c r="Y252" i="1"/>
  <c r="Y206" i="1"/>
  <c r="Y26" i="1"/>
  <c r="X36" i="1"/>
  <c r="X25" i="1"/>
  <c r="X254" i="1"/>
  <c r="X173" i="1"/>
  <c r="X174" i="1" s="1"/>
  <c r="Y211" i="1"/>
  <c r="Y209" i="1" s="1"/>
  <c r="CT141" i="1"/>
  <c r="CU141" i="1" s="1"/>
  <c r="CV141" i="1" s="1"/>
  <c r="CW141" i="1" s="1"/>
  <c r="AC141" i="1"/>
  <c r="CL148" i="1"/>
  <c r="CH27" i="1"/>
  <c r="CG25" i="1"/>
  <c r="X192" i="1"/>
  <c r="X194" i="1"/>
  <c r="CL133" i="1"/>
  <c r="CI27" i="1"/>
  <c r="CI36" i="1"/>
  <c r="CI25" i="1"/>
  <c r="CG36" i="1"/>
  <c r="CG27" i="1"/>
  <c r="CI116" i="1"/>
  <c r="CI112" i="1"/>
  <c r="CG116" i="1"/>
  <c r="CH115" i="1"/>
  <c r="CG115" i="1"/>
  <c r="CH116" i="1"/>
  <c r="CI115" i="1"/>
  <c r="CI111" i="1"/>
  <c r="CX125" i="1"/>
  <c r="CX171" i="1"/>
  <c r="CH42" i="1"/>
  <c r="CH46" i="1" s="1"/>
  <c r="CH240" i="1"/>
  <c r="CH241" i="1" s="1"/>
  <c r="CH37" i="1"/>
  <c r="Z258" i="1" l="1"/>
  <c r="Z259" i="1" s="1"/>
  <c r="Z46" i="1"/>
  <c r="Z63" i="1"/>
  <c r="Y11" i="1"/>
  <c r="Y120" i="1"/>
  <c r="CF174" i="1"/>
  <c r="CK48" i="1"/>
  <c r="CK49" i="1"/>
  <c r="CL210" i="1"/>
  <c r="CM148" i="1"/>
  <c r="CI240" i="1"/>
  <c r="CI241" i="1" s="1"/>
  <c r="CH258" i="1"/>
  <c r="CK38" i="1"/>
  <c r="Y42" i="1"/>
  <c r="Y240" i="1"/>
  <c r="Y241" i="1" s="1"/>
  <c r="Y37" i="1"/>
  <c r="Y258" i="1"/>
  <c r="Y259" i="1" s="1"/>
  <c r="CH214" i="1"/>
  <c r="Y197" i="1"/>
  <c r="Y198" i="1" s="1"/>
  <c r="CL25" i="1"/>
  <c r="CM25" i="1" s="1"/>
  <c r="CH174" i="1"/>
  <c r="CF189" i="1"/>
  <c r="CG189" i="1" s="1"/>
  <c r="CG190" i="1" s="1"/>
  <c r="CG194" i="1" s="1"/>
  <c r="CF194" i="1"/>
  <c r="X240" i="1"/>
  <c r="X241" i="1" s="1"/>
  <c r="CH194" i="1"/>
  <c r="CH189" i="1"/>
  <c r="AC28" i="1"/>
  <c r="CW28" i="1"/>
  <c r="CI142" i="1"/>
  <c r="CI146" i="1" s="1"/>
  <c r="CI211" i="1" s="1"/>
  <c r="CI209" i="1" s="1"/>
  <c r="CJ139" i="1"/>
  <c r="CK139" i="1" s="1"/>
  <c r="CL139" i="1" s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CJ136" i="1"/>
  <c r="CI257" i="1"/>
  <c r="CF42" i="1"/>
  <c r="CF46" i="1" s="1"/>
  <c r="CF37" i="1"/>
  <c r="CF240" i="1"/>
  <c r="CF241" i="1" s="1"/>
  <c r="X42" i="1"/>
  <c r="X120" i="1"/>
  <c r="X37" i="1"/>
  <c r="Y38" i="1"/>
  <c r="CX141" i="1"/>
  <c r="CY141" i="1" s="1"/>
  <c r="CZ141" i="1" s="1"/>
  <c r="AD141" i="1"/>
  <c r="CI41" i="1"/>
  <c r="CJ41" i="1" s="1"/>
  <c r="CH41" i="1"/>
  <c r="CH211" i="1"/>
  <c r="CH209" i="1" s="1"/>
  <c r="CI39" i="1"/>
  <c r="CI258" i="1"/>
  <c r="CG37" i="1"/>
  <c r="CG42" i="1"/>
  <c r="CG46" i="1" s="1"/>
  <c r="CG39" i="1"/>
  <c r="CG258" i="1"/>
  <c r="CH39" i="1"/>
  <c r="CG240" i="1"/>
  <c r="CG241" i="1" s="1"/>
  <c r="CI234" i="1"/>
  <c r="CI120" i="1"/>
  <c r="CI37" i="1"/>
  <c r="CI42" i="1"/>
  <c r="CI46" i="1" s="1"/>
  <c r="CM133" i="1"/>
  <c r="CO132" i="1"/>
  <c r="CY171" i="1"/>
  <c r="CY125" i="1"/>
  <c r="CH49" i="1"/>
  <c r="CH48" i="1"/>
  <c r="Z48" i="1" l="1"/>
  <c r="Z49" i="1"/>
  <c r="CH259" i="1"/>
  <c r="CK257" i="1"/>
  <c r="CK214" i="1"/>
  <c r="CK50" i="1"/>
  <c r="CK253" i="1" s="1"/>
  <c r="CK242" i="1"/>
  <c r="CK56" i="1"/>
  <c r="CM210" i="1"/>
  <c r="CN148" i="1"/>
  <c r="CO148" i="1" s="1"/>
  <c r="CO210" i="1" s="1"/>
  <c r="Y63" i="1"/>
  <c r="Y46" i="1"/>
  <c r="CL54" i="1"/>
  <c r="CM54" i="1" s="1"/>
  <c r="AD28" i="1"/>
  <c r="CN25" i="1"/>
  <c r="CO25" i="1" s="1"/>
  <c r="CI259" i="1"/>
  <c r="Z8" i="1"/>
  <c r="AA5" i="1" s="1"/>
  <c r="CJ257" i="1"/>
  <c r="CJ214" i="1"/>
  <c r="CL134" i="1"/>
  <c r="CF49" i="1"/>
  <c r="CF48" i="1"/>
  <c r="X46" i="1"/>
  <c r="X48" i="1" s="1"/>
  <c r="X63" i="1"/>
  <c r="CG49" i="1"/>
  <c r="CK51" i="1" s="1"/>
  <c r="CG48" i="1"/>
  <c r="CI49" i="1"/>
  <c r="CI48" i="1"/>
  <c r="CN133" i="1"/>
  <c r="CP132" i="1"/>
  <c r="CZ125" i="1"/>
  <c r="CZ171" i="1"/>
  <c r="CD73" i="1"/>
  <c r="CH50" i="1"/>
  <c r="CH253" i="1" s="1"/>
  <c r="CH242" i="1"/>
  <c r="CH56" i="1"/>
  <c r="Z50" i="1" l="1"/>
  <c r="Z253" i="1" s="1"/>
  <c r="Z242" i="1"/>
  <c r="Z56" i="1"/>
  <c r="Y48" i="1"/>
  <c r="Y49" i="1"/>
  <c r="Z51" i="1" s="1"/>
  <c r="CN210" i="1"/>
  <c r="CK60" i="1"/>
  <c r="CK74" i="1"/>
  <c r="CK201" i="1"/>
  <c r="CK203" i="1" s="1"/>
  <c r="CP25" i="1"/>
  <c r="CQ25" i="1" s="1"/>
  <c r="X49" i="1"/>
  <c r="CL53" i="1"/>
  <c r="CM53" i="1" s="1"/>
  <c r="CN53" i="1" s="1"/>
  <c r="CO53" i="1" s="1"/>
  <c r="CN54" i="1"/>
  <c r="CO54" i="1" s="1"/>
  <c r="CL136" i="1"/>
  <c r="CM134" i="1"/>
  <c r="CI235" i="1"/>
  <c r="CF50" i="1"/>
  <c r="CF253" i="1" s="1"/>
  <c r="CF242" i="1"/>
  <c r="CF56" i="1"/>
  <c r="CG52" i="1"/>
  <c r="CI52" i="1"/>
  <c r="CI50" i="1"/>
  <c r="CI253" i="1" s="1"/>
  <c r="CI242" i="1"/>
  <c r="CI56" i="1"/>
  <c r="CJ202" i="1"/>
  <c r="CJ140" i="1"/>
  <c r="CH52" i="1"/>
  <c r="CG56" i="1"/>
  <c r="CG127" i="1" s="1"/>
  <c r="CG128" i="1" s="1"/>
  <c r="CG50" i="1"/>
  <c r="CG253" i="1" s="1"/>
  <c r="CG242" i="1"/>
  <c r="CO133" i="1"/>
  <c r="Y242" i="1"/>
  <c r="Y50" i="1"/>
  <c r="Y253" i="1" s="1"/>
  <c r="Y56" i="1"/>
  <c r="CA73" i="1"/>
  <c r="BK73" i="1"/>
  <c r="CQ132" i="1"/>
  <c r="CB73" i="1"/>
  <c r="CP148" i="1"/>
  <c r="CP210" i="1" s="1"/>
  <c r="AK73" i="1"/>
  <c r="CE73" i="1"/>
  <c r="CC73" i="1"/>
  <c r="BX73" i="1"/>
  <c r="BY73" i="1"/>
  <c r="BZ73" i="1"/>
  <c r="CH60" i="1"/>
  <c r="CH74" i="1"/>
  <c r="CH201" i="1"/>
  <c r="CH203" i="1" s="1"/>
  <c r="AS29" i="3"/>
  <c r="AV8" i="3"/>
  <c r="O5" i="6" a="1"/>
  <c r="AU41" i="3"/>
  <c r="AT28" i="3"/>
  <c r="AT38" i="3"/>
  <c r="AZ39" i="3"/>
  <c r="AS24" i="3"/>
  <c r="AZ27" i="3"/>
  <c r="ES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EU9" i="4" a="1"/>
  <c r="EP9" i="4" a="1"/>
  <c r="EL11" i="4" a="1"/>
  <c r="EV6" i="4" a="1"/>
  <c r="EM16" i="4" a="1"/>
  <c r="EV8" i="4" a="1"/>
  <c r="C6" i="6" a="1"/>
  <c r="F6" i="6" a="1"/>
  <c r="AE5" i="6" a="1"/>
  <c r="AS33" i="3"/>
  <c r="AD5" i="6" a="1"/>
  <c r="M5" i="6" a="1"/>
  <c r="EL8" i="4" a="1"/>
  <c r="EU13" i="4" a="1"/>
  <c r="EV14" i="4" a="1"/>
  <c r="AV12" i="3"/>
  <c r="EV11" i="4" a="1"/>
  <c r="AT10" i="3"/>
  <c r="AU27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H6" i="6" a="1"/>
  <c r="AZ29" i="3"/>
  <c r="AF13" i="3"/>
  <c r="AW9" i="3"/>
  <c r="AS8" i="3"/>
  <c r="AU12" i="3"/>
  <c r="AY15" i="3"/>
  <c r="ER11" i="4" a="1"/>
  <c r="AV25" i="3"/>
  <c r="AZ31" i="3"/>
  <c r="F45" i="3"/>
  <c r="AV23" i="3"/>
  <c r="AX27" i="3"/>
  <c r="EM9" i="4" a="1"/>
  <c r="ET14" i="4" a="1"/>
  <c r="AF29" i="3"/>
  <c r="AF27" i="3"/>
  <c r="AO6" i="6" a="1"/>
  <c r="EM13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U8" i="3"/>
  <c r="AW25" i="3"/>
  <c r="AS27" i="3"/>
  <c r="EM15" i="4" a="1"/>
  <c r="ET16" i="4" a="1"/>
  <c r="ES6" i="4" a="1"/>
  <c r="ES14" i="4" a="1"/>
  <c r="ET5" i="4" a="1"/>
  <c r="EP7" i="4" a="1"/>
  <c r="EP14" i="4" a="1"/>
  <c r="EV12" i="4" a="1"/>
  <c r="N6" i="6" a="1"/>
  <c r="AV9" i="3"/>
  <c r="AT12" i="3"/>
  <c r="T6" i="6" a="1"/>
  <c r="AV19" i="3"/>
  <c r="AL6" i="6" a="1"/>
  <c r="EP15" i="4" a="1"/>
  <c r="AW5" i="6" a="1"/>
  <c r="T5" i="6" a="1"/>
  <c r="AJ5" i="6" a="1"/>
  <c r="AV26" i="3"/>
  <c r="AZ11" i="3"/>
  <c r="J6" i="6" a="1"/>
  <c r="ET12" i="4" a="1"/>
  <c r="EO6" i="4" a="1"/>
  <c r="ES13" i="4" a="1"/>
  <c r="AT31" i="3"/>
  <c r="AI5" i="6" a="1"/>
  <c r="EM7" i="4" a="1"/>
  <c r="AU46" i="3"/>
  <c r="AY12" i="3"/>
  <c r="EQ12" i="4" a="1"/>
  <c r="ET8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W32" i="3"/>
  <c r="AV6" i="6" a="1"/>
  <c r="AT36" i="3"/>
  <c r="EP13" i="4" a="1"/>
  <c r="EQ15" i="4" a="1"/>
  <c r="EW15" i="4" a="1"/>
  <c r="ER8" i="4" a="1"/>
  <c r="ER5" i="4" a="1"/>
  <c r="EL9" i="4" a="1"/>
  <c r="EM12" i="4" a="1"/>
  <c r="EN11" i="4" a="1"/>
  <c r="ER9" i="4" a="1"/>
  <c r="AS40" i="3"/>
  <c r="AX14" i="3"/>
  <c r="AX37" i="3"/>
  <c r="AS21" i="3"/>
  <c r="AR5" i="6" a="1"/>
  <c r="C6" i="4" a="1"/>
  <c r="EN13" i="4" a="1"/>
  <c r="EW7" i="4" a="1"/>
  <c r="AV13" i="3"/>
  <c r="AZ34" i="3"/>
  <c r="AF5" i="6" a="1"/>
  <c r="EV7" i="4" a="1"/>
  <c r="L6" i="6" a="1"/>
  <c r="AU10" i="3"/>
  <c r="AF25" i="3"/>
  <c r="AV38" i="3"/>
  <c r="AW45" i="3"/>
  <c r="AX30" i="3"/>
  <c r="AU23" i="3"/>
  <c r="AT27" i="3"/>
  <c r="AY13" i="3"/>
  <c r="AV20" i="3"/>
  <c r="AF31" i="3"/>
  <c r="AU37" i="3"/>
  <c r="EO16" i="4" a="1"/>
  <c r="EW5" i="4" a="1"/>
  <c r="EP16" i="4" a="1"/>
  <c r="AF6" i="6" a="1"/>
  <c r="AF23" i="3"/>
  <c r="EV9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C5" i="6" a="1"/>
  <c r="AS10" i="3"/>
  <c r="EU14" i="4" a="1"/>
  <c r="EO7" i="4" a="1"/>
  <c r="EM8" i="4" a="1"/>
  <c r="EN9" i="4" a="1"/>
  <c r="ER7" i="4" a="1"/>
  <c r="EM6" i="4" a="1"/>
  <c r="AY25" i="3"/>
  <c r="AT35" i="3"/>
  <c r="AX42" i="3"/>
  <c r="EN7" i="4" a="1"/>
  <c r="EQ8" i="4" a="1"/>
  <c r="AE6" i="6" a="1"/>
  <c r="E5" i="6" a="1"/>
  <c r="AY35" i="3"/>
  <c r="AX45" i="3"/>
  <c r="AY8" i="3"/>
  <c r="AF16" i="3"/>
  <c r="AF39" i="3"/>
  <c r="ER12" i="4" a="1"/>
  <c r="Z5" i="6" a="1"/>
  <c r="L5" i="6" a="1"/>
  <c r="AF17" i="3"/>
  <c r="EP12" i="4" a="1"/>
  <c r="EM11" i="4" a="1"/>
  <c r="EM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AF18" i="3"/>
  <c r="AS38" i="3"/>
  <c r="AW42" i="3"/>
  <c r="AY9" i="3"/>
  <c r="AU14" i="3"/>
  <c r="AW18" i="3"/>
  <c r="AW24" i="3"/>
  <c r="AZ13" i="3"/>
  <c r="EW16" i="4" a="1"/>
  <c r="EU11" i="4" a="1"/>
  <c r="EP6" i="4" a="1"/>
  <c r="ER15" i="4" a="1"/>
  <c r="EW11" i="4" a="1"/>
  <c r="AP7" i="3"/>
  <c r="EO9" i="4" a="1"/>
  <c r="EU6" i="4" a="1"/>
  <c r="EU5" i="4" a="1"/>
  <c r="EN12" i="4" a="1"/>
  <c r="ES12" i="4" a="1"/>
  <c r="R6" i="6" a="1"/>
  <c r="AU15" i="3"/>
  <c r="AZ46" i="3"/>
  <c r="AY42" i="3"/>
  <c r="AV45" i="3"/>
  <c r="EV15" i="4" a="1"/>
  <c r="ET9" i="4" a="1"/>
  <c r="AS18" i="3"/>
  <c r="AY6" i="3"/>
  <c r="AY21" i="3"/>
  <c r="AA6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EN16" i="4" a="1"/>
  <c r="AX6" i="3"/>
  <c r="AU19" i="3"/>
  <c r="AW23" i="3"/>
  <c r="C5" i="3"/>
  <c r="ET15" i="4" a="1"/>
  <c r="EL13" i="4" a="1"/>
  <c r="EW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V18" i="3"/>
  <c r="AW29" i="3"/>
  <c r="AS11" i="3"/>
  <c r="AU45" i="3"/>
  <c r="AS28" i="3"/>
  <c r="F46" i="3"/>
  <c r="AS5" i="6" a="1"/>
  <c r="AZ25" i="3"/>
  <c r="AX5" i="6" a="1"/>
  <c r="AW15" i="3"/>
  <c r="AT33" i="3"/>
  <c r="EO12" i="4" a="1"/>
  <c r="EU7" i="4" a="1"/>
  <c r="EL12" i="4" a="1"/>
  <c r="AW12" i="3"/>
  <c r="AZ41" i="3"/>
  <c r="AV40" i="3"/>
  <c r="AW28" i="3"/>
  <c r="AU16" i="3"/>
  <c r="AQ6" i="6" a="1"/>
  <c r="EM5" i="4" a="1"/>
  <c r="AF26" i="3"/>
  <c r="AW6" i="3"/>
  <c r="AX38" i="3"/>
  <c r="AW46" i="3"/>
  <c r="AU6" i="6" a="1"/>
  <c r="AS34" i="3"/>
  <c r="D6" i="6" a="1"/>
  <c r="AX39" i="3"/>
  <c r="AT32" i="3"/>
  <c r="AR5" i="3"/>
  <c r="AU30" i="3"/>
  <c r="X5" i="6" a="1"/>
  <c r="AT8" i="3"/>
  <c r="AZ17" i="3"/>
  <c r="AB6" i="6" a="1"/>
  <c r="Y5" i="6" a="1"/>
  <c r="AF19" i="3"/>
  <c r="AX20" i="3"/>
  <c r="AU28" i="3"/>
  <c r="AX26" i="3"/>
  <c r="AX41" i="3"/>
  <c r="AU20" i="3"/>
  <c r="AT26" i="3"/>
  <c r="AF42" i="3"/>
  <c r="AX13" i="3"/>
  <c r="ES5" i="4" a="1"/>
  <c r="EL6" i="4" a="1"/>
  <c r="EP11" i="4" a="1"/>
  <c r="ER6" i="4" a="1"/>
  <c r="AF10" i="3"/>
  <c r="AU42" i="3"/>
  <c r="AT24" i="3"/>
  <c r="AU5" i="3"/>
  <c r="AZ24" i="3"/>
  <c r="AX9" i="3"/>
  <c r="AX46" i="3"/>
  <c r="AU7" i="3"/>
  <c r="AY37" i="3"/>
  <c r="EV13" i="4" a="1"/>
  <c r="F5" i="6" a="1"/>
  <c r="AV29" i="3"/>
  <c r="AW13" i="3"/>
  <c r="AZ23" i="3"/>
  <c r="AS25" i="3"/>
  <c r="AZ33" i="3"/>
  <c r="AZ19" i="3"/>
  <c r="ET11" i="4" a="1"/>
  <c r="ES8" i="4" a="1"/>
  <c r="I6" i="6" a="1"/>
  <c r="AX24" i="3"/>
  <c r="AW17" i="3"/>
  <c r="AF5" i="3"/>
  <c r="AZ12" i="3"/>
  <c r="AT30" i="3"/>
  <c r="AF46" i="3"/>
  <c r="AZ9" i="3"/>
  <c r="AZ32" i="3"/>
  <c r="AZ26" i="3"/>
  <c r="AM5" i="6" a="1"/>
  <c r="ER16" i="4" a="1"/>
  <c r="EL14" i="4" a="1"/>
  <c r="EV16" i="4" a="1"/>
  <c r="Z215" i="1" l="1"/>
  <c r="Z213" i="1" s="1"/>
  <c r="Z60" i="1"/>
  <c r="Z201" i="1"/>
  <c r="Z203" i="1" s="1"/>
  <c r="Z207" i="1" s="1"/>
  <c r="Z221" i="1" s="1"/>
  <c r="Z62" i="1"/>
  <c r="CI127" i="1"/>
  <c r="CI128" i="1" s="1"/>
  <c r="CI215" i="1" s="1"/>
  <c r="CI213" i="1" s="1"/>
  <c r="CJ142" i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CK140" i="1"/>
  <c r="CK142" i="1" s="1"/>
  <c r="CK146" i="1" s="1"/>
  <c r="AA53" i="1"/>
  <c r="Y51" i="1"/>
  <c r="AA54" i="1"/>
  <c r="X50" i="1"/>
  <c r="X253" i="1" s="1"/>
  <c r="X242" i="1"/>
  <c r="X56" i="1"/>
  <c r="CR25" i="1"/>
  <c r="CL5" i="1"/>
  <c r="CP53" i="1"/>
  <c r="CQ53" i="1" s="1"/>
  <c r="CR53" i="1" s="1"/>
  <c r="CS53" i="1" s="1"/>
  <c r="CP54" i="1"/>
  <c r="CQ54" i="1" s="1"/>
  <c r="CR54" i="1" s="1"/>
  <c r="CS54" i="1" s="1"/>
  <c r="CI137" i="1"/>
  <c r="CI63" i="1" s="1"/>
  <c r="CI100" i="1"/>
  <c r="CJ146" i="1"/>
  <c r="CJ211" i="1" s="1"/>
  <c r="CJ209" i="1" s="1"/>
  <c r="CG100" i="1"/>
  <c r="CG137" i="1"/>
  <c r="CL214" i="1"/>
  <c r="CL257" i="1"/>
  <c r="CM136" i="1"/>
  <c r="CN134" i="1"/>
  <c r="CF201" i="1"/>
  <c r="CF203" i="1" s="1"/>
  <c r="CF60" i="1"/>
  <c r="CF74" i="1"/>
  <c r="CI74" i="1"/>
  <c r="CI201" i="1"/>
  <c r="CI203" i="1" s="1"/>
  <c r="CI60" i="1"/>
  <c r="CI62" i="1"/>
  <c r="CG201" i="1"/>
  <c r="CG203" i="1" s="1"/>
  <c r="CG74" i="1"/>
  <c r="CG60" i="1"/>
  <c r="CP133" i="1"/>
  <c r="BX30" i="1"/>
  <c r="BZ17" i="1"/>
  <c r="CD30" i="1"/>
  <c r="BZ30" i="1"/>
  <c r="CE30" i="1"/>
  <c r="CC30" i="1"/>
  <c r="BY30" i="1"/>
  <c r="BK30" i="1"/>
  <c r="CB30" i="1"/>
  <c r="CA30" i="1"/>
  <c r="CE17" i="1"/>
  <c r="CC17" i="1"/>
  <c r="BX17" i="1"/>
  <c r="CD17" i="1"/>
  <c r="BY17" i="1"/>
  <c r="CB17" i="1"/>
  <c r="CA17" i="1"/>
  <c r="BK17" i="1"/>
  <c r="Y201" i="1"/>
  <c r="Y203" i="1" s="1"/>
  <c r="Y207" i="1" s="1"/>
  <c r="Y221" i="1" s="1"/>
  <c r="Y215" i="1"/>
  <c r="Y213" i="1" s="1"/>
  <c r="Y62" i="1"/>
  <c r="Y60" i="1"/>
  <c r="X201" i="1"/>
  <c r="X203" i="1" s="1"/>
  <c r="X60" i="1"/>
  <c r="X62" i="1"/>
  <c r="CC33" i="1"/>
  <c r="CB53" i="1"/>
  <c r="BZ16" i="1"/>
  <c r="CC47" i="1"/>
  <c r="AH7" i="6" s="1"/>
  <c r="CC43" i="1"/>
  <c r="CE44" i="1"/>
  <c r="BX53" i="1"/>
  <c r="BK53" i="1"/>
  <c r="CC54" i="1"/>
  <c r="AV7" i="6" s="1"/>
  <c r="CA28" i="1"/>
  <c r="R7" i="6" s="1"/>
  <c r="X7" i="6" s="1"/>
  <c r="CC53" i="1"/>
  <c r="CC23" i="1"/>
  <c r="V7" i="6" s="1"/>
  <c r="BX23" i="1"/>
  <c r="CA16" i="1"/>
  <c r="CA239" i="1" s="1"/>
  <c r="BX59" i="1"/>
  <c r="BK16" i="1"/>
  <c r="AW7" i="6" s="1"/>
  <c r="BX29" i="1"/>
  <c r="BZ21" i="1"/>
  <c r="CA31" i="1"/>
  <c r="BY44" i="1"/>
  <c r="O7" i="6" s="1"/>
  <c r="BK55" i="1"/>
  <c r="AQ7" i="6" s="1"/>
  <c r="CE16" i="1"/>
  <c r="JJ9" i="4" s="1"/>
  <c r="BX54" i="1"/>
  <c r="AM7" i="6" s="1"/>
  <c r="JM16" i="4" s="1"/>
  <c r="CE55" i="1"/>
  <c r="BZ32" i="1"/>
  <c r="BK31" i="1"/>
  <c r="BK54" i="1"/>
  <c r="CE43" i="1"/>
  <c r="BK44" i="1"/>
  <c r="BY53" i="1"/>
  <c r="CB33" i="1"/>
  <c r="CB29" i="1"/>
  <c r="JM9" i="4" s="1"/>
  <c r="BZ29" i="1"/>
  <c r="JL16" i="4" s="1"/>
  <c r="BY32" i="1"/>
  <c r="CA29" i="1"/>
  <c r="CB21" i="1"/>
  <c r="JK16" i="4" s="1"/>
  <c r="BZ59" i="1"/>
  <c r="BY22" i="1"/>
  <c r="CD23" i="1"/>
  <c r="CB22" i="1"/>
  <c r="C7" i="6" s="1"/>
  <c r="T7" i="6" s="1"/>
  <c r="BX32" i="1"/>
  <c r="CB54" i="1"/>
  <c r="CB16" i="1"/>
  <c r="CA43" i="1"/>
  <c r="JL9" i="4" s="1"/>
  <c r="CE47" i="1"/>
  <c r="AL7" i="6" s="1"/>
  <c r="BY40" i="1"/>
  <c r="BY43" i="1"/>
  <c r="J7" i="6" s="1"/>
  <c r="BX55" i="1"/>
  <c r="Z7" i="6" s="1"/>
  <c r="BK28" i="1"/>
  <c r="CE21" i="1"/>
  <c r="CE31" i="1"/>
  <c r="BY21" i="1"/>
  <c r="BZ23" i="1"/>
  <c r="CC22" i="1"/>
  <c r="BK29" i="1"/>
  <c r="BX22" i="1"/>
  <c r="CD40" i="1"/>
  <c r="CD202" i="1" s="1"/>
  <c r="AD7" i="6" s="1"/>
  <c r="CE33" i="1"/>
  <c r="CD28" i="1"/>
  <c r="BZ55" i="1"/>
  <c r="CC44" i="1"/>
  <c r="CA32" i="1"/>
  <c r="CC55" i="1"/>
  <c r="AP7" i="6" s="1"/>
  <c r="Y7" i="6" s="1"/>
  <c r="BZ33" i="1"/>
  <c r="AA7" i="6" s="1"/>
  <c r="AJ7" i="6" s="1"/>
  <c r="BX16" i="1"/>
  <c r="BX31" i="1"/>
  <c r="CA47" i="1"/>
  <c r="CD33" i="1"/>
  <c r="I7" i="6" s="1"/>
  <c r="AK7" i="6" s="1"/>
  <c r="CD22" i="1"/>
  <c r="K7" i="6" s="1"/>
  <c r="F7" i="6" s="1"/>
  <c r="CA53" i="1"/>
  <c r="CE32" i="1"/>
  <c r="AC7" i="6" s="1"/>
  <c r="AE7" i="6" s="1"/>
  <c r="M7" i="6" s="1"/>
  <c r="Q7" i="6" s="1"/>
  <c r="BZ54" i="1"/>
  <c r="BY54" i="1"/>
  <c r="BZ44" i="1"/>
  <c r="CE54" i="1"/>
  <c r="AU7" i="6" s="1"/>
  <c r="BK23" i="1"/>
  <c r="CD32" i="1"/>
  <c r="CA40" i="1"/>
  <c r="CB55" i="1"/>
  <c r="CB59" i="1"/>
  <c r="AX7" i="6" s="1"/>
  <c r="BY31" i="1"/>
  <c r="AT7" i="6" s="1"/>
  <c r="S7" i="6" s="1"/>
  <c r="BX21" i="1"/>
  <c r="CD43" i="1"/>
  <c r="BZ53" i="1"/>
  <c r="CA55" i="1"/>
  <c r="BZ43" i="1"/>
  <c r="CE59" i="1"/>
  <c r="CE29" i="1"/>
  <c r="BZ28" i="1"/>
  <c r="AN7" i="6" s="1"/>
  <c r="CD54" i="1"/>
  <c r="CB23" i="1"/>
  <c r="CD59" i="1"/>
  <c r="CE23" i="1"/>
  <c r="G7" i="6" s="1"/>
  <c r="BK40" i="1"/>
  <c r="AF7" i="6" s="1"/>
  <c r="CB28" i="1"/>
  <c r="CC28" i="1"/>
  <c r="JJ16" i="4" s="1"/>
  <c r="BX33" i="1"/>
  <c r="CA54" i="1"/>
  <c r="CD16" i="1"/>
  <c r="AB7" i="6" s="1"/>
  <c r="BK22" i="1"/>
  <c r="CC59" i="1"/>
  <c r="BX28" i="1"/>
  <c r="BY23" i="1"/>
  <c r="CC29" i="1"/>
  <c r="L7" i="6" s="1"/>
  <c r="BK47" i="1"/>
  <c r="BY16" i="1"/>
  <c r="BY239" i="1" s="1"/>
  <c r="BZ40" i="1"/>
  <c r="BY47" i="1"/>
  <c r="BX40" i="1"/>
  <c r="BX202" i="1" s="1"/>
  <c r="AI7" i="6" s="1"/>
  <c r="CB47" i="1"/>
  <c r="D7" i="6" s="1"/>
  <c r="BY29" i="1"/>
  <c r="AG7" i="6" s="1"/>
  <c r="BY28" i="1"/>
  <c r="BK59" i="1"/>
  <c r="W7" i="6" s="1"/>
  <c r="CA59" i="1"/>
  <c r="CD55" i="1"/>
  <c r="CE28" i="1"/>
  <c r="CB31" i="1"/>
  <c r="CC31" i="1"/>
  <c r="CD21" i="1"/>
  <c r="BX43" i="1"/>
  <c r="CB43" i="1"/>
  <c r="BY59" i="1"/>
  <c r="AS7" i="6" s="1"/>
  <c r="BY55" i="1"/>
  <c r="CD44" i="1"/>
  <c r="CC21" i="1"/>
  <c r="BK43" i="1"/>
  <c r="CA22" i="1"/>
  <c r="CB40" i="1"/>
  <c r="CB202" i="1" s="1"/>
  <c r="BX47" i="1"/>
  <c r="H7" i="6" s="1"/>
  <c r="BZ31" i="1"/>
  <c r="BY33" i="1"/>
  <c r="CC16" i="1"/>
  <c r="CC239" i="1" s="1"/>
  <c r="AR7" i="6" s="1"/>
  <c r="CE22" i="1"/>
  <c r="BK21" i="1"/>
  <c r="BK32" i="1"/>
  <c r="JK9" i="4" s="1"/>
  <c r="AO7" i="6" s="1"/>
  <c r="BZ47" i="1"/>
  <c r="BK33" i="1"/>
  <c r="BZ22" i="1"/>
  <c r="CD53" i="1"/>
  <c r="CC32" i="1"/>
  <c r="P7" i="6" s="1"/>
  <c r="E7" i="6" s="1"/>
  <c r="U7" i="6" s="1"/>
  <c r="CB32" i="1"/>
  <c r="AY7" i="6" s="1"/>
  <c r="CC40" i="1"/>
  <c r="CA23" i="1"/>
  <c r="CB44" i="1"/>
  <c r="CA44" i="1"/>
  <c r="CD31" i="1"/>
  <c r="CD29" i="1"/>
  <c r="CE40" i="1"/>
  <c r="CA33" i="1"/>
  <c r="BX44" i="1"/>
  <c r="CE53" i="1"/>
  <c r="N7" i="6" s="1"/>
  <c r="CH100" i="1"/>
  <c r="CR132" i="1"/>
  <c r="CQ148" i="1"/>
  <c r="CQ210" i="1" s="1"/>
  <c r="CH215" i="1"/>
  <c r="CH213" i="1" s="1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85" i="3"/>
  <c r="AV84" i="3"/>
  <c r="AZ78" i="3"/>
  <c r="AF77" i="3"/>
  <c r="AS77" i="3"/>
  <c r="AW82" i="3"/>
  <c r="AF68" i="3"/>
  <c r="AT66" i="3"/>
  <c r="C68" i="3"/>
  <c r="AZ85" i="3"/>
  <c r="AY81" i="3"/>
  <c r="AX96" i="3"/>
  <c r="AZ89" i="3"/>
  <c r="AT68" i="3"/>
  <c r="C72" i="3"/>
  <c r="AV82" i="3"/>
  <c r="AY50" i="3"/>
  <c r="C55" i="3"/>
  <c r="AW87" i="3"/>
  <c r="AF60" i="3"/>
  <c r="AV87" i="3"/>
  <c r="AX62" i="3"/>
  <c r="AY75" i="3"/>
  <c r="AZ55" i="3"/>
  <c r="AZ72" i="3"/>
  <c r="C75" i="3"/>
  <c r="AV72" i="3"/>
  <c r="AZ58" i="3"/>
  <c r="AU68" i="3"/>
  <c r="AF97" i="3"/>
  <c r="C79" i="3"/>
  <c r="AW9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X75" i="3"/>
  <c r="AY73" i="3"/>
  <c r="C89" i="3"/>
  <c r="AZ97" i="3"/>
  <c r="AT63" i="3"/>
  <c r="AT79" i="3"/>
  <c r="AF73" i="3"/>
  <c r="AT90" i="3"/>
  <c r="AF61" i="3"/>
  <c r="AS65" i="3"/>
  <c r="AX89" i="3"/>
  <c r="AF57" i="3"/>
  <c r="AW61" i="3"/>
  <c r="AU89" i="3"/>
  <c r="AF54" i="3"/>
  <c r="AT72" i="3"/>
  <c r="AW64" i="3"/>
  <c r="AX85" i="3"/>
  <c r="AW47" i="3"/>
  <c r="AS78" i="3"/>
  <c r="AU88" i="3"/>
  <c r="AU85" i="3"/>
  <c r="AV71" i="3"/>
  <c r="AW62" i="3"/>
  <c r="AS93" i="3"/>
  <c r="AU63" i="3"/>
  <c r="AT86" i="3"/>
  <c r="AV93" i="3"/>
  <c r="AT64" i="3"/>
  <c r="AY69" i="3"/>
  <c r="C50" i="3"/>
  <c r="AZ96" i="3"/>
  <c r="AV48" i="3"/>
  <c r="AW68" i="3"/>
  <c r="C83" i="3"/>
  <c r="AV68" i="3"/>
  <c r="AF67" i="3"/>
  <c r="AY95" i="3"/>
  <c r="AU78" i="3"/>
  <c r="C73" i="3"/>
  <c r="C80" i="3"/>
  <c r="AZ60" i="3"/>
  <c r="AT61" i="3"/>
  <c r="AT54" i="3"/>
  <c r="AS56" i="3"/>
  <c r="AT75" i="3"/>
  <c r="AF71" i="3"/>
  <c r="C59" i="3"/>
  <c r="AV63" i="3"/>
  <c r="AU61" i="3"/>
  <c r="AT71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S54" i="3"/>
  <c r="AV69" i="3"/>
  <c r="AU55" i="3"/>
  <c r="AV49" i="3"/>
  <c r="AV90" i="3"/>
  <c r="AZ77" i="3"/>
  <c r="AF63" i="3"/>
  <c r="AV96" i="3"/>
  <c r="AU75" i="3"/>
  <c r="AF89" i="3"/>
  <c r="AY54" i="3"/>
  <c r="AF62" i="3"/>
  <c r="AW95" i="3"/>
  <c r="AZ66" i="3"/>
  <c r="AW88" i="3"/>
  <c r="AF83" i="3"/>
  <c r="AS50" i="3"/>
  <c r="AW67" i="3"/>
  <c r="AU69" i="3"/>
  <c r="AT62" i="3"/>
  <c r="AF95" i="3"/>
  <c r="AX60" i="3"/>
  <c r="AZ76" i="3"/>
  <c r="C57" i="3"/>
  <c r="AF96" i="3"/>
  <c r="AS62" i="3"/>
  <c r="AX94" i="3"/>
  <c r="AW83" i="3"/>
  <c r="AZ81" i="3"/>
  <c r="AF82" i="3"/>
  <c r="AT93" i="3"/>
  <c r="AF79" i="3"/>
  <c r="AV95" i="3"/>
  <c r="AU76" i="3"/>
  <c r="AW96" i="3"/>
  <c r="AS73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F64" i="3"/>
  <c r="AZ74" i="3"/>
  <c r="AS70" i="3"/>
  <c r="AZ67" i="3"/>
  <c r="AS63" i="3"/>
  <c r="AV67" i="3"/>
  <c r="AU71" i="3"/>
  <c r="AF74" i="3"/>
  <c r="AT91" i="3"/>
  <c r="AZ50" i="3"/>
  <c r="AY7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U86" i="3"/>
  <c r="AV54" i="3"/>
  <c r="C82" i="3"/>
  <c r="AY83" i="3"/>
  <c r="AU97" i="3"/>
  <c r="AV73" i="3"/>
  <c r="AT58" i="3"/>
  <c r="AS72" i="3"/>
  <c r="AX80" i="3"/>
  <c r="AY97" i="3"/>
  <c r="AY65" i="3"/>
  <c r="AU96" i="3"/>
  <c r="AF86" i="3"/>
  <c r="AW63" i="3"/>
  <c r="AY55" i="3"/>
  <c r="AW89" i="3"/>
  <c r="AF49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V60" i="3"/>
  <c r="AZ83" i="3"/>
  <c r="AY64" i="3"/>
  <c r="AT48" i="3"/>
  <c r="AZ80" i="3"/>
  <c r="AF87" i="3"/>
  <c r="AY70" i="3"/>
  <c r="AS91" i="3"/>
  <c r="AX91" i="3"/>
  <c r="AT74" i="3"/>
  <c r="AV78" i="3"/>
  <c r="AS79" i="3"/>
  <c r="AW57" i="3"/>
  <c r="AW85" i="3"/>
  <c r="AU59" i="3"/>
  <c r="AT97" i="3"/>
  <c r="AS87" i="3"/>
  <c r="AS68" i="3"/>
  <c r="AT96" i="3"/>
  <c r="AX66" i="3"/>
  <c r="AZ84" i="3"/>
  <c r="AS57" i="3"/>
  <c r="AX65" i="3"/>
  <c r="AS82" i="3"/>
  <c r="AW56" i="3"/>
  <c r="AX90" i="3"/>
  <c r="AX77" i="3"/>
  <c r="AZ86" i="3"/>
  <c r="AY79" i="3"/>
  <c r="AW91" i="3"/>
  <c r="AU72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74" i="3"/>
  <c r="Z218" i="1" l="1"/>
  <c r="Z219" i="1" s="1"/>
  <c r="CK211" i="1"/>
  <c r="CK209" i="1" s="1"/>
  <c r="AB53" i="1"/>
  <c r="CT54" i="1"/>
  <c r="CU54" i="1" s="1"/>
  <c r="CV54" i="1" s="1"/>
  <c r="CW54" i="1" s="1"/>
  <c r="AB54" i="1"/>
  <c r="CI77" i="1"/>
  <c r="CS25" i="1"/>
  <c r="BZ125" i="1"/>
  <c r="CB150" i="1"/>
  <c r="CD150" i="1"/>
  <c r="BZ130" i="1"/>
  <c r="CA130" i="1" s="1"/>
  <c r="CB130" i="1"/>
  <c r="CC130" i="1" s="1"/>
  <c r="CD161" i="1"/>
  <c r="CD191" i="1" s="1"/>
  <c r="CE191" i="1" s="1"/>
  <c r="BZ163" i="1"/>
  <c r="CD135" i="1"/>
  <c r="CE135" i="1" s="1"/>
  <c r="BX159" i="1"/>
  <c r="BX145" i="1"/>
  <c r="BY145" i="1" s="1"/>
  <c r="BX154" i="1"/>
  <c r="CB143" i="1"/>
  <c r="CC143" i="1" s="1"/>
  <c r="BZ159" i="1"/>
  <c r="BZ143" i="1"/>
  <c r="CA143" i="1" s="1"/>
  <c r="CB162" i="1"/>
  <c r="CD151" i="1"/>
  <c r="CB125" i="1"/>
  <c r="BX153" i="1"/>
  <c r="BX188" i="1" s="1"/>
  <c r="BY188" i="1" s="1"/>
  <c r="BX126" i="1"/>
  <c r="BY126" i="1" s="1"/>
  <c r="BX139" i="1"/>
  <c r="BX160" i="1"/>
  <c r="CB155" i="1"/>
  <c r="CB126" i="1"/>
  <c r="CC126" i="1" s="1"/>
  <c r="BX151" i="1"/>
  <c r="BX162" i="1"/>
  <c r="CD141" i="1"/>
  <c r="CE141" i="1" s="1"/>
  <c r="CD157" i="1"/>
  <c r="BZ160" i="1"/>
  <c r="CD145" i="1"/>
  <c r="CE145" i="1" s="1"/>
  <c r="BZ158" i="1"/>
  <c r="BX157" i="1"/>
  <c r="BZ132" i="1"/>
  <c r="CD126" i="1"/>
  <c r="CE126" i="1" s="1"/>
  <c r="BX167" i="1"/>
  <c r="BZ151" i="1"/>
  <c r="CD133" i="1"/>
  <c r="CE133" i="1" s="1"/>
  <c r="CD127" i="1"/>
  <c r="CB159" i="1"/>
  <c r="BX140" i="1"/>
  <c r="BY140" i="1" s="1"/>
  <c r="CB161" i="1"/>
  <c r="CB191" i="1" s="1"/>
  <c r="CC191" i="1" s="1"/>
  <c r="CB133" i="1"/>
  <c r="CC133" i="1" s="1"/>
  <c r="BZ171" i="1"/>
  <c r="CA171" i="1" s="1"/>
  <c r="CD158" i="1"/>
  <c r="BX143" i="1"/>
  <c r="BY143" i="1" s="1"/>
  <c r="CD168" i="1"/>
  <c r="BZ168" i="1"/>
  <c r="CB167" i="1"/>
  <c r="CD162" i="1"/>
  <c r="CD148" i="1"/>
  <c r="CE148" i="1" s="1"/>
  <c r="CD130" i="1"/>
  <c r="CE130" i="1" s="1"/>
  <c r="BZ157" i="1"/>
  <c r="BX152" i="1"/>
  <c r="BX187" i="1" s="1"/>
  <c r="BY187" i="1" s="1"/>
  <c r="BX172" i="1"/>
  <c r="BY172" i="1" s="1"/>
  <c r="CB154" i="1"/>
  <c r="CB151" i="1"/>
  <c r="CD167" i="1"/>
  <c r="BZ145" i="1"/>
  <c r="CA145" i="1" s="1"/>
  <c r="CD134" i="1"/>
  <c r="CE134" i="1" s="1"/>
  <c r="BX135" i="1"/>
  <c r="BY135" i="1" s="1"/>
  <c r="BX130" i="1"/>
  <c r="BY130" i="1" s="1"/>
  <c r="CD163" i="1"/>
  <c r="BZ134" i="1"/>
  <c r="CA134" i="1" s="1"/>
  <c r="BX171" i="1"/>
  <c r="BY171" i="1" s="1"/>
  <c r="CD171" i="1"/>
  <c r="CE171" i="1" s="1"/>
  <c r="CB152" i="1"/>
  <c r="CB187" i="1" s="1"/>
  <c r="CC187" i="1" s="1"/>
  <c r="BX133" i="1"/>
  <c r="BY133" i="1" s="1"/>
  <c r="BX141" i="1"/>
  <c r="BY141" i="1" s="1"/>
  <c r="BZ152" i="1"/>
  <c r="BZ187" i="1" s="1"/>
  <c r="CA187" i="1" s="1"/>
  <c r="CD154" i="1"/>
  <c r="CB171" i="1"/>
  <c r="CB168" i="1"/>
  <c r="BX132" i="1"/>
  <c r="BZ140" i="1"/>
  <c r="CA140" i="1" s="1"/>
  <c r="CB135" i="1"/>
  <c r="CC135" i="1" s="1"/>
  <c r="CB172" i="1"/>
  <c r="CC172" i="1" s="1"/>
  <c r="BZ126" i="1"/>
  <c r="CA126" i="1" s="1"/>
  <c r="CB158" i="1"/>
  <c r="BX161" i="1"/>
  <c r="BX191" i="1" s="1"/>
  <c r="BY191" i="1" s="1"/>
  <c r="BZ154" i="1"/>
  <c r="CB163" i="1"/>
  <c r="BX163" i="1"/>
  <c r="BZ141" i="1"/>
  <c r="CA141" i="1" s="1"/>
  <c r="BX134" i="1"/>
  <c r="BY134" i="1" s="1"/>
  <c r="BX125" i="1"/>
  <c r="BZ150" i="1"/>
  <c r="CD172" i="1"/>
  <c r="CE172" i="1" s="1"/>
  <c r="CB139" i="1"/>
  <c r="CD140" i="1"/>
  <c r="CE140" i="1" s="1"/>
  <c r="BZ133" i="1"/>
  <c r="CA133" i="1" s="1"/>
  <c r="CB132" i="1"/>
  <c r="BZ155" i="1"/>
  <c r="BZ135" i="1"/>
  <c r="CA135" i="1" s="1"/>
  <c r="BX150" i="1"/>
  <c r="CB157" i="1"/>
  <c r="BZ161" i="1"/>
  <c r="BZ191" i="1" s="1"/>
  <c r="CA191" i="1" s="1"/>
  <c r="BX158" i="1"/>
  <c r="BZ148" i="1"/>
  <c r="CA148" i="1" s="1"/>
  <c r="CB145" i="1"/>
  <c r="CC145" i="1" s="1"/>
  <c r="BZ162" i="1"/>
  <c r="CB148" i="1"/>
  <c r="CC148" i="1" s="1"/>
  <c r="CD125" i="1"/>
  <c r="BZ127" i="1"/>
  <c r="CB140" i="1"/>
  <c r="CC140" i="1" s="1"/>
  <c r="CD160" i="1"/>
  <c r="CB134" i="1"/>
  <c r="CC134" i="1" s="1"/>
  <c r="BZ139" i="1"/>
  <c r="CB160" i="1"/>
  <c r="CD152" i="1"/>
  <c r="CD187" i="1" s="1"/>
  <c r="CE187" i="1" s="1"/>
  <c r="CB153" i="1"/>
  <c r="CB188" i="1" s="1"/>
  <c r="CC188" i="1" s="1"/>
  <c r="BX148" i="1"/>
  <c r="BY148" i="1" s="1"/>
  <c r="CD155" i="1"/>
  <c r="CD153" i="1"/>
  <c r="CD188" i="1" s="1"/>
  <c r="CE188" i="1" s="1"/>
  <c r="CD143" i="1"/>
  <c r="CE143" i="1" s="1"/>
  <c r="CD159" i="1"/>
  <c r="BX155" i="1"/>
  <c r="BZ153" i="1"/>
  <c r="BZ188" i="1" s="1"/>
  <c r="CA188" i="1" s="1"/>
  <c r="BX168" i="1"/>
  <c r="BZ172" i="1"/>
  <c r="CA172" i="1" s="1"/>
  <c r="CD139" i="1"/>
  <c r="BZ167" i="1"/>
  <c r="BX127" i="1"/>
  <c r="CD132" i="1"/>
  <c r="CB127" i="1"/>
  <c r="CB141" i="1"/>
  <c r="CC141" i="1" s="1"/>
  <c r="CT53" i="1"/>
  <c r="CU53" i="1" s="1"/>
  <c r="CV53" i="1" s="1"/>
  <c r="CW53" i="1" s="1"/>
  <c r="CI104" i="1"/>
  <c r="CI103" i="1"/>
  <c r="CI102" i="1"/>
  <c r="CG102" i="1"/>
  <c r="CG104" i="1"/>
  <c r="CG103" i="1"/>
  <c r="BZ239" i="1"/>
  <c r="CB239" i="1"/>
  <c r="BY202" i="1"/>
  <c r="CA202" i="1"/>
  <c r="CE202" i="1"/>
  <c r="CM214" i="1"/>
  <c r="CM257" i="1"/>
  <c r="CN136" i="1"/>
  <c r="CO134" i="1"/>
  <c r="CQ133" i="1"/>
  <c r="BK81" i="1"/>
  <c r="CE82" i="1"/>
  <c r="BZ81" i="1"/>
  <c r="CE81" i="1"/>
  <c r="CA82" i="1"/>
  <c r="CC82" i="1"/>
  <c r="CD82" i="1"/>
  <c r="CA81" i="1"/>
  <c r="BY82" i="1"/>
  <c r="BX82" i="1"/>
  <c r="AH82" i="1"/>
  <c r="BY81" i="1"/>
  <c r="CC81" i="1"/>
  <c r="CB82" i="1"/>
  <c r="CD81" i="1"/>
  <c r="BZ82" i="1"/>
  <c r="CB81" i="1"/>
  <c r="BK261" i="1"/>
  <c r="CG106" i="1"/>
  <c r="CG107" i="1" s="1"/>
  <c r="BZ260" i="1"/>
  <c r="JJ21" i="4"/>
  <c r="CC85" i="1" s="1"/>
  <c r="BZ18" i="1"/>
  <c r="JK14" i="4"/>
  <c r="BK18" i="1"/>
  <c r="BK24" i="1" s="1"/>
  <c r="BX18" i="1"/>
  <c r="BK202" i="1"/>
  <c r="CE18" i="1"/>
  <c r="CE7" i="1" s="1"/>
  <c r="CE10" i="1" s="1"/>
  <c r="CE260" i="1"/>
  <c r="JL21" i="4"/>
  <c r="CE85" i="1" s="1"/>
  <c r="Y218" i="1"/>
  <c r="Y219" i="1" s="1"/>
  <c r="CE106" i="1"/>
  <c r="CE107" i="1" s="1"/>
  <c r="CA34" i="1"/>
  <c r="CD239" i="1"/>
  <c r="CB261" i="1"/>
  <c r="BZ34" i="1"/>
  <c r="CD260" i="1"/>
  <c r="CB260" i="1"/>
  <c r="JM7" i="4"/>
  <c r="BZ261" i="1"/>
  <c r="JJ8" i="4"/>
  <c r="CE34" i="1"/>
  <c r="BY260" i="1"/>
  <c r="BY18" i="1"/>
  <c r="BZ202" i="1"/>
  <c r="CC261" i="1"/>
  <c r="CA106" i="1"/>
  <c r="CA107" i="1" s="1"/>
  <c r="JK21" i="4"/>
  <c r="CD85" i="1" s="1"/>
  <c r="JK15" i="4"/>
  <c r="CC260" i="1"/>
  <c r="JL14" i="4"/>
  <c r="CB34" i="1"/>
  <c r="BX34" i="1"/>
  <c r="CH106" i="1"/>
  <c r="CH107" i="1" s="1"/>
  <c r="CH110" i="1" s="1"/>
  <c r="CE239" i="1"/>
  <c r="BX261" i="1"/>
  <c r="JL8" i="4"/>
  <c r="CD34" i="1"/>
  <c r="BK260" i="1"/>
  <c r="CD106" i="1"/>
  <c r="CD107" i="1" s="1"/>
  <c r="CC18" i="1"/>
  <c r="CB18" i="1"/>
  <c r="CB7" i="1" s="1"/>
  <c r="CB10" i="1" s="1"/>
  <c r="CC202" i="1"/>
  <c r="CD18" i="1"/>
  <c r="CF106" i="1"/>
  <c r="CF107" i="1" s="1"/>
  <c r="CC106" i="1"/>
  <c r="CC107" i="1" s="1"/>
  <c r="CA18" i="1"/>
  <c r="CA260" i="1"/>
  <c r="CB106" i="1"/>
  <c r="CB107" i="1" s="1"/>
  <c r="JJ15" i="4"/>
  <c r="CA261" i="1"/>
  <c r="BX260" i="1"/>
  <c r="CC34" i="1"/>
  <c r="JM8" i="4"/>
  <c r="JL7" i="4"/>
  <c r="CE261" i="1"/>
  <c r="JJ7" i="4"/>
  <c r="JK8" i="4"/>
  <c r="JM21" i="4"/>
  <c r="CF85" i="1" s="1"/>
  <c r="BY261" i="1"/>
  <c r="CD261" i="1"/>
  <c r="JK7" i="4"/>
  <c r="BK34" i="1"/>
  <c r="JL15" i="4"/>
  <c r="BY34" i="1"/>
  <c r="JM14" i="4"/>
  <c r="JM15" i="4"/>
  <c r="JJ14" i="4"/>
  <c r="CH102" i="1"/>
  <c r="CH104" i="1"/>
  <c r="CH103" i="1"/>
  <c r="CR148" i="1"/>
  <c r="CR210" i="1" s="1"/>
  <c r="CS132" i="1"/>
  <c r="U16" i="1"/>
  <c r="V16" i="1"/>
  <c r="W16" i="1"/>
  <c r="Z66" i="1" l="1"/>
  <c r="CD7" i="1"/>
  <c r="CD10" i="1" s="1"/>
  <c r="CI95" i="1"/>
  <c r="CI94" i="1"/>
  <c r="CI93" i="1"/>
  <c r="Y66" i="1"/>
  <c r="AC53" i="1"/>
  <c r="BY7" i="1"/>
  <c r="BY10" i="1" s="1"/>
  <c r="X66" i="1"/>
  <c r="AC54" i="1"/>
  <c r="BX169" i="1"/>
  <c r="BZ156" i="1"/>
  <c r="BZ190" i="1" s="1"/>
  <c r="BZ189" i="1" s="1"/>
  <c r="CA189" i="1" s="1"/>
  <c r="CA190" i="1" s="1"/>
  <c r="CT25" i="1"/>
  <c r="BZ169" i="1"/>
  <c r="CB169" i="1"/>
  <c r="CD142" i="1"/>
  <c r="CD146" i="1" s="1"/>
  <c r="CE139" i="1"/>
  <c r="CE142" i="1" s="1"/>
  <c r="CE146" i="1" s="1"/>
  <c r="CD169" i="1"/>
  <c r="BZ136" i="1"/>
  <c r="CA132" i="1"/>
  <c r="CA136" i="1" s="1"/>
  <c r="BX142" i="1"/>
  <c r="BX146" i="1" s="1"/>
  <c r="BY139" i="1"/>
  <c r="BY142" i="1" s="1"/>
  <c r="BY146" i="1" s="1"/>
  <c r="CB156" i="1"/>
  <c r="BX164" i="1"/>
  <c r="BX193" i="1" s="1"/>
  <c r="BX192" i="1" s="1"/>
  <c r="BY192" i="1" s="1"/>
  <c r="BY193" i="1" s="1"/>
  <c r="BX136" i="1"/>
  <c r="BY132" i="1"/>
  <c r="BY136" i="1" s="1"/>
  <c r="BX156" i="1"/>
  <c r="CC132" i="1"/>
  <c r="CC136" i="1" s="1"/>
  <c r="CB136" i="1"/>
  <c r="BX128" i="1"/>
  <c r="BY125" i="1"/>
  <c r="CE125" i="1"/>
  <c r="CD128" i="1"/>
  <c r="CC125" i="1"/>
  <c r="CB128" i="1"/>
  <c r="CB164" i="1"/>
  <c r="CB193" i="1" s="1"/>
  <c r="CB192" i="1" s="1"/>
  <c r="CC192" i="1" s="1"/>
  <c r="CC193" i="1" s="1"/>
  <c r="CB142" i="1"/>
  <c r="CB146" i="1" s="1"/>
  <c r="CC139" i="1"/>
  <c r="CC142" i="1" s="1"/>
  <c r="BZ164" i="1"/>
  <c r="BZ193" i="1" s="1"/>
  <c r="CD164" i="1"/>
  <c r="CD193" i="1" s="1"/>
  <c r="CD192" i="1" s="1"/>
  <c r="CE192" i="1" s="1"/>
  <c r="CE193" i="1" s="1"/>
  <c r="CD156" i="1"/>
  <c r="CC171" i="1"/>
  <c r="CD136" i="1"/>
  <c r="CE132" i="1"/>
  <c r="CE136" i="1" s="1"/>
  <c r="BZ142" i="1"/>
  <c r="BZ146" i="1" s="1"/>
  <c r="CA139" i="1"/>
  <c r="CA142" i="1" s="1"/>
  <c r="CA146" i="1" s="1"/>
  <c r="BZ128" i="1"/>
  <c r="CA125" i="1"/>
  <c r="CX53" i="1"/>
  <c r="CY53" i="1" s="1"/>
  <c r="CZ53" i="1" s="1"/>
  <c r="CX54" i="1"/>
  <c r="CY54" i="1" s="1"/>
  <c r="CZ54" i="1" s="1"/>
  <c r="BZ24" i="1"/>
  <c r="BZ25" i="1" s="1"/>
  <c r="BZ7" i="1"/>
  <c r="BZ10" i="1" s="1"/>
  <c r="BX24" i="1"/>
  <c r="BX25" i="1" s="1"/>
  <c r="BX7" i="1"/>
  <c r="BX10" i="1" s="1"/>
  <c r="CC24" i="1"/>
  <c r="CC25" i="1" s="1"/>
  <c r="CC7" i="1"/>
  <c r="CC10" i="1" s="1"/>
  <c r="CA24" i="1"/>
  <c r="CA25" i="1" s="1"/>
  <c r="CA7" i="1"/>
  <c r="CA10" i="1" s="1"/>
  <c r="CN214" i="1"/>
  <c r="CN257" i="1"/>
  <c r="CO136" i="1"/>
  <c r="CP134" i="1"/>
  <c r="CR133" i="1"/>
  <c r="CA210" i="1"/>
  <c r="CE210" i="1"/>
  <c r="CG210" i="1"/>
  <c r="CF210" i="1"/>
  <c r="CD210" i="1"/>
  <c r="CG110" i="1"/>
  <c r="CG111" i="1"/>
  <c r="CG112" i="1"/>
  <c r="CC110" i="1"/>
  <c r="BZ35" i="1"/>
  <c r="BZ20" i="1"/>
  <c r="JK19" i="4"/>
  <c r="CD86" i="1" s="1"/>
  <c r="BK35" i="1"/>
  <c r="CB19" i="1"/>
  <c r="CB35" i="1"/>
  <c r="CH233" i="1"/>
  <c r="CE24" i="1"/>
  <c r="CE36" i="1" s="1"/>
  <c r="CF20" i="1"/>
  <c r="CI19" i="1"/>
  <c r="BX35" i="1"/>
  <c r="JL20" i="4"/>
  <c r="CE87" i="1" s="1"/>
  <c r="CE112" i="1" s="1"/>
  <c r="BY24" i="1"/>
  <c r="CE35" i="1"/>
  <c r="JJ19" i="4"/>
  <c r="CC86" i="1" s="1"/>
  <c r="CC115" i="1" s="1"/>
  <c r="JM20" i="4"/>
  <c r="CF87" i="1" s="1"/>
  <c r="CC35" i="1"/>
  <c r="JM19" i="4"/>
  <c r="CF86" i="1" s="1"/>
  <c r="CE110" i="1"/>
  <c r="JJ20" i="4"/>
  <c r="CC87" i="1" s="1"/>
  <c r="CC116" i="1" s="1"/>
  <c r="JL19" i="4"/>
  <c r="CE86" i="1" s="1"/>
  <c r="JK20" i="4"/>
  <c r="CD87" i="1" s="1"/>
  <c r="CD116" i="1" s="1"/>
  <c r="CC196" i="1"/>
  <c r="CC19" i="1"/>
  <c r="BY20" i="1"/>
  <c r="CC233" i="1"/>
  <c r="BY35" i="1"/>
  <c r="CD196" i="1"/>
  <c r="CF196" i="1"/>
  <c r="CE19" i="1"/>
  <c r="CG233" i="1"/>
  <c r="CI196" i="1"/>
  <c r="CD35" i="1"/>
  <c r="CB24" i="1"/>
  <c r="CE233" i="1"/>
  <c r="CA20" i="1"/>
  <c r="CD19" i="1"/>
  <c r="CF110" i="1"/>
  <c r="CD110" i="1"/>
  <c r="CF233" i="1"/>
  <c r="CE20" i="1"/>
  <c r="CE196" i="1"/>
  <c r="CD233" i="1"/>
  <c r="CB20" i="1"/>
  <c r="CB233" i="1"/>
  <c r="CA35" i="1"/>
  <c r="CC20" i="1"/>
  <c r="CG19" i="1"/>
  <c r="CH196" i="1"/>
  <c r="CH111" i="1"/>
  <c r="CD24" i="1"/>
  <c r="CH19" i="1"/>
  <c r="CH112" i="1"/>
  <c r="CF19" i="1"/>
  <c r="CD20" i="1"/>
  <c r="CG196" i="1"/>
  <c r="BZ210" i="1"/>
  <c r="BK25" i="1"/>
  <c r="BK36" i="1"/>
  <c r="CS148" i="1"/>
  <c r="CS210" i="1" s="1"/>
  <c r="CT132" i="1"/>
  <c r="V239" i="1"/>
  <c r="W239" i="1"/>
  <c r="U239" i="1"/>
  <c r="Z67" i="1" l="1"/>
  <c r="BZ36" i="1"/>
  <c r="BZ240" i="1" s="1"/>
  <c r="BZ241" i="1" s="1"/>
  <c r="X67" i="1"/>
  <c r="BZ194" i="1"/>
  <c r="CG26" i="1"/>
  <c r="Y67" i="1"/>
  <c r="AD53" i="1"/>
  <c r="AD54" i="1"/>
  <c r="CD27" i="1"/>
  <c r="BX36" i="1"/>
  <c r="BZ137" i="1"/>
  <c r="CU25" i="1"/>
  <c r="CV25" i="1" s="1"/>
  <c r="CB137" i="1"/>
  <c r="CC36" i="1"/>
  <c r="CC37" i="1" s="1"/>
  <c r="CA27" i="1"/>
  <c r="CC26" i="1"/>
  <c r="CB27" i="1"/>
  <c r="BZ192" i="1"/>
  <c r="CA192" i="1" s="1"/>
  <c r="CA193" i="1" s="1"/>
  <c r="CA194" i="1" s="1"/>
  <c r="CC146" i="1"/>
  <c r="CD41" i="1"/>
  <c r="CD165" i="1"/>
  <c r="CD173" i="1" s="1"/>
  <c r="CD190" i="1"/>
  <c r="BX165" i="1"/>
  <c r="BX173" i="1" s="1"/>
  <c r="BX190" i="1"/>
  <c r="BX137" i="1"/>
  <c r="CA36" i="1"/>
  <c r="CA37" i="1" s="1"/>
  <c r="BZ165" i="1"/>
  <c r="BZ173" i="1" s="1"/>
  <c r="CB165" i="1"/>
  <c r="CB173" i="1" s="1"/>
  <c r="CB190" i="1"/>
  <c r="CD137" i="1"/>
  <c r="CO214" i="1"/>
  <c r="CO257" i="1"/>
  <c r="CP136" i="1"/>
  <c r="CQ134" i="1"/>
  <c r="CF257" i="1"/>
  <c r="CC210" i="1"/>
  <c r="CB210" i="1"/>
  <c r="CS133" i="1"/>
  <c r="CC214" i="1"/>
  <c r="CE257" i="1"/>
  <c r="CE214" i="1"/>
  <c r="BZ41" i="1"/>
  <c r="CB41" i="1"/>
  <c r="BZ257" i="1"/>
  <c r="BZ214" i="1"/>
  <c r="CG215" i="1"/>
  <c r="CF100" i="1"/>
  <c r="CF103" i="1" s="1"/>
  <c r="CF41" i="1"/>
  <c r="CG257" i="1"/>
  <c r="CG259" i="1" s="1"/>
  <c r="CG214" i="1"/>
  <c r="CF214" i="1"/>
  <c r="CA257" i="1"/>
  <c r="CA214" i="1"/>
  <c r="CB257" i="1"/>
  <c r="CB214" i="1"/>
  <c r="CD214" i="1"/>
  <c r="CC257" i="1"/>
  <c r="CD257" i="1"/>
  <c r="CD111" i="1"/>
  <c r="CD115" i="1"/>
  <c r="BY27" i="1"/>
  <c r="BY36" i="1"/>
  <c r="BY25" i="1"/>
  <c r="BZ27" i="1"/>
  <c r="CI26" i="1"/>
  <c r="CE25" i="1"/>
  <c r="CF27" i="1"/>
  <c r="CE26" i="1"/>
  <c r="CE116" i="1"/>
  <c r="CF116" i="1"/>
  <c r="CF112" i="1"/>
  <c r="CF115" i="1"/>
  <c r="CF111" i="1"/>
  <c r="CE115" i="1"/>
  <c r="CE111" i="1"/>
  <c r="CF39" i="1"/>
  <c r="CH120" i="1"/>
  <c r="CF26" i="1"/>
  <c r="CB25" i="1"/>
  <c r="CB36" i="1"/>
  <c r="CB42" i="1" s="1"/>
  <c r="CB46" i="1" s="1"/>
  <c r="CC27" i="1"/>
  <c r="CB26" i="1"/>
  <c r="CC111" i="1"/>
  <c r="CC112" i="1"/>
  <c r="CH234" i="1"/>
  <c r="CF258" i="1"/>
  <c r="CD112" i="1"/>
  <c r="CE37" i="1"/>
  <c r="CE240" i="1"/>
  <c r="CE241" i="1" s="1"/>
  <c r="CI38" i="1"/>
  <c r="CE42" i="1"/>
  <c r="CE27" i="1"/>
  <c r="CD26" i="1"/>
  <c r="CH26" i="1"/>
  <c r="CD36" i="1"/>
  <c r="Z68" i="1" s="1"/>
  <c r="CD25" i="1"/>
  <c r="BK42" i="1"/>
  <c r="BK46" i="1" s="1"/>
  <c r="BK37" i="1"/>
  <c r="CU132" i="1"/>
  <c r="CT148" i="1"/>
  <c r="AB158" i="1"/>
  <c r="AA158" i="1"/>
  <c r="A1" i="1"/>
  <c r="BZ42" i="1" l="1"/>
  <c r="BZ46" i="1" s="1"/>
  <c r="BZ49" i="1" s="1"/>
  <c r="BZ56" i="1" s="1"/>
  <c r="BZ201" i="1" s="1"/>
  <c r="BZ203" i="1" s="1"/>
  <c r="BZ37" i="1"/>
  <c r="BX42" i="1"/>
  <c r="BX46" i="1" s="1"/>
  <c r="BX37" i="1"/>
  <c r="CE38" i="1"/>
  <c r="CF234" i="1"/>
  <c r="CC42" i="1"/>
  <c r="CC46" i="1" s="1"/>
  <c r="X68" i="1"/>
  <c r="CG38" i="1"/>
  <c r="Y68" i="1"/>
  <c r="CA258" i="1"/>
  <c r="CA259" i="1" s="1"/>
  <c r="CC240" i="1"/>
  <c r="CC241" i="1" s="1"/>
  <c r="CB174" i="1"/>
  <c r="BZ174" i="1"/>
  <c r="CW25" i="1"/>
  <c r="CX25" i="1"/>
  <c r="CY25" i="1" s="1"/>
  <c r="CD174" i="1"/>
  <c r="BX174" i="1"/>
  <c r="CA39" i="1"/>
  <c r="CA42" i="1"/>
  <c r="CA46" i="1" s="1"/>
  <c r="CA48" i="1" s="1"/>
  <c r="BX194" i="1"/>
  <c r="BX189" i="1"/>
  <c r="BY189" i="1" s="1"/>
  <c r="BY190" i="1" s="1"/>
  <c r="BY194" i="1" s="1"/>
  <c r="CA240" i="1"/>
  <c r="CA241" i="1" s="1"/>
  <c r="CD194" i="1"/>
  <c r="CD189" i="1"/>
  <c r="CE189" i="1" s="1"/>
  <c r="CE190" i="1" s="1"/>
  <c r="CE194" i="1" s="1"/>
  <c r="CB189" i="1"/>
  <c r="CC189" i="1" s="1"/>
  <c r="CC190" i="1" s="1"/>
  <c r="CC194" i="1" s="1"/>
  <c r="CB194" i="1"/>
  <c r="CP214" i="1"/>
  <c r="CP257" i="1"/>
  <c r="CQ136" i="1"/>
  <c r="CR134" i="1"/>
  <c r="CF259" i="1"/>
  <c r="CA41" i="1"/>
  <c r="CT133" i="1"/>
  <c r="CE41" i="1"/>
  <c r="CC41" i="1"/>
  <c r="CG213" i="1"/>
  <c r="CF102" i="1"/>
  <c r="CF104" i="1"/>
  <c r="CG41" i="1"/>
  <c r="BY37" i="1"/>
  <c r="BY42" i="1"/>
  <c r="BZ258" i="1"/>
  <c r="BZ259" i="1" s="1"/>
  <c r="BZ39" i="1"/>
  <c r="BY240" i="1"/>
  <c r="BY241" i="1" s="1"/>
  <c r="CC38" i="1"/>
  <c r="BY39" i="1"/>
  <c r="BY258" i="1"/>
  <c r="CA120" i="1"/>
  <c r="CC120" i="1"/>
  <c r="CB258" i="1"/>
  <c r="CB259" i="1" s="1"/>
  <c r="CB240" i="1"/>
  <c r="CB241" i="1" s="1"/>
  <c r="CF38" i="1"/>
  <c r="CB37" i="1"/>
  <c r="CB234" i="1"/>
  <c r="CC258" i="1"/>
  <c r="CC259" i="1" s="1"/>
  <c r="CB120" i="1"/>
  <c r="CC234" i="1"/>
  <c r="CB39" i="1"/>
  <c r="CC39" i="1"/>
  <c r="CB38" i="1"/>
  <c r="CB49" i="1"/>
  <c r="CB48" i="1"/>
  <c r="CE46" i="1"/>
  <c r="CH63" i="1"/>
  <c r="BZ48" i="1"/>
  <c r="BZ74" i="1"/>
  <c r="BZ100" i="1"/>
  <c r="BZ60" i="1"/>
  <c r="BZ242" i="1"/>
  <c r="BZ50" i="1"/>
  <c r="BZ253" i="1" s="1"/>
  <c r="CE120" i="1"/>
  <c r="CD39" i="1"/>
  <c r="CD120" i="1"/>
  <c r="CD234" i="1"/>
  <c r="CD258" i="1"/>
  <c r="CD259" i="1" s="1"/>
  <c r="CE258" i="1"/>
  <c r="CE259" i="1" s="1"/>
  <c r="CD240" i="1"/>
  <c r="CD241" i="1" s="1"/>
  <c r="CD38" i="1"/>
  <c r="CG120" i="1"/>
  <c r="CD37" i="1"/>
  <c r="CF120" i="1"/>
  <c r="CD42" i="1"/>
  <c r="CG234" i="1"/>
  <c r="CE39" i="1"/>
  <c r="CH38" i="1"/>
  <c r="CE234" i="1"/>
  <c r="BK49" i="1"/>
  <c r="BK48" i="1"/>
  <c r="CU148" i="1"/>
  <c r="CV132" i="1"/>
  <c r="CT210" i="1"/>
  <c r="AC158" i="1"/>
  <c r="BX48" i="1" l="1"/>
  <c r="BX49" i="1"/>
  <c r="CC49" i="1"/>
  <c r="CC48" i="1"/>
  <c r="CA49" i="1"/>
  <c r="CZ25" i="1"/>
  <c r="CQ214" i="1"/>
  <c r="CQ257" i="1"/>
  <c r="CR136" i="1"/>
  <c r="CS134" i="1"/>
  <c r="CG211" i="1"/>
  <c r="CG209" i="1" s="1"/>
  <c r="CF211" i="1"/>
  <c r="CF209" i="1" s="1"/>
  <c r="CA211" i="1"/>
  <c r="CA209" i="1" s="1"/>
  <c r="BZ211" i="1"/>
  <c r="BZ209" i="1" s="1"/>
  <c r="CD211" i="1"/>
  <c r="CD209" i="1" s="1"/>
  <c r="CE211" i="1"/>
  <c r="CE209" i="1" s="1"/>
  <c r="CU133" i="1"/>
  <c r="CC211" i="1"/>
  <c r="CC209" i="1" s="1"/>
  <c r="CB211" i="1"/>
  <c r="CB209" i="1" s="1"/>
  <c r="BY46" i="1"/>
  <c r="CE49" i="1"/>
  <c r="CE242" i="1" s="1"/>
  <c r="CE48" i="1"/>
  <c r="CF51" i="1"/>
  <c r="CB242" i="1"/>
  <c r="CB56" i="1"/>
  <c r="CB50" i="1"/>
  <c r="CB253" i="1" s="1"/>
  <c r="CG63" i="1"/>
  <c r="CF63" i="1"/>
  <c r="CD46" i="1"/>
  <c r="BK56" i="1"/>
  <c r="BK50" i="1"/>
  <c r="BK253" i="1" s="1"/>
  <c r="CL72" i="1"/>
  <c r="CM72" i="1" s="1"/>
  <c r="CN72" i="1" s="1"/>
  <c r="CO72" i="1" s="1"/>
  <c r="CP72" i="1" s="1"/>
  <c r="CQ72" i="1" s="1"/>
  <c r="CR72" i="1" s="1"/>
  <c r="Y72" i="1"/>
  <c r="X72" i="1" s="1"/>
  <c r="W72" i="1" s="1"/>
  <c r="V72" i="1" s="1"/>
  <c r="U72" i="1" s="1"/>
  <c r="T72" i="1" s="1"/>
  <c r="S72" i="1" s="1"/>
  <c r="R72" i="1" s="1"/>
  <c r="Q72" i="1" s="1"/>
  <c r="P72" i="1" s="1"/>
  <c r="O72" i="1" s="1"/>
  <c r="N72" i="1" s="1"/>
  <c r="M72" i="1" s="1"/>
  <c r="L72" i="1" s="1"/>
  <c r="K72" i="1" s="1"/>
  <c r="J72" i="1" s="1"/>
  <c r="I72" i="1" s="1"/>
  <c r="H72" i="1" s="1"/>
  <c r="G72" i="1" s="1"/>
  <c r="F72" i="1" s="1"/>
  <c r="E72" i="1" s="1"/>
  <c r="CW132" i="1"/>
  <c r="CV148" i="1"/>
  <c r="CU210" i="1"/>
  <c r="AD158" i="1"/>
  <c r="CC242" i="1" l="1"/>
  <c r="CB52" i="1"/>
  <c r="CC235" i="1"/>
  <c r="CC52" i="1"/>
  <c r="CA52" i="1"/>
  <c r="CA242" i="1"/>
  <c r="CA50" i="1"/>
  <c r="CA253" i="1" s="1"/>
  <c r="BX56" i="1"/>
  <c r="CA56" i="1"/>
  <c r="CA127" i="1" s="1"/>
  <c r="CA128" i="1" s="1"/>
  <c r="CB51" i="1"/>
  <c r="BX50" i="1"/>
  <c r="BX253" i="1" s="1"/>
  <c r="CC56" i="1"/>
  <c r="CC50" i="1"/>
  <c r="CC253" i="1" s="1"/>
  <c r="CG51" i="1"/>
  <c r="CS72" i="1"/>
  <c r="CT72" i="1" s="1"/>
  <c r="CU72" i="1" s="1"/>
  <c r="CV72" i="1" s="1"/>
  <c r="AB72" i="1"/>
  <c r="CR214" i="1"/>
  <c r="CR257" i="1"/>
  <c r="CS136" i="1"/>
  <c r="CT134" i="1"/>
  <c r="CV133" i="1"/>
  <c r="CE51" i="1"/>
  <c r="CE50" i="1"/>
  <c r="CE253" i="1" s="1"/>
  <c r="BY49" i="1"/>
  <c r="X69" i="1" s="1"/>
  <c r="BY48" i="1"/>
  <c r="CI51" i="1"/>
  <c r="CF52" i="1"/>
  <c r="CH235" i="1"/>
  <c r="CE56" i="1"/>
  <c r="CE127" i="1" s="1"/>
  <c r="CE128" i="1" s="1"/>
  <c r="CB60" i="1"/>
  <c r="CB74" i="1"/>
  <c r="CB201" i="1"/>
  <c r="CB203" i="1" s="1"/>
  <c r="CD49" i="1"/>
  <c r="Z69" i="1" s="1"/>
  <c r="CD48" i="1"/>
  <c r="BK201" i="1"/>
  <c r="BK203" i="1" s="1"/>
  <c r="BK74" i="1"/>
  <c r="BK60" i="1"/>
  <c r="CW148" i="1"/>
  <c r="CX132" i="1"/>
  <c r="CV210" i="1"/>
  <c r="AB134" i="1"/>
  <c r="AB144" i="1"/>
  <c r="AB143" i="1"/>
  <c r="AB135" i="1"/>
  <c r="AB130" i="1"/>
  <c r="AB159" i="1"/>
  <c r="AB151" i="1"/>
  <c r="AB126" i="1"/>
  <c r="AA126" i="1"/>
  <c r="AA144" i="1"/>
  <c r="AA135" i="1"/>
  <c r="AA159" i="1"/>
  <c r="AA143" i="1"/>
  <c r="AA134" i="1"/>
  <c r="AA151" i="1"/>
  <c r="AA130" i="1"/>
  <c r="CA100" i="1" l="1"/>
  <c r="CA137" i="1"/>
  <c r="CA63" i="1" s="1"/>
  <c r="CA74" i="1"/>
  <c r="CA60" i="1"/>
  <c r="CA201" i="1"/>
  <c r="CA203" i="1" s="1"/>
  <c r="CA215" i="1"/>
  <c r="CA213" i="1" s="1"/>
  <c r="BX201" i="1"/>
  <c r="BX203" i="1" s="1"/>
  <c r="BX60" i="1"/>
  <c r="BX74" i="1"/>
  <c r="Y69" i="1"/>
  <c r="CC74" i="1"/>
  <c r="CC201" i="1"/>
  <c r="CC203" i="1" s="1"/>
  <c r="CC127" i="1"/>
  <c r="CC128" i="1" s="1"/>
  <c r="CC60" i="1"/>
  <c r="AC72" i="1"/>
  <c r="CW72" i="1"/>
  <c r="CX72" i="1" s="1"/>
  <c r="CY72" i="1" s="1"/>
  <c r="CZ72" i="1" s="1"/>
  <c r="AD72" i="1" s="1"/>
  <c r="CF215" i="1"/>
  <c r="CF213" i="1" s="1"/>
  <c r="CE100" i="1"/>
  <c r="CE137" i="1"/>
  <c r="CE63" i="1" s="1"/>
  <c r="CS214" i="1"/>
  <c r="CS257" i="1"/>
  <c r="CT136" i="1"/>
  <c r="CU134" i="1"/>
  <c r="CW133" i="1"/>
  <c r="BY50" i="1"/>
  <c r="BY253" i="1" s="1"/>
  <c r="BY52" i="1"/>
  <c r="CB235" i="1"/>
  <c r="BY56" i="1"/>
  <c r="BY242" i="1"/>
  <c r="CC51" i="1"/>
  <c r="BZ52" i="1"/>
  <c r="CF256" i="1"/>
  <c r="CG217" i="1"/>
  <c r="CF252" i="1"/>
  <c r="CF254" i="1"/>
  <c r="CF176" i="1"/>
  <c r="CE201" i="1"/>
  <c r="CE203" i="1" s="1"/>
  <c r="CE60" i="1"/>
  <c r="CE74" i="1"/>
  <c r="CH77" i="1" s="1"/>
  <c r="CH62" i="1"/>
  <c r="CB100" i="1"/>
  <c r="CB63" i="1"/>
  <c r="CB215" i="1"/>
  <c r="CB213" i="1" s="1"/>
  <c r="CC215" i="1"/>
  <c r="CC213" i="1" s="1"/>
  <c r="CF235" i="1"/>
  <c r="CH51" i="1"/>
  <c r="CG235" i="1"/>
  <c r="CD52" i="1"/>
  <c r="CD50" i="1"/>
  <c r="CD253" i="1" s="1"/>
  <c r="CD51" i="1"/>
  <c r="CE52" i="1"/>
  <c r="CD56" i="1"/>
  <c r="CE235" i="1"/>
  <c r="CD235" i="1"/>
  <c r="CD242" i="1"/>
  <c r="CY132" i="1"/>
  <c r="CX148" i="1"/>
  <c r="CX210" i="1" s="1"/>
  <c r="CW210" i="1"/>
  <c r="AC144" i="1"/>
  <c r="AC134" i="1"/>
  <c r="AB172" i="1"/>
  <c r="AC130" i="1"/>
  <c r="AC159" i="1"/>
  <c r="AB155" i="1"/>
  <c r="AB162" i="1"/>
  <c r="AC151" i="1"/>
  <c r="AC135" i="1"/>
  <c r="AB163" i="1"/>
  <c r="AC126" i="1"/>
  <c r="AC143" i="1"/>
  <c r="AA172" i="1"/>
  <c r="AA162" i="1"/>
  <c r="AA163" i="1"/>
  <c r="AA155" i="1"/>
  <c r="CC77" i="1" l="1"/>
  <c r="CC94" i="1" s="1"/>
  <c r="CC62" i="1"/>
  <c r="CC137" i="1"/>
  <c r="CC63" i="1" s="1"/>
  <c r="CC100" i="1"/>
  <c r="CE104" i="1"/>
  <c r="CE103" i="1"/>
  <c r="CE102" i="1"/>
  <c r="CB62" i="1"/>
  <c r="BY127" i="1"/>
  <c r="BY128" i="1" s="1"/>
  <c r="CT214" i="1"/>
  <c r="CT257" i="1"/>
  <c r="CU136" i="1"/>
  <c r="CV134" i="1"/>
  <c r="CX133" i="1"/>
  <c r="CA62" i="1"/>
  <c r="BY74" i="1"/>
  <c r="BY60" i="1"/>
  <c r="BY201" i="1"/>
  <c r="BY203" i="1" s="1"/>
  <c r="CG45" i="1"/>
  <c r="CF117" i="1"/>
  <c r="CH95" i="1"/>
  <c r="CH93" i="1"/>
  <c r="CH94" i="1"/>
  <c r="CD60" i="1"/>
  <c r="CD62" i="1"/>
  <c r="CD201" i="1"/>
  <c r="CD203" i="1" s="1"/>
  <c r="CD74" i="1"/>
  <c r="CE62" i="1"/>
  <c r="CF62" i="1"/>
  <c r="CG62" i="1"/>
  <c r="CZ132" i="1"/>
  <c r="CY148" i="1"/>
  <c r="CY210" i="1" s="1"/>
  <c r="AD144" i="1"/>
  <c r="AC172" i="1"/>
  <c r="AD159" i="1"/>
  <c r="AD151" i="1"/>
  <c r="AD126" i="1"/>
  <c r="AC162" i="1"/>
  <c r="AD135" i="1"/>
  <c r="AD143" i="1"/>
  <c r="AC163" i="1"/>
  <c r="AC155" i="1"/>
  <c r="AD130" i="1"/>
  <c r="CC93" i="1" l="1"/>
  <c r="CC95" i="1"/>
  <c r="CC103" i="1"/>
  <c r="CC104" i="1"/>
  <c r="CC102" i="1"/>
  <c r="BZ215" i="1"/>
  <c r="BZ213" i="1" s="1"/>
  <c r="BY100" i="1"/>
  <c r="BY137" i="1"/>
  <c r="CU214" i="1"/>
  <c r="CU257" i="1"/>
  <c r="CV136" i="1"/>
  <c r="CW134" i="1"/>
  <c r="CY133" i="1"/>
  <c r="CB77" i="1"/>
  <c r="CA77" i="1"/>
  <c r="CF119" i="1"/>
  <c r="CF122" i="1" s="1"/>
  <c r="CF118" i="1"/>
  <c r="CF121" i="1" s="1"/>
  <c r="CE77" i="1"/>
  <c r="CG77" i="1"/>
  <c r="CF77" i="1"/>
  <c r="CD77" i="1"/>
  <c r="CD100" i="1"/>
  <c r="CE215" i="1"/>
  <c r="CE213" i="1" s="1"/>
  <c r="CD63" i="1"/>
  <c r="CD215" i="1"/>
  <c r="CD213" i="1" s="1"/>
  <c r="CZ148" i="1"/>
  <c r="AD172" i="1"/>
  <c r="AD162" i="1"/>
  <c r="AD163" i="1"/>
  <c r="AD155" i="1"/>
  <c r="BX239" i="1"/>
  <c r="CV214" i="1" l="1"/>
  <c r="CV257" i="1"/>
  <c r="AD134" i="1"/>
  <c r="CW136" i="1"/>
  <c r="CX134" i="1"/>
  <c r="CZ133" i="1"/>
  <c r="CD102" i="1"/>
  <c r="CD103" i="1"/>
  <c r="CD104" i="1"/>
  <c r="CD252" i="1"/>
  <c r="CD93" i="1"/>
  <c r="CD94" i="1"/>
  <c r="CH78" i="1"/>
  <c r="CD95" i="1"/>
  <c r="CD256" i="1"/>
  <c r="CF78" i="1"/>
  <c r="CF93" i="1"/>
  <c r="CF95" i="1"/>
  <c r="CF94" i="1"/>
  <c r="CD176" i="1"/>
  <c r="CD117" i="1" s="1"/>
  <c r="CD119" i="1" s="1"/>
  <c r="CD122" i="1" s="1"/>
  <c r="CE217" i="1"/>
  <c r="CD254" i="1"/>
  <c r="CG78" i="1"/>
  <c r="CG94" i="1"/>
  <c r="CG93" i="1"/>
  <c r="CG95" i="1"/>
  <c r="CE78" i="1"/>
  <c r="CI78" i="1"/>
  <c r="CE95" i="1"/>
  <c r="CE93" i="1"/>
  <c r="CE94" i="1"/>
  <c r="CZ210" i="1"/>
  <c r="CW214" i="1" l="1"/>
  <c r="CW257" i="1"/>
  <c r="CX136" i="1"/>
  <c r="CY134" i="1"/>
  <c r="CI98" i="1"/>
  <c r="CG98" i="1"/>
  <c r="CE45" i="1"/>
  <c r="CH98" i="1"/>
  <c r="CF98" i="1"/>
  <c r="CD118" i="1"/>
  <c r="CD121" i="1" s="1"/>
  <c r="BX240" i="1"/>
  <c r="BX241" i="1" s="1"/>
  <c r="CX214" i="1" l="1"/>
  <c r="CX257" i="1"/>
  <c r="CY136" i="1"/>
  <c r="CZ134" i="1"/>
  <c r="BX242" i="1"/>
  <c r="CY214" i="1" l="1"/>
  <c r="CY257" i="1"/>
  <c r="CZ136" i="1"/>
  <c r="CZ257" i="1" l="1"/>
  <c r="CZ214" i="1"/>
  <c r="BH73" i="1"/>
  <c r="AS73" i="1"/>
  <c r="BS73" i="1"/>
  <c r="AU73" i="1"/>
  <c r="AW73" i="1"/>
  <c r="AQ73" i="1"/>
  <c r="AA148" i="1"/>
  <c r="AN73" i="1" l="1"/>
  <c r="BJ73" i="1"/>
  <c r="AM73" i="1"/>
  <c r="AV73" i="1"/>
  <c r="BA73" i="1"/>
  <c r="BL73" i="1"/>
  <c r="BP73" i="1"/>
  <c r="AI73" i="1"/>
  <c r="BR73" i="1"/>
  <c r="BQ73" i="1"/>
  <c r="BN73" i="1"/>
  <c r="AL73" i="1"/>
  <c r="AH73" i="1"/>
  <c r="AO73" i="1"/>
  <c r="AY73" i="1"/>
  <c r="AR73" i="1"/>
  <c r="BM73" i="1"/>
  <c r="BT73" i="1"/>
  <c r="AZ73" i="1"/>
  <c r="BB73" i="1"/>
  <c r="AT73" i="1"/>
  <c r="BV73" i="1"/>
  <c r="BO73" i="1"/>
  <c r="BI73" i="1"/>
  <c r="BG73" i="1"/>
  <c r="BW73" i="1"/>
  <c r="BF73" i="1"/>
  <c r="AP73" i="1"/>
  <c r="AX73" i="1"/>
  <c r="AJ73" i="1"/>
  <c r="BD73" i="1"/>
  <c r="BC73" i="1"/>
  <c r="BU73" i="1"/>
  <c r="BE73" i="1"/>
  <c r="AA210" i="1"/>
  <c r="BK239" i="1" l="1"/>
  <c r="AB148" i="1" l="1"/>
  <c r="AA85" i="1"/>
  <c r="CM85" i="1" l="1"/>
  <c r="AB210" i="1"/>
  <c r="CJ73" i="1" l="1"/>
  <c r="CN85" i="1"/>
  <c r="CL71" i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DU11" i="4" a="1"/>
  <c r="BV16" i="4" a="1"/>
  <c r="DT9" i="4" a="1"/>
  <c r="AL15" i="4" a="1"/>
  <c r="BB14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W9" i="2"/>
  <c r="J24" i="2"/>
  <c r="O16" i="2"/>
  <c r="V12" i="2"/>
  <c r="X23" i="2"/>
  <c r="J10" i="2"/>
  <c r="S26" i="2"/>
  <c r="O30" i="2"/>
  <c r="W30" i="2"/>
  <c r="D15" i="2"/>
  <c r="C59" i="2"/>
  <c r="L15" i="2"/>
  <c r="I17" i="2"/>
  <c r="T9" i="2"/>
  <c r="U8" i="2"/>
  <c r="P35" i="2"/>
  <c r="X92" i="2"/>
  <c r="E12" i="2"/>
  <c r="M11" i="2"/>
  <c r="AR71" i="3"/>
  <c r="F26" i="2"/>
  <c r="X32" i="2"/>
  <c r="AR75" i="3"/>
  <c r="W19" i="2"/>
  <c r="M6" i="2"/>
  <c r="O14" i="2"/>
  <c r="J46" i="3"/>
  <c r="AR12" i="3"/>
  <c r="AA45" i="3"/>
  <c r="D29" i="3"/>
  <c r="E23" i="3"/>
  <c r="E35" i="3"/>
  <c r="D8" i="3"/>
  <c r="AD12" i="3"/>
  <c r="AR18" i="3"/>
  <c r="AR29" i="3"/>
  <c r="J45" i="3"/>
  <c r="ED16" i="4" a="1"/>
  <c r="CI7" i="4" a="1"/>
  <c r="AK9" i="4" a="1"/>
  <c r="AN7" i="4" a="1"/>
  <c r="CR8" i="4" a="1"/>
  <c r="BQ7" i="4" a="1"/>
  <c r="AF16" i="4" a="1"/>
  <c r="AZ7" i="4" a="1"/>
  <c r="BN16" i="4" a="1"/>
  <c r="AK13" i="4" a="1"/>
  <c r="CV9" i="4" a="1"/>
  <c r="BP11" i="4" a="1"/>
  <c r="DE12" i="4" a="1"/>
  <c r="AC12" i="4" a="1"/>
  <c r="AD5" i="4" a="1"/>
  <c r="DW6" i="4" a="1"/>
  <c r="AF8" i="4" a="1"/>
  <c r="DQ11" i="4" a="1"/>
  <c r="EE11" i="4" a="1"/>
  <c r="DQ14" i="4" a="1"/>
  <c r="DS6" i="4" a="1"/>
  <c r="DR12" i="4" a="1"/>
  <c r="CA12" i="4" a="1"/>
  <c r="L5" i="4" a="1"/>
  <c r="K16" i="4" a="1"/>
  <c r="DC15" i="4" a="1"/>
  <c r="CK11" i="4" a="1"/>
  <c r="X9" i="4" a="1"/>
  <c r="BI9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F23" i="2"/>
  <c r="U27" i="2"/>
  <c r="O32" i="2"/>
  <c r="X11" i="2"/>
  <c r="L20" i="2"/>
  <c r="K13" i="2"/>
  <c r="D29" i="2"/>
  <c r="W35" i="2"/>
  <c r="X10" i="2"/>
  <c r="K7" i="2"/>
  <c r="M28" i="2"/>
  <c r="E26" i="2"/>
  <c r="V18" i="2"/>
  <c r="M12" i="2"/>
  <c r="M13" i="2"/>
  <c r="H26" i="2"/>
  <c r="D18" i="2"/>
  <c r="I25" i="2"/>
  <c r="L11" i="2"/>
  <c r="AR60" i="3"/>
  <c r="K18" i="2"/>
  <c r="F8" i="2"/>
  <c r="AR54" i="3"/>
  <c r="C15" i="2"/>
  <c r="K15" i="2"/>
  <c r="N15" i="2"/>
  <c r="X46" i="3"/>
  <c r="AD10" i="3"/>
  <c r="AC46" i="3"/>
  <c r="F12" i="3"/>
  <c r="G14" i="3"/>
  <c r="E37" i="3"/>
  <c r="D27" i="3"/>
  <c r="G23" i="3"/>
  <c r="E30" i="3"/>
  <c r="AR10" i="3"/>
  <c r="E8" i="3"/>
  <c r="DV16" i="4" a="1"/>
  <c r="CY6" i="4" a="1"/>
  <c r="CM12" i="4" a="1"/>
  <c r="AI16" i="4" a="1"/>
  <c r="BV5" i="4" a="1"/>
  <c r="BD6" i="4" a="1"/>
  <c r="EC7" i="4" a="1"/>
  <c r="DH12" i="4" a="1"/>
  <c r="K15" i="4" a="1"/>
  <c r="J5" i="4" a="1"/>
  <c r="AE16" i="4" a="1"/>
  <c r="P14" i="4" a="1"/>
  <c r="DG11" i="4" a="1"/>
  <c r="J7" i="4" a="1"/>
  <c r="DL13" i="4" a="1"/>
  <c r="X8" i="4" a="1"/>
  <c r="CM13" i="4" a="1"/>
  <c r="DN12" i="4" a="1"/>
  <c r="G12" i="4" a="1"/>
  <c r="AZ8" i="4" a="1"/>
  <c r="DJ14" i="4" a="1"/>
  <c r="DP5" i="4" a="1"/>
  <c r="CS12" i="4" a="1"/>
  <c r="N13" i="4" a="1"/>
  <c r="DQ5" i="4" a="1"/>
  <c r="BC8" i="4" a="1"/>
  <c r="DA14" i="4" a="1"/>
  <c r="H6" i="4" a="1"/>
  <c r="DP7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M14" i="2"/>
  <c r="K26" i="2"/>
  <c r="I14" i="2"/>
  <c r="P7" i="2"/>
  <c r="D8" i="2"/>
  <c r="V28" i="2"/>
  <c r="K10" i="2"/>
  <c r="D24" i="2"/>
  <c r="W32" i="2"/>
  <c r="G32" i="2"/>
  <c r="J12" i="2"/>
  <c r="Q27" i="2"/>
  <c r="J31" i="2"/>
  <c r="I30" i="2"/>
  <c r="M32" i="2"/>
  <c r="J28" i="2"/>
  <c r="X30" i="2"/>
  <c r="M7" i="2"/>
  <c r="E34" i="2"/>
  <c r="AR69" i="3"/>
  <c r="U24" i="2"/>
  <c r="F32" i="2"/>
  <c r="AR80" i="3"/>
  <c r="F14" i="2"/>
  <c r="E22" i="2"/>
  <c r="AR61" i="3"/>
  <c r="E5" i="3"/>
  <c r="AR13" i="3"/>
  <c r="X45" i="3"/>
  <c r="E6" i="3"/>
  <c r="D23" i="3"/>
  <c r="G9" i="3"/>
  <c r="E38" i="3"/>
  <c r="G24" i="3"/>
  <c r="F23" i="3"/>
  <c r="AD6" i="3"/>
  <c r="D5" i="3"/>
  <c r="E16" i="4" a="1"/>
  <c r="CI15" i="4" a="1"/>
  <c r="CZ16" i="4" a="1"/>
  <c r="CR13" i="4" a="1"/>
  <c r="BT7" i="4" a="1"/>
  <c r="AI7" i="4" a="1"/>
  <c r="CQ6" i="4" a="1"/>
  <c r="EH16" i="4" a="1"/>
  <c r="CW14" i="4" a="1"/>
  <c r="DG13" i="4" a="1"/>
  <c r="CJ5" i="4" a="1"/>
  <c r="CO13" i="4" a="1"/>
  <c r="AI13" i="4" a="1"/>
  <c r="X15" i="4" a="1"/>
  <c r="AL5" i="4" a="1"/>
  <c r="DL11" i="4" a="1"/>
  <c r="EK8" i="4" a="1"/>
  <c r="DR11" i="4" a="1"/>
  <c r="BY15" i="4" a="1"/>
  <c r="CL9" i="4" a="1"/>
  <c r="AY6" i="4" a="1"/>
  <c r="BK15" i="4" a="1"/>
  <c r="AM6" i="4" a="1"/>
  <c r="BX5" i="4" a="1"/>
  <c r="CH14" i="4" a="1"/>
  <c r="I13" i="4" a="1"/>
  <c r="U5" i="4" a="1"/>
  <c r="EE16" i="4" a="1"/>
  <c r="AZ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F13" i="2"/>
  <c r="K11" i="2"/>
  <c r="O6" i="2"/>
  <c r="V35" i="2"/>
  <c r="K87" i="2"/>
  <c r="J26" i="2"/>
  <c r="O25" i="2"/>
  <c r="R13" i="2"/>
  <c r="C28" i="2"/>
  <c r="H23" i="2"/>
  <c r="S22" i="2"/>
  <c r="K16" i="2"/>
  <c r="K24" i="2"/>
  <c r="R14" i="2"/>
  <c r="G28" i="2"/>
  <c r="F36" i="2"/>
  <c r="H15" i="2"/>
  <c r="T31" i="2"/>
  <c r="R27" i="2"/>
  <c r="AS49" i="3"/>
  <c r="E18" i="2"/>
  <c r="R11" i="2"/>
  <c r="AS47" i="3"/>
  <c r="K27" i="2"/>
  <c r="D25" i="2"/>
  <c r="AF48" i="3"/>
  <c r="F8" i="3"/>
  <c r="AR24" i="3"/>
  <c r="E14" i="3"/>
  <c r="D21" i="3"/>
  <c r="AR25" i="3"/>
  <c r="Q45" i="3"/>
  <c r="AD7" i="3"/>
  <c r="M45" i="3"/>
  <c r="E7" i="3"/>
  <c r="AB46" i="3"/>
  <c r="F41" i="3"/>
  <c r="X13" i="4" a="1"/>
  <c r="BU6" i="4" a="1"/>
  <c r="AV9" i="4" a="1"/>
  <c r="D14" i="4" a="1"/>
  <c r="CZ12" i="4" a="1"/>
  <c r="DS12" i="4" a="1"/>
  <c r="DP9" i="4" a="1"/>
  <c r="DM12" i="4" a="1"/>
  <c r="CQ13" i="4" a="1"/>
  <c r="AE6" i="4" a="1"/>
  <c r="DY16" i="4" a="1"/>
  <c r="P16" i="4" a="1"/>
  <c r="CC8" i="4" a="1"/>
  <c r="BI5" i="4" a="1"/>
  <c r="BI16" i="4" a="1"/>
  <c r="BL8" i="4" a="1"/>
  <c r="EA13" i="4" a="1"/>
  <c r="BE6" i="4" a="1"/>
  <c r="AH15" i="4" a="1"/>
  <c r="DU5" i="4" a="1"/>
  <c r="DI13" i="4" a="1"/>
  <c r="CN15" i="4" a="1"/>
  <c r="EJ16" i="4" a="1"/>
  <c r="AE12" i="4" a="1"/>
  <c r="BQ8" i="4" a="1"/>
  <c r="AN11" i="4" a="1"/>
  <c r="CS7" i="4" a="1"/>
  <c r="BP5" i="4" a="1"/>
  <c r="L6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S35" i="2"/>
  <c r="X41" i="2"/>
  <c r="U6" i="2"/>
  <c r="V26" i="2"/>
  <c r="R54" i="2"/>
  <c r="K29" i="2"/>
  <c r="D17" i="2"/>
  <c r="K36" i="2"/>
  <c r="R21" i="2"/>
  <c r="T7" i="2"/>
  <c r="S19" i="2"/>
  <c r="R8" i="2"/>
  <c r="T18" i="2"/>
  <c r="L18" i="2"/>
  <c r="L22" i="2"/>
  <c r="O34" i="2"/>
  <c r="V9" i="2"/>
  <c r="M17" i="2"/>
  <c r="R17" i="2"/>
  <c r="AR50" i="3"/>
  <c r="U33" i="2"/>
  <c r="R22" i="2"/>
  <c r="E27" i="2"/>
  <c r="I34" i="2"/>
  <c r="V25" i="2"/>
  <c r="AM46" i="3"/>
  <c r="G27" i="3"/>
  <c r="D16" i="3"/>
  <c r="I46" i="3"/>
  <c r="AR11" i="3"/>
  <c r="V46" i="3"/>
  <c r="D9" i="3"/>
  <c r="F34" i="3"/>
  <c r="AO6" i="3"/>
  <c r="E46" i="3"/>
  <c r="G8" i="3"/>
  <c r="R45" i="3"/>
  <c r="EJ14" i="4" a="1"/>
  <c r="Y5" i="4" a="1"/>
  <c r="BJ12" i="4" a="1"/>
  <c r="E14" i="4" a="1"/>
  <c r="DG8" i="4" a="1"/>
  <c r="AJ14" i="4" a="1"/>
  <c r="BW15" i="4" a="1"/>
  <c r="AK14" i="4" a="1"/>
  <c r="DN9" i="4" a="1"/>
  <c r="X7" i="4" a="1"/>
  <c r="DZ16" i="4" a="1"/>
  <c r="AO5" i="4" a="1"/>
  <c r="BE8" i="4" a="1"/>
  <c r="C8" i="4" a="1"/>
  <c r="F16" i="4" a="1"/>
  <c r="BH14" i="4" a="1"/>
  <c r="CM6" i="4" a="1"/>
  <c r="AK5" i="4" a="1"/>
  <c r="DG16" i="4" a="1"/>
  <c r="EA8" i="4" a="1"/>
  <c r="CA9" i="4" a="1"/>
  <c r="AY12" i="4" a="1"/>
  <c r="DE16" i="4" a="1"/>
  <c r="DO6" i="4" a="1"/>
  <c r="CP12" i="4" a="1"/>
  <c r="CC13" i="4" a="1"/>
  <c r="DL5" i="4" a="1"/>
  <c r="CJ13" i="4" a="1"/>
  <c r="Z5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O5" i="4" a="1"/>
  <c r="EG11" i="4" a="1"/>
  <c r="CF5" i="4" a="1"/>
  <c r="H9" i="2"/>
  <c r="H8" i="2"/>
  <c r="Q78" i="2"/>
  <c r="C6" i="2"/>
  <c r="U30" i="2"/>
  <c r="L33" i="2"/>
  <c r="Q14" i="2"/>
  <c r="V23" i="2"/>
  <c r="C34" i="2"/>
  <c r="X22" i="2"/>
  <c r="N19" i="2"/>
  <c r="O36" i="2"/>
  <c r="G35" i="2"/>
  <c r="F9" i="2"/>
  <c r="Q29" i="2"/>
  <c r="X21" i="2"/>
  <c r="O10" i="2"/>
  <c r="P5" i="2"/>
  <c r="T21" i="2"/>
  <c r="X24" i="2"/>
  <c r="W70" i="2"/>
  <c r="Q34" i="2"/>
  <c r="F22" i="2"/>
  <c r="H33" i="2"/>
  <c r="C12" i="2"/>
  <c r="U19" i="2"/>
  <c r="O7" i="2"/>
  <c r="Q46" i="2"/>
  <c r="N36" i="2"/>
  <c r="O19" i="2"/>
  <c r="N27" i="2"/>
  <c r="J22" i="2"/>
  <c r="N33" i="2"/>
  <c r="W20" i="2"/>
  <c r="J19" i="2"/>
  <c r="O28" i="2"/>
  <c r="I35" i="2"/>
  <c r="P13" i="2"/>
  <c r="L26" i="2"/>
  <c r="K59" i="2"/>
  <c r="C25" i="2"/>
  <c r="V31" i="2"/>
  <c r="T20" i="2"/>
  <c r="L5" i="2"/>
  <c r="T8" i="2"/>
  <c r="K22" i="2"/>
  <c r="M31" i="2"/>
  <c r="V8" i="2"/>
  <c r="N22" i="2"/>
  <c r="L27" i="2"/>
  <c r="AR34" i="3"/>
  <c r="D13" i="3"/>
  <c r="F25" i="3"/>
  <c r="F33" i="3"/>
  <c r="N45" i="3"/>
  <c r="AR15" i="3"/>
  <c r="G21" i="3"/>
  <c r="AC45" i="3"/>
  <c r="Z46" i="3"/>
  <c r="G30" i="3"/>
  <c r="D7" i="3"/>
  <c r="AR35" i="3"/>
  <c r="AB12" i="4" a="1"/>
  <c r="BM8" i="4" a="1"/>
  <c r="EI16" i="4" a="1"/>
  <c r="DE11" i="4" a="1"/>
  <c r="BD15" i="4" a="1"/>
  <c r="CN11" i="4" a="1"/>
  <c r="CS14" i="4" a="1"/>
  <c r="DR5" i="4" a="1"/>
  <c r="AR11" i="4" a="1"/>
  <c r="W5" i="4" a="1"/>
  <c r="DC12" i="4" a="1"/>
  <c r="CD8" i="4" a="1"/>
  <c r="BI6" i="4" a="1"/>
  <c r="DQ9" i="4" a="1"/>
  <c r="BQ9" i="4" a="1"/>
  <c r="BE7" i="4" a="1"/>
  <c r="DF13" i="4" a="1"/>
  <c r="T8" i="4" a="1"/>
  <c r="EE12" i="4" a="1"/>
  <c r="Y6" i="4" a="1"/>
  <c r="CH8" i="4" a="1"/>
  <c r="BG11" i="4" a="1"/>
  <c r="CT7" i="4" a="1"/>
  <c r="D7" i="4" a="1"/>
  <c r="BA7" i="4" a="1"/>
  <c r="BM14" i="4" a="1"/>
  <c r="I5" i="4" a="1"/>
  <c r="AU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K5" i="2"/>
  <c r="D9" i="2"/>
  <c r="T36" i="2"/>
  <c r="D47" i="2"/>
  <c r="C17" i="2"/>
  <c r="E14" i="2"/>
  <c r="F34" i="2"/>
  <c r="M8" i="2"/>
  <c r="L19" i="2"/>
  <c r="G14" i="2"/>
  <c r="D35" i="2"/>
  <c r="V36" i="2"/>
  <c r="J36" i="2"/>
  <c r="L31" i="2"/>
  <c r="E28" i="2"/>
  <c r="U16" i="2"/>
  <c r="J20" i="2"/>
  <c r="H28" i="2"/>
  <c r="V11" i="2"/>
  <c r="E7" i="2"/>
  <c r="R16" i="2"/>
  <c r="M30" i="2"/>
  <c r="AR47" i="3"/>
  <c r="D14" i="2"/>
  <c r="X12" i="2"/>
  <c r="AQ6" i="3"/>
  <c r="F18" i="3"/>
  <c r="AR21" i="3"/>
  <c r="D17" i="3"/>
  <c r="E22" i="3"/>
  <c r="U45" i="3"/>
  <c r="O46" i="3"/>
  <c r="AD5" i="3"/>
  <c r="AR20" i="3"/>
  <c r="E45" i="3"/>
  <c r="AM45" i="3"/>
  <c r="AD9" i="4" a="1"/>
  <c r="BY8" i="4" a="1"/>
  <c r="BJ11" i="4" a="1"/>
  <c r="BR12" i="4" a="1"/>
  <c r="DM6" i="4" a="1"/>
  <c r="BS6" i="4" a="1"/>
  <c r="K7" i="4" a="1"/>
  <c r="CM8" i="4" a="1"/>
  <c r="DE14" i="4" a="1"/>
  <c r="BA9" i="4" a="1"/>
  <c r="P7" i="4" a="1"/>
  <c r="I11" i="4" a="1"/>
  <c r="CH7" i="4" a="1"/>
  <c r="BY5" i="4" a="1"/>
  <c r="CU8" i="4" a="1"/>
  <c r="BR13" i="4" a="1"/>
  <c r="BD5" i="4" a="1"/>
  <c r="CP13" i="4" a="1"/>
  <c r="V5" i="4" a="1"/>
  <c r="Q5" i="4" a="1"/>
  <c r="CM7" i="4" a="1"/>
  <c r="BP8" i="4" a="1"/>
  <c r="BB6" i="4" a="1"/>
  <c r="CT12" i="4" a="1"/>
  <c r="T12" i="4" a="1"/>
  <c r="BA6" i="4" a="1"/>
  <c r="DW15" i="4" a="1"/>
  <c r="AK12" i="4" a="1"/>
  <c r="CL16" i="4" a="1"/>
  <c r="V6" i="4" a="1"/>
  <c r="F10" i="2"/>
  <c r="U29" i="2"/>
  <c r="L23" i="2"/>
  <c r="S12" i="2"/>
  <c r="E19" i="2"/>
  <c r="P22" i="2"/>
  <c r="S17" i="2"/>
  <c r="P14" i="2"/>
  <c r="R23" i="2"/>
  <c r="E29" i="2"/>
  <c r="G10" i="2"/>
  <c r="R9" i="2"/>
  <c r="S6" i="2"/>
  <c r="T19" i="2"/>
  <c r="C35" i="2"/>
  <c r="F29" i="2"/>
  <c r="G9" i="2"/>
  <c r="Q7" i="2"/>
  <c r="Q59" i="2"/>
  <c r="AR68" i="3"/>
  <c r="R19" i="2"/>
  <c r="S24" i="2"/>
  <c r="S10" i="2"/>
  <c r="T26" i="2"/>
  <c r="Q6" i="2"/>
  <c r="L17" i="2"/>
  <c r="K32" i="2"/>
  <c r="R29" i="2"/>
  <c r="V24" i="2"/>
  <c r="I20" i="2"/>
  <c r="P36" i="2"/>
  <c r="T29" i="2"/>
  <c r="N17" i="2"/>
  <c r="N31" i="2"/>
  <c r="S28" i="2"/>
  <c r="F20" i="2"/>
  <c r="E8" i="2"/>
  <c r="V13" i="2"/>
  <c r="S8" i="2"/>
  <c r="AR89" i="3"/>
  <c r="O23" i="2"/>
  <c r="E17" i="2"/>
  <c r="O21" i="2"/>
  <c r="E5" i="2"/>
  <c r="AR84" i="3"/>
  <c r="K14" i="2"/>
  <c r="Q54" i="2"/>
  <c r="G18" i="2"/>
  <c r="D33" i="3"/>
  <c r="Q69" i="2"/>
  <c r="O12" i="2"/>
  <c r="G27" i="2"/>
  <c r="O24" i="2"/>
  <c r="T17" i="2"/>
  <c r="F20" i="3"/>
  <c r="V45" i="3"/>
  <c r="M46" i="3"/>
  <c r="D20" i="3"/>
  <c r="R16" i="4" a="1"/>
  <c r="AG7" i="4" a="1"/>
  <c r="BH5" i="4" a="1"/>
  <c r="CT14" i="4" a="1"/>
  <c r="DF7" i="4" a="1"/>
  <c r="BR5" i="4" a="1"/>
  <c r="CI13" i="4" a="1"/>
  <c r="AU11" i="4" a="1"/>
  <c r="DP12" i="4" a="1"/>
  <c r="CC16" i="4" a="1"/>
  <c r="DF16" i="4" a="1"/>
  <c r="BH7" i="4" a="1"/>
  <c r="DO9" i="4" a="1"/>
  <c r="AB5" i="4" a="1"/>
  <c r="DJ16" i="4" a="1"/>
  <c r="AA13" i="4" a="1"/>
  <c r="AL13" i="4" a="1"/>
  <c r="BU14" i="4" a="1"/>
  <c r="EB5" i="4" a="1"/>
  <c r="EA9" i="4" a="1"/>
  <c r="BW6" i="4" a="1"/>
  <c r="CQ15" i="4" a="1"/>
  <c r="CP15" i="4" a="1"/>
  <c r="BO9" i="4" a="1"/>
  <c r="BP9" i="4" a="1"/>
  <c r="AP13" i="4" a="1"/>
  <c r="DA12" i="4" a="1"/>
  <c r="DJ9" i="4" a="1"/>
  <c r="AY16" i="4" a="1"/>
  <c r="DJ7" i="4" a="1"/>
  <c r="CJ14" i="4" a="1"/>
  <c r="BL7" i="4" a="1"/>
  <c r="Z9" i="4" a="1"/>
  <c r="CU14" i="4" a="1"/>
  <c r="BB12" i="4" a="1"/>
  <c r="DT14" i="4" a="1"/>
  <c r="CR12" i="4" a="1"/>
  <c r="G8" i="4" a="1"/>
  <c r="BV6" i="4" a="1"/>
  <c r="DR9" i="4" a="1"/>
  <c r="F14" i="4" a="1"/>
  <c r="E15" i="4" a="1"/>
  <c r="AX12" i="4" a="1"/>
  <c r="DI9" i="4" a="1"/>
  <c r="BR8" i="4" a="1"/>
  <c r="ED15" i="4" a="1"/>
  <c r="Z13" i="4" a="1"/>
  <c r="Q15" i="4" a="1"/>
  <c r="CR15" i="4" a="1"/>
  <c r="CB6" i="4" a="1"/>
  <c r="AU14" i="4" a="1"/>
  <c r="Q18" i="2"/>
  <c r="S16" i="2"/>
  <c r="E10" i="2"/>
  <c r="AR90" i="3"/>
  <c r="U31" i="2"/>
  <c r="E41" i="3"/>
  <c r="AB45" i="3"/>
  <c r="G15" i="3"/>
  <c r="E34" i="3"/>
  <c r="BO14" i="4" a="1"/>
  <c r="AO12" i="4" a="1"/>
  <c r="DF15" i="4" a="1"/>
  <c r="BK13" i="4" a="1"/>
  <c r="CX6" i="4" a="1"/>
  <c r="CU6" i="4" a="1"/>
  <c r="AK6" i="4" a="1"/>
  <c r="AH5" i="4" a="1"/>
  <c r="CR5" i="4" a="1"/>
  <c r="DV15" i="4" a="1"/>
  <c r="BO13" i="4" a="1"/>
  <c r="DJ6" i="4" a="1"/>
  <c r="AA11" i="4" a="1"/>
  <c r="M6" i="4" a="1"/>
  <c r="CG7" i="4" a="1"/>
  <c r="CK5" i="4" a="1"/>
  <c r="BS13" i="4" a="1"/>
  <c r="J14" i="4" a="1"/>
  <c r="AQ5" i="4" a="1"/>
  <c r="DX5" i="4" a="1"/>
  <c r="AR16" i="4" a="1"/>
  <c r="Y11" i="4" a="1"/>
  <c r="EH8" i="4" a="1"/>
  <c r="EK16" i="4" a="1"/>
  <c r="DP6" i="4" a="1"/>
  <c r="CS6" i="4" a="1"/>
  <c r="BB5" i="4" a="1"/>
  <c r="V11" i="4" a="1"/>
  <c r="CU5" i="4" a="1"/>
  <c r="CT6" i="4" a="1"/>
  <c r="DI5" i="4" a="1"/>
  <c r="I9" i="4" a="1"/>
  <c r="DX14" i="4" a="1"/>
  <c r="BG6" i="4" a="1"/>
  <c r="U15" i="4" a="1"/>
  <c r="DX15" i="4" a="1"/>
  <c r="CC5" i="4" a="1"/>
  <c r="U7" i="4" a="1"/>
  <c r="CV11" i="4" a="1"/>
  <c r="EF9" i="4" a="1"/>
  <c r="AW8" i="4" a="1"/>
  <c r="AW11" i="4" a="1"/>
  <c r="BN13" i="4" a="1"/>
  <c r="CR7" i="4" a="1"/>
  <c r="AD13" i="4" a="1"/>
  <c r="CW16" i="4" a="1"/>
  <c r="F5" i="4" a="1"/>
  <c r="BA11" i="4" a="1"/>
  <c r="AR14" i="4" a="1"/>
  <c r="CE9" i="4" a="1"/>
  <c r="DV11" i="4" a="1"/>
  <c r="BR16" i="4" a="1"/>
  <c r="CU7" i="4" a="1"/>
  <c r="G23" i="2"/>
  <c r="D7" i="2"/>
  <c r="M20" i="2"/>
  <c r="C10" i="2"/>
  <c r="AR96" i="3"/>
  <c r="F19" i="3"/>
  <c r="D39" i="3"/>
  <c r="P46" i="3"/>
  <c r="E15" i="3"/>
  <c r="CI14" i="4" a="1"/>
  <c r="BX9" i="4" a="1"/>
  <c r="DR16" i="4" a="1"/>
  <c r="BG8" i="4" a="1"/>
  <c r="DQ13" i="4" a="1"/>
  <c r="AV16" i="4" a="1"/>
  <c r="CP14" i="4" a="1"/>
  <c r="BI7" i="4" a="1"/>
  <c r="CQ8" i="4" a="1"/>
  <c r="CE6" i="4" a="1"/>
  <c r="BZ11" i="4" a="1"/>
  <c r="V16" i="4" a="1"/>
  <c r="EF15" i="4" a="1"/>
  <c r="BW16" i="4" a="1"/>
  <c r="BC15" i="4" a="1"/>
  <c r="AJ5" i="4" a="1"/>
  <c r="AG14" i="4" a="1"/>
  <c r="BI15" i="4" a="1"/>
  <c r="BB15" i="4" a="1"/>
  <c r="CA11" i="4" a="1"/>
  <c r="BR6" i="4" a="1"/>
  <c r="BR11" i="4" a="1"/>
  <c r="G6" i="4" a="1"/>
  <c r="CN12" i="4" a="1"/>
  <c r="CF15" i="4" a="1"/>
  <c r="EC14" i="4" a="1"/>
  <c r="AE13" i="4" a="1"/>
  <c r="CG6" i="4" a="1"/>
  <c r="G9" i="4" a="1"/>
  <c r="BL11" i="4" a="1"/>
  <c r="H15" i="4" a="1"/>
  <c r="O9" i="4" a="1"/>
  <c r="BT8" i="4" a="1"/>
  <c r="CW11" i="4" a="1"/>
  <c r="AP5" i="4" a="1"/>
  <c r="P11" i="4" a="1"/>
  <c r="DD11" i="4" a="1"/>
  <c r="EA11" i="4" a="1"/>
  <c r="DU9" i="4" a="1"/>
  <c r="AT16" i="4" a="1"/>
  <c r="CB8" i="4" a="1"/>
  <c r="CU16" i="4" a="1"/>
  <c r="DY6" i="4" a="1"/>
  <c r="BJ13" i="4" a="1"/>
  <c r="AU8" i="4" a="1"/>
  <c r="CR11" i="4" a="1"/>
  <c r="R12" i="4" a="1"/>
  <c r="AM13" i="4" a="1"/>
  <c r="CK7" i="4" a="1"/>
  <c r="AY15" i="4" a="1"/>
  <c r="DD7" i="4" a="1"/>
  <c r="DI11" i="4" a="1"/>
  <c r="ED13" i="4" a="1"/>
  <c r="DS7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W46" i="2"/>
  <c r="W31" i="2"/>
  <c r="W33" i="2"/>
  <c r="J11" i="2"/>
  <c r="V15" i="2"/>
  <c r="F29" i="3"/>
  <c r="G45" i="3"/>
  <c r="E13" i="3"/>
  <c r="Y46" i="3"/>
  <c r="AF7" i="4" a="1"/>
  <c r="DG12" i="4" a="1"/>
  <c r="CG16" i="4" a="1"/>
  <c r="DI14" i="4" a="1"/>
  <c r="AG15" i="4" a="1"/>
  <c r="AG9" i="4" a="1"/>
  <c r="DD9" i="4" a="1"/>
  <c r="BO5" i="4" a="1"/>
  <c r="EA15" i="4" a="1"/>
  <c r="EG6" i="4" a="1"/>
  <c r="EJ12" i="4" a="1"/>
  <c r="DB8" i="4" a="1"/>
  <c r="DF12" i="4" a="1"/>
  <c r="K9" i="4" a="1"/>
  <c r="CD6" i="4" a="1"/>
  <c r="CH15" i="4" a="1"/>
  <c r="D11" i="4" a="1"/>
  <c r="DO16" i="4" a="1"/>
  <c r="BJ15" i="4" a="1"/>
  <c r="CY8" i="4" a="1"/>
  <c r="CI12" i="4" a="1"/>
  <c r="DM16" i="4" a="1"/>
  <c r="BC14" i="4" a="1"/>
  <c r="CF8" i="4" a="1"/>
  <c r="AH9" i="4" a="1"/>
  <c r="ED11" i="4" a="1"/>
  <c r="AV12" i="4" a="1"/>
  <c r="BZ6" i="4" a="1"/>
  <c r="DO11" i="4" a="1"/>
  <c r="D16" i="4" a="1"/>
  <c r="CQ7" i="4" a="1"/>
  <c r="BT6" i="4" a="1"/>
  <c r="DR8" i="4" a="1"/>
  <c r="DA9" i="4" a="1"/>
  <c r="DT5" i="4" a="1"/>
  <c r="M11" i="4" a="1"/>
  <c r="S9" i="4" a="1"/>
  <c r="CJ6" i="4" a="1"/>
  <c r="CD13" i="4" a="1"/>
  <c r="R9" i="4" a="1"/>
  <c r="EF8" i="4" a="1"/>
  <c r="DM14" i="4" a="1"/>
  <c r="M8" i="4" a="1"/>
  <c r="EB12" i="4" a="1"/>
  <c r="BG13" i="4" a="1"/>
  <c r="BX7" i="4" a="1"/>
  <c r="BR9" i="4" a="1"/>
  <c r="CP16" i="4" a="1"/>
  <c r="EH15" i="4" a="1"/>
  <c r="BS5" i="4" a="1"/>
  <c r="CY5" i="4" a="1"/>
  <c r="DY12" i="4" a="1"/>
  <c r="BA8" i="4" a="1"/>
  <c r="BL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E11" i="4" a="1"/>
  <c r="AW9" i="4" a="1"/>
  <c r="Z6" i="4" a="1"/>
  <c r="AM8" i="4" a="1"/>
  <c r="CC12" i="4" a="1"/>
  <c r="DE6" i="4" a="1"/>
  <c r="BD13" i="4" a="1"/>
  <c r="AF15" i="4" a="1"/>
  <c r="L12" i="4" a="1"/>
  <c r="AF6" i="4" a="1"/>
  <c r="EK11" i="4" a="1"/>
  <c r="AV13" i="4" a="1"/>
  <c r="AR41" i="3"/>
  <c r="BK12" i="4" a="1"/>
  <c r="DQ15" i="4" a="1"/>
  <c r="DP8" i="4" a="1"/>
  <c r="F7" i="4" a="1"/>
  <c r="N7" i="4" a="1"/>
  <c r="AZ13" i="4" a="1"/>
  <c r="BK5" i="4" a="1"/>
  <c r="BY9" i="4" a="1"/>
  <c r="CE14" i="4" a="1"/>
  <c r="CH11" i="4" a="1"/>
  <c r="BM11" i="4" a="1"/>
  <c r="CJ16" i="4" a="1"/>
  <c r="CE16" i="4" a="1"/>
  <c r="DJ12" i="4" a="1"/>
  <c r="EI15" i="4" a="1"/>
  <c r="BW14" i="4" a="1"/>
  <c r="BL6" i="4" a="1"/>
  <c r="E7" i="4" a="1"/>
  <c r="BW5" i="4" a="1"/>
  <c r="F75" i="2"/>
  <c r="N16" i="2"/>
  <c r="Q31" i="2"/>
  <c r="X36" i="2"/>
  <c r="AG45" i="3"/>
  <c r="E39" i="3"/>
  <c r="AR27" i="3"/>
  <c r="E24" i="3"/>
  <c r="AD16" i="3"/>
  <c r="CX7" i="4" a="1"/>
  <c r="DK7" i="4" a="1"/>
  <c r="AI11" i="4" a="1"/>
  <c r="DG15" i="4" a="1"/>
  <c r="M5" i="4" a="1"/>
  <c r="M14" i="4" a="1"/>
  <c r="CU9" i="4" a="1"/>
  <c r="EI6" i="4" a="1"/>
  <c r="CG8" i="4" a="1"/>
  <c r="BK11" i="4" a="1"/>
  <c r="CP8" i="4" a="1"/>
  <c r="DG14" i="4" a="1"/>
  <c r="Z7" i="4" a="1"/>
  <c r="Z16" i="4" a="1"/>
  <c r="DX7" i="4" a="1"/>
  <c r="BV8" i="4" a="1"/>
  <c r="AL8" i="4" a="1"/>
  <c r="AR5" i="4" a="1"/>
  <c r="N14" i="4" a="1"/>
  <c r="DD12" i="4" a="1"/>
  <c r="AS13" i="4" a="1"/>
  <c r="BT15" i="4" a="1"/>
  <c r="DX11" i="4" a="1"/>
  <c r="AB16" i="4" a="1"/>
  <c r="AQ7" i="4" a="1"/>
  <c r="L13" i="4" a="1"/>
  <c r="CD11" i="4" a="1"/>
  <c r="S12" i="4" a="1"/>
  <c r="DO15" i="4" a="1"/>
  <c r="DW13" i="4" a="1"/>
  <c r="AB14" i="4" a="1"/>
  <c r="AK16" i="4" a="1"/>
  <c r="EF6" i="4" a="1"/>
  <c r="AD6" i="4" a="1"/>
  <c r="CV15" i="4" a="1"/>
  <c r="BA14" i="4" a="1"/>
  <c r="CS13" i="4" a="1"/>
  <c r="AA14" i="4" a="1"/>
  <c r="DX16" i="4" a="1"/>
  <c r="CH16" i="4" a="1"/>
  <c r="L14" i="4" a="1"/>
  <c r="AD15" i="4" a="1"/>
  <c r="EG8" i="4" a="1"/>
  <c r="BM12" i="4" a="1"/>
  <c r="P13" i="4" a="1"/>
  <c r="ED8" i="4" a="1"/>
  <c r="AU9" i="4" a="1"/>
  <c r="BO7" i="4" a="1"/>
  <c r="S8" i="4" a="1"/>
  <c r="DM9" i="4" a="1"/>
  <c r="AF5" i="4" a="1"/>
  <c r="AU6" i="4" a="1"/>
  <c r="AE5" i="4" a="1"/>
  <c r="L15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EF16" i="4" a="1"/>
  <c r="DW9" i="4" a="1"/>
  <c r="DS15" i="4" a="1"/>
  <c r="AH11" i="4" a="1"/>
  <c r="DA16" i="4" a="1"/>
  <c r="EG15" i="4" a="1"/>
  <c r="C12" i="4" a="1"/>
  <c r="AM14" i="4" a="1"/>
  <c r="AN6" i="4" a="1"/>
  <c r="AE8" i="4" a="1"/>
  <c r="DV14" i="4" a="1"/>
  <c r="BE16" i="4" a="1"/>
  <c r="Q6" i="4" a="1"/>
  <c r="CZ6" i="4" a="1"/>
  <c r="CA13" i="4" a="1"/>
  <c r="R10" i="2"/>
  <c r="L9" i="2"/>
  <c r="E24" i="2"/>
  <c r="Q57" i="2"/>
  <c r="G7" i="3"/>
  <c r="AD15" i="3"/>
  <c r="K46" i="3"/>
  <c r="F37" i="3"/>
  <c r="U46" i="3"/>
  <c r="DL9" i="4" a="1"/>
  <c r="CB7" i="4" a="1"/>
  <c r="BL9" i="4" a="1"/>
  <c r="EG5" i="4" a="1"/>
  <c r="V12" i="4" a="1"/>
  <c r="Y8" i="4" a="1"/>
  <c r="C7" i="4" a="1"/>
  <c r="BS12" i="4" a="1"/>
  <c r="BU13" i="4" a="1"/>
  <c r="W12" i="4" a="1"/>
  <c r="AU7" i="4" a="1"/>
  <c r="BM13" i="4" a="1"/>
  <c r="CK6" i="4" a="1"/>
  <c r="DM13" i="4" a="1"/>
  <c r="DW5" i="4" a="1"/>
  <c r="U11" i="4" a="1"/>
  <c r="DW14" i="4" a="1"/>
  <c r="BW7" i="4" a="1"/>
  <c r="AS5" i="4" a="1"/>
  <c r="DF14" i="4" a="1"/>
  <c r="CR6" i="4" a="1"/>
  <c r="AZ9" i="4" a="1"/>
  <c r="CN9" i="4" a="1"/>
  <c r="DC11" i="4" a="1"/>
  <c r="BJ14" i="4" a="1"/>
  <c r="DZ9" i="4" a="1"/>
  <c r="EE15" i="4" a="1"/>
  <c r="BX6" i="4" a="1"/>
  <c r="DW7" i="4" a="1"/>
  <c r="DN8" i="4" a="1"/>
  <c r="DA13" i="4" a="1"/>
  <c r="CY13" i="4" a="1"/>
  <c r="EE13" i="4" a="1"/>
  <c r="BD14" i="4" a="1"/>
  <c r="BD16" i="4" a="1"/>
  <c r="BH9" i="4" a="1"/>
  <c r="BD9" i="4" a="1"/>
  <c r="DC5" i="4" a="1"/>
  <c r="DH5" i="4" a="1"/>
  <c r="CX8" i="4" a="1"/>
  <c r="V7" i="4" a="1"/>
  <c r="BC7" i="4" a="1"/>
  <c r="EK7" i="4" a="1"/>
  <c r="AZ16" i="4" a="1"/>
  <c r="CS16" i="4" a="1"/>
  <c r="EI11" i="4" a="1"/>
  <c r="BF16" i="4" a="1"/>
  <c r="AF14" i="4" a="1"/>
  <c r="BW8" i="4" a="1"/>
  <c r="CZ7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Z11" i="4" a="1"/>
  <c r="AT7" i="4" a="1"/>
  <c r="W14" i="4" a="1"/>
  <c r="DF8" i="4" a="1"/>
  <c r="DP13" i="4" a="1"/>
  <c r="CQ9" i="4" a="1"/>
  <c r="CC7" i="4" a="1"/>
  <c r="CW6" i="4" a="1"/>
  <c r="AC7" i="4" a="1"/>
  <c r="AL45" i="3"/>
  <c r="BB13" i="4" a="1"/>
  <c r="EC9" i="4" a="1"/>
  <c r="ED5" i="4" a="1"/>
  <c r="DM8" i="4" a="1"/>
  <c r="CJ7" i="4" a="1"/>
  <c r="X12" i="4" a="1"/>
  <c r="BG14" i="4" a="1"/>
  <c r="DU12" i="4" a="1"/>
  <c r="H9" i="4" a="1"/>
  <c r="CU15" i="4" a="1"/>
  <c r="AQ11" i="4" a="1"/>
  <c r="T14" i="4" a="1"/>
  <c r="BF8" i="4" a="1"/>
  <c r="O17" i="2"/>
  <c r="H36" i="2"/>
  <c r="M36" i="2"/>
  <c r="D5" i="2"/>
  <c r="F32" i="3"/>
  <c r="E32" i="3"/>
  <c r="F31" i="3"/>
  <c r="E31" i="3"/>
  <c r="D31" i="3"/>
  <c r="CY15" i="4" a="1"/>
  <c r="BI13" i="4" a="1"/>
  <c r="C9" i="4" a="1"/>
  <c r="AH8" i="4" a="1"/>
  <c r="AQ13" i="4" a="1"/>
  <c r="AM5" i="4" a="1"/>
  <c r="CF14" i="4" a="1"/>
  <c r="DF11" i="4" a="1"/>
  <c r="AU13" i="4" a="1"/>
  <c r="AD12" i="4" a="1"/>
  <c r="CJ11" i="4" a="1"/>
  <c r="EI9" i="4" a="1"/>
  <c r="AT6" i="4" a="1"/>
  <c r="AJ9" i="4" a="1"/>
  <c r="AA16" i="4" a="1"/>
  <c r="BX12" i="4" a="1"/>
  <c r="CB12" i="4" a="1"/>
  <c r="CM15" i="4" a="1"/>
  <c r="AR9" i="4" a="1"/>
  <c r="CV14" i="4" a="1"/>
  <c r="L11" i="4" a="1"/>
  <c r="CR16" i="4" a="1"/>
  <c r="EA6" i="4" a="1"/>
  <c r="K12" i="4" a="1"/>
  <c r="DD6" i="4" a="1"/>
  <c r="DB13" i="4" a="1"/>
  <c r="AU12" i="4" a="1"/>
  <c r="CO5" i="4" a="1"/>
  <c r="BQ16" i="4" a="1"/>
  <c r="AJ8" i="4" a="1"/>
  <c r="CD14" i="4" a="1"/>
  <c r="CG5" i="4" a="1"/>
  <c r="BN8" i="4" a="1"/>
  <c r="DS16" i="4" a="1"/>
  <c r="W7" i="4" a="1"/>
  <c r="O12" i="4" a="1"/>
  <c r="CX5" i="4" a="1"/>
  <c r="EC5" i="4" a="1"/>
  <c r="AR7" i="4" a="1"/>
  <c r="H16" i="4" a="1"/>
  <c r="AI6" i="4" a="1"/>
  <c r="CZ11" i="4" a="1"/>
  <c r="CK8" i="4" a="1"/>
  <c r="DH7" i="4" a="1"/>
  <c r="DY7" i="4" a="1"/>
  <c r="CT16" i="4" a="1"/>
  <c r="CP5" i="4" a="1"/>
  <c r="BH13" i="4" a="1"/>
  <c r="BU11" i="4" a="1"/>
  <c r="BN5" i="4" a="1"/>
  <c r="DU14" i="4" a="1"/>
  <c r="H11" i="4" a="1"/>
  <c r="AO8" i="4" a="1"/>
  <c r="EF12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DG9" i="4" a="1"/>
  <c r="DX9" i="4" a="1"/>
  <c r="N11" i="4" a="1"/>
  <c r="BW13" i="4" a="1"/>
  <c r="DT13" i="4" a="1"/>
  <c r="H5" i="4" a="1"/>
  <c r="AA8" i="4" a="1"/>
  <c r="DF9" i="4" a="1"/>
  <c r="DU6" i="4" a="1"/>
  <c r="EB11" i="4" a="1"/>
  <c r="M15" i="4" a="1"/>
  <c r="CZ13" i="4" a="1"/>
  <c r="DH16" i="4" a="1"/>
  <c r="AH16" i="4" a="1"/>
  <c r="AM16" i="4" a="1"/>
  <c r="R15" i="4" a="1"/>
  <c r="CW8" i="4" a="1"/>
  <c r="K13" i="4" a="1"/>
  <c r="BO6" i="4" a="1"/>
  <c r="AJ6" i="4" a="1"/>
  <c r="CH9" i="4" a="1"/>
  <c r="D5" i="4" a="1"/>
  <c r="BV12" i="4" a="1"/>
  <c r="M26" i="2"/>
  <c r="ED14" i="4" a="1"/>
  <c r="AB15" i="4" a="1"/>
  <c r="CF13" i="4" a="1"/>
  <c r="J13" i="4" a="1"/>
  <c r="X11" i="4" a="1"/>
  <c r="CX12" i="4" a="1"/>
  <c r="AQ8" i="4" a="1"/>
  <c r="CK9" i="4" a="1"/>
  <c r="AX7" i="4" a="1"/>
  <c r="O16" i="4" a="1"/>
  <c r="AT11" i="4" a="1"/>
  <c r="EE5" i="4" a="1"/>
  <c r="AV7" i="4" a="1"/>
  <c r="BF6" i="4" a="1"/>
  <c r="Q11" i="4" a="1"/>
  <c r="DV13" i="4" a="1"/>
  <c r="CX13" i="4" a="1"/>
  <c r="BY12" i="4" a="1"/>
  <c r="BH11" i="4" a="1"/>
  <c r="O13" i="4" a="1"/>
  <c r="W17" i="2"/>
  <c r="R34" i="2"/>
  <c r="D31" i="2"/>
  <c r="AR87" i="3"/>
  <c r="F39" i="3"/>
  <c r="AR33" i="3"/>
  <c r="AG46" i="3"/>
  <c r="AJ45" i="3"/>
  <c r="K45" i="3"/>
  <c r="BF9" i="4" a="1"/>
  <c r="DL15" i="4" a="1"/>
  <c r="CX14" i="4" a="1"/>
  <c r="EG16" i="4" a="1"/>
  <c r="DC7" i="4" a="1"/>
  <c r="CB9" i="4" a="1"/>
  <c r="O6" i="4" a="1"/>
  <c r="DK13" i="4" a="1"/>
  <c r="BS16" i="4" a="1"/>
  <c r="BG12" i="4" a="1"/>
  <c r="BJ5" i="4" a="1"/>
  <c r="CH6" i="4" a="1"/>
  <c r="BG7" i="4" a="1"/>
  <c r="U14" i="4" a="1"/>
  <c r="BV9" i="4" a="1"/>
  <c r="BO16" i="4" a="1"/>
  <c r="AK15" i="4" a="1"/>
  <c r="DT11" i="4" a="1"/>
  <c r="AP7" i="4" a="1"/>
  <c r="AS8" i="4" a="1"/>
  <c r="G7" i="4" a="1"/>
  <c r="CV5" i="4" a="1"/>
  <c r="BS11" i="4" a="1"/>
  <c r="AT13" i="4" a="1"/>
  <c r="EE8" i="4" a="1"/>
  <c r="DQ6" i="4" a="1"/>
  <c r="BL14" i="4" a="1"/>
  <c r="M13" i="4" a="1"/>
  <c r="Y14" i="4" a="1"/>
  <c r="BN12" i="4" a="1"/>
  <c r="AM12" i="4" a="1"/>
  <c r="E5" i="4" a="1"/>
  <c r="S16" i="4" a="1"/>
  <c r="CE12" i="4" a="1"/>
  <c r="AI12" i="4" a="1"/>
  <c r="AH14" i="4" a="1"/>
  <c r="T15" i="2"/>
  <c r="AI5" i="4" a="1"/>
  <c r="BZ7" i="4" a="1"/>
  <c r="M12" i="4" a="1"/>
  <c r="BH8" i="4" a="1"/>
  <c r="AG8" i="4" a="1"/>
  <c r="EA12" i="4" a="1"/>
  <c r="Y15" i="4" a="1"/>
  <c r="EB7" i="4" a="1"/>
  <c r="BC6" i="4" a="1"/>
  <c r="DK12" i="4" a="1"/>
  <c r="DE5" i="4" a="1"/>
  <c r="AP12" i="4" a="1"/>
  <c r="CN5" i="4" a="1"/>
  <c r="EJ8" i="4" a="1"/>
  <c r="DV9" i="4" a="1"/>
  <c r="O15" i="2"/>
  <c r="R20" i="2"/>
  <c r="W7" i="2"/>
  <c r="V19" i="2"/>
  <c r="S46" i="3"/>
  <c r="AE45" i="3"/>
  <c r="O45" i="3"/>
  <c r="D38" i="3"/>
  <c r="D46" i="3"/>
  <c r="Z8" i="4" a="1"/>
  <c r="S11" i="4" a="1"/>
  <c r="CD5" i="4" a="1"/>
  <c r="AB11" i="4" a="1"/>
  <c r="K14" i="4" a="1"/>
  <c r="BO12" i="4" a="1"/>
  <c r="ED9" i="4" a="1"/>
  <c r="DG5" i="4" a="1"/>
  <c r="D15" i="4" a="1"/>
  <c r="DZ6" i="4" a="1"/>
  <c r="AW14" i="4" a="1"/>
  <c r="DY14" i="4" a="1"/>
  <c r="DZ11" i="4" a="1"/>
  <c r="AT15" i="4" a="1"/>
  <c r="CG14" i="4" a="1"/>
  <c r="AW5" i="4" a="1"/>
  <c r="AH12" i="4" a="1"/>
  <c r="AX13" i="4" a="1"/>
  <c r="BZ13" i="4" a="1"/>
  <c r="DV6" i="4" a="1"/>
  <c r="CK13" i="4" a="1"/>
  <c r="I15" i="4" a="1"/>
  <c r="BM5" i="4" a="1"/>
  <c r="AC5" i="4" a="1"/>
  <c r="DZ13" i="4" a="1"/>
  <c r="CM14" i="4" a="1"/>
  <c r="BK9" i="4" a="1"/>
  <c r="X14" i="4" a="1"/>
  <c r="CM9" i="4" a="1"/>
  <c r="CC6" i="4" a="1"/>
  <c r="F6" i="4" a="1"/>
  <c r="EH9" i="4" a="1"/>
  <c r="DK9" i="4" a="1"/>
  <c r="CW5" i="4" a="1"/>
  <c r="EJ6" i="4" a="1"/>
  <c r="S7" i="4" a="1"/>
  <c r="DD8" i="4" a="1"/>
  <c r="Y9" i="4" a="1"/>
  <c r="AG13" i="4" a="1"/>
  <c r="T5" i="4" a="1"/>
  <c r="DZ8" i="4" a="1"/>
  <c r="EK9" i="4" a="1"/>
  <c r="DV12" i="4" a="1"/>
  <c r="CA7" i="4" a="1"/>
  <c r="DQ12" i="4" a="1"/>
  <c r="S14" i="4" a="1"/>
  <c r="CX9" i="4" a="1"/>
  <c r="AN5" i="4" a="1"/>
  <c r="CU12" i="4" a="1"/>
  <c r="DW11" i="4" a="1"/>
  <c r="CV16" i="4" a="1"/>
  <c r="DZ15" i="4" a="1"/>
  <c r="P15" i="4" a="1"/>
  <c r="BA12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BF5" i="4" a="1"/>
  <c r="AR15" i="4" a="1"/>
  <c r="BX14" i="4" a="1"/>
  <c r="DN7" i="4" a="1"/>
  <c r="BT12" i="4" a="1"/>
  <c r="G13" i="4" a="1"/>
  <c r="EI8" i="4" a="1"/>
  <c r="DK15" i="4" a="1"/>
  <c r="AA5" i="4" a="1"/>
  <c r="DG6" i="4" a="1"/>
  <c r="N8" i="4" a="1"/>
  <c r="J32" i="2"/>
  <c r="AD11" i="3"/>
  <c r="BB16" i="4" a="1"/>
  <c r="BP13" i="4" a="1"/>
  <c r="DE7" i="4" a="1"/>
  <c r="CP11" i="4" a="1"/>
  <c r="AG6" i="4" a="1"/>
  <c r="EE7" i="4" a="1"/>
  <c r="DW8" i="4" a="1"/>
  <c r="EH14" i="4" a="1"/>
  <c r="EH12" i="4" a="1"/>
  <c r="W5" i="2"/>
  <c r="V5" i="2"/>
  <c r="I7" i="2"/>
  <c r="I11" i="2"/>
  <c r="F22" i="3"/>
  <c r="D12" i="3"/>
  <c r="Z45" i="3"/>
  <c r="AR8" i="3"/>
  <c r="I45" i="3"/>
  <c r="BK8" i="4" a="1"/>
  <c r="DU7" i="4" a="1"/>
  <c r="CF9" i="4" a="1"/>
  <c r="M7" i="4" a="1"/>
  <c r="R11" i="4" a="1"/>
  <c r="CW7" i="4" a="1"/>
  <c r="DP11" i="4" a="1"/>
  <c r="U9" i="4" a="1"/>
  <c r="DA8" i="4" a="1"/>
  <c r="DP15" i="4" a="1"/>
  <c r="AY11" i="4" a="1"/>
  <c r="BL16" i="4" a="1"/>
  <c r="AD16" i="4" a="1"/>
  <c r="AR13" i="4" a="1"/>
  <c r="T6" i="4" a="1"/>
  <c r="CZ8" i="4" a="1"/>
  <c r="AU5" i="4" a="1"/>
  <c r="CD15" i="4" a="1"/>
  <c r="CI8" i="4" a="1"/>
  <c r="BB11" i="4" a="1"/>
  <c r="BO15" i="4" a="1"/>
  <c r="EF7" i="4" a="1"/>
  <c r="J12" i="4" a="1"/>
  <c r="U8" i="4" a="1"/>
  <c r="CD12" i="4" a="1"/>
  <c r="BP14" i="4" a="1"/>
  <c r="DS8" i="4" a="1"/>
  <c r="CO14" i="4" a="1"/>
  <c r="DU16" i="4" a="1"/>
  <c r="DZ7" i="4" a="1"/>
  <c r="H12" i="4" a="1"/>
  <c r="EB15" i="4" a="1"/>
  <c r="DK6" i="4" a="1"/>
  <c r="AY14" i="4" a="1"/>
  <c r="M9" i="4" a="1"/>
  <c r="EC13" i="4" a="1"/>
  <c r="AH6" i="4" a="1"/>
  <c r="S5" i="4" a="1"/>
  <c r="DI15" i="4" a="1"/>
  <c r="T13" i="4" a="1"/>
  <c r="EH6" i="4" a="1"/>
  <c r="DJ5" i="4" a="1"/>
  <c r="DO13" i="4" a="1"/>
  <c r="BH15" i="4" a="1"/>
  <c r="DU13" i="4" a="1"/>
  <c r="CS11" i="4" a="1"/>
  <c r="CL7" i="4" a="1"/>
  <c r="AQ14" i="4" a="1"/>
  <c r="BL15" i="4" a="1"/>
  <c r="H8" i="4" a="1"/>
  <c r="Q7" i="4" a="1"/>
  <c r="AG5" i="4" a="1"/>
  <c r="EH11" i="4" a="1"/>
  <c r="CL8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DL7" i="4" a="1"/>
  <c r="DV8" i="4" a="1"/>
  <c r="DE9" i="4" a="1"/>
  <c r="H35" i="2"/>
  <c r="F5" i="3"/>
  <c r="EJ5" i="4" a="1"/>
  <c r="CJ9" i="4" a="1"/>
  <c r="AX6" i="4" a="1"/>
  <c r="M16" i="4" a="1"/>
  <c r="CL15" i="4" a="1"/>
  <c r="H7" i="4" a="1"/>
  <c r="EB13" i="4" a="1"/>
  <c r="AL16" i="4" a="1"/>
  <c r="Q9" i="4" a="1"/>
  <c r="D20" i="2"/>
  <c r="G30" i="2"/>
  <c r="U5" i="2"/>
  <c r="E9" i="2"/>
  <c r="AE46" i="3"/>
  <c r="AD13" i="3"/>
  <c r="AQ45" i="3"/>
  <c r="F16" i="3"/>
  <c r="AR16" i="3"/>
  <c r="BL13" i="4" a="1"/>
  <c r="AC11" i="4" a="1"/>
  <c r="CQ14" i="4" a="1"/>
  <c r="CY16" i="4" a="1"/>
  <c r="BT9" i="4" a="1"/>
  <c r="W13" i="4" a="1"/>
  <c r="AB9" i="4" a="1"/>
  <c r="CS15" i="4" a="1"/>
  <c r="CF6" i="4" a="1"/>
  <c r="AX16" i="4" a="1"/>
  <c r="EJ13" i="4" a="1"/>
  <c r="AC6" i="4" a="1"/>
  <c r="I16" i="4" a="1"/>
  <c r="AW7" i="4" a="1"/>
  <c r="AO14" i="4" a="1"/>
  <c r="G14" i="4" a="1"/>
  <c r="AJ16" i="4" a="1"/>
  <c r="BI14" i="4" a="1"/>
  <c r="DF6" i="4" a="1"/>
  <c r="CH13" i="4" a="1"/>
  <c r="CA6" i="4" a="1"/>
  <c r="DR6" i="4" a="1"/>
  <c r="CQ5" i="4" a="1"/>
  <c r="AW12" i="4" a="1"/>
  <c r="I8" i="4" a="1"/>
  <c r="AF13" i="4" a="1"/>
  <c r="DY5" i="4" a="1"/>
  <c r="CQ12" i="4" a="1"/>
  <c r="AE9" i="4" a="1"/>
  <c r="ED7" i="4" a="1"/>
  <c r="AA7" i="4" a="1"/>
  <c r="CO16" i="4" a="1"/>
  <c r="Q8" i="4" a="1"/>
  <c r="P12" i="4" a="1"/>
  <c r="CX16" i="4" a="1"/>
  <c r="BB7" i="4" a="1"/>
  <c r="AE14" i="4" a="1"/>
  <c r="AA15" i="4" a="1"/>
  <c r="CW12" i="4" a="1"/>
  <c r="BQ13" i="4" a="1"/>
  <c r="L8" i="4" a="1"/>
  <c r="J11" i="4" a="1"/>
  <c r="O15" i="4" a="1"/>
  <c r="DD14" i="4" a="1"/>
  <c r="BU16" i="4" a="1"/>
  <c r="DC6" i="4" a="1"/>
  <c r="DB5" i="4" a="1"/>
  <c r="EI13" i="4" a="1"/>
  <c r="CV8" i="4" a="1"/>
  <c r="CB11" i="4" a="1"/>
  <c r="AS7" i="4" a="1"/>
  <c r="BE14" i="4" a="1"/>
  <c r="BU15" i="4" a="1"/>
  <c r="DN13" i="4" a="1"/>
  <c r="AL11" i="4" a="1"/>
  <c r="BK7" i="4" a="1"/>
  <c r="AW6" i="4" a="1"/>
  <c r="R46" i="3"/>
  <c r="AK8" i="4" a="1"/>
  <c r="AI8" i="4" a="1"/>
  <c r="BJ16" i="4" a="1"/>
  <c r="AR8" i="4" a="1"/>
  <c r="AS9" i="4" a="1"/>
  <c r="CD9" i="4" a="1"/>
  <c r="EH7" i="4" a="1"/>
  <c r="Y7" i="4" a="1"/>
  <c r="BR14" i="4" a="1"/>
  <c r="DB6" i="4" a="1"/>
  <c r="BZ16" i="4" a="1"/>
  <c r="DJ13" i="4" a="1"/>
  <c r="Q16" i="4" a="1"/>
  <c r="BI12" i="4" a="1"/>
  <c r="DT15" i="4" a="1"/>
  <c r="BA13" i="4" a="1"/>
  <c r="AT12" i="4" a="1"/>
  <c r="N5" i="4" a="1"/>
  <c r="DK11" i="4" a="1"/>
  <c r="D68" i="3"/>
  <c r="E87" i="3"/>
  <c r="E57" i="3"/>
  <c r="D77" i="3"/>
  <c r="AD65" i="3"/>
  <c r="E89" i="3"/>
  <c r="G56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F63" i="3"/>
  <c r="G60" i="3"/>
  <c r="E63" i="3"/>
  <c r="AD75" i="3"/>
  <c r="E78" i="3"/>
  <c r="E75" i="3"/>
  <c r="D73" i="3"/>
  <c r="E64" i="3"/>
  <c r="D57" i="3"/>
  <c r="AD86" i="3"/>
  <c r="E58" i="3"/>
  <c r="G79" i="3"/>
  <c r="E86" i="3"/>
  <c r="D74" i="3"/>
  <c r="F81" i="3"/>
  <c r="G91" i="3"/>
  <c r="E92" i="3"/>
  <c r="AD82" i="3"/>
  <c r="G70" i="3"/>
  <c r="D71" i="3"/>
  <c r="D65" i="3"/>
  <c r="G94" i="3"/>
  <c r="AD55" i="3"/>
  <c r="E80" i="3"/>
  <c r="E71" i="3"/>
  <c r="D94" i="3"/>
  <c r="AD89" i="3"/>
  <c r="AD97" i="3"/>
  <c r="G64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D76" i="3"/>
  <c r="AD56" i="3"/>
  <c r="F88" i="3"/>
  <c r="E61" i="3"/>
  <c r="D63" i="3"/>
  <c r="AD61" i="3"/>
  <c r="G81" i="3"/>
  <c r="AD93" i="3"/>
  <c r="D79" i="3"/>
  <c r="G95" i="3"/>
  <c r="F62" i="3"/>
  <c r="D75" i="3"/>
  <c r="G72" i="3"/>
  <c r="F74" i="3"/>
  <c r="AD81" i="3"/>
  <c r="E95" i="3"/>
  <c r="D92" i="3"/>
  <c r="AD57" i="3"/>
  <c r="F73" i="3"/>
  <c r="G93" i="3"/>
  <c r="D54" i="3"/>
  <c r="D70" i="3"/>
  <c r="F87" i="3"/>
  <c r="G85" i="3"/>
  <c r="E72" i="3"/>
  <c r="F96" i="3"/>
  <c r="E79" i="3"/>
  <c r="AD92" i="3"/>
  <c r="AD94" i="3"/>
  <c r="F48" i="3"/>
  <c r="G84" i="3"/>
  <c r="D60" i="3"/>
  <c r="F50" i="3"/>
  <c r="G59" i="3"/>
  <c r="F70" i="3"/>
  <c r="F75" i="3"/>
  <c r="G92" i="3"/>
  <c r="F49" i="3"/>
  <c r="E67" i="3"/>
  <c r="F86" i="3"/>
  <c r="E73" i="3"/>
  <c r="E70" i="3"/>
  <c r="D69" i="3"/>
  <c r="F85" i="3"/>
  <c r="F90" i="3"/>
  <c r="AD84" i="3"/>
  <c r="AD69" i="3"/>
  <c r="G75" i="3"/>
  <c r="E68" i="3"/>
  <c r="F47" i="3"/>
  <c r="E94" i="3"/>
  <c r="F72" i="3"/>
  <c r="AD85" i="3"/>
  <c r="F68" i="3"/>
  <c r="G62" i="3"/>
  <c r="AD88" i="3"/>
  <c r="D61" i="3"/>
  <c r="E60" i="3"/>
  <c r="AD83" i="3"/>
  <c r="D80" i="3"/>
  <c r="F97" i="3"/>
  <c r="D67" i="3"/>
  <c r="AD58" i="3"/>
  <c r="AD74" i="3"/>
  <c r="G68" i="3"/>
  <c r="AD73" i="3"/>
  <c r="G86" i="3"/>
  <c r="E56" i="3"/>
  <c r="D91" i="3"/>
  <c r="E65" i="3"/>
  <c r="D96" i="3"/>
  <c r="AD70" i="3"/>
  <c r="G82" i="3"/>
  <c r="G66" i="3"/>
  <c r="G89" i="3"/>
  <c r="E90" i="3"/>
  <c r="D90" i="3"/>
  <c r="G65" i="3"/>
  <c r="E85" i="3"/>
  <c r="AD78" i="3"/>
  <c r="G90" i="3"/>
  <c r="G80" i="3"/>
  <c r="E93" i="3"/>
  <c r="D86" i="3"/>
  <c r="E54" i="3"/>
  <c r="AD63" i="3"/>
  <c r="G76" i="3"/>
  <c r="D83" i="3"/>
  <c r="AD54" i="3"/>
  <c r="F64" i="3"/>
  <c r="D72" i="3"/>
  <c r="D95" i="3"/>
  <c r="G55" i="3"/>
  <c r="E55" i="3"/>
  <c r="D93" i="3"/>
  <c r="AD72" i="3"/>
  <c r="G54" i="3"/>
  <c r="F66" i="3"/>
  <c r="E84" i="3"/>
  <c r="E74" i="3"/>
  <c r="D66" i="3"/>
  <c r="AD79" i="3"/>
  <c r="E82" i="3"/>
  <c r="G63" i="3"/>
  <c r="D88" i="3"/>
  <c r="E62" i="3"/>
  <c r="AD60" i="3"/>
  <c r="AD67" i="3"/>
  <c r="G71" i="3"/>
  <c r="E83" i="3"/>
  <c r="D84" i="3"/>
  <c r="E96" i="3"/>
  <c r="G87" i="3"/>
  <c r="D78" i="3"/>
  <c r="G74" i="3"/>
  <c r="E77" i="3"/>
  <c r="D55" i="3"/>
  <c r="G88" i="3"/>
  <c r="D62" i="3"/>
  <c r="G58" i="3"/>
  <c r="E69" i="3"/>
  <c r="D58" i="3"/>
  <c r="D87" i="3"/>
  <c r="G78" i="3"/>
  <c r="D97" i="3"/>
  <c r="E91" i="3"/>
  <c r="G77" i="3"/>
  <c r="D85" i="3"/>
  <c r="AD66" i="3"/>
  <c r="G67" i="3"/>
  <c r="E76" i="3"/>
  <c r="G83" i="3"/>
  <c r="E81" i="3"/>
  <c r="D89" i="3"/>
  <c r="F69" i="3" l="1"/>
  <c r="AD77" i="3"/>
  <c r="AD76" i="3"/>
  <c r="AD80" i="3"/>
  <c r="F71" i="3"/>
  <c r="F61" i="3"/>
  <c r="F57" i="3"/>
  <c r="F84" i="3"/>
  <c r="F92" i="3"/>
  <c r="F76" i="3"/>
  <c r="F65" i="3"/>
  <c r="F67" i="3"/>
  <c r="F56" i="3"/>
  <c r="AD87" i="3"/>
  <c r="AD71" i="3"/>
  <c r="AD90" i="3"/>
  <c r="F93" i="3"/>
  <c r="F78" i="3"/>
  <c r="F91" i="3"/>
  <c r="F79" i="3"/>
  <c r="F89" i="3"/>
  <c r="F58" i="3"/>
  <c r="F82" i="3"/>
  <c r="F83" i="3"/>
  <c r="F94" i="3"/>
  <c r="F77" i="3"/>
  <c r="AJ152" i="1"/>
  <c r="AL168" i="1"/>
  <c r="AL148" i="1"/>
  <c r="AM148" i="1" s="1"/>
  <c r="AJ162" i="1"/>
  <c r="AL150" i="1"/>
  <c r="AJ140" i="1"/>
  <c r="AL127" i="1"/>
  <c r="AL135" i="1"/>
  <c r="AM135" i="1" s="1"/>
  <c r="AJ148" i="1"/>
  <c r="AK148" i="1" s="1"/>
  <c r="AL145" i="1"/>
  <c r="AM145" i="1" s="1"/>
  <c r="AL160" i="1"/>
  <c r="AJ171" i="1"/>
  <c r="AJ168" i="1"/>
  <c r="AJ132" i="1"/>
  <c r="AL133" i="1"/>
  <c r="AM133" i="1" s="1"/>
  <c r="AJ153" i="1"/>
  <c r="AJ145" i="1"/>
  <c r="AK145" i="1" s="1"/>
  <c r="AJ154" i="1"/>
  <c r="AL167" i="1"/>
  <c r="AL169" i="1" s="1"/>
  <c r="AL134" i="1"/>
  <c r="AM134" i="1" s="1"/>
  <c r="AJ155" i="1"/>
  <c r="AL158" i="1"/>
  <c r="AJ134" i="1"/>
  <c r="AK134" i="1" s="1"/>
  <c r="AL161" i="1"/>
  <c r="AL159" i="1"/>
  <c r="AL153" i="1"/>
  <c r="AJ158" i="1"/>
  <c r="AJ125" i="1"/>
  <c r="AL139" i="1"/>
  <c r="AJ130" i="1"/>
  <c r="AK130" i="1" s="1"/>
  <c r="AL132" i="1"/>
  <c r="AJ139" i="1"/>
  <c r="AJ141" i="1"/>
  <c r="AK141" i="1" s="1"/>
  <c r="AL163" i="1"/>
  <c r="AL154" i="1"/>
  <c r="AJ151" i="1"/>
  <c r="AJ143" i="1"/>
  <c r="AK143" i="1" s="1"/>
  <c r="AL155" i="1"/>
  <c r="AJ172" i="1"/>
  <c r="AK172" i="1" s="1"/>
  <c r="AL143" i="1"/>
  <c r="AM143" i="1" s="1"/>
  <c r="AL172" i="1"/>
  <c r="AM172" i="1" s="1"/>
  <c r="AL152" i="1"/>
  <c r="AJ135" i="1"/>
  <c r="AK135" i="1" s="1"/>
  <c r="AL126" i="1"/>
  <c r="AM126" i="1" s="1"/>
  <c r="AL157" i="1"/>
  <c r="AJ167" i="1"/>
  <c r="AJ169" i="1" s="1"/>
  <c r="AL141" i="1"/>
  <c r="AM141" i="1" s="1"/>
  <c r="AJ163" i="1"/>
  <c r="AL162" i="1"/>
  <c r="AL151" i="1"/>
  <c r="AJ127" i="1"/>
  <c r="AJ157" i="1"/>
  <c r="AJ150" i="1"/>
  <c r="AJ133" i="1"/>
  <c r="AK133" i="1" s="1"/>
  <c r="AL130" i="1"/>
  <c r="AM130" i="1" s="1"/>
  <c r="AJ159" i="1"/>
  <c r="AL171" i="1"/>
  <c r="AM171" i="1" s="1"/>
  <c r="AL140" i="1"/>
  <c r="AL125" i="1"/>
  <c r="AJ161" i="1"/>
  <c r="AJ126" i="1"/>
  <c r="AK126" i="1" s="1"/>
  <c r="AJ160" i="1"/>
  <c r="IN16" i="4" s="1"/>
  <c r="IC9" i="4" s="1"/>
  <c r="IV16" i="4" s="1"/>
  <c r="IS16" i="4" s="1"/>
  <c r="HZ16" i="4" s="1"/>
  <c r="HQ16" i="4" s="1"/>
  <c r="IL9" i="4" s="1"/>
  <c r="BW28" i="1"/>
  <c r="AK28" i="1"/>
  <c r="F47" i="1"/>
  <c r="G59" i="1"/>
  <c r="HX16" i="4" s="1"/>
  <c r="HU9" i="4" s="1"/>
  <c r="IP9" i="4" s="1"/>
  <c r="BW16" i="1"/>
  <c r="AI22" i="1"/>
  <c r="H21" i="1"/>
  <c r="H17" i="1"/>
  <c r="IF16" i="4" s="1"/>
  <c r="BI23" i="1"/>
  <c r="I53" i="1"/>
  <c r="II16" i="4" s="1"/>
  <c r="JF9" i="4" s="1"/>
  <c r="IV9" i="4" s="1"/>
  <c r="JI9" i="4" s="1"/>
  <c r="JH9" i="4" s="1"/>
  <c r="II9" i="4" s="1"/>
  <c r="U30" i="1"/>
  <c r="V17" i="1"/>
  <c r="V18" i="1" s="1"/>
  <c r="N31" i="1"/>
  <c r="JD9" i="4" s="1"/>
  <c r="S31" i="1"/>
  <c r="V29" i="1"/>
  <c r="HS16" i="4" s="1"/>
  <c r="IA16" i="4" s="1"/>
  <c r="IY9" i="4" s="1"/>
  <c r="IX16" i="4" s="1"/>
  <c r="N29" i="1"/>
  <c r="IQ9" i="4" s="1"/>
  <c r="HV7" i="4" s="1"/>
  <c r="IH9" i="4" s="1"/>
  <c r="BI32" i="1"/>
  <c r="P163" i="1"/>
  <c r="IG16" i="4" s="1"/>
  <c r="JD14" i="4" s="1"/>
  <c r="IW16" i="4" s="1"/>
  <c r="IA9" i="4" s="1"/>
  <c r="BI28" i="1"/>
  <c r="E167" i="1"/>
  <c r="IJ7" i="4" s="1"/>
  <c r="IO9" i="4" s="1"/>
  <c r="AK47" i="1"/>
  <c r="U31" i="1"/>
  <c r="I21" i="1"/>
  <c r="V54" i="1"/>
  <c r="IM9" i="4" s="1"/>
  <c r="IU16" i="4" s="1"/>
  <c r="HS9" i="4" s="1"/>
  <c r="IM16" i="4" s="1"/>
  <c r="IM21" i="4" s="1"/>
  <c r="BF85" i="1" s="1"/>
  <c r="ID16" i="4" s="1"/>
  <c r="AJ32" i="1"/>
  <c r="C17" i="1"/>
  <c r="F43" i="1"/>
  <c r="HQ9" i="4" s="1"/>
  <c r="JI16" i="4" s="1"/>
  <c r="AJ53" i="1"/>
  <c r="AL32" i="1"/>
  <c r="P33" i="1"/>
  <c r="IE16" i="4" s="1"/>
  <c r="IZ9" i="4" s="1"/>
  <c r="IZ16" i="4" s="1"/>
  <c r="IZ21" i="4" s="1"/>
  <c r="BS85" i="1" s="1"/>
  <c r="IO16" i="4" s="1"/>
  <c r="HT16" i="4" s="1"/>
  <c r="AI17" i="1"/>
  <c r="AK17" i="1"/>
  <c r="S29" i="1"/>
  <c r="F40" i="1"/>
  <c r="N23" i="1"/>
  <c r="F33" i="1"/>
  <c r="P161" i="1"/>
  <c r="J28" i="1"/>
  <c r="D29" i="1"/>
  <c r="N43" i="1"/>
  <c r="U32" i="1"/>
  <c r="M29" i="1"/>
  <c r="S55" i="1"/>
  <c r="Q55" i="1"/>
  <c r="J53" i="1"/>
  <c r="K29" i="1"/>
  <c r="P16" i="1"/>
  <c r="Q30" i="1"/>
  <c r="P17" i="1"/>
  <c r="E55" i="1"/>
  <c r="B59" i="1"/>
  <c r="S30" i="1"/>
  <c r="R16" i="1"/>
  <c r="R239" i="1" s="1"/>
  <c r="D55" i="1"/>
  <c r="Q43" i="1"/>
  <c r="O28" i="1"/>
  <c r="R29" i="1"/>
  <c r="D30" i="1"/>
  <c r="R23" i="1"/>
  <c r="K43" i="1"/>
  <c r="T55" i="1"/>
  <c r="IR16" i="4" s="1"/>
  <c r="HX9" i="4" s="1"/>
  <c r="BW17" i="1"/>
  <c r="AI29" i="1"/>
  <c r="BW30" i="1"/>
  <c r="AK33" i="1"/>
  <c r="W23" i="1"/>
  <c r="C28" i="1"/>
  <c r="L47" i="1"/>
  <c r="D17" i="1"/>
  <c r="U21" i="1"/>
  <c r="C59" i="1"/>
  <c r="F28" i="1"/>
  <c r="K30" i="1"/>
  <c r="D28" i="1"/>
  <c r="B29" i="1"/>
  <c r="C132" i="1"/>
  <c r="IB14" i="4" s="1"/>
  <c r="HS8" i="4" s="1"/>
  <c r="HW9" i="4" s="1"/>
  <c r="BW54" i="1"/>
  <c r="AL30" i="1"/>
  <c r="BW32" i="1"/>
  <c r="AK44" i="1"/>
  <c r="BW53" i="1"/>
  <c r="K40" i="1"/>
  <c r="K202" i="1" s="1"/>
  <c r="B44" i="1"/>
  <c r="O32" i="1"/>
  <c r="H59" i="1"/>
  <c r="I30" i="1"/>
  <c r="M54" i="1"/>
  <c r="M40" i="1"/>
  <c r="M202" i="1" s="1"/>
  <c r="N30" i="1"/>
  <c r="N17" i="1"/>
  <c r="T30" i="1"/>
  <c r="B23" i="1"/>
  <c r="G54" i="1"/>
  <c r="P55" i="1"/>
  <c r="F59" i="1"/>
  <c r="M30" i="1"/>
  <c r="U43" i="1"/>
  <c r="P28" i="1"/>
  <c r="K54" i="1"/>
  <c r="T47" i="1"/>
  <c r="B16" i="1"/>
  <c r="B239" i="1" s="1"/>
  <c r="P168" i="1"/>
  <c r="IF9" i="4" s="1"/>
  <c r="HY16" i="4" s="1"/>
  <c r="AK53" i="1"/>
  <c r="BW23" i="1"/>
  <c r="AI28" i="1"/>
  <c r="U44" i="1"/>
  <c r="U260" i="1" s="1"/>
  <c r="D40" i="1"/>
  <c r="D202" i="1" s="1"/>
  <c r="T54" i="1"/>
  <c r="BW82" i="1"/>
  <c r="Q29" i="1"/>
  <c r="L29" i="1"/>
  <c r="K33" i="1"/>
  <c r="S33" i="1"/>
  <c r="R30" i="1"/>
  <c r="S17" i="1"/>
  <c r="C29" i="1"/>
  <c r="J55" i="1"/>
  <c r="Q161" i="1"/>
  <c r="T16" i="1"/>
  <c r="T239" i="1" s="1"/>
  <c r="W125" i="1"/>
  <c r="R59" i="1"/>
  <c r="HR16" i="4" s="1"/>
  <c r="BW44" i="1"/>
  <c r="AI30" i="1"/>
  <c r="AJ31" i="1"/>
  <c r="C44" i="1"/>
  <c r="J40" i="1"/>
  <c r="J202" i="1" s="1"/>
  <c r="Q21" i="1"/>
  <c r="D33" i="1"/>
  <c r="BX81" i="1"/>
  <c r="Q40" i="1"/>
  <c r="Q202" i="1" s="1"/>
  <c r="G31" i="1"/>
  <c r="Q28" i="1"/>
  <c r="G43" i="1"/>
  <c r="Q32" i="1"/>
  <c r="N44" i="1"/>
  <c r="U59" i="1"/>
  <c r="N16" i="1"/>
  <c r="N239" i="1" s="1"/>
  <c r="J21" i="1"/>
  <c r="E32" i="1"/>
  <c r="JE9" i="4" s="1"/>
  <c r="BI16" i="1"/>
  <c r="BI239" i="1" s="1"/>
  <c r="AK43" i="1"/>
  <c r="AI43" i="1"/>
  <c r="AJ16" i="1"/>
  <c r="E28" i="1"/>
  <c r="E53" i="1"/>
  <c r="L17" i="1"/>
  <c r="W47" i="1"/>
  <c r="L53" i="1"/>
  <c r="H47" i="1"/>
  <c r="P40" i="1"/>
  <c r="P202" i="1" s="1"/>
  <c r="I23" i="1"/>
  <c r="F53" i="1"/>
  <c r="V53" i="1"/>
  <c r="O17" i="1"/>
  <c r="H28" i="1"/>
  <c r="L28" i="1"/>
  <c r="HV16" i="4" s="1"/>
  <c r="IA7" i="4" s="1"/>
  <c r="JF16" i="4" s="1"/>
  <c r="JF21" i="4" s="1"/>
  <c r="BY85" i="1" s="1"/>
  <c r="BY102" i="1" s="1"/>
  <c r="IH16" i="4" s="1"/>
  <c r="JD16" i="4" s="1"/>
  <c r="BW21" i="1"/>
  <c r="AL43" i="1"/>
  <c r="AL31" i="1"/>
  <c r="AK22" i="1"/>
  <c r="BI21" i="1"/>
  <c r="M31" i="1"/>
  <c r="J31" i="1"/>
  <c r="B31" i="1"/>
  <c r="J33" i="1"/>
  <c r="K21" i="1"/>
  <c r="H44" i="1"/>
  <c r="C33" i="1"/>
  <c r="L32" i="1"/>
  <c r="L23" i="1"/>
  <c r="U33" i="1"/>
  <c r="J17" i="1"/>
  <c r="V59" i="1"/>
  <c r="C55" i="1"/>
  <c r="J32" i="1"/>
  <c r="W21" i="1"/>
  <c r="N53" i="1"/>
  <c r="T40" i="1"/>
  <c r="T202" i="1" s="1"/>
  <c r="E43" i="1"/>
  <c r="IG9" i="4" s="1"/>
  <c r="HP9" i="4" s="1"/>
  <c r="IX7" i="4" s="1"/>
  <c r="IQ16" i="4" s="1"/>
  <c r="HV9" i="4" s="1"/>
  <c r="IJ16" i="4" s="1"/>
  <c r="IF7" i="4" s="1"/>
  <c r="BW47" i="1"/>
  <c r="BW33" i="1"/>
  <c r="BI22" i="1"/>
  <c r="AJ54" i="1"/>
  <c r="AJ43" i="1"/>
  <c r="AI47" i="1"/>
  <c r="BW22" i="1"/>
  <c r="N28" i="1"/>
  <c r="L16" i="1"/>
  <c r="L239" i="1" s="1"/>
  <c r="V30" i="1"/>
  <c r="W53" i="1"/>
  <c r="L21" i="1"/>
  <c r="D23" i="1"/>
  <c r="O59" i="1"/>
  <c r="H29" i="1"/>
  <c r="K31" i="1"/>
  <c r="C31" i="1"/>
  <c r="V47" i="1"/>
  <c r="N47" i="1"/>
  <c r="W43" i="1"/>
  <c r="U23" i="1"/>
  <c r="G171" i="1"/>
  <c r="T59" i="1"/>
  <c r="O31" i="1"/>
  <c r="V32" i="1"/>
  <c r="N59" i="1"/>
  <c r="F30" i="1"/>
  <c r="T31" i="1"/>
  <c r="F16" i="1"/>
  <c r="F239" i="1" s="1"/>
  <c r="D54" i="1"/>
  <c r="W17" i="1"/>
  <c r="W18" i="1" s="1"/>
  <c r="IE9" i="4" s="1"/>
  <c r="IN9" i="4" s="1"/>
  <c r="IP16" i="4" s="1"/>
  <c r="AI44" i="1"/>
  <c r="BI31" i="1"/>
  <c r="AI23" i="1"/>
  <c r="AJ33" i="1"/>
  <c r="BI29" i="1"/>
  <c r="G44" i="1"/>
  <c r="B21" i="1"/>
  <c r="O23" i="1"/>
  <c r="J30" i="1"/>
  <c r="G28" i="1"/>
  <c r="U29" i="1"/>
  <c r="O33" i="1"/>
  <c r="B17" i="1"/>
  <c r="P53" i="1"/>
  <c r="V28" i="1"/>
  <c r="C32" i="1"/>
  <c r="D31" i="1"/>
  <c r="L31" i="1"/>
  <c r="R17" i="1"/>
  <c r="O47" i="1"/>
  <c r="G33" i="1"/>
  <c r="G17" i="1"/>
  <c r="S32" i="1"/>
  <c r="O54" i="1"/>
  <c r="V55" i="1"/>
  <c r="V21" i="1"/>
  <c r="T17" i="1"/>
  <c r="G161" i="1"/>
  <c r="C23" i="1"/>
  <c r="G32" i="1"/>
  <c r="H31" i="1"/>
  <c r="P23" i="1"/>
  <c r="R32" i="1"/>
  <c r="E29" i="1"/>
  <c r="P54" i="1"/>
  <c r="T33" i="1"/>
  <c r="I54" i="1"/>
  <c r="F55" i="1"/>
  <c r="M33" i="1"/>
  <c r="T43" i="1"/>
  <c r="T28" i="1"/>
  <c r="P30" i="1"/>
  <c r="H43" i="1"/>
  <c r="U55" i="1"/>
  <c r="IR14" i="4" s="1"/>
  <c r="IW15" i="4" s="1"/>
  <c r="IU8" i="4" s="1"/>
  <c r="JI15" i="4" s="1"/>
  <c r="HU15" i="4" s="1"/>
  <c r="HQ14" i="4" s="1"/>
  <c r="IN15" i="4" s="1"/>
  <c r="IH7" i="4" s="1"/>
  <c r="HP8" i="4" s="1"/>
  <c r="HR8" i="4" s="1"/>
  <c r="JG15" i="4" s="1"/>
  <c r="IN7" i="4" s="1"/>
  <c r="AI31" i="1"/>
  <c r="AI33" i="1"/>
  <c r="BW55" i="1"/>
  <c r="BW29" i="1"/>
  <c r="BW59" i="1"/>
  <c r="AI53" i="1"/>
  <c r="AJ40" i="1"/>
  <c r="AJ202" i="1" s="1"/>
  <c r="AK29" i="1"/>
  <c r="I47" i="1"/>
  <c r="E31" i="1"/>
  <c r="B32" i="1"/>
  <c r="I28" i="1"/>
  <c r="S53" i="1"/>
  <c r="G53" i="1"/>
  <c r="K47" i="1"/>
  <c r="J16" i="1"/>
  <c r="J239" i="1" s="1"/>
  <c r="B53" i="1"/>
  <c r="E54" i="1"/>
  <c r="L55" i="1"/>
  <c r="Q31" i="1"/>
  <c r="S40" i="1"/>
  <c r="S202" i="1" s="1"/>
  <c r="E44" i="1"/>
  <c r="W31" i="1"/>
  <c r="I16" i="1"/>
  <c r="I239" i="1" s="1"/>
  <c r="E21" i="1"/>
  <c r="H53" i="1"/>
  <c r="U54" i="1"/>
  <c r="Q16" i="1"/>
  <c r="Q33" i="1"/>
  <c r="J23" i="1"/>
  <c r="E40" i="1"/>
  <c r="E202" i="1" s="1"/>
  <c r="O40" i="1"/>
  <c r="O202" i="1" s="1"/>
  <c r="U17" i="1"/>
  <c r="U18" i="1" s="1"/>
  <c r="U7" i="1" s="1"/>
  <c r="U6" i="1" s="1"/>
  <c r="G55" i="1"/>
  <c r="W28" i="1"/>
  <c r="R40" i="1"/>
  <c r="R202" i="1" s="1"/>
  <c r="I33" i="1"/>
  <c r="H40" i="1"/>
  <c r="W54" i="1"/>
  <c r="R21" i="1"/>
  <c r="U40" i="1"/>
  <c r="U261" i="1" s="1"/>
  <c r="B54" i="1"/>
  <c r="F23" i="1"/>
  <c r="C47" i="1"/>
  <c r="S44" i="1"/>
  <c r="L43" i="1"/>
  <c r="K44" i="1"/>
  <c r="K28" i="1"/>
  <c r="D16" i="1"/>
  <c r="J127" i="1"/>
  <c r="D21" i="1"/>
  <c r="P43" i="1"/>
  <c r="V40" i="1"/>
  <c r="V202" i="1" s="1"/>
  <c r="E23" i="1"/>
  <c r="W33" i="1"/>
  <c r="W44" i="1"/>
  <c r="W260" i="1" s="1"/>
  <c r="E17" i="1"/>
  <c r="H55" i="1"/>
  <c r="R47" i="1"/>
  <c r="L40" i="1"/>
  <c r="L202" i="1" s="1"/>
  <c r="V33" i="1"/>
  <c r="L44" i="1"/>
  <c r="D47" i="1"/>
  <c r="Q53" i="1"/>
  <c r="G30" i="1"/>
  <c r="V43" i="1"/>
  <c r="L30" i="1"/>
  <c r="W32" i="1"/>
  <c r="K59" i="1"/>
  <c r="Q23" i="1"/>
  <c r="Q44" i="1"/>
  <c r="R54" i="1"/>
  <c r="Q59" i="1"/>
  <c r="F31" i="1"/>
  <c r="T29" i="1"/>
  <c r="F17" i="1"/>
  <c r="R53" i="1"/>
  <c r="U53" i="1"/>
  <c r="IL15" i="4" s="1"/>
  <c r="IT9" i="4" s="1"/>
  <c r="AI40" i="1"/>
  <c r="AI202" i="1" s="1"/>
  <c r="AK30" i="1"/>
  <c r="AL22" i="1"/>
  <c r="AJ28" i="1"/>
  <c r="AL16" i="1"/>
  <c r="AI21" i="1"/>
  <c r="AJ30" i="1"/>
  <c r="AK59" i="1"/>
  <c r="AL29" i="1"/>
  <c r="F32" i="1"/>
  <c r="T53" i="1"/>
  <c r="H32" i="1"/>
  <c r="M53" i="1"/>
  <c r="W59" i="1"/>
  <c r="H16" i="1"/>
  <c r="H239" i="1" s="1"/>
  <c r="M32" i="1"/>
  <c r="BK82" i="1"/>
  <c r="R33" i="1"/>
  <c r="P44" i="1"/>
  <c r="I59" i="1"/>
  <c r="C40" i="1"/>
  <c r="C202" i="1" s="1"/>
  <c r="P32" i="1"/>
  <c r="M47" i="1"/>
  <c r="D44" i="1"/>
  <c r="O21" i="1"/>
  <c r="L59" i="1"/>
  <c r="O30" i="1"/>
  <c r="C43" i="1"/>
  <c r="J59" i="1"/>
  <c r="N33" i="1"/>
  <c r="B40" i="1"/>
  <c r="B30" i="1"/>
  <c r="L54" i="1"/>
  <c r="P29" i="1"/>
  <c r="N54" i="1"/>
  <c r="H33" i="1"/>
  <c r="G47" i="1"/>
  <c r="K17" i="1"/>
  <c r="P59" i="1"/>
  <c r="I32" i="1"/>
  <c r="D53" i="1"/>
  <c r="K55" i="1"/>
  <c r="N32" i="1"/>
  <c r="G29" i="1"/>
  <c r="IB16" i="4" s="1"/>
  <c r="AL44" i="1"/>
  <c r="AL260" i="1" s="1"/>
  <c r="AL47" i="1"/>
  <c r="AL28" i="1"/>
  <c r="AL40" i="1"/>
  <c r="AL202" i="1" s="1"/>
  <c r="AI59" i="1"/>
  <c r="AJ29" i="1"/>
  <c r="AK31" i="1"/>
  <c r="AJ21" i="1"/>
  <c r="AJ23" i="1"/>
  <c r="AK21" i="1"/>
  <c r="E33" i="1"/>
  <c r="E47" i="1"/>
  <c r="Q47" i="1"/>
  <c r="D32" i="1"/>
  <c r="R55" i="1"/>
  <c r="R28" i="1"/>
  <c r="U47" i="1"/>
  <c r="M23" i="1"/>
  <c r="I55" i="1"/>
  <c r="S43" i="1"/>
  <c r="M43" i="1"/>
  <c r="B55" i="1"/>
  <c r="W29" i="1"/>
  <c r="H54" i="1"/>
  <c r="O55" i="1"/>
  <c r="P31" i="1"/>
  <c r="N55" i="1"/>
  <c r="J47" i="1"/>
  <c r="O29" i="1"/>
  <c r="J44" i="1"/>
  <c r="D59" i="1"/>
  <c r="R43" i="1"/>
  <c r="U28" i="1"/>
  <c r="H23" i="1"/>
  <c r="S54" i="1"/>
  <c r="P21" i="1"/>
  <c r="M44" i="1"/>
  <c r="M55" i="1"/>
  <c r="N40" i="1"/>
  <c r="K32" i="1"/>
  <c r="I40" i="1"/>
  <c r="I202" i="1" s="1"/>
  <c r="G23" i="1"/>
  <c r="C16" i="1"/>
  <c r="V44" i="1"/>
  <c r="V260" i="1" s="1"/>
  <c r="JB16" i="4" s="1"/>
  <c r="IS9" i="4" s="1"/>
  <c r="HR9" i="4" s="1"/>
  <c r="AK54" i="1"/>
  <c r="AK55" i="1"/>
  <c r="AI54" i="1"/>
  <c r="BW40" i="1"/>
  <c r="BW202" i="1" s="1"/>
  <c r="AJ47" i="1"/>
  <c r="AI16" i="1"/>
  <c r="AJ59" i="1"/>
  <c r="AI32" i="1"/>
  <c r="AJ17" i="1"/>
  <c r="AJ55" i="1"/>
  <c r="AJ44" i="1"/>
  <c r="B47" i="1"/>
  <c r="W55" i="1"/>
  <c r="S21" i="1"/>
  <c r="O44" i="1"/>
  <c r="B28" i="1"/>
  <c r="D43" i="1"/>
  <c r="K16" i="1"/>
  <c r="K239" i="1" s="1"/>
  <c r="F21" i="1"/>
  <c r="O53" i="1"/>
  <c r="G21" i="1"/>
  <c r="E30" i="1"/>
  <c r="C54" i="1"/>
  <c r="G40" i="1"/>
  <c r="G202" i="1" s="1"/>
  <c r="F44" i="1"/>
  <c r="T32" i="1"/>
  <c r="W140" i="1"/>
  <c r="R31" i="1"/>
  <c r="I17" i="1"/>
  <c r="M28" i="1"/>
  <c r="M59" i="1"/>
  <c r="V23" i="1"/>
  <c r="H30" i="1"/>
  <c r="J29" i="1"/>
  <c r="O43" i="1"/>
  <c r="T21" i="1"/>
  <c r="T44" i="1"/>
  <c r="S23" i="1"/>
  <c r="E16" i="1"/>
  <c r="E239" i="1" s="1"/>
  <c r="Q54" i="1"/>
  <c r="J54" i="1"/>
  <c r="P135" i="1"/>
  <c r="C53" i="1"/>
  <c r="M21" i="1"/>
  <c r="F29" i="1"/>
  <c r="C30" i="1"/>
  <c r="W30" i="1"/>
  <c r="S59" i="1"/>
  <c r="HU16" i="4" s="1"/>
  <c r="AK40" i="1"/>
  <c r="BW43" i="1"/>
  <c r="AL17" i="1"/>
  <c r="AK32" i="1"/>
  <c r="AJ22" i="1"/>
  <c r="BW31" i="1"/>
  <c r="AL21" i="1"/>
  <c r="AK23" i="1"/>
  <c r="AL33" i="1"/>
  <c r="AK16" i="1"/>
  <c r="AK239" i="1" s="1"/>
  <c r="BI33" i="1"/>
  <c r="AI55" i="1"/>
  <c r="AL23" i="1"/>
  <c r="D130" i="1"/>
  <c r="Q17" i="1"/>
  <c r="B43" i="1"/>
  <c r="I43" i="1"/>
  <c r="C21" i="1"/>
  <c r="BW81" i="1"/>
  <c r="I29" i="1"/>
  <c r="S16" i="1"/>
  <c r="S239" i="1" s="1"/>
  <c r="B33" i="1"/>
  <c r="V31" i="1"/>
  <c r="M16" i="1"/>
  <c r="M239" i="1" s="1"/>
  <c r="S28" i="1"/>
  <c r="M17" i="1"/>
  <c r="M18" i="1" s="1"/>
  <c r="W40" i="1"/>
  <c r="W261" i="1" s="1"/>
  <c r="N21" i="1"/>
  <c r="O16" i="1"/>
  <c r="G16" i="1"/>
  <c r="G239" i="1" s="1"/>
  <c r="K53" i="1"/>
  <c r="I44" i="1"/>
  <c r="S47" i="1"/>
  <c r="I31" i="1"/>
  <c r="E59" i="1"/>
  <c r="J43" i="1"/>
  <c r="F54" i="1"/>
  <c r="P47" i="1"/>
  <c r="K23" i="1"/>
  <c r="R44" i="1"/>
  <c r="L33" i="1"/>
  <c r="T23" i="1"/>
  <c r="CJ107" i="1"/>
  <c r="CJ115" i="1"/>
  <c r="CJ116" i="1"/>
  <c r="AK202" i="1"/>
  <c r="AA139" i="1"/>
  <c r="AK82" i="1"/>
  <c r="AK81" i="1"/>
  <c r="JE15" i="4"/>
  <c r="IQ15" i="4"/>
  <c r="IX15" i="4"/>
  <c r="II7" i="4"/>
  <c r="HX7" i="4"/>
  <c r="II15" i="4"/>
  <c r="HT7" i="4"/>
  <c r="HX8" i="4"/>
  <c r="IT14" i="4"/>
  <c r="IK15" i="4"/>
  <c r="HY14" i="4"/>
  <c r="HU14" i="4"/>
  <c r="HZ15" i="4"/>
  <c r="IT15" i="4"/>
  <c r="IF15" i="4"/>
  <c r="IO14" i="4"/>
  <c r="IJ8" i="4"/>
  <c r="HR15" i="4"/>
  <c r="HU7" i="4"/>
  <c r="II14" i="4"/>
  <c r="IJ14" i="4"/>
  <c r="JC15" i="4"/>
  <c r="ID7" i="4"/>
  <c r="II8" i="4"/>
  <c r="JA15" i="4"/>
  <c r="IT7" i="4"/>
  <c r="O239" i="1"/>
  <c r="IQ7" i="4"/>
  <c r="IF8" i="4"/>
  <c r="BY210" i="1"/>
  <c r="CO85" i="1"/>
  <c r="AA140" i="1"/>
  <c r="AA142" i="1" s="1"/>
  <c r="CM71" i="1"/>
  <c r="CL73" i="1"/>
  <c r="AA71" i="1"/>
  <c r="Z71" i="1" s="1"/>
  <c r="Z73" i="1" s="1"/>
  <c r="T18" i="1" l="1"/>
  <c r="Z74" i="1"/>
  <c r="Z100" i="1"/>
  <c r="Z107" i="1"/>
  <c r="Z115" i="1"/>
  <c r="Z118" i="1" s="1"/>
  <c r="Z121" i="1" s="1"/>
  <c r="Z116" i="1"/>
  <c r="Z119" i="1" s="1"/>
  <c r="Z122" i="1" s="1"/>
  <c r="S18" i="1"/>
  <c r="AL239" i="1"/>
  <c r="AI140" i="1"/>
  <c r="AI142" i="1" s="1"/>
  <c r="AI146" i="1" s="1"/>
  <c r="N260" i="1"/>
  <c r="IV21" i="4"/>
  <c r="BO85" i="1" s="1"/>
  <c r="C239" i="1"/>
  <c r="C18" i="1"/>
  <c r="AI45" i="1"/>
  <c r="H18" i="1"/>
  <c r="IF21" i="4"/>
  <c r="AY85" i="1" s="1"/>
  <c r="IA21" i="4"/>
  <c r="AT85" i="1" s="1"/>
  <c r="JA9" i="4" s="1"/>
  <c r="IC7" i="4" s="1"/>
  <c r="IU9" i="4" s="1"/>
  <c r="IO21" i="4"/>
  <c r="BH85" i="1" s="1"/>
  <c r="HT9" i="4" s="1"/>
  <c r="HR21" i="4"/>
  <c r="AK85" i="1" s="1"/>
  <c r="IL16" i="4" s="1"/>
  <c r="IP21" i="4"/>
  <c r="BI85" i="1" s="1"/>
  <c r="R18" i="1"/>
  <c r="R106" i="1" s="1"/>
  <c r="AI34" i="1"/>
  <c r="HU21" i="4"/>
  <c r="AN85" i="1" s="1"/>
  <c r="R260" i="1"/>
  <c r="HQ21" i="4"/>
  <c r="AJ85" i="1" s="1"/>
  <c r="B260" i="1"/>
  <c r="JD21" i="4"/>
  <c r="BW85" i="1" s="1"/>
  <c r="B261" i="1"/>
  <c r="H260" i="1"/>
  <c r="IQ21" i="4"/>
  <c r="BJ85" i="1" s="1"/>
  <c r="H24" i="1"/>
  <c r="H25" i="1" s="1"/>
  <c r="AL188" i="1"/>
  <c r="AM188" i="1" s="1"/>
  <c r="AL187" i="1"/>
  <c r="AM187" i="1" s="1"/>
  <c r="JB7" i="4"/>
  <c r="IE7" i="4"/>
  <c r="IR15" i="4"/>
  <c r="HW14" i="4"/>
  <c r="IL8" i="4"/>
  <c r="IU14" i="4"/>
  <c r="HR7" i="4"/>
  <c r="IR8" i="4"/>
  <c r="JH7" i="4"/>
  <c r="JF7" i="4"/>
  <c r="HS14" i="4"/>
  <c r="JF14" i="4"/>
  <c r="IE14" i="4"/>
  <c r="JB15" i="4"/>
  <c r="AK140" i="1"/>
  <c r="HZ14" i="4"/>
  <c r="IG21" i="4"/>
  <c r="AZ85" i="1" s="1"/>
  <c r="IT8" i="4"/>
  <c r="IX14" i="4"/>
  <c r="HV21" i="4"/>
  <c r="AO85" i="1" s="1"/>
  <c r="D260" i="1"/>
  <c r="D239" i="1"/>
  <c r="V106" i="1"/>
  <c r="V7" i="1"/>
  <c r="IN21" i="4"/>
  <c r="BG85" i="1" s="1"/>
  <c r="IA8" i="4"/>
  <c r="IV8" i="4"/>
  <c r="IS21" i="4"/>
  <c r="BL85" i="1" s="1"/>
  <c r="JA8" i="4"/>
  <c r="HQ8" i="4"/>
  <c r="IZ15" i="4"/>
  <c r="IW8" i="4"/>
  <c r="HX21" i="4"/>
  <c r="AQ85" i="1" s="1"/>
  <c r="IY7" i="4"/>
  <c r="ID15" i="4"/>
  <c r="HR14" i="4"/>
  <c r="HW15" i="4"/>
  <c r="JG8" i="4"/>
  <c r="HQ7" i="4"/>
  <c r="HQ19" i="4" s="1"/>
  <c r="AJ86" i="1" s="1"/>
  <c r="HS21" i="4"/>
  <c r="AL85" i="1" s="1"/>
  <c r="HT15" i="4"/>
  <c r="IV14" i="4"/>
  <c r="IO7" i="4"/>
  <c r="IO19" i="4" s="1"/>
  <c r="BH86" i="1" s="1"/>
  <c r="BH115" i="1" s="1"/>
  <c r="IW7" i="4"/>
  <c r="HQ15" i="4"/>
  <c r="HQ20" i="4" s="1"/>
  <c r="AJ87" i="1" s="1"/>
  <c r="IG7" i="4"/>
  <c r="JB8" i="4"/>
  <c r="JE7" i="4"/>
  <c r="HY8" i="4"/>
  <c r="IF14" i="4"/>
  <c r="IF19" i="4" s="1"/>
  <c r="AY86" i="1" s="1"/>
  <c r="AY115" i="1" s="1"/>
  <c r="IV15" i="4"/>
  <c r="IY15" i="4"/>
  <c r="HY15" i="4"/>
  <c r="HY20" i="4" s="1"/>
  <c r="AR87" i="1" s="1"/>
  <c r="AR116" i="1" s="1"/>
  <c r="JC8" i="4"/>
  <c r="IH15" i="4"/>
  <c r="IE15" i="4"/>
  <c r="IR7" i="4"/>
  <c r="IU21" i="4"/>
  <c r="BN85" i="1" s="1"/>
  <c r="JH15" i="4"/>
  <c r="IH8" i="4"/>
  <c r="IQ14" i="4"/>
  <c r="IQ19" i="4" s="1"/>
  <c r="BJ86" i="1" s="1"/>
  <c r="BJ115" i="1" s="1"/>
  <c r="JI21" i="4"/>
  <c r="CB85" i="1" s="1"/>
  <c r="JH8" i="4"/>
  <c r="ID14" i="4"/>
  <c r="ID19" i="4" s="1"/>
  <c r="AW86" i="1" s="1"/>
  <c r="AW115" i="1" s="1"/>
  <c r="HP15" i="4"/>
  <c r="HP20" i="4" s="1"/>
  <c r="AI87" i="1" s="1"/>
  <c r="IE21" i="4"/>
  <c r="AX85" i="1" s="1"/>
  <c r="IM14" i="4"/>
  <c r="JB14" i="4"/>
  <c r="JB19" i="4" s="1"/>
  <c r="BU86" i="1" s="1"/>
  <c r="BU115" i="1" s="1"/>
  <c r="IG8" i="4"/>
  <c r="IA14" i="4"/>
  <c r="IA19" i="4" s="1"/>
  <c r="AT86" i="1" s="1"/>
  <c r="AT115" i="1" s="1"/>
  <c r="HP14" i="4"/>
  <c r="JI14" i="4"/>
  <c r="IU7" i="4"/>
  <c r="IU19" i="4" s="1"/>
  <c r="BN86" i="1" s="1"/>
  <c r="BN115" i="1" s="1"/>
  <c r="IL14" i="4"/>
  <c r="IH21" i="4"/>
  <c r="BA85" i="1" s="1"/>
  <c r="JG7" i="4"/>
  <c r="IS15" i="4"/>
  <c r="IB15" i="4"/>
  <c r="ID8" i="4"/>
  <c r="IS7" i="4"/>
  <c r="IN8" i="4"/>
  <c r="JD7" i="4"/>
  <c r="JD19" i="4" s="1"/>
  <c r="BW86" i="1" s="1"/>
  <c r="IA15" i="4"/>
  <c r="HV14" i="4"/>
  <c r="HV19" i="4" s="1"/>
  <c r="AO86" i="1" s="1"/>
  <c r="AO115" i="1" s="1"/>
  <c r="IZ8" i="4"/>
  <c r="IM7" i="4"/>
  <c r="O34" i="1"/>
  <c r="M260" i="1"/>
  <c r="HT14" i="4"/>
  <c r="HT19" i="4" s="1"/>
  <c r="AM86" i="1" s="1"/>
  <c r="AM115" i="1" s="1"/>
  <c r="IK8" i="4"/>
  <c r="F260" i="1"/>
  <c r="I18" i="1"/>
  <c r="T260" i="1"/>
  <c r="HY7" i="4"/>
  <c r="HY19" i="4" s="1"/>
  <c r="AR86" i="1" s="1"/>
  <c r="AR115" i="1" s="1"/>
  <c r="IL7" i="4"/>
  <c r="IP7" i="4"/>
  <c r="BW34" i="1"/>
  <c r="O18" i="1"/>
  <c r="H202" i="1"/>
  <c r="H261" i="1"/>
  <c r="AJ34" i="1"/>
  <c r="T261" i="1"/>
  <c r="J260" i="1"/>
  <c r="W34" i="1"/>
  <c r="Q18" i="1"/>
  <c r="R19" i="1" s="1"/>
  <c r="V24" i="1"/>
  <c r="C260" i="1"/>
  <c r="D18" i="1"/>
  <c r="D196" i="1" s="1"/>
  <c r="P261" i="1"/>
  <c r="BW18" i="1"/>
  <c r="E34" i="1"/>
  <c r="Q260" i="1"/>
  <c r="L260" i="1"/>
  <c r="R261" i="1"/>
  <c r="AL18" i="1"/>
  <c r="AL24" i="1" s="1"/>
  <c r="AL25" i="1" s="1"/>
  <c r="AJ18" i="1"/>
  <c r="F261" i="1"/>
  <c r="I34" i="1"/>
  <c r="Q191" i="1"/>
  <c r="AK260" i="1"/>
  <c r="AK18" i="1"/>
  <c r="AK261" i="1"/>
  <c r="O260" i="1"/>
  <c r="B34" i="1"/>
  <c r="J18" i="1"/>
  <c r="J19" i="1" s="1"/>
  <c r="N18" i="1"/>
  <c r="P18" i="1"/>
  <c r="P191" i="1"/>
  <c r="AL210" i="1"/>
  <c r="M34" i="1"/>
  <c r="P260" i="1"/>
  <c r="E18" i="1"/>
  <c r="E24" i="1" s="1"/>
  <c r="S260" i="1"/>
  <c r="H34" i="1"/>
  <c r="V34" i="1"/>
  <c r="V35" i="1" s="1"/>
  <c r="Q34" i="1"/>
  <c r="BW260" i="1"/>
  <c r="L34" i="1"/>
  <c r="N34" i="1"/>
  <c r="S34" i="1"/>
  <c r="AJ191" i="1"/>
  <c r="AK191" i="1" s="1"/>
  <c r="AL191" i="1"/>
  <c r="AM191" i="1" s="1"/>
  <c r="AI239" i="1"/>
  <c r="AI18" i="1"/>
  <c r="AI24" i="1" s="1"/>
  <c r="AI25" i="1" s="1"/>
  <c r="IP15" i="4"/>
  <c r="N202" i="1"/>
  <c r="N261" i="1"/>
  <c r="IZ7" i="4"/>
  <c r="IP8" i="4"/>
  <c r="W7" i="1"/>
  <c r="W6" i="1" s="1"/>
  <c r="X11" i="1" s="1"/>
  <c r="W106" i="1"/>
  <c r="X196" i="1"/>
  <c r="W24" i="1"/>
  <c r="W196" i="1"/>
  <c r="W19" i="1"/>
  <c r="IK14" i="4"/>
  <c r="IM15" i="4"/>
  <c r="C34" i="1"/>
  <c r="HZ7" i="4"/>
  <c r="X19" i="1"/>
  <c r="JF15" i="4"/>
  <c r="JE14" i="4"/>
  <c r="HW8" i="4"/>
  <c r="IX8" i="4"/>
  <c r="IX20" i="4" s="1"/>
  <c r="BQ87" i="1" s="1"/>
  <c r="BQ116" i="1" s="1"/>
  <c r="V261" i="1"/>
  <c r="Q261" i="1"/>
  <c r="IS8" i="4"/>
  <c r="P34" i="1"/>
  <c r="F34" i="1"/>
  <c r="JH14" i="4"/>
  <c r="AK34" i="1"/>
  <c r="G34" i="1"/>
  <c r="G260" i="1"/>
  <c r="IB7" i="4"/>
  <c r="IB19" i="4" s="1"/>
  <c r="AU86" i="1" s="1"/>
  <c r="AU115" i="1" s="1"/>
  <c r="IO8" i="4"/>
  <c r="D34" i="1"/>
  <c r="JD15" i="4"/>
  <c r="JG14" i="4"/>
  <c r="IP14" i="4"/>
  <c r="IY14" i="4"/>
  <c r="IK7" i="4"/>
  <c r="IY8" i="4"/>
  <c r="IH14" i="4"/>
  <c r="IH19" i="4" s="1"/>
  <c r="BA86" i="1" s="1"/>
  <c r="BA115" i="1" s="1"/>
  <c r="IB8" i="4"/>
  <c r="IS14" i="4"/>
  <c r="IC15" i="4"/>
  <c r="IC14" i="4"/>
  <c r="IC19" i="4" s="1"/>
  <c r="AV86" i="1" s="1"/>
  <c r="AV115" i="1" s="1"/>
  <c r="IU15" i="4"/>
  <c r="IU20" i="4" s="1"/>
  <c r="BN87" i="1" s="1"/>
  <c r="BN116" i="1" s="1"/>
  <c r="P239" i="1"/>
  <c r="K34" i="1"/>
  <c r="R34" i="1"/>
  <c r="JA14" i="4"/>
  <c r="JD8" i="4"/>
  <c r="JI7" i="4"/>
  <c r="AL34" i="1"/>
  <c r="HV15" i="4"/>
  <c r="IZ14" i="4"/>
  <c r="IZ19" i="4" s="1"/>
  <c r="BS86" i="1" s="1"/>
  <c r="BS115" i="1" s="1"/>
  <c r="IO15" i="4"/>
  <c r="T34" i="1"/>
  <c r="IM8" i="4"/>
  <c r="JF8" i="4"/>
  <c r="HV8" i="4"/>
  <c r="JC14" i="4"/>
  <c r="IE8" i="4"/>
  <c r="JI8" i="4"/>
  <c r="JI20" i="4" s="1"/>
  <c r="CB87" i="1" s="1"/>
  <c r="HS15" i="4"/>
  <c r="HS20" i="4" s="1"/>
  <c r="AL87" i="1" s="1"/>
  <c r="JC7" i="4"/>
  <c r="IW14" i="4"/>
  <c r="J34" i="1"/>
  <c r="IG15" i="4"/>
  <c r="HX14" i="4"/>
  <c r="HX19" i="4" s="1"/>
  <c r="AQ86" i="1" s="1"/>
  <c r="AQ115" i="1" s="1"/>
  <c r="U34" i="1"/>
  <c r="IG14" i="4"/>
  <c r="IG19" i="4" s="1"/>
  <c r="AZ86" i="1" s="1"/>
  <c r="AZ115" i="1" s="1"/>
  <c r="IV7" i="4"/>
  <c r="HW7" i="4"/>
  <c r="HU8" i="4"/>
  <c r="HU20" i="4" s="1"/>
  <c r="AN87" i="1" s="1"/>
  <c r="AN116" i="1" s="1"/>
  <c r="IC8" i="4"/>
  <c r="II21" i="4"/>
  <c r="BB85" i="1" s="1"/>
  <c r="IN14" i="4"/>
  <c r="IN19" i="4" s="1"/>
  <c r="BG86" i="1" s="1"/>
  <c r="BG115" i="1" s="1"/>
  <c r="IJ15" i="4"/>
  <c r="IJ20" i="4" s="1"/>
  <c r="BC87" i="1" s="1"/>
  <c r="BC116" i="1" s="1"/>
  <c r="JA7" i="4"/>
  <c r="HT8" i="4"/>
  <c r="D261" i="1"/>
  <c r="J261" i="1"/>
  <c r="B18" i="1"/>
  <c r="B24" i="1" s="1"/>
  <c r="B25" i="1" s="1"/>
  <c r="F202" i="1"/>
  <c r="AI41" i="1"/>
  <c r="AJ187" i="1"/>
  <c r="AK187" i="1" s="1"/>
  <c r="AJ239" i="1"/>
  <c r="Q239" i="1"/>
  <c r="W202" i="1"/>
  <c r="AJ188" i="1"/>
  <c r="AK188" i="1" s="1"/>
  <c r="U202" i="1"/>
  <c r="M261" i="1"/>
  <c r="F18" i="1"/>
  <c r="F106" i="1" s="1"/>
  <c r="I260" i="1"/>
  <c r="CJ112" i="1"/>
  <c r="CJ110" i="1"/>
  <c r="CJ111" i="1"/>
  <c r="AL164" i="1"/>
  <c r="AL193" i="1" s="1"/>
  <c r="I261" i="1"/>
  <c r="K260" i="1"/>
  <c r="BW239" i="1"/>
  <c r="K261" i="1"/>
  <c r="BZ106" i="1"/>
  <c r="BZ107" i="1" s="1"/>
  <c r="AL261" i="1"/>
  <c r="L261" i="1"/>
  <c r="AJ142" i="1"/>
  <c r="AJ146" i="1" s="1"/>
  <c r="AK139" i="1"/>
  <c r="G261" i="1"/>
  <c r="AL136" i="1"/>
  <c r="AM132" i="1"/>
  <c r="AM136" i="1" s="1"/>
  <c r="BW261" i="1"/>
  <c r="V19" i="1"/>
  <c r="C261" i="1"/>
  <c r="AJ156" i="1"/>
  <c r="AM139" i="1"/>
  <c r="AL142" i="1"/>
  <c r="AL146" i="1" s="1"/>
  <c r="AL156" i="1"/>
  <c r="AK171" i="1"/>
  <c r="AL128" i="1"/>
  <c r="AM125" i="1"/>
  <c r="U24" i="1"/>
  <c r="U25" i="1" s="1"/>
  <c r="V196" i="1"/>
  <c r="AJ164" i="1"/>
  <c r="AJ193" i="1" s="1"/>
  <c r="AK125" i="1"/>
  <c r="AJ128" i="1"/>
  <c r="U106" i="1"/>
  <c r="G191" i="1"/>
  <c r="L18" i="1"/>
  <c r="M19" i="1" s="1"/>
  <c r="O261" i="1"/>
  <c r="S261" i="1"/>
  <c r="AK132" i="1"/>
  <c r="AK136" i="1" s="1"/>
  <c r="AJ136" i="1"/>
  <c r="AJ214" i="1" s="1"/>
  <c r="G18" i="1"/>
  <c r="K18" i="1"/>
  <c r="AL106" i="1"/>
  <c r="AL107" i="1" s="1"/>
  <c r="AI210" i="1"/>
  <c r="AH204" i="1"/>
  <c r="AH206" i="1" s="1"/>
  <c r="HR20" i="4"/>
  <c r="AK87" i="1" s="1"/>
  <c r="M24" i="1"/>
  <c r="M25" i="1" s="1"/>
  <c r="II19" i="4"/>
  <c r="BB86" i="1" s="1"/>
  <c r="BB115" i="1" s="1"/>
  <c r="II20" i="4"/>
  <c r="BB87" i="1" s="1"/>
  <c r="BB116" i="1" s="1"/>
  <c r="BY257" i="1"/>
  <c r="BY259" i="1" s="1"/>
  <c r="BY214" i="1"/>
  <c r="BY211" i="1"/>
  <c r="BY209" i="1" s="1"/>
  <c r="BY41" i="1"/>
  <c r="IF20" i="4"/>
  <c r="AY87" i="1" s="1"/>
  <c r="AY116" i="1" s="1"/>
  <c r="IJ19" i="4"/>
  <c r="BC86" i="1" s="1"/>
  <c r="BC115" i="1" s="1"/>
  <c r="HU19" i="4"/>
  <c r="AN86" i="1" s="1"/>
  <c r="AN115" i="1" s="1"/>
  <c r="M106" i="1"/>
  <c r="IT19" i="4"/>
  <c r="BM86" i="1" s="1"/>
  <c r="BM115" i="1" s="1"/>
  <c r="BX100" i="1"/>
  <c r="BY215" i="1"/>
  <c r="AK210" i="1"/>
  <c r="AJ210" i="1"/>
  <c r="CL40" i="1"/>
  <c r="AB85" i="1"/>
  <c r="CP85" i="1"/>
  <c r="AA73" i="1"/>
  <c r="AC148" i="1"/>
  <c r="CM73" i="1"/>
  <c r="CN71" i="1"/>
  <c r="U19" i="1" l="1"/>
  <c r="T24" i="1"/>
  <c r="U196" i="1"/>
  <c r="T106" i="1"/>
  <c r="Z77" i="1"/>
  <c r="Z76" i="1"/>
  <c r="Z102" i="1"/>
  <c r="Z104" i="1"/>
  <c r="Z103" i="1"/>
  <c r="Z110" i="1"/>
  <c r="Z112" i="1"/>
  <c r="Z111" i="1"/>
  <c r="S106" i="1"/>
  <c r="S24" i="1"/>
  <c r="S25" i="1" s="1"/>
  <c r="T196" i="1"/>
  <c r="T19" i="1"/>
  <c r="H106" i="1"/>
  <c r="C24" i="1"/>
  <c r="IA20" i="4"/>
  <c r="AT87" i="1" s="1"/>
  <c r="AT116" i="1" s="1"/>
  <c r="C35" i="1"/>
  <c r="JE19" i="4"/>
  <c r="BX86" i="1" s="1"/>
  <c r="IP19" i="4"/>
  <c r="BI86" i="1" s="1"/>
  <c r="BI115" i="1" s="1"/>
  <c r="JA19" i="4"/>
  <c r="BT86" i="1" s="1"/>
  <c r="BT115" i="1" s="1"/>
  <c r="JI19" i="4"/>
  <c r="CB86" i="1" s="1"/>
  <c r="AL35" i="1"/>
  <c r="IG20" i="4"/>
  <c r="AZ87" i="1" s="1"/>
  <c r="AZ116" i="1" s="1"/>
  <c r="IK20" i="4"/>
  <c r="BD87" i="1" s="1"/>
  <c r="BD116" i="1" s="1"/>
  <c r="W35" i="1"/>
  <c r="H196" i="1"/>
  <c r="AJ41" i="1"/>
  <c r="R24" i="1"/>
  <c r="S19" i="1"/>
  <c r="S196" i="1"/>
  <c r="HT21" i="4"/>
  <c r="AM85" i="1" s="1"/>
  <c r="IW9" i="4"/>
  <c r="IL21" i="4"/>
  <c r="BE85" i="1" s="1"/>
  <c r="JE16" i="4"/>
  <c r="HW20" i="4"/>
  <c r="AP87" i="1" s="1"/>
  <c r="AP116" i="1" s="1"/>
  <c r="HV20" i="4"/>
  <c r="AO87" i="1" s="1"/>
  <c r="AO116" i="1" s="1"/>
  <c r="IV20" i="4"/>
  <c r="BO87" i="1" s="1"/>
  <c r="BO116" i="1" s="1"/>
  <c r="IY20" i="4"/>
  <c r="BR87" i="1" s="1"/>
  <c r="BR116" i="1" s="1"/>
  <c r="IH20" i="4"/>
  <c r="BA87" i="1" s="1"/>
  <c r="BA116" i="1" s="1"/>
  <c r="IE20" i="4"/>
  <c r="AX87" i="1" s="1"/>
  <c r="AX116" i="1" s="1"/>
  <c r="JH20" i="4"/>
  <c r="CA87" i="1" s="1"/>
  <c r="IB20" i="4"/>
  <c r="AU87" i="1" s="1"/>
  <c r="AU116" i="1" s="1"/>
  <c r="ID20" i="4"/>
  <c r="AW87" i="1" s="1"/>
  <c r="AW116" i="1" s="1"/>
  <c r="IM20" i="4"/>
  <c r="BF87" i="1" s="1"/>
  <c r="BF116" i="1" s="1"/>
  <c r="JC19" i="4"/>
  <c r="BV86" i="1" s="1"/>
  <c r="BV115" i="1" s="1"/>
  <c r="IP20" i="4"/>
  <c r="BI87" i="1" s="1"/>
  <c r="BI116" i="1" s="1"/>
  <c r="AK24" i="1"/>
  <c r="AK25" i="1" s="1"/>
  <c r="IS20" i="4"/>
  <c r="BL87" i="1" s="1"/>
  <c r="BL116" i="1" s="1"/>
  <c r="JH19" i="4"/>
  <c r="CA86" i="1" s="1"/>
  <c r="AK35" i="1"/>
  <c r="JG19" i="4"/>
  <c r="BZ86" i="1" s="1"/>
  <c r="IY19" i="4"/>
  <c r="BR86" i="1" s="1"/>
  <c r="BR115" i="1" s="1"/>
  <c r="IS19" i="4"/>
  <c r="BL86" i="1" s="1"/>
  <c r="BL115" i="1" s="1"/>
  <c r="IV19" i="4"/>
  <c r="BO86" i="1" s="1"/>
  <c r="BO115" i="1" s="1"/>
  <c r="HW19" i="4"/>
  <c r="AP86" i="1" s="1"/>
  <c r="AP115" i="1" s="1"/>
  <c r="HT20" i="4"/>
  <c r="AM87" i="1" s="1"/>
  <c r="AM116" i="1" s="1"/>
  <c r="JF19" i="4"/>
  <c r="BY86" i="1" s="1"/>
  <c r="IL20" i="4"/>
  <c r="BE87" i="1" s="1"/>
  <c r="BE116" i="1" s="1"/>
  <c r="IX19" i="4"/>
  <c r="BQ86" i="1" s="1"/>
  <c r="BQ115" i="1" s="1"/>
  <c r="IW20" i="4"/>
  <c r="BP87" i="1" s="1"/>
  <c r="BP116" i="1" s="1"/>
  <c r="JC20" i="4"/>
  <c r="BV87" i="1" s="1"/>
  <c r="BV116" i="1" s="1"/>
  <c r="IR19" i="4"/>
  <c r="BK86" i="1" s="1"/>
  <c r="JG20" i="4"/>
  <c r="BZ87" i="1" s="1"/>
  <c r="JB20" i="4"/>
  <c r="BU87" i="1" s="1"/>
  <c r="BU116" i="1" s="1"/>
  <c r="HR19" i="4"/>
  <c r="AK86" i="1" s="1"/>
  <c r="HZ19" i="4"/>
  <c r="AS86" i="1" s="1"/>
  <c r="AS115" i="1" s="1"/>
  <c r="JA20" i="4"/>
  <c r="BT87" i="1" s="1"/>
  <c r="BT116" i="1" s="1"/>
  <c r="IE19" i="4"/>
  <c r="AX86" i="1" s="1"/>
  <c r="AX115" i="1" s="1"/>
  <c r="IN20" i="4"/>
  <c r="BG87" i="1" s="1"/>
  <c r="BG116" i="1" s="1"/>
  <c r="IT20" i="4"/>
  <c r="BM87" i="1" s="1"/>
  <c r="BM116" i="1" s="1"/>
  <c r="IR20" i="4"/>
  <c r="BK87" i="1" s="1"/>
  <c r="V6" i="1"/>
  <c r="V10" i="1"/>
  <c r="CB93" i="1"/>
  <c r="CB102" i="1"/>
  <c r="CB110" i="1"/>
  <c r="IZ20" i="4"/>
  <c r="BS87" i="1" s="1"/>
  <c r="BS116" i="1" s="1"/>
  <c r="IM19" i="4"/>
  <c r="BF86" i="1" s="1"/>
  <c r="BF115" i="1" s="1"/>
  <c r="IL19" i="4"/>
  <c r="BE86" i="1" s="1"/>
  <c r="BE115" i="1" s="1"/>
  <c r="BW35" i="1"/>
  <c r="JD20" i="4"/>
  <c r="BW87" i="1" s="1"/>
  <c r="BW116" i="1" s="1"/>
  <c r="O196" i="1"/>
  <c r="IO20" i="4"/>
  <c r="BH87" i="1" s="1"/>
  <c r="BH116" i="1" s="1"/>
  <c r="IW19" i="4"/>
  <c r="BP86" i="1" s="1"/>
  <c r="BP115" i="1" s="1"/>
  <c r="AL192" i="1"/>
  <c r="AM192" i="1" s="1"/>
  <c r="AM193" i="1" s="1"/>
  <c r="AK142" i="1"/>
  <c r="I24" i="1"/>
  <c r="I106" i="1"/>
  <c r="O24" i="1"/>
  <c r="O25" i="1" s="1"/>
  <c r="O106" i="1"/>
  <c r="O19" i="1"/>
  <c r="N24" i="1"/>
  <c r="V25" i="1"/>
  <c r="V36" i="1"/>
  <c r="B35" i="1"/>
  <c r="IC20" i="4"/>
  <c r="AV87" i="1" s="1"/>
  <c r="AV116" i="1" s="1"/>
  <c r="AL110" i="1"/>
  <c r="IK19" i="4"/>
  <c r="BD86" i="1" s="1"/>
  <c r="BD115" i="1" s="1"/>
  <c r="JF20" i="4"/>
  <c r="BY87" i="1" s="1"/>
  <c r="I19" i="1"/>
  <c r="I196" i="1"/>
  <c r="BW7" i="1"/>
  <c r="BW10" i="1" s="1"/>
  <c r="BX20" i="1"/>
  <c r="CA19" i="1"/>
  <c r="CB196" i="1"/>
  <c r="BW24" i="1"/>
  <c r="AJ35" i="1"/>
  <c r="AJ24" i="1"/>
  <c r="P196" i="1"/>
  <c r="P106" i="1"/>
  <c r="P24" i="1"/>
  <c r="P19" i="1"/>
  <c r="C196" i="1"/>
  <c r="C19" i="1"/>
  <c r="E35" i="1"/>
  <c r="E19" i="1"/>
  <c r="D24" i="1"/>
  <c r="E106" i="1"/>
  <c r="AJ20" i="1"/>
  <c r="B36" i="1"/>
  <c r="B37" i="1" s="1"/>
  <c r="D19" i="1"/>
  <c r="E196" i="1"/>
  <c r="AI36" i="1"/>
  <c r="AI35" i="1"/>
  <c r="W36" i="1"/>
  <c r="AL233" i="1"/>
  <c r="J106" i="1"/>
  <c r="AL20" i="1"/>
  <c r="Q196" i="1"/>
  <c r="Q19" i="1"/>
  <c r="R196" i="1"/>
  <c r="J24" i="1"/>
  <c r="J25" i="1" s="1"/>
  <c r="AJ192" i="1"/>
  <c r="AK192" i="1" s="1"/>
  <c r="AK193" i="1" s="1"/>
  <c r="W25" i="1"/>
  <c r="W26" i="1"/>
  <c r="Q106" i="1"/>
  <c r="AK20" i="1"/>
  <c r="F19" i="1"/>
  <c r="X26" i="1"/>
  <c r="J196" i="1"/>
  <c r="K196" i="1"/>
  <c r="Q24" i="1"/>
  <c r="Q25" i="1" s="1"/>
  <c r="F196" i="1"/>
  <c r="D35" i="1"/>
  <c r="M196" i="1"/>
  <c r="AL257" i="1"/>
  <c r="N106" i="1"/>
  <c r="L106" i="1"/>
  <c r="N196" i="1"/>
  <c r="N19" i="1"/>
  <c r="L24" i="1"/>
  <c r="AL137" i="1"/>
  <c r="L196" i="1"/>
  <c r="K24" i="1"/>
  <c r="G19" i="1"/>
  <c r="F24" i="1"/>
  <c r="F25" i="1" s="1"/>
  <c r="K106" i="1"/>
  <c r="K19" i="1"/>
  <c r="G24" i="1"/>
  <c r="G25" i="1" s="1"/>
  <c r="G196" i="1"/>
  <c r="G106" i="1"/>
  <c r="H19" i="1"/>
  <c r="V26" i="1"/>
  <c r="W10" i="1"/>
  <c r="CL112" i="1"/>
  <c r="CM112" i="1" s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CL111" i="1"/>
  <c r="CM111" i="1" s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AL165" i="1"/>
  <c r="AL173" i="1" s="1"/>
  <c r="AL190" i="1"/>
  <c r="L19" i="1"/>
  <c r="AJ137" i="1"/>
  <c r="AJ165" i="1"/>
  <c r="AJ173" i="1" s="1"/>
  <c r="AJ190" i="1"/>
  <c r="AL36" i="1"/>
  <c r="AI214" i="1"/>
  <c r="AK214" i="1"/>
  <c r="AL214" i="1"/>
  <c r="AK257" i="1"/>
  <c r="AK41" i="1"/>
  <c r="AK116" i="1"/>
  <c r="AL116" i="1"/>
  <c r="AL112" i="1"/>
  <c r="BW97" i="1"/>
  <c r="BW115" i="1"/>
  <c r="BY213" i="1"/>
  <c r="U26" i="1"/>
  <c r="T25" i="1"/>
  <c r="CB104" i="1"/>
  <c r="CB112" i="1"/>
  <c r="CB116" i="1"/>
  <c r="CB95" i="1"/>
  <c r="E36" i="1"/>
  <c r="E37" i="1" s="1"/>
  <c r="E25" i="1"/>
  <c r="Y71" i="1"/>
  <c r="CL202" i="1"/>
  <c r="CL140" i="1"/>
  <c r="CL142" i="1" s="1"/>
  <c r="CQ85" i="1"/>
  <c r="AC210" i="1"/>
  <c r="AB157" i="1"/>
  <c r="AB125" i="1"/>
  <c r="CN73" i="1"/>
  <c r="CO71" i="1"/>
  <c r="AA125" i="1"/>
  <c r="AA157" i="1"/>
  <c r="BZ233" i="1"/>
  <c r="Z93" i="1" l="1"/>
  <c r="Z94" i="1"/>
  <c r="Z95" i="1"/>
  <c r="T26" i="1"/>
  <c r="C26" i="1"/>
  <c r="C36" i="1"/>
  <c r="C25" i="1"/>
  <c r="L25" i="1"/>
  <c r="M26" i="1"/>
  <c r="CB103" i="1"/>
  <c r="CB115" i="1"/>
  <c r="CB111" i="1"/>
  <c r="CB94" i="1"/>
  <c r="CE98" i="1" s="1"/>
  <c r="BX115" i="1"/>
  <c r="BX97" i="1"/>
  <c r="BX103" i="1"/>
  <c r="BY103" i="1"/>
  <c r="BY115" i="1"/>
  <c r="S26" i="1"/>
  <c r="BK115" i="1"/>
  <c r="BZ104" i="1"/>
  <c r="BZ116" i="1"/>
  <c r="AK115" i="1"/>
  <c r="R25" i="1"/>
  <c r="BK116" i="1"/>
  <c r="BY97" i="1"/>
  <c r="BZ112" i="1"/>
  <c r="IW21" i="4"/>
  <c r="BP85" i="1" s="1"/>
  <c r="JA16" i="4"/>
  <c r="JE21" i="4"/>
  <c r="BX85" i="1" s="1"/>
  <c r="JB9" i="4"/>
  <c r="AL27" i="1"/>
  <c r="AK36" i="1"/>
  <c r="CA94" i="1"/>
  <c r="CA103" i="1"/>
  <c r="CA111" i="1"/>
  <c r="CA104" i="1"/>
  <c r="CA112" i="1"/>
  <c r="BZ115" i="1"/>
  <c r="CA95" i="1"/>
  <c r="CA115" i="1"/>
  <c r="CA116" i="1"/>
  <c r="BZ111" i="1"/>
  <c r="BZ103" i="1"/>
  <c r="V11" i="1"/>
  <c r="W11" i="1"/>
  <c r="AK146" i="1"/>
  <c r="AL41" i="1"/>
  <c r="I25" i="1"/>
  <c r="I26" i="1"/>
  <c r="N25" i="1"/>
  <c r="N26" i="1"/>
  <c r="O26" i="1"/>
  <c r="V37" i="1"/>
  <c r="V42" i="1"/>
  <c r="V46" i="1" s="1"/>
  <c r="V120" i="1"/>
  <c r="V240" i="1"/>
  <c r="V241" i="1" s="1"/>
  <c r="L26" i="1"/>
  <c r="K25" i="1"/>
  <c r="BY116" i="1"/>
  <c r="BY104" i="1"/>
  <c r="BW25" i="1"/>
  <c r="CA26" i="1"/>
  <c r="BX27" i="1"/>
  <c r="BW36" i="1"/>
  <c r="AK27" i="1"/>
  <c r="AJ36" i="1"/>
  <c r="AJ25" i="1"/>
  <c r="AJ27" i="1"/>
  <c r="P26" i="1"/>
  <c r="P25" i="1"/>
  <c r="D25" i="1"/>
  <c r="D36" i="1"/>
  <c r="E26" i="1"/>
  <c r="D26" i="1"/>
  <c r="AI37" i="1"/>
  <c r="AI42" i="1"/>
  <c r="AI46" i="1" s="1"/>
  <c r="AI240" i="1"/>
  <c r="AI241" i="1" s="1"/>
  <c r="W240" i="1"/>
  <c r="W241" i="1" s="1"/>
  <c r="X38" i="1"/>
  <c r="X258" i="1"/>
  <c r="W42" i="1"/>
  <c r="W46" i="1" s="1"/>
  <c r="W38" i="1"/>
  <c r="W37" i="1"/>
  <c r="W120" i="1"/>
  <c r="W258" i="1"/>
  <c r="AL37" i="1"/>
  <c r="B120" i="1"/>
  <c r="F26" i="1"/>
  <c r="J26" i="1"/>
  <c r="Q26" i="1"/>
  <c r="R26" i="1"/>
  <c r="AL240" i="1"/>
  <c r="AL241" i="1" s="1"/>
  <c r="AL42" i="1"/>
  <c r="AL46" i="1" s="1"/>
  <c r="AL48" i="1" s="1"/>
  <c r="AL174" i="1"/>
  <c r="K26" i="1"/>
  <c r="AJ174" i="1"/>
  <c r="H26" i="1"/>
  <c r="G26" i="1"/>
  <c r="AL194" i="1"/>
  <c r="AL189" i="1"/>
  <c r="AM189" i="1" s="1"/>
  <c r="AM190" i="1" s="1"/>
  <c r="AM194" i="1" s="1"/>
  <c r="AJ189" i="1"/>
  <c r="AK189" i="1" s="1"/>
  <c r="AK190" i="1" s="1"/>
  <c r="AK194" i="1" s="1"/>
  <c r="AJ194" i="1"/>
  <c r="CL146" i="1"/>
  <c r="CL211" i="1" s="1"/>
  <c r="CL209" i="1" s="1"/>
  <c r="AI211" i="1"/>
  <c r="AI209" i="1" s="1"/>
  <c r="AJ211" i="1"/>
  <c r="AJ209" i="1" s="1"/>
  <c r="X71" i="1"/>
  <c r="Y73" i="1"/>
  <c r="CM40" i="1"/>
  <c r="CR85" i="1"/>
  <c r="AB171" i="1"/>
  <c r="CO73" i="1"/>
  <c r="CP71" i="1"/>
  <c r="AC125" i="1"/>
  <c r="AC157" i="1"/>
  <c r="AA150" i="1"/>
  <c r="AA171" i="1"/>
  <c r="CA233" i="1"/>
  <c r="BP1" i="1"/>
  <c r="BQ1" i="1" s="1"/>
  <c r="BR1" i="1" s="1"/>
  <c r="BS1" i="1" s="1"/>
  <c r="C258" i="1" l="1"/>
  <c r="C37" i="1"/>
  <c r="C38" i="1"/>
  <c r="AK240" i="1"/>
  <c r="AK241" i="1" s="1"/>
  <c r="AK42" i="1"/>
  <c r="AK46" i="1" s="1"/>
  <c r="AK37" i="1"/>
  <c r="JA21" i="4"/>
  <c r="BT85" i="1" s="1"/>
  <c r="IX9" i="4"/>
  <c r="BX102" i="1"/>
  <c r="JG9" i="4"/>
  <c r="JC9" i="4" s="1"/>
  <c r="IC16" i="4" s="1"/>
  <c r="IC21" i="4" s="1"/>
  <c r="AV85" i="1" s="1"/>
  <c r="IJ9" i="4" s="1"/>
  <c r="JB21" i="4"/>
  <c r="BU85" i="1" s="1"/>
  <c r="ID9" i="4"/>
  <c r="ID21" i="4" s="1"/>
  <c r="AW85" i="1" s="1"/>
  <c r="AL39" i="1"/>
  <c r="AL258" i="1"/>
  <c r="AL259" i="1" s="1"/>
  <c r="CD98" i="1"/>
  <c r="AL211" i="1"/>
  <c r="AL209" i="1" s="1"/>
  <c r="AK211" i="1"/>
  <c r="AK209" i="1" s="1"/>
  <c r="V49" i="1"/>
  <c r="V48" i="1"/>
  <c r="AK49" i="1"/>
  <c r="AK48" i="1"/>
  <c r="AK258" i="1"/>
  <c r="AK259" i="1" s="1"/>
  <c r="AL234" i="1"/>
  <c r="D37" i="1"/>
  <c r="D42" i="1"/>
  <c r="D46" i="1" s="1"/>
  <c r="D240" i="1"/>
  <c r="D241" i="1" s="1"/>
  <c r="AI49" i="1"/>
  <c r="AI48" i="1"/>
  <c r="W49" i="1"/>
  <c r="X51" i="1" s="1"/>
  <c r="W48" i="1"/>
  <c r="BW37" i="1"/>
  <c r="BW42" i="1"/>
  <c r="CA38" i="1"/>
  <c r="BZ120" i="1"/>
  <c r="BW240" i="1"/>
  <c r="BW241" i="1" s="1"/>
  <c r="BX39" i="1"/>
  <c r="BX258" i="1"/>
  <c r="AJ240" i="1"/>
  <c r="AJ241" i="1" s="1"/>
  <c r="AK39" i="1"/>
  <c r="AJ37" i="1"/>
  <c r="AJ42" i="1"/>
  <c r="AJ46" i="1" s="1"/>
  <c r="AL120" i="1"/>
  <c r="AJ39" i="1"/>
  <c r="D258" i="1"/>
  <c r="E38" i="1"/>
  <c r="D120" i="1"/>
  <c r="D38" i="1"/>
  <c r="AL49" i="1"/>
  <c r="CM140" i="1"/>
  <c r="CM142" i="1" s="1"/>
  <c r="Y116" i="1"/>
  <c r="Y119" i="1" s="1"/>
  <c r="Y122" i="1" s="1"/>
  <c r="Y115" i="1"/>
  <c r="Y118" i="1" s="1"/>
  <c r="Y121" i="1" s="1"/>
  <c r="Y100" i="1"/>
  <c r="Y107" i="1"/>
  <c r="Y74" i="1"/>
  <c r="W71" i="1"/>
  <c r="V71" i="1" s="1"/>
  <c r="U71" i="1" s="1"/>
  <c r="T71" i="1" s="1"/>
  <c r="S71" i="1" s="1"/>
  <c r="R71" i="1" s="1"/>
  <c r="Q71" i="1" s="1"/>
  <c r="P71" i="1" s="1"/>
  <c r="O71" i="1" s="1"/>
  <c r="N71" i="1" s="1"/>
  <c r="M71" i="1" s="1"/>
  <c r="L71" i="1" s="1"/>
  <c r="K71" i="1" s="1"/>
  <c r="J71" i="1" s="1"/>
  <c r="I71" i="1" s="1"/>
  <c r="H71" i="1" s="1"/>
  <c r="G71" i="1" s="1"/>
  <c r="F71" i="1" s="1"/>
  <c r="E71" i="1" s="1"/>
  <c r="X73" i="1"/>
  <c r="CS85" i="1"/>
  <c r="AB145" i="1"/>
  <c r="AD157" i="1"/>
  <c r="AD125" i="1"/>
  <c r="CP73" i="1"/>
  <c r="CQ71" i="1"/>
  <c r="AC171" i="1"/>
  <c r="AA145" i="1"/>
  <c r="BT1" i="1"/>
  <c r="Q35" i="1"/>
  <c r="P35" i="1"/>
  <c r="O35" i="1"/>
  <c r="I35" i="1"/>
  <c r="H35" i="1"/>
  <c r="G35" i="1"/>
  <c r="U35" i="1"/>
  <c r="T35" i="1"/>
  <c r="S35" i="1"/>
  <c r="R35" i="1"/>
  <c r="N35" i="1"/>
  <c r="M35" i="1"/>
  <c r="L35" i="1"/>
  <c r="K35" i="1"/>
  <c r="J35" i="1"/>
  <c r="F35" i="1"/>
  <c r="V50" i="1" l="1"/>
  <c r="V253" i="1" s="1"/>
  <c r="V56" i="1"/>
  <c r="AI50" i="1"/>
  <c r="AI56" i="1"/>
  <c r="AI127" i="1" s="1"/>
  <c r="AI128" i="1" s="1"/>
  <c r="AI137" i="1" s="1"/>
  <c r="AI242" i="1"/>
  <c r="AK242" i="1"/>
  <c r="AK56" i="1"/>
  <c r="AK127" i="1" s="1"/>
  <c r="AK128" i="1" s="1"/>
  <c r="AK50" i="1"/>
  <c r="AK253" i="1" s="1"/>
  <c r="D49" i="1"/>
  <c r="D48" i="1"/>
  <c r="W56" i="1"/>
  <c r="W60" i="1" s="1"/>
  <c r="W242" i="1"/>
  <c r="W50" i="1"/>
  <c r="W253" i="1" s="1"/>
  <c r="IX21" i="4"/>
  <c r="BQ85" i="1" s="1"/>
  <c r="JC16" i="4" s="1"/>
  <c r="HY9" i="4"/>
  <c r="HY21" i="4" s="1"/>
  <c r="AR85" i="1" s="1"/>
  <c r="IY16" i="4" s="1"/>
  <c r="IY21" i="4" s="1"/>
  <c r="BR85" i="1" s="1"/>
  <c r="HP16" i="4" s="1"/>
  <c r="HP21" i="4" s="1"/>
  <c r="AI85" i="1" s="1"/>
  <c r="IJ21" i="4"/>
  <c r="BC85" i="1" s="1"/>
  <c r="JG16" i="4"/>
  <c r="JG21" i="4" s="1"/>
  <c r="BZ85" i="1" s="1"/>
  <c r="W51" i="1"/>
  <c r="AL50" i="1"/>
  <c r="AL253" i="1" s="1"/>
  <c r="AL52" i="1"/>
  <c r="BW46" i="1"/>
  <c r="BZ63" i="1"/>
  <c r="AJ49" i="1"/>
  <c r="AJ48" i="1"/>
  <c r="CN40" i="1"/>
  <c r="AA40" i="1" s="1"/>
  <c r="AA41" i="1" s="1"/>
  <c r="AI201" i="1"/>
  <c r="AI203" i="1" s="1"/>
  <c r="AI215" i="1"/>
  <c r="AI213" i="1" s="1"/>
  <c r="AI60" i="1"/>
  <c r="AI74" i="1"/>
  <c r="AK201" i="1"/>
  <c r="AK203" i="1" s="1"/>
  <c r="X107" i="1"/>
  <c r="X115" i="1"/>
  <c r="X118" i="1" s="1"/>
  <c r="X121" i="1" s="1"/>
  <c r="X100" i="1"/>
  <c r="X116" i="1"/>
  <c r="X119" i="1" s="1"/>
  <c r="X122" i="1" s="1"/>
  <c r="X74" i="1"/>
  <c r="Y76" i="1"/>
  <c r="Y77" i="1"/>
  <c r="Z78" i="1" s="1"/>
  <c r="Y111" i="1"/>
  <c r="Y110" i="1"/>
  <c r="Y112" i="1"/>
  <c r="Y103" i="1"/>
  <c r="Y102" i="1"/>
  <c r="Y104" i="1"/>
  <c r="CM146" i="1"/>
  <c r="CM202" i="1"/>
  <c r="AC85" i="1"/>
  <c r="CT85" i="1"/>
  <c r="AD171" i="1"/>
  <c r="AD148" i="1"/>
  <c r="CQ73" i="1"/>
  <c r="CR71" i="1"/>
  <c r="AB71" i="1" s="1"/>
  <c r="AB73" i="1" s="1"/>
  <c r="AC145" i="1"/>
  <c r="BU1" i="1"/>
  <c r="BV1" i="1" s="1"/>
  <c r="BW1" i="1" s="1"/>
  <c r="AL242" i="1"/>
  <c r="B240" i="1"/>
  <c r="B241" i="1" s="1"/>
  <c r="BK240" i="1"/>
  <c r="BK241" i="1" s="1"/>
  <c r="G36" i="1"/>
  <c r="O36" i="1"/>
  <c r="H36" i="1"/>
  <c r="P36" i="1"/>
  <c r="I36" i="1"/>
  <c r="Q36" i="1"/>
  <c r="J36" i="1"/>
  <c r="R36" i="1"/>
  <c r="K36" i="1"/>
  <c r="S36" i="1"/>
  <c r="L36" i="1"/>
  <c r="T36" i="1"/>
  <c r="M36" i="1"/>
  <c r="U36" i="1"/>
  <c r="F36" i="1"/>
  <c r="F258" i="1" s="1"/>
  <c r="N36" i="1"/>
  <c r="AK74" i="1" l="1"/>
  <c r="AK60" i="1"/>
  <c r="D242" i="1"/>
  <c r="AK100" i="1"/>
  <c r="AK137" i="1"/>
  <c r="D50" i="1"/>
  <c r="D56" i="1"/>
  <c r="JC21" i="4"/>
  <c r="BV85" i="1" s="1"/>
  <c r="IK16" i="4"/>
  <c r="BZ102" i="1"/>
  <c r="BZ110" i="1"/>
  <c r="IR9" i="4"/>
  <c r="BW48" i="1"/>
  <c r="BW49" i="1"/>
  <c r="AJ242" i="1"/>
  <c r="AJ56" i="1"/>
  <c r="AJ50" i="1"/>
  <c r="AJ52" i="1"/>
  <c r="AK52" i="1"/>
  <c r="AL235" i="1"/>
  <c r="AK104" i="1"/>
  <c r="AK102" i="1"/>
  <c r="AK103" i="1"/>
  <c r="AA202" i="1"/>
  <c r="CN140" i="1"/>
  <c r="CN142" i="1" s="1"/>
  <c r="CN202" i="1"/>
  <c r="T258" i="1"/>
  <c r="P258" i="1"/>
  <c r="D201" i="1"/>
  <c r="D203" i="1" s="1"/>
  <c r="M258" i="1"/>
  <c r="R258" i="1"/>
  <c r="I258" i="1"/>
  <c r="K258" i="1"/>
  <c r="G258" i="1"/>
  <c r="H258" i="1"/>
  <c r="L258" i="1"/>
  <c r="S258" i="1"/>
  <c r="O258" i="1"/>
  <c r="J258" i="1"/>
  <c r="N258" i="1"/>
  <c r="U258" i="1"/>
  <c r="V258" i="1"/>
  <c r="Q258" i="1"/>
  <c r="R120" i="1"/>
  <c r="S38" i="1"/>
  <c r="T120" i="1"/>
  <c r="U38" i="1"/>
  <c r="Y93" i="1"/>
  <c r="Y94" i="1"/>
  <c r="Y95" i="1"/>
  <c r="U120" i="1"/>
  <c r="V38" i="1"/>
  <c r="P120" i="1"/>
  <c r="Q38" i="1"/>
  <c r="Q120" i="1"/>
  <c r="R38" i="1"/>
  <c r="I120" i="1"/>
  <c r="J38" i="1"/>
  <c r="S120" i="1"/>
  <c r="T38" i="1"/>
  <c r="H120" i="1"/>
  <c r="I38" i="1"/>
  <c r="X77" i="1"/>
  <c r="Y78" i="1" s="1"/>
  <c r="X76" i="1"/>
  <c r="E120" i="1"/>
  <c r="F38" i="1"/>
  <c r="L120" i="1"/>
  <c r="M38" i="1"/>
  <c r="O120" i="1"/>
  <c r="P38" i="1"/>
  <c r="N120" i="1"/>
  <c r="O38" i="1"/>
  <c r="K120" i="1"/>
  <c r="L38" i="1"/>
  <c r="F120" i="1"/>
  <c r="G38" i="1"/>
  <c r="G120" i="1"/>
  <c r="H38" i="1"/>
  <c r="X103" i="1"/>
  <c r="X102" i="1"/>
  <c r="X104" i="1"/>
  <c r="M120" i="1"/>
  <c r="N38" i="1"/>
  <c r="J120" i="1"/>
  <c r="K38" i="1"/>
  <c r="X112" i="1"/>
  <c r="X111" i="1"/>
  <c r="X110" i="1"/>
  <c r="CM211" i="1"/>
  <c r="CM209" i="1" s="1"/>
  <c r="CU85" i="1"/>
  <c r="AD210" i="1"/>
  <c r="AB150" i="1"/>
  <c r="AD145" i="1"/>
  <c r="CS71" i="1"/>
  <c r="CR73" i="1"/>
  <c r="C120" i="1"/>
  <c r="BX1" i="1"/>
  <c r="L37" i="1"/>
  <c r="N37" i="1"/>
  <c r="F37" i="1"/>
  <c r="O37" i="1"/>
  <c r="U42" i="1"/>
  <c r="U46" i="1" s="1"/>
  <c r="U37" i="1"/>
  <c r="G37" i="1"/>
  <c r="S37" i="1"/>
  <c r="M37" i="1"/>
  <c r="R37" i="1"/>
  <c r="J37" i="1"/>
  <c r="I37" i="1"/>
  <c r="P37" i="1"/>
  <c r="H37" i="1"/>
  <c r="K37" i="1"/>
  <c r="T37" i="1"/>
  <c r="Q37" i="1"/>
  <c r="T240" i="1"/>
  <c r="T241" i="1" s="1"/>
  <c r="Q240" i="1"/>
  <c r="Q241" i="1" s="1"/>
  <c r="K240" i="1"/>
  <c r="K241" i="1" s="1"/>
  <c r="O240" i="1"/>
  <c r="O241" i="1" s="1"/>
  <c r="U240" i="1"/>
  <c r="U241" i="1" s="1"/>
  <c r="L240" i="1"/>
  <c r="L241" i="1" s="1"/>
  <c r="C240" i="1"/>
  <c r="C241" i="1" s="1"/>
  <c r="I240" i="1"/>
  <c r="I241" i="1" s="1"/>
  <c r="G240" i="1"/>
  <c r="G241" i="1" s="1"/>
  <c r="R240" i="1"/>
  <c r="R241" i="1" s="1"/>
  <c r="P240" i="1"/>
  <c r="P241" i="1" s="1"/>
  <c r="F240" i="1"/>
  <c r="F241" i="1" s="1"/>
  <c r="M240" i="1"/>
  <c r="M241" i="1" s="1"/>
  <c r="N240" i="1"/>
  <c r="N241" i="1" s="1"/>
  <c r="E240" i="1"/>
  <c r="E241" i="1" s="1"/>
  <c r="S240" i="1"/>
  <c r="S241" i="1" s="1"/>
  <c r="J240" i="1"/>
  <c r="J241" i="1" s="1"/>
  <c r="H240" i="1"/>
  <c r="H241" i="1" s="1"/>
  <c r="B42" i="1"/>
  <c r="L42" i="1"/>
  <c r="Q42" i="1"/>
  <c r="T42" i="1"/>
  <c r="N42" i="1"/>
  <c r="S42" i="1"/>
  <c r="F42" i="1"/>
  <c r="K42" i="1"/>
  <c r="H42" i="1"/>
  <c r="I42" i="1"/>
  <c r="P42" i="1"/>
  <c r="C42" i="1"/>
  <c r="O42" i="1"/>
  <c r="R42" i="1"/>
  <c r="M42" i="1"/>
  <c r="G42" i="1"/>
  <c r="E42" i="1"/>
  <c r="J42" i="1"/>
  <c r="D60" i="1" l="1"/>
  <c r="CA51" i="1"/>
  <c r="BW242" i="1"/>
  <c r="BW50" i="1"/>
  <c r="BW253" i="1" s="1"/>
  <c r="IT16" i="4"/>
  <c r="IR21" i="4"/>
  <c r="BK85" i="1" s="1"/>
  <c r="JH16" i="4"/>
  <c r="JH21" i="4" s="1"/>
  <c r="CA85" i="1" s="1"/>
  <c r="BW56" i="1"/>
  <c r="BX52" i="1"/>
  <c r="AJ201" i="1"/>
  <c r="AJ203" i="1" s="1"/>
  <c r="AJ74" i="1"/>
  <c r="AJ60" i="1"/>
  <c r="AJ215" i="1"/>
  <c r="AJ213" i="1" s="1"/>
  <c r="AK215" i="1"/>
  <c r="AK213" i="1" s="1"/>
  <c r="X93" i="1"/>
  <c r="X95" i="1"/>
  <c r="X94" i="1"/>
  <c r="CN146" i="1"/>
  <c r="CO40" i="1"/>
  <c r="CV85" i="1"/>
  <c r="CS73" i="1"/>
  <c r="CT71" i="1"/>
  <c r="BY1" i="1"/>
  <c r="U49" i="1"/>
  <c r="V51" i="1" s="1"/>
  <c r="U48" i="1"/>
  <c r="P46" i="1"/>
  <c r="P49" i="1" s="1"/>
  <c r="R46" i="1"/>
  <c r="R49" i="1" s="1"/>
  <c r="E46" i="1"/>
  <c r="S46" i="1"/>
  <c r="S48" i="1" s="1"/>
  <c r="G46" i="1"/>
  <c r="G49" i="1" s="1"/>
  <c r="K46" i="1"/>
  <c r="K49" i="1" s="1"/>
  <c r="B46" i="1"/>
  <c r="O46" i="1"/>
  <c r="O49" i="1" s="1"/>
  <c r="H46" i="1"/>
  <c r="H49" i="1" s="1"/>
  <c r="N46" i="1"/>
  <c r="N49" i="1" s="1"/>
  <c r="L46" i="1"/>
  <c r="L48" i="1" s="1"/>
  <c r="C46" i="1"/>
  <c r="M46" i="1"/>
  <c r="M48" i="1" s="1"/>
  <c r="T46" i="1"/>
  <c r="T49" i="1" s="1"/>
  <c r="F46" i="1"/>
  <c r="F48" i="1" s="1"/>
  <c r="J46" i="1"/>
  <c r="J48" i="1" s="1"/>
  <c r="I46" i="1"/>
  <c r="I48" i="1" s="1"/>
  <c r="Q46" i="1"/>
  <c r="Q49" i="1" s="1"/>
  <c r="V242" i="1"/>
  <c r="IT21" i="4" l="1"/>
  <c r="BM85" i="1" s="1"/>
  <c r="HS7" i="4" s="1"/>
  <c r="HW16" i="4"/>
  <c r="CA93" i="1"/>
  <c r="CA110" i="1"/>
  <c r="CA102" i="1"/>
  <c r="BZ62" i="1"/>
  <c r="BW74" i="1"/>
  <c r="BZ77" i="1" s="1"/>
  <c r="BW201" i="1"/>
  <c r="BW203" i="1" s="1"/>
  <c r="BW60" i="1"/>
  <c r="R51" i="1"/>
  <c r="U51" i="1"/>
  <c r="O51" i="1"/>
  <c r="B49" i="1"/>
  <c r="B48" i="1"/>
  <c r="C49" i="1"/>
  <c r="C48" i="1"/>
  <c r="E49" i="1"/>
  <c r="E56" i="1" s="1"/>
  <c r="E48" i="1"/>
  <c r="P51" i="1"/>
  <c r="H51" i="1"/>
  <c r="Q51" i="1"/>
  <c r="CO202" i="1"/>
  <c r="CO140" i="1"/>
  <c r="CN211" i="1"/>
  <c r="CN209" i="1" s="1"/>
  <c r="CW85" i="1"/>
  <c r="CU71" i="1"/>
  <c r="CT73" i="1"/>
  <c r="AA132" i="1"/>
  <c r="BZ1" i="1"/>
  <c r="CA1" i="1" s="1"/>
  <c r="O48" i="1"/>
  <c r="BK242" i="1"/>
  <c r="S49" i="1"/>
  <c r="U50" i="1"/>
  <c r="U253" i="1" s="1"/>
  <c r="P50" i="1"/>
  <c r="P253" i="1" s="1"/>
  <c r="Q56" i="1"/>
  <c r="Q50" i="1"/>
  <c r="Q253" i="1" s="1"/>
  <c r="L49" i="1"/>
  <c r="P48" i="1"/>
  <c r="H50" i="1"/>
  <c r="H253" i="1" s="1"/>
  <c r="G50" i="1"/>
  <c r="G253" i="1" s="1"/>
  <c r="U56" i="1"/>
  <c r="N50" i="1"/>
  <c r="N253" i="1" s="1"/>
  <c r="R50" i="1"/>
  <c r="R253" i="1" s="1"/>
  <c r="K50" i="1"/>
  <c r="K253" i="1" s="1"/>
  <c r="O56" i="1"/>
  <c r="O50" i="1"/>
  <c r="O253" i="1" s="1"/>
  <c r="T56" i="1"/>
  <c r="T50" i="1"/>
  <c r="T253" i="1" s="1"/>
  <c r="R48" i="1"/>
  <c r="K48" i="1"/>
  <c r="N48" i="1"/>
  <c r="G48" i="1"/>
  <c r="H48" i="1"/>
  <c r="J49" i="1"/>
  <c r="K51" i="1" s="1"/>
  <c r="M49" i="1"/>
  <c r="N51" i="1" s="1"/>
  <c r="T48" i="1"/>
  <c r="F49" i="1"/>
  <c r="G51" i="1" s="1"/>
  <c r="I49" i="1"/>
  <c r="I51" i="1" s="1"/>
  <c r="O242" i="1"/>
  <c r="Q48" i="1"/>
  <c r="P242" i="1"/>
  <c r="P56" i="1"/>
  <c r="K242" i="1"/>
  <c r="K56" i="1"/>
  <c r="H242" i="1"/>
  <c r="H56" i="1"/>
  <c r="R56" i="1"/>
  <c r="N56" i="1"/>
  <c r="G56" i="1"/>
  <c r="G242" i="1"/>
  <c r="R242" i="1"/>
  <c r="N242" i="1"/>
  <c r="Q242" i="1"/>
  <c r="U242" i="1"/>
  <c r="T242" i="1"/>
  <c r="V60" i="1"/>
  <c r="V201" i="1"/>
  <c r="V203" i="1" s="1"/>
  <c r="BZ95" i="1" l="1"/>
  <c r="BZ94" i="1"/>
  <c r="CC98" i="1" s="1"/>
  <c r="CD78" i="1"/>
  <c r="HS19" i="4"/>
  <c r="AL86" i="1" s="1"/>
  <c r="JE8" i="4"/>
  <c r="HW21" i="4"/>
  <c r="AP85" i="1" s="1"/>
  <c r="HP7" i="4" s="1"/>
  <c r="HZ9" i="4"/>
  <c r="BV97" i="1"/>
  <c r="BZ93" i="1"/>
  <c r="AB139" i="1"/>
  <c r="CO142" i="1"/>
  <c r="E242" i="1"/>
  <c r="E50" i="1"/>
  <c r="E253" i="1" s="1"/>
  <c r="E51" i="1"/>
  <c r="D51" i="1"/>
  <c r="C50" i="1"/>
  <c r="B50" i="1"/>
  <c r="C51" i="1"/>
  <c r="F51" i="1"/>
  <c r="M51" i="1"/>
  <c r="S50" i="1"/>
  <c r="S253" i="1" s="1"/>
  <c r="T51" i="1"/>
  <c r="L51" i="1"/>
  <c r="J51" i="1"/>
  <c r="S51" i="1"/>
  <c r="I73" i="1"/>
  <c r="I107" i="1" s="1"/>
  <c r="Q73" i="1"/>
  <c r="Q107" i="1" s="1"/>
  <c r="U73" i="1"/>
  <c r="U107" i="1" s="1"/>
  <c r="F73" i="1"/>
  <c r="F107" i="1" s="1"/>
  <c r="R73" i="1"/>
  <c r="R107" i="1" s="1"/>
  <c r="J73" i="1"/>
  <c r="N73" i="1"/>
  <c r="N74" i="1" s="1"/>
  <c r="N77" i="1" s="1"/>
  <c r="T73" i="1"/>
  <c r="E73" i="1"/>
  <c r="E107" i="1" s="1"/>
  <c r="H73" i="1"/>
  <c r="H107" i="1" s="1"/>
  <c r="S73" i="1"/>
  <c r="V73" i="1"/>
  <c r="V107" i="1" s="1"/>
  <c r="P73" i="1"/>
  <c r="G73" i="1"/>
  <c r="G74" i="1" s="1"/>
  <c r="G77" i="1" s="1"/>
  <c r="L73" i="1"/>
  <c r="K73" i="1"/>
  <c r="AB140" i="1"/>
  <c r="AD85" i="1"/>
  <c r="CX85" i="1"/>
  <c r="CU73" i="1"/>
  <c r="CV71" i="1"/>
  <c r="AC71" i="1" s="1"/>
  <c r="AC73" i="1" s="1"/>
  <c r="CB1" i="1"/>
  <c r="K60" i="1"/>
  <c r="G60" i="1"/>
  <c r="E60" i="1"/>
  <c r="S56" i="1"/>
  <c r="S242" i="1"/>
  <c r="L242" i="1"/>
  <c r="L56" i="1"/>
  <c r="O201" i="1"/>
  <c r="O203" i="1" s="1"/>
  <c r="O60" i="1"/>
  <c r="B242" i="1"/>
  <c r="B56" i="1"/>
  <c r="M56" i="1"/>
  <c r="M50" i="1"/>
  <c r="M253" i="1" s="1"/>
  <c r="C242" i="1"/>
  <c r="I56" i="1"/>
  <c r="I50" i="1"/>
  <c r="I253" i="1" s="1"/>
  <c r="J56" i="1"/>
  <c r="J50" i="1"/>
  <c r="J253" i="1" s="1"/>
  <c r="F56" i="1"/>
  <c r="F50" i="1"/>
  <c r="F253" i="1" s="1"/>
  <c r="L50" i="1"/>
  <c r="L253" i="1" s="1"/>
  <c r="J242" i="1"/>
  <c r="E201" i="1"/>
  <c r="E203" i="1" s="1"/>
  <c r="R201" i="1"/>
  <c r="R203" i="1" s="1"/>
  <c r="M242" i="1"/>
  <c r="R60" i="1"/>
  <c r="I242" i="1"/>
  <c r="H60" i="1"/>
  <c r="H201" i="1"/>
  <c r="H203" i="1" s="1"/>
  <c r="F242" i="1"/>
  <c r="C56" i="1"/>
  <c r="N201" i="1"/>
  <c r="N203" i="1" s="1"/>
  <c r="N60" i="1"/>
  <c r="G201" i="1"/>
  <c r="G203" i="1" s="1"/>
  <c r="P60" i="1"/>
  <c r="K201" i="1"/>
  <c r="K203" i="1" s="1"/>
  <c r="P201" i="1"/>
  <c r="P203" i="1" s="1"/>
  <c r="U60" i="1"/>
  <c r="U201" i="1"/>
  <c r="U203" i="1" s="1"/>
  <c r="Q60" i="1"/>
  <c r="Q201" i="1"/>
  <c r="Q203" i="1" s="1"/>
  <c r="T60" i="1"/>
  <c r="T201" i="1"/>
  <c r="T203" i="1" s="1"/>
  <c r="AL115" i="1" l="1"/>
  <c r="AL111" i="1"/>
  <c r="JE20" i="4"/>
  <c r="BX87" i="1" s="1"/>
  <c r="HX15" i="4"/>
  <c r="HP19" i="4"/>
  <c r="AI86" i="1" s="1"/>
  <c r="IQ8" i="4"/>
  <c r="HZ21" i="4"/>
  <c r="AS85" i="1" s="1"/>
  <c r="HZ8" i="4"/>
  <c r="HZ20" i="4" s="1"/>
  <c r="AS87" i="1" s="1"/>
  <c r="AS116" i="1" s="1"/>
  <c r="AB142" i="1"/>
  <c r="R74" i="1"/>
  <c r="R77" i="1" s="1"/>
  <c r="K107" i="1"/>
  <c r="L107" i="1"/>
  <c r="T107" i="1"/>
  <c r="P107" i="1"/>
  <c r="G107" i="1"/>
  <c r="S107" i="1"/>
  <c r="J107" i="1"/>
  <c r="N107" i="1"/>
  <c r="H74" i="1"/>
  <c r="U74" i="1"/>
  <c r="U77" i="1" s="1"/>
  <c r="V74" i="1"/>
  <c r="E74" i="1"/>
  <c r="Q74" i="1"/>
  <c r="T74" i="1"/>
  <c r="T77" i="1" s="1"/>
  <c r="M73" i="1"/>
  <c r="M74" i="1" s="1"/>
  <c r="M77" i="1" s="1"/>
  <c r="O73" i="1"/>
  <c r="O107" i="1" s="1"/>
  <c r="W73" i="1"/>
  <c r="W107" i="1" s="1"/>
  <c r="K74" i="1"/>
  <c r="P74" i="1"/>
  <c r="P77" i="1" s="1"/>
  <c r="CO146" i="1"/>
  <c r="CO211" i="1" s="1"/>
  <c r="CO209" i="1" s="1"/>
  <c r="CP40" i="1"/>
  <c r="CY85" i="1"/>
  <c r="AC150" i="1"/>
  <c r="CW71" i="1"/>
  <c r="CV73" i="1"/>
  <c r="AA133" i="1"/>
  <c r="AA136" i="1" s="1"/>
  <c r="AA257" i="1" s="1"/>
  <c r="CC1" i="1"/>
  <c r="CD1" i="1" s="1"/>
  <c r="CE1" i="1" s="1"/>
  <c r="CF1" i="1" s="1"/>
  <c r="CG1" i="1" s="1"/>
  <c r="CH1" i="1" s="1"/>
  <c r="CI1" i="1" s="1"/>
  <c r="L201" i="1"/>
  <c r="L203" i="1" s="1"/>
  <c r="J201" i="1"/>
  <c r="J203" i="1" s="1"/>
  <c r="J74" i="1"/>
  <c r="J77" i="1" s="1"/>
  <c r="M201" i="1"/>
  <c r="M203" i="1" s="1"/>
  <c r="B60" i="1"/>
  <c r="F60" i="1"/>
  <c r="F74" i="1"/>
  <c r="F77" i="1" s="1"/>
  <c r="I60" i="1"/>
  <c r="I74" i="1"/>
  <c r="C60" i="1"/>
  <c r="L60" i="1"/>
  <c r="L74" i="1"/>
  <c r="S74" i="1"/>
  <c r="S60" i="1"/>
  <c r="J60" i="1"/>
  <c r="S201" i="1"/>
  <c r="S203" i="1" s="1"/>
  <c r="M60" i="1"/>
  <c r="I201" i="1"/>
  <c r="I203" i="1" s="1"/>
  <c r="F201" i="1"/>
  <c r="F203" i="1" s="1"/>
  <c r="C201" i="1"/>
  <c r="C203" i="1" s="1"/>
  <c r="BX104" i="1" l="1"/>
  <c r="BX116" i="1"/>
  <c r="HX20" i="4"/>
  <c r="AQ87" i="1" s="1"/>
  <c r="AQ116" i="1" s="1"/>
  <c r="IB9" i="4"/>
  <c r="IB21" i="4" s="1"/>
  <c r="AU85" i="1" s="1"/>
  <c r="IQ20" i="4"/>
  <c r="BJ87" i="1" s="1"/>
  <c r="BJ116" i="1" s="1"/>
  <c r="IK9" i="4"/>
  <c r="IK21" i="4" s="1"/>
  <c r="BD85" i="1" s="1"/>
  <c r="K77" i="1"/>
  <c r="Q77" i="1"/>
  <c r="U78" i="1"/>
  <c r="M107" i="1"/>
  <c r="H77" i="1"/>
  <c r="E77" i="1"/>
  <c r="V77" i="1"/>
  <c r="O74" i="1"/>
  <c r="W74" i="1"/>
  <c r="CP202" i="1"/>
  <c r="CP140" i="1"/>
  <c r="CP142" i="1" s="1"/>
  <c r="CZ85" i="1"/>
  <c r="CW73" i="1"/>
  <c r="CX71" i="1"/>
  <c r="AB132" i="1"/>
  <c r="CJ1" i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AA214" i="1"/>
  <c r="N78" i="1"/>
  <c r="G78" i="1"/>
  <c r="S77" i="1"/>
  <c r="I77" i="1"/>
  <c r="J78" i="1" s="1"/>
  <c r="L77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M40" i="2"/>
  <c r="G65" i="2"/>
  <c r="P90" i="2"/>
  <c r="O77" i="2"/>
  <c r="P84" i="2"/>
  <c r="U104" i="2"/>
  <c r="L86" i="2"/>
  <c r="Q53" i="2"/>
  <c r="D80" i="2"/>
  <c r="X59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D78" i="2"/>
  <c r="M104" i="2"/>
  <c r="I106" i="2"/>
  <c r="I80" i="2"/>
  <c r="L112" i="2"/>
  <c r="X93" i="2"/>
  <c r="L50" i="2"/>
  <c r="E79" i="2"/>
  <c r="M78" i="2"/>
  <c r="N40" i="2"/>
  <c r="I56" i="2"/>
  <c r="G53" i="2"/>
  <c r="E69" i="2"/>
  <c r="D91" i="2"/>
  <c r="H79" i="2"/>
  <c r="R111" i="2"/>
  <c r="O63" i="2"/>
  <c r="C82" i="2"/>
  <c r="U61" i="2"/>
  <c r="F43" i="2"/>
  <c r="U89" i="2"/>
  <c r="I42" i="2"/>
  <c r="X52" i="2"/>
  <c r="K71" i="2"/>
  <c r="C90" i="2"/>
  <c r="C104" i="2"/>
  <c r="J49" i="2"/>
  <c r="T112" i="2"/>
  <c r="T52" i="2"/>
  <c r="F45" i="2"/>
  <c r="P74" i="2"/>
  <c r="E87" i="2"/>
  <c r="J95" i="2"/>
  <c r="U108" i="2"/>
  <c r="I79" i="2"/>
  <c r="O61" i="2"/>
  <c r="O47" i="2"/>
  <c r="M85" i="2"/>
  <c r="L81" i="2"/>
  <c r="L93" i="2"/>
  <c r="G47" i="2"/>
  <c r="D45" i="2"/>
  <c r="W60" i="2"/>
  <c r="W75" i="2"/>
  <c r="W40" i="2"/>
  <c r="S92" i="2"/>
  <c r="T75" i="2"/>
  <c r="S84" i="2"/>
  <c r="E89" i="2"/>
  <c r="J79" i="2"/>
  <c r="G110" i="2"/>
  <c r="D74" i="2"/>
  <c r="G52" i="2"/>
  <c r="Q79" i="2"/>
  <c r="S72" i="2"/>
  <c r="D71" i="2"/>
  <c r="O99" i="2"/>
  <c r="J58" i="2"/>
  <c r="X56" i="2"/>
  <c r="C52" i="2"/>
  <c r="V81" i="2"/>
  <c r="P86" i="2"/>
  <c r="R43" i="2"/>
  <c r="X53" i="2"/>
  <c r="C78" i="2"/>
  <c r="O91" i="2"/>
  <c r="N54" i="2"/>
  <c r="T49" i="2"/>
  <c r="N46" i="2"/>
  <c r="U85" i="2"/>
  <c r="H97" i="2"/>
  <c r="K64" i="2"/>
  <c r="J81" i="2"/>
  <c r="O108" i="2"/>
  <c r="L78" i="2"/>
  <c r="AB68" i="3"/>
  <c r="AP66" i="3"/>
  <c r="AB93" i="3"/>
  <c r="AP63" i="3"/>
  <c r="AP87" i="3"/>
  <c r="AB97" i="3"/>
  <c r="AB66" i="3"/>
  <c r="C28" i="3"/>
  <c r="AN8" i="3"/>
  <c r="Z19" i="3"/>
  <c r="AJ17" i="3"/>
  <c r="AL20" i="3"/>
  <c r="J41" i="3"/>
  <c r="R24" i="3"/>
  <c r="R36" i="3"/>
  <c r="P5" i="3"/>
  <c r="AK12" i="3"/>
  <c r="G41" i="3"/>
  <c r="I37" i="3"/>
  <c r="J12" i="3"/>
  <c r="AI11" i="3"/>
  <c r="AM25" i="3"/>
  <c r="AG17" i="3"/>
  <c r="AO20" i="3"/>
  <c r="AE14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62" i="2"/>
  <c r="F50" i="2"/>
  <c r="R86" i="2"/>
  <c r="T69" i="2"/>
  <c r="N58" i="2"/>
  <c r="K104" i="2"/>
  <c r="R56" i="2"/>
  <c r="D110" i="2"/>
  <c r="I107" i="2"/>
  <c r="E67" i="2"/>
  <c r="D76" i="2"/>
  <c r="R74" i="2"/>
  <c r="K70" i="2"/>
  <c r="V62" i="2"/>
  <c r="U83" i="2"/>
  <c r="O86" i="2"/>
  <c r="R84" i="2"/>
  <c r="D46" i="2"/>
  <c r="E54" i="2"/>
  <c r="U77" i="2"/>
  <c r="O60" i="2"/>
  <c r="V47" i="2"/>
  <c r="G63" i="2"/>
  <c r="Q107" i="2"/>
  <c r="U59" i="2"/>
  <c r="J48" i="2"/>
  <c r="R73" i="2"/>
  <c r="G80" i="2"/>
  <c r="D40" i="2"/>
  <c r="E97" i="2"/>
  <c r="H88" i="2"/>
  <c r="X78" i="2"/>
  <c r="Q44" i="2"/>
  <c r="N63" i="2"/>
  <c r="V45" i="2"/>
  <c r="G51" i="2"/>
  <c r="N57" i="2"/>
  <c r="F97" i="2"/>
  <c r="V79" i="2"/>
  <c r="AB89" i="3"/>
  <c r="AB78" i="3"/>
  <c r="AB90" i="3"/>
  <c r="AB96" i="3"/>
  <c r="AP94" i="3"/>
  <c r="C49" i="3"/>
  <c r="AP49" i="3"/>
  <c r="H34" i="3"/>
  <c r="H17" i="3"/>
  <c r="V16" i="3"/>
  <c r="R18" i="3"/>
  <c r="AM32" i="3"/>
  <c r="T25" i="3"/>
  <c r="E49" i="3"/>
  <c r="AJ22" i="3"/>
  <c r="AD37" i="3"/>
  <c r="AI24" i="3"/>
  <c r="W37" i="3"/>
  <c r="AA34" i="3"/>
  <c r="H14" i="3"/>
  <c r="N40" i="3"/>
  <c r="AE21" i="3"/>
  <c r="W21" i="3"/>
  <c r="AP13" i="3"/>
  <c r="U11" i="3"/>
  <c r="E95" i="2"/>
  <c r="O84" i="2"/>
  <c r="U84" i="2"/>
  <c r="K49" i="2"/>
  <c r="D108" i="2"/>
  <c r="F41" i="2"/>
  <c r="T90" i="2"/>
  <c r="E104" i="2"/>
  <c r="C42" i="2"/>
  <c r="I61" i="2"/>
  <c r="W92" i="2"/>
  <c r="H85" i="2"/>
  <c r="U111" i="2"/>
  <c r="X69" i="2"/>
  <c r="H72" i="2"/>
  <c r="L108" i="2"/>
  <c r="J89" i="2"/>
  <c r="R83" i="2"/>
  <c r="L60" i="2"/>
  <c r="V63" i="2"/>
  <c r="E107" i="2"/>
  <c r="G105" i="2"/>
  <c r="O55" i="2"/>
  <c r="W53" i="2"/>
  <c r="M75" i="2"/>
  <c r="S113" i="2"/>
  <c r="X87" i="2"/>
  <c r="W45" i="2"/>
  <c r="I51" i="2"/>
  <c r="U110" i="2"/>
  <c r="J90" i="2"/>
  <c r="K83" i="2"/>
  <c r="G78" i="2"/>
  <c r="D113" i="2"/>
  <c r="W52" i="2"/>
  <c r="K63" i="2"/>
  <c r="D107" i="2"/>
  <c r="U40" i="2"/>
  <c r="N77" i="2"/>
  <c r="AP84" i="3"/>
  <c r="AB80" i="3"/>
  <c r="AP59" i="3"/>
  <c r="AB71" i="3"/>
  <c r="AB87" i="3"/>
  <c r="AB86" i="3"/>
  <c r="AP64" i="3"/>
  <c r="AM33" i="3"/>
  <c r="AP12" i="3"/>
  <c r="L32" i="3"/>
  <c r="AK5" i="3"/>
  <c r="AK47" i="3" s="1"/>
  <c r="J16" i="3"/>
  <c r="AL41" i="3"/>
  <c r="Z6" i="3"/>
  <c r="P34" i="3"/>
  <c r="AD24" i="3"/>
  <c r="S36" i="3"/>
  <c r="E90" i="2"/>
  <c r="C81" i="2"/>
  <c r="S74" i="2"/>
  <c r="N50" i="2"/>
  <c r="G99" i="2"/>
  <c r="F57" i="2"/>
  <c r="X98" i="2"/>
  <c r="V73" i="2"/>
  <c r="W59" i="2"/>
  <c r="L44" i="2"/>
  <c r="D79" i="2"/>
  <c r="T48" i="2"/>
  <c r="R64" i="2"/>
  <c r="K67" i="2"/>
  <c r="F51" i="2"/>
  <c r="W89" i="2"/>
  <c r="G68" i="2"/>
  <c r="P82" i="2"/>
  <c r="U90" i="2"/>
  <c r="L98" i="2"/>
  <c r="J87" i="2"/>
  <c r="M83" i="2"/>
  <c r="N99" i="2"/>
  <c r="E56" i="2"/>
  <c r="U106" i="2"/>
  <c r="H42" i="2"/>
  <c r="X91" i="2"/>
  <c r="H106" i="2"/>
  <c r="S56" i="2"/>
  <c r="F77" i="2"/>
  <c r="H90" i="2"/>
  <c r="T62" i="2"/>
  <c r="N67" i="2"/>
  <c r="J98" i="2"/>
  <c r="N55" i="2"/>
  <c r="G60" i="2"/>
  <c r="M108" i="2"/>
  <c r="L109" i="2"/>
  <c r="U113" i="2"/>
  <c r="AP70" i="3"/>
  <c r="AP86" i="3"/>
  <c r="AP71" i="3"/>
  <c r="AP91" i="3"/>
  <c r="AB54" i="3"/>
  <c r="AP50" i="3"/>
  <c r="AB76" i="3"/>
  <c r="C21" i="3"/>
  <c r="T8" i="3"/>
  <c r="AC18" i="3"/>
  <c r="N26" i="3"/>
  <c r="AP10" i="3"/>
  <c r="R25" i="3"/>
  <c r="N15" i="3"/>
  <c r="W22" i="3"/>
  <c r="AE31" i="3"/>
  <c r="S12" i="3"/>
  <c r="K38" i="3"/>
  <c r="Q27" i="3"/>
  <c r="I9" i="3"/>
  <c r="Z34" i="3"/>
  <c r="S32" i="3"/>
  <c r="AL30" i="3"/>
  <c r="W40" i="3"/>
  <c r="AJ33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E106" i="2"/>
  <c r="M62" i="2"/>
  <c r="P64" i="2"/>
  <c r="D85" i="2"/>
  <c r="U75" i="2"/>
  <c r="O98" i="2"/>
  <c r="R62" i="2"/>
  <c r="D72" i="2"/>
  <c r="S108" i="2"/>
  <c r="F109" i="2"/>
  <c r="U55" i="2"/>
  <c r="L62" i="2"/>
  <c r="M89" i="2"/>
  <c r="F48" i="2"/>
  <c r="D54" i="2"/>
  <c r="Q94" i="2"/>
  <c r="W80" i="2"/>
  <c r="R80" i="2"/>
  <c r="N53" i="2"/>
  <c r="G50" i="2"/>
  <c r="I43" i="2"/>
  <c r="R72" i="2"/>
  <c r="L80" i="2"/>
  <c r="U69" i="2"/>
  <c r="N91" i="2"/>
  <c r="N79" i="2"/>
  <c r="K112" i="2"/>
  <c r="Q72" i="2"/>
  <c r="J96" i="2"/>
  <c r="N110" i="2"/>
  <c r="I75" i="2"/>
  <c r="P48" i="2"/>
  <c r="C51" i="2"/>
  <c r="I58" i="2"/>
  <c r="G69" i="2"/>
  <c r="Q47" i="2"/>
  <c r="O109" i="2"/>
  <c r="E96" i="2"/>
  <c r="N47" i="2"/>
  <c r="AB88" i="3"/>
  <c r="AB77" i="3"/>
  <c r="AP78" i="3"/>
  <c r="AP58" i="3"/>
  <c r="AB82" i="3"/>
  <c r="AB67" i="3"/>
  <c r="AP60" i="3"/>
  <c r="R29" i="3"/>
  <c r="O22" i="3"/>
  <c r="O39" i="3"/>
  <c r="G36" i="3"/>
  <c r="Q34" i="3"/>
  <c r="S31" i="3"/>
  <c r="X31" i="3"/>
  <c r="Q36" i="3"/>
  <c r="AC39" i="3"/>
  <c r="AE24" i="3"/>
  <c r="AP41" i="3"/>
  <c r="X7" i="3"/>
  <c r="AO7" i="3"/>
  <c r="L11" i="3"/>
  <c r="J37" i="3"/>
  <c r="X24" i="3"/>
  <c r="L33" i="3"/>
  <c r="AJ24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AQ14" i="3"/>
  <c r="I42" i="3"/>
  <c r="AB33" i="3"/>
  <c r="AE6" i="3"/>
  <c r="N8" i="3"/>
  <c r="D99" i="2"/>
  <c r="N64" i="2"/>
  <c r="M91" i="2"/>
  <c r="L65" i="2"/>
  <c r="Q89" i="2"/>
  <c r="K74" i="2"/>
  <c r="I82" i="2"/>
  <c r="V80" i="2"/>
  <c r="K88" i="2"/>
  <c r="C74" i="2"/>
  <c r="N90" i="2"/>
  <c r="W107" i="2"/>
  <c r="I47" i="2"/>
  <c r="U63" i="2"/>
  <c r="R89" i="2"/>
  <c r="I99" i="2"/>
  <c r="H89" i="2"/>
  <c r="W67" i="2"/>
  <c r="J40" i="2"/>
  <c r="F112" i="2"/>
  <c r="K81" i="2"/>
  <c r="H62" i="2"/>
  <c r="X107" i="2"/>
  <c r="D60" i="2"/>
  <c r="M109" i="2"/>
  <c r="N49" i="2"/>
  <c r="S59" i="2"/>
  <c r="M68" i="2"/>
  <c r="H63" i="2"/>
  <c r="M56" i="2"/>
  <c r="F66" i="2"/>
  <c r="S58" i="2"/>
  <c r="K77" i="2"/>
  <c r="I40" i="2"/>
  <c r="H93" i="2"/>
  <c r="E78" i="2"/>
  <c r="N92" i="2"/>
  <c r="X84" i="2"/>
  <c r="V95" i="2"/>
  <c r="AP56" i="3"/>
  <c r="AP97" i="3"/>
  <c r="C47" i="3"/>
  <c r="AB75" i="3"/>
  <c r="AP95" i="3"/>
  <c r="AP72" i="3"/>
  <c r="AP69" i="3"/>
  <c r="S7" i="3"/>
  <c r="AL33" i="3"/>
  <c r="AH23" i="3"/>
  <c r="AJ31" i="3"/>
  <c r="AH31" i="3"/>
  <c r="AD50" i="3"/>
  <c r="AH21" i="3"/>
  <c r="AB19" i="3"/>
  <c r="I23" i="3"/>
  <c r="AJ25" i="3"/>
  <c r="AI16" i="3"/>
  <c r="C38" i="3"/>
  <c r="P41" i="3"/>
  <c r="N14" i="3"/>
  <c r="AA8" i="3"/>
  <c r="T32" i="3"/>
  <c r="Y13" i="3"/>
  <c r="O5" i="3"/>
  <c r="O95" i="3" s="1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Q58" i="3" s="1"/>
  <c r="W16" i="3"/>
  <c r="K19" i="3"/>
  <c r="AG38" i="3"/>
  <c r="L22" i="3"/>
  <c r="AE33" i="3"/>
  <c r="C9" i="3"/>
  <c r="AJ34" i="3"/>
  <c r="AI32" i="3"/>
  <c r="H37" i="3"/>
  <c r="AO41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D109" i="2"/>
  <c r="F70" i="2"/>
  <c r="E52" i="2"/>
  <c r="M53" i="2"/>
  <c r="V65" i="2"/>
  <c r="F95" i="2"/>
  <c r="C49" i="2"/>
  <c r="T40" i="2"/>
  <c r="C89" i="2"/>
  <c r="O87" i="2"/>
  <c r="R51" i="2"/>
  <c r="L45" i="2"/>
  <c r="K98" i="2"/>
  <c r="U87" i="2"/>
  <c r="V94" i="2"/>
  <c r="C60" i="2"/>
  <c r="U109" i="2"/>
  <c r="M112" i="2"/>
  <c r="P43" i="2"/>
  <c r="J70" i="2"/>
  <c r="X76" i="2"/>
  <c r="J97" i="2"/>
  <c r="K92" i="2"/>
  <c r="K89" i="2"/>
  <c r="D104" i="2"/>
  <c r="P93" i="2"/>
  <c r="G49" i="2"/>
  <c r="M63" i="2"/>
  <c r="R45" i="2"/>
  <c r="X97" i="2"/>
  <c r="T74" i="2"/>
  <c r="U70" i="2"/>
  <c r="G70" i="2"/>
  <c r="H77" i="2"/>
  <c r="N98" i="2"/>
  <c r="S95" i="2"/>
  <c r="T110" i="2"/>
  <c r="G83" i="2"/>
  <c r="C87" i="2"/>
  <c r="AP96" i="3"/>
  <c r="AB72" i="3"/>
  <c r="AB79" i="3"/>
  <c r="AB63" i="3"/>
  <c r="AP74" i="3"/>
  <c r="AB70" i="3"/>
  <c r="AP73" i="3"/>
  <c r="Z30" i="3"/>
  <c r="C37" i="3"/>
  <c r="H41" i="3"/>
  <c r="AK31" i="3"/>
  <c r="X30" i="3"/>
  <c r="AN22" i="3"/>
  <c r="AL27" i="3"/>
  <c r="P10" i="3"/>
  <c r="H5" i="3"/>
  <c r="H83" i="3" s="1"/>
  <c r="AE32" i="3"/>
  <c r="AH13" i="3"/>
  <c r="O37" i="3"/>
  <c r="I36" i="3"/>
  <c r="U19" i="3"/>
  <c r="AM22" i="3"/>
  <c r="P30" i="3"/>
  <c r="P25" i="3"/>
  <c r="X14" i="3"/>
  <c r="W19" i="3"/>
  <c r="N5" i="3"/>
  <c r="N85" i="3" s="1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I95" i="2"/>
  <c r="I78" i="2"/>
  <c r="P46" i="2"/>
  <c r="V75" i="2"/>
  <c r="E64" i="2"/>
  <c r="P107" i="2"/>
  <c r="G89" i="2"/>
  <c r="M45" i="2"/>
  <c r="H41" i="2"/>
  <c r="U78" i="2"/>
  <c r="P99" i="2"/>
  <c r="T68" i="2"/>
  <c r="Q88" i="2"/>
  <c r="K72" i="2"/>
  <c r="V76" i="2"/>
  <c r="K51" i="2"/>
  <c r="X89" i="2"/>
  <c r="J73" i="2"/>
  <c r="N43" i="2"/>
  <c r="Q75" i="2"/>
  <c r="O53" i="2"/>
  <c r="O65" i="2"/>
  <c r="M72" i="2"/>
  <c r="C93" i="2"/>
  <c r="D59" i="2"/>
  <c r="S47" i="2"/>
  <c r="X111" i="2"/>
  <c r="D67" i="2"/>
  <c r="V68" i="2"/>
  <c r="P52" i="2"/>
  <c r="S111" i="2"/>
  <c r="D94" i="2"/>
  <c r="N44" i="2"/>
  <c r="R40" i="2"/>
  <c r="S66" i="2"/>
  <c r="H59" i="2"/>
  <c r="U64" i="2"/>
  <c r="F69" i="2"/>
  <c r="F88" i="2"/>
  <c r="AP75" i="3"/>
  <c r="AB47" i="3"/>
  <c r="AP61" i="3"/>
  <c r="AP47" i="3"/>
  <c r="AP54" i="3"/>
  <c r="AP77" i="3"/>
  <c r="AB85" i="3"/>
  <c r="P32" i="3"/>
  <c r="L19" i="3"/>
  <c r="Y22" i="3"/>
  <c r="M17" i="3"/>
  <c r="M10" i="3"/>
  <c r="O29" i="3"/>
  <c r="AG42" i="3"/>
  <c r="AN31" i="3"/>
  <c r="X12" i="3"/>
  <c r="C7" i="3"/>
  <c r="AI41" i="3"/>
  <c r="K40" i="3"/>
  <c r="N19" i="3"/>
  <c r="Q16" i="3"/>
  <c r="V31" i="3"/>
  <c r="X34" i="3"/>
  <c r="AP36" i="3"/>
  <c r="X28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G66" i="2"/>
  <c r="X65" i="2"/>
  <c r="O68" i="2"/>
  <c r="K52" i="2"/>
  <c r="M82" i="2"/>
  <c r="X108" i="2"/>
  <c r="R81" i="2"/>
  <c r="M86" i="2"/>
  <c r="W44" i="2"/>
  <c r="P47" i="2"/>
  <c r="E99" i="2"/>
  <c r="F68" i="2"/>
  <c r="Q93" i="2"/>
  <c r="M94" i="2"/>
  <c r="W61" i="2"/>
  <c r="N52" i="2"/>
  <c r="N62" i="2"/>
  <c r="C62" i="2"/>
  <c r="T41" i="2"/>
  <c r="G88" i="2"/>
  <c r="M81" i="2"/>
  <c r="M58" i="2"/>
  <c r="V93" i="2"/>
  <c r="Q61" i="2"/>
  <c r="Q42" i="2"/>
  <c r="O79" i="2"/>
  <c r="P58" i="2"/>
  <c r="Q60" i="2"/>
  <c r="R107" i="2"/>
  <c r="G67" i="2"/>
  <c r="I88" i="2"/>
  <c r="D41" i="2"/>
  <c r="T70" i="2"/>
  <c r="N70" i="2"/>
  <c r="S54" i="2"/>
  <c r="N61" i="2"/>
  <c r="V83" i="2"/>
  <c r="M47" i="2"/>
  <c r="C63" i="2"/>
  <c r="AB57" i="3"/>
  <c r="AP48" i="3"/>
  <c r="AB94" i="3"/>
  <c r="AP92" i="3"/>
  <c r="AP85" i="3"/>
  <c r="AP89" i="3"/>
  <c r="AB95" i="3"/>
  <c r="I22" i="3"/>
  <c r="N24" i="3"/>
  <c r="C23" i="3"/>
  <c r="T17" i="3"/>
  <c r="W28" i="3"/>
  <c r="S16" i="3"/>
  <c r="U30" i="3"/>
  <c r="AH33" i="3"/>
  <c r="M34" i="3"/>
  <c r="O28" i="3"/>
  <c r="I19" i="3"/>
  <c r="U15" i="3"/>
  <c r="AQ38" i="3"/>
  <c r="AH17" i="3"/>
  <c r="M11" i="3"/>
  <c r="T33" i="3"/>
  <c r="K36" i="3"/>
  <c r="AM1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O95" i="2"/>
  <c r="K50" i="2"/>
  <c r="P68" i="2"/>
  <c r="K62" i="2"/>
  <c r="K90" i="2"/>
  <c r="U68" i="2"/>
  <c r="X62" i="2"/>
  <c r="N105" i="2"/>
  <c r="K95" i="2"/>
  <c r="L69" i="2"/>
  <c r="E85" i="2"/>
  <c r="J63" i="2"/>
  <c r="N66" i="2"/>
  <c r="W55" i="2"/>
  <c r="E51" i="2"/>
  <c r="X51" i="2"/>
  <c r="R113" i="2"/>
  <c r="L56" i="2"/>
  <c r="E68" i="2"/>
  <c r="O44" i="2"/>
  <c r="L96" i="2"/>
  <c r="H69" i="2"/>
  <c r="E88" i="2"/>
  <c r="C77" i="2"/>
  <c r="I55" i="2"/>
  <c r="S83" i="2"/>
  <c r="I81" i="2"/>
  <c r="T86" i="2"/>
  <c r="I105" i="2"/>
  <c r="V97" i="2"/>
  <c r="K73" i="2"/>
  <c r="C66" i="2"/>
  <c r="W79" i="2"/>
  <c r="K58" i="2"/>
  <c r="X109" i="2"/>
  <c r="E77" i="2"/>
  <c r="L105" i="2"/>
  <c r="L97" i="2"/>
  <c r="AP68" i="3"/>
  <c r="AB59" i="3"/>
  <c r="AP88" i="3"/>
  <c r="AB50" i="3"/>
  <c r="AP81" i="3"/>
  <c r="AP80" i="3"/>
  <c r="AB64" i="3"/>
  <c r="AB74" i="3"/>
  <c r="K13" i="3"/>
  <c r="M35" i="3"/>
  <c r="AQ13" i="3"/>
  <c r="O23" i="3"/>
  <c r="I38" i="3"/>
  <c r="AQ29" i="3"/>
  <c r="Y17" i="3"/>
  <c r="AK37" i="3"/>
  <c r="Z8" i="3"/>
  <c r="AH16" i="3"/>
  <c r="AA25" i="3"/>
  <c r="O38" i="3"/>
  <c r="R35" i="3"/>
  <c r="Y6" i="3"/>
  <c r="G37" i="3"/>
  <c r="S35" i="3"/>
  <c r="Q33" i="3"/>
  <c r="AI21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I49" i="2"/>
  <c r="F40" i="2"/>
  <c r="F113" i="2"/>
  <c r="F99" i="2"/>
  <c r="T42" i="2"/>
  <c r="H84" i="2"/>
  <c r="Q74" i="2"/>
  <c r="W83" i="2"/>
  <c r="F72" i="2"/>
  <c r="X113" i="2"/>
  <c r="R105" i="2"/>
  <c r="V71" i="2"/>
  <c r="W66" i="2"/>
  <c r="E71" i="2"/>
  <c r="S93" i="2"/>
  <c r="M41" i="2"/>
  <c r="W106" i="2"/>
  <c r="K84" i="2"/>
  <c r="H71" i="2"/>
  <c r="F61" i="2"/>
  <c r="F107" i="2"/>
  <c r="K40" i="2"/>
  <c r="J69" i="2"/>
  <c r="L64" i="2"/>
  <c r="G56" i="2"/>
  <c r="C83" i="2"/>
  <c r="T96" i="2"/>
  <c r="E113" i="2"/>
  <c r="U43" i="2"/>
  <c r="D75" i="2"/>
  <c r="R65" i="2"/>
  <c r="T57" i="2"/>
  <c r="G55" i="2"/>
  <c r="F62" i="2"/>
  <c r="P92" i="2"/>
  <c r="C56" i="2"/>
  <c r="X85" i="2"/>
  <c r="U51" i="2"/>
  <c r="AB61" i="3"/>
  <c r="AP93" i="3"/>
  <c r="AP90" i="3"/>
  <c r="AP65" i="3"/>
  <c r="AP62" i="3"/>
  <c r="AP76" i="3"/>
  <c r="AP67" i="3"/>
  <c r="H20" i="3"/>
  <c r="AI6" i="3"/>
  <c r="AJ38" i="3"/>
  <c r="U21" i="3"/>
  <c r="AO33" i="3"/>
  <c r="W26" i="3"/>
  <c r="AE10" i="3"/>
  <c r="AC20" i="3"/>
  <c r="AO15" i="3"/>
  <c r="AD35" i="3"/>
  <c r="W33" i="3"/>
  <c r="Z15" i="3"/>
  <c r="G42" i="3"/>
  <c r="L37" i="3"/>
  <c r="Z25" i="3"/>
  <c r="N39" i="3"/>
  <c r="AE25" i="3"/>
  <c r="AD20" i="3"/>
  <c r="AI30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R60" i="2"/>
  <c r="AP25" i="3"/>
  <c r="AP19" i="3"/>
  <c r="V12" i="3"/>
  <c r="W12" i="3"/>
  <c r="AH14" i="3"/>
  <c r="AP16" i="3"/>
  <c r="W24" i="3"/>
  <c r="I41" i="3"/>
  <c r="AQ23" i="3"/>
  <c r="AI19" i="3"/>
  <c r="I35" i="3"/>
  <c r="AO29" i="3"/>
  <c r="P19" i="3"/>
  <c r="AE28" i="3"/>
  <c r="H15" i="3"/>
  <c r="L9" i="3"/>
  <c r="I33" i="3"/>
  <c r="AB7" i="3"/>
  <c r="AQ27" i="3"/>
  <c r="T20" i="3"/>
  <c r="AN21" i="3"/>
  <c r="O36" i="3"/>
  <c r="Y35" i="3"/>
  <c r="M42" i="3"/>
  <c r="AH38" i="3"/>
  <c r="K31" i="3"/>
  <c r="J28" i="3"/>
  <c r="AQ35" i="3"/>
  <c r="W25" i="3"/>
  <c r="AI40" i="3"/>
  <c r="AQ10" i="3"/>
  <c r="AI13" i="3"/>
  <c r="AE26" i="3"/>
  <c r="C36" i="3"/>
  <c r="AK23" i="3"/>
  <c r="AI17" i="3"/>
  <c r="X41" i="3"/>
  <c r="I17" i="3"/>
  <c r="X18" i="3"/>
  <c r="AN13" i="3"/>
  <c r="K22" i="3"/>
  <c r="Z27" i="3"/>
  <c r="AD29" i="3"/>
  <c r="AH20" i="3"/>
  <c r="N18" i="3"/>
  <c r="AQ11" i="3"/>
  <c r="N22" i="3"/>
  <c r="N41" i="3"/>
  <c r="S37" i="3"/>
  <c r="AO13" i="3"/>
  <c r="AA35" i="3"/>
  <c r="Q24" i="3"/>
  <c r="Q37" i="3"/>
  <c r="AK32" i="3"/>
  <c r="AC30" i="3"/>
  <c r="Q20" i="3"/>
  <c r="AH5" i="3"/>
  <c r="N37" i="3"/>
  <c r="AJ37" i="3"/>
  <c r="AN41" i="3"/>
  <c r="S14" i="3"/>
  <c r="Q17" i="3"/>
  <c r="T13" i="3"/>
  <c r="J19" i="3"/>
  <c r="AB81" i="3"/>
  <c r="T24" i="3"/>
  <c r="AN9" i="3"/>
  <c r="AP30" i="3"/>
  <c r="AM40" i="3"/>
  <c r="M20" i="3"/>
  <c r="AK24" i="3"/>
  <c r="R6" i="3"/>
  <c r="AI34" i="3"/>
  <c r="N32" i="3"/>
  <c r="AC17" i="3"/>
  <c r="AN19" i="3"/>
  <c r="I18" i="3"/>
  <c r="X22" i="3"/>
  <c r="AD21" i="3"/>
  <c r="AO9" i="3"/>
  <c r="U9" i="3"/>
  <c r="AK35" i="3"/>
  <c r="J5" i="3"/>
  <c r="J48" i="3" s="1"/>
  <c r="R13" i="3"/>
  <c r="P37" i="3"/>
  <c r="N7" i="3"/>
  <c r="Y29" i="3"/>
  <c r="L7" i="3"/>
  <c r="J24" i="3"/>
  <c r="H31" i="3"/>
  <c r="AM18" i="3"/>
  <c r="AA15" i="3"/>
  <c r="C18" i="3"/>
  <c r="AJ27" i="3"/>
  <c r="P14" i="3"/>
  <c r="J10" i="3"/>
  <c r="K16" i="3"/>
  <c r="C48" i="3"/>
  <c r="Y40" i="3"/>
  <c r="AA12" i="3"/>
  <c r="AE34" i="3"/>
  <c r="U31" i="3"/>
  <c r="AN37" i="3"/>
  <c r="O16" i="3"/>
  <c r="H9" i="3"/>
  <c r="J38" i="3"/>
  <c r="C27" i="3"/>
  <c r="I7" i="3"/>
  <c r="AC23" i="3"/>
  <c r="L39" i="3"/>
  <c r="Z29" i="3"/>
  <c r="I6" i="3"/>
  <c r="Z7" i="3"/>
  <c r="AH25" i="3"/>
  <c r="AO12" i="3"/>
  <c r="AM7" i="3"/>
  <c r="AN10" i="3"/>
  <c r="AB14" i="3"/>
  <c r="AC21" i="3"/>
  <c r="U29" i="3"/>
  <c r="AH27" i="3"/>
  <c r="AA22" i="3"/>
  <c r="O14" i="3"/>
  <c r="AA18" i="3"/>
  <c r="AG41" i="3"/>
  <c r="Y42" i="3"/>
  <c r="T18" i="3"/>
  <c r="N12" i="3"/>
  <c r="U38" i="3"/>
  <c r="O12" i="3"/>
  <c r="AP35" i="3"/>
  <c r="T40" i="3"/>
  <c r="V10" i="3"/>
  <c r="G47" i="3"/>
  <c r="H29" i="3"/>
  <c r="T36" i="3"/>
  <c r="AK25" i="3"/>
  <c r="AG22" i="3"/>
  <c r="AK18" i="3"/>
  <c r="W14" i="3"/>
  <c r="Q18" i="3"/>
  <c r="AQ28" i="3"/>
  <c r="Q39" i="3"/>
  <c r="V19" i="3"/>
  <c r="V20" i="3"/>
  <c r="AO26" i="3"/>
  <c r="AP21" i="3"/>
  <c r="N25" i="3"/>
  <c r="AD31" i="3"/>
  <c r="S19" i="3"/>
  <c r="AI35" i="3"/>
  <c r="AG20" i="3"/>
  <c r="I27" i="3"/>
  <c r="AK40" i="3"/>
  <c r="AM28" i="3"/>
  <c r="S8" i="3"/>
  <c r="X8" i="3"/>
  <c r="C10" i="3"/>
  <c r="T38" i="3"/>
  <c r="L34" i="3"/>
  <c r="AB17" i="3"/>
  <c r="K33" i="3"/>
  <c r="V36" i="3"/>
  <c r="AJ21" i="3"/>
  <c r="Q32" i="3"/>
  <c r="AE22" i="3"/>
  <c r="AO36" i="3"/>
  <c r="AA26" i="3"/>
  <c r="T6" i="3"/>
  <c r="AI26" i="3"/>
  <c r="M40" i="3"/>
  <c r="AK15" i="3"/>
  <c r="C26" i="3"/>
  <c r="AD39" i="3"/>
  <c r="AC15" i="3"/>
  <c r="AN30" i="3"/>
  <c r="I28" i="3"/>
  <c r="I16" i="3"/>
  <c r="M39" i="3"/>
  <c r="AH11" i="3"/>
  <c r="H42" i="3"/>
  <c r="AJ36" i="3"/>
  <c r="AQ22" i="3"/>
  <c r="N30" i="3"/>
  <c r="N28" i="3"/>
  <c r="G49" i="3"/>
  <c r="AO28" i="3"/>
  <c r="P31" i="3"/>
  <c r="L17" i="3"/>
  <c r="J6" i="3"/>
  <c r="AM10" i="3"/>
  <c r="H26" i="3"/>
  <c r="P26" i="3"/>
  <c r="U32" i="3"/>
  <c r="AH9" i="3"/>
  <c r="U42" i="3"/>
  <c r="Z17" i="3"/>
  <c r="O33" i="3"/>
  <c r="AP38" i="3"/>
  <c r="AO5" i="3"/>
  <c r="AO55" i="3" s="1"/>
  <c r="AC24" i="3"/>
  <c r="AJ7" i="3"/>
  <c r="AA19" i="3"/>
  <c r="P9" i="3"/>
  <c r="L10" i="3"/>
  <c r="AO40" i="3"/>
  <c r="V23" i="3"/>
  <c r="AA27" i="3"/>
  <c r="AP83" i="3"/>
  <c r="O21" i="3"/>
  <c r="O17" i="3"/>
  <c r="H6" i="3"/>
  <c r="Y18" i="3"/>
  <c r="C41" i="3"/>
  <c r="AB11" i="3"/>
  <c r="AB21" i="3"/>
  <c r="AQ9" i="3"/>
  <c r="AJ5" i="3"/>
  <c r="AB6" i="3"/>
  <c r="AQ33" i="3"/>
  <c r="AC14" i="3"/>
  <c r="M5" i="3"/>
  <c r="AA14" i="3"/>
  <c r="G38" i="3"/>
  <c r="AP20" i="3"/>
  <c r="C20" i="3"/>
  <c r="Q12" i="3"/>
  <c r="I11" i="3"/>
  <c r="AJ10" i="3"/>
  <c r="AL23" i="3"/>
  <c r="AB40" i="3"/>
  <c r="AM36" i="3"/>
  <c r="AJ40" i="3"/>
  <c r="U24" i="3"/>
  <c r="AP8" i="3"/>
  <c r="AM9" i="3"/>
  <c r="AM24" i="3"/>
  <c r="AJ12" i="3"/>
  <c r="X33" i="3"/>
  <c r="T9" i="3"/>
  <c r="Y12" i="3"/>
  <c r="Q13" i="3"/>
  <c r="L40" i="3"/>
  <c r="C13" i="3"/>
  <c r="AC32" i="3"/>
  <c r="AK26" i="3"/>
  <c r="O31" i="3"/>
  <c r="AO19" i="3"/>
  <c r="AQ16" i="3"/>
  <c r="AN26" i="3"/>
  <c r="R12" i="3"/>
  <c r="AL19" i="3"/>
  <c r="J26" i="3"/>
  <c r="X23" i="3"/>
  <c r="AG35" i="3"/>
  <c r="U13" i="3"/>
  <c r="T5" i="3"/>
  <c r="T49" i="3" s="1"/>
  <c r="T31" i="3"/>
  <c r="AG25" i="3"/>
  <c r="Y21" i="3"/>
  <c r="AJ6" i="3"/>
  <c r="AH39" i="3"/>
  <c r="AP57" i="3"/>
  <c r="AP82" i="3"/>
  <c r="V24" i="3"/>
  <c r="W18" i="3"/>
  <c r="V41" i="3"/>
  <c r="AC27" i="3"/>
  <c r="AD32" i="3"/>
  <c r="H36" i="3"/>
  <c r="AG10" i="3"/>
  <c r="M33" i="3"/>
  <c r="O11" i="3"/>
  <c r="H32" i="3"/>
  <c r="AQ41" i="3"/>
  <c r="T12" i="3"/>
  <c r="AL7" i="3"/>
  <c r="AD40" i="3"/>
  <c r="M8" i="3"/>
  <c r="U14" i="3"/>
  <c r="U35" i="3"/>
  <c r="R41" i="3"/>
  <c r="AE37" i="3"/>
  <c r="T37" i="3"/>
  <c r="AL28" i="3"/>
  <c r="R34" i="3"/>
  <c r="AN11" i="3"/>
  <c r="K11" i="3"/>
  <c r="J30" i="3"/>
  <c r="H30" i="3"/>
  <c r="AP29" i="3"/>
  <c r="T39" i="3"/>
  <c r="D49" i="3"/>
  <c r="AC38" i="3"/>
  <c r="AC10" i="3"/>
  <c r="V17" i="3"/>
  <c r="S15" i="3"/>
  <c r="S25" i="3"/>
  <c r="AE13" i="3"/>
  <c r="I32" i="3"/>
  <c r="O34" i="3"/>
  <c r="AB16" i="3"/>
  <c r="AD23" i="3"/>
  <c r="AC41" i="3"/>
  <c r="K41" i="3"/>
  <c r="P36" i="3"/>
  <c r="U17" i="3"/>
  <c r="AQ7" i="3"/>
  <c r="AL11" i="3"/>
  <c r="U16" i="3"/>
  <c r="M41" i="3"/>
  <c r="J14" i="3"/>
  <c r="X42" i="3"/>
  <c r="K20" i="3"/>
  <c r="AL32" i="3"/>
  <c r="AC35" i="3"/>
  <c r="AJ19" i="3"/>
  <c r="V28" i="3"/>
  <c r="O40" i="3"/>
  <c r="N33" i="3"/>
  <c r="V14" i="3"/>
  <c r="T27" i="3"/>
  <c r="M16" i="3"/>
  <c r="AE27" i="3"/>
  <c r="K37" i="3"/>
  <c r="H39" i="3"/>
  <c r="AK16" i="3"/>
  <c r="K8" i="3"/>
  <c r="L41" i="3"/>
  <c r="Q11" i="3"/>
  <c r="Q7" i="3"/>
  <c r="AI14" i="3"/>
  <c r="W32" i="3"/>
  <c r="J11" i="3"/>
  <c r="AI33" i="3"/>
  <c r="AJ29" i="3"/>
  <c r="Z14" i="3"/>
  <c r="T15" i="3"/>
  <c r="AD41" i="3"/>
  <c r="E47" i="3"/>
  <c r="AN25" i="3"/>
  <c r="U37" i="3"/>
  <c r="W35" i="3"/>
  <c r="Q15" i="3"/>
  <c r="AL18" i="3"/>
  <c r="AG33" i="3"/>
  <c r="J33" i="3"/>
  <c r="AI29" i="3"/>
  <c r="K7" i="3"/>
  <c r="Z16" i="3"/>
  <c r="AN36" i="3"/>
  <c r="AG40" i="3"/>
  <c r="M21" i="3"/>
  <c r="AB49" i="3"/>
  <c r="H38" i="3"/>
  <c r="H13" i="3"/>
  <c r="L8" i="3"/>
  <c r="T35" i="3"/>
  <c r="G40" i="3"/>
  <c r="AK30" i="3"/>
  <c r="J7" i="3"/>
  <c r="S30" i="3"/>
  <c r="L26" i="3"/>
  <c r="W36" i="3"/>
  <c r="J21" i="3"/>
  <c r="AG36" i="3"/>
  <c r="H10" i="3"/>
  <c r="AO16" i="3"/>
  <c r="N9" i="3"/>
  <c r="AQ15" i="3"/>
  <c r="AD36" i="3"/>
  <c r="L15" i="3"/>
  <c r="AQ26" i="3"/>
  <c r="W23" i="3"/>
  <c r="N38" i="3"/>
  <c r="AM35" i="3"/>
  <c r="M28" i="3"/>
  <c r="AQ5" i="3"/>
  <c r="P28" i="3"/>
  <c r="K27" i="3"/>
  <c r="N17" i="3"/>
  <c r="AH30" i="3"/>
  <c r="K9" i="3"/>
  <c r="K26" i="3"/>
  <c r="P33" i="3"/>
  <c r="AE15" i="3"/>
  <c r="V15" i="3"/>
  <c r="S18" i="3"/>
  <c r="AH8" i="3"/>
  <c r="AH12" i="3"/>
  <c r="W8" i="3"/>
  <c r="AA28" i="3"/>
  <c r="X20" i="3"/>
  <c r="AK19" i="3"/>
  <c r="AP32" i="3"/>
  <c r="M18" i="3"/>
  <c r="H22" i="3"/>
  <c r="X35" i="3"/>
  <c r="Z37" i="3"/>
  <c r="AH34" i="3"/>
  <c r="AN40" i="3"/>
  <c r="Z38" i="3"/>
  <c r="Z18" i="3"/>
  <c r="AB91" i="3"/>
  <c r="H28" i="3"/>
  <c r="L29" i="3"/>
  <c r="H24" i="3"/>
  <c r="AD38" i="3"/>
  <c r="C25" i="3"/>
  <c r="AA6" i="3"/>
  <c r="Q38" i="3"/>
  <c r="C33" i="3"/>
  <c r="C8" i="3"/>
  <c r="AA32" i="3"/>
  <c r="T11" i="3"/>
  <c r="AN29" i="3"/>
  <c r="J29" i="3"/>
  <c r="Q28" i="3"/>
  <c r="O10" i="3"/>
  <c r="U39" i="3"/>
  <c r="W42" i="3"/>
  <c r="I20" i="3"/>
  <c r="X9" i="3"/>
  <c r="N13" i="3"/>
  <c r="AI39" i="3"/>
  <c r="AN42" i="3"/>
  <c r="AI8" i="3"/>
  <c r="AA29" i="3"/>
  <c r="J39" i="3"/>
  <c r="AP24" i="3"/>
  <c r="AK38" i="3"/>
  <c r="AL24" i="3"/>
  <c r="AG16" i="3"/>
  <c r="N11" i="3"/>
  <c r="AD34" i="3"/>
  <c r="M24" i="3"/>
  <c r="AD22" i="3"/>
  <c r="AB32" i="3"/>
  <c r="AM15" i="3"/>
  <c r="AL35" i="3"/>
  <c r="AH18" i="3"/>
  <c r="AC34" i="3"/>
  <c r="H12" i="3"/>
  <c r="AG13" i="3"/>
  <c r="V37" i="3"/>
  <c r="Y41" i="3"/>
  <c r="AO8" i="3"/>
  <c r="H33" i="3"/>
  <c r="V39" i="3"/>
  <c r="AJ9" i="3"/>
  <c r="I5" i="3"/>
  <c r="AM42" i="3"/>
  <c r="X6" i="3"/>
  <c r="AQ34" i="3"/>
  <c r="T23" i="3"/>
  <c r="X27" i="3"/>
  <c r="Q35" i="3"/>
  <c r="AM21" i="3"/>
  <c r="AC36" i="3"/>
  <c r="M13" i="3"/>
  <c r="Y19" i="3"/>
  <c r="R20" i="3"/>
  <c r="O24" i="3"/>
  <c r="Y30" i="3"/>
  <c r="G48" i="3"/>
  <c r="AE5" i="3"/>
  <c r="AC5" i="3"/>
  <c r="C39" i="3"/>
  <c r="C6" i="3"/>
  <c r="AM23" i="3"/>
  <c r="AJ18" i="3"/>
  <c r="AO18" i="3"/>
  <c r="AL26" i="3"/>
  <c r="I12" i="3"/>
  <c r="AI37" i="3"/>
  <c r="V22" i="3"/>
  <c r="Z42" i="3"/>
  <c r="AE35" i="3"/>
  <c r="R31" i="3"/>
  <c r="N31" i="3"/>
  <c r="V21" i="3"/>
  <c r="AD42" i="3"/>
  <c r="AM19" i="3"/>
  <c r="V35" i="3"/>
  <c r="D48" i="3"/>
  <c r="N23" i="3"/>
  <c r="Y27" i="3"/>
  <c r="AO42" i="3"/>
  <c r="AG9" i="3"/>
  <c r="AM38" i="3"/>
  <c r="W30" i="3"/>
  <c r="S10" i="3"/>
  <c r="O13" i="3"/>
  <c r="R7" i="3"/>
  <c r="N27" i="3"/>
  <c r="AD49" i="3"/>
  <c r="U40" i="3"/>
  <c r="S20" i="3"/>
  <c r="P12" i="3"/>
  <c r="L21" i="3"/>
  <c r="AE12" i="3"/>
  <c r="AB15" i="3"/>
  <c r="AO27" i="3"/>
  <c r="L35" i="3"/>
  <c r="Y11" i="3"/>
  <c r="AN7" i="3"/>
  <c r="V32" i="3"/>
  <c r="Z21" i="3"/>
  <c r="R27" i="3"/>
  <c r="S5" i="3"/>
  <c r="AN18" i="3"/>
  <c r="Z39" i="3"/>
  <c r="AL14" i="3"/>
  <c r="AB31" i="3"/>
  <c r="V40" i="3"/>
  <c r="AK28" i="3"/>
  <c r="U8" i="3"/>
  <c r="AG39" i="3"/>
  <c r="AB41" i="3"/>
  <c r="AJ41" i="3"/>
  <c r="AB34" i="3"/>
  <c r="AN32" i="3"/>
  <c r="V18" i="3"/>
  <c r="J34" i="3"/>
  <c r="P18" i="3"/>
  <c r="L28" i="3"/>
  <c r="H35" i="3"/>
  <c r="AM20" i="3"/>
  <c r="W31" i="3"/>
  <c r="S23" i="3"/>
  <c r="AG34" i="3"/>
  <c r="K10" i="3"/>
  <c r="U25" i="3"/>
  <c r="P15" i="3"/>
  <c r="Q30" i="3"/>
  <c r="AH26" i="3"/>
  <c r="U27" i="3"/>
  <c r="Z41" i="3"/>
  <c r="AC12" i="3"/>
  <c r="AM31" i="3"/>
  <c r="V26" i="3"/>
  <c r="P7" i="3"/>
  <c r="Y10" i="3"/>
  <c r="AI7" i="3"/>
  <c r="AG12" i="3"/>
  <c r="Y15" i="3"/>
  <c r="T42" i="3"/>
  <c r="AP27" i="3"/>
  <c r="AE16" i="3"/>
  <c r="D47" i="3"/>
  <c r="J22" i="3"/>
  <c r="Q25" i="3"/>
  <c r="K5" i="3"/>
  <c r="K79" i="3" s="1"/>
  <c r="V5" i="3"/>
  <c r="K28" i="3"/>
  <c r="G34" i="3"/>
  <c r="W39" i="3"/>
  <c r="AA24" i="3"/>
  <c r="AA37" i="3"/>
  <c r="AI12" i="3"/>
  <c r="AA9" i="3"/>
  <c r="I8" i="3"/>
  <c r="AL31" i="3"/>
  <c r="S34" i="3"/>
  <c r="M9" i="3"/>
  <c r="AE19" i="3"/>
  <c r="AL16" i="3"/>
  <c r="AI31" i="3"/>
  <c r="C24" i="3"/>
  <c r="I40" i="3"/>
  <c r="AP17" i="3"/>
  <c r="K6" i="3"/>
  <c r="R33" i="3"/>
  <c r="M12" i="3"/>
  <c r="AH28" i="3"/>
  <c r="Q14" i="3"/>
  <c r="AL25" i="3"/>
  <c r="AA16" i="3"/>
  <c r="O32" i="3"/>
  <c r="X17" i="3"/>
  <c r="AN16" i="3"/>
  <c r="AK6" i="3"/>
  <c r="AQ31" i="3"/>
  <c r="X37" i="3"/>
  <c r="K12" i="3"/>
  <c r="U7" i="3"/>
  <c r="N16" i="3"/>
  <c r="S22" i="3"/>
  <c r="AJ42" i="3"/>
  <c r="AC11" i="3"/>
  <c r="M19" i="3"/>
  <c r="R5" i="3"/>
  <c r="R81" i="3" s="1"/>
  <c r="I31" i="3"/>
  <c r="AM6" i="3"/>
  <c r="R19" i="3"/>
  <c r="AM27" i="3"/>
  <c r="AE40" i="3"/>
  <c r="M14" i="3"/>
  <c r="AN15" i="3"/>
  <c r="S28" i="3"/>
  <c r="AA38" i="3"/>
  <c r="P38" i="3"/>
  <c r="K25" i="3"/>
  <c r="U20" i="3"/>
  <c r="AO22" i="3"/>
  <c r="J31" i="3"/>
  <c r="Q10" i="3"/>
  <c r="AH6" i="3"/>
  <c r="P39" i="3"/>
  <c r="J42" i="3"/>
  <c r="AA21" i="3"/>
  <c r="AI28" i="3"/>
  <c r="AJ13" i="3"/>
  <c r="C4" i="3"/>
  <c r="H8" i="3"/>
  <c r="AI64" i="3"/>
  <c r="AK56" i="3"/>
  <c r="AI58" i="3"/>
  <c r="H81" i="3"/>
  <c r="Z4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H48" i="3"/>
  <c r="AQ97" i="3"/>
  <c r="T84" i="3"/>
  <c r="AK80" i="3"/>
  <c r="H79" i="3"/>
  <c r="AI63" i="3"/>
  <c r="AI47" i="3"/>
  <c r="O74" i="3"/>
  <c r="AJ70" i="3"/>
  <c r="Q55" i="3"/>
  <c r="AK60" i="3"/>
  <c r="AK95" i="3"/>
  <c r="AI90" i="3"/>
  <c r="AC83" i="3"/>
  <c r="AA89" i="3"/>
  <c r="AA58" i="3"/>
  <c r="Z93" i="3"/>
  <c r="AA97" i="3"/>
  <c r="Z73" i="3"/>
  <c r="AA55" i="3"/>
  <c r="AO73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U79" i="3"/>
  <c r="P94" i="3"/>
  <c r="V49" i="3"/>
  <c r="AE74" i="3"/>
  <c r="AM74" i="3"/>
  <c r="AK49" i="3"/>
  <c r="H72" i="3"/>
  <c r="J83" i="3"/>
  <c r="AI77" i="3"/>
  <c r="P96" i="3"/>
  <c r="J79" i="3"/>
  <c r="H73" i="3"/>
  <c r="AE96" i="3"/>
  <c r="J94" i="3"/>
  <c r="M93" i="3"/>
  <c r="AJ60" i="3"/>
  <c r="AA72" i="3"/>
  <c r="T96" i="3"/>
  <c r="W67" i="3"/>
  <c r="AG84" i="3"/>
  <c r="T69" i="3"/>
  <c r="AG59" i="3"/>
  <c r="R90" i="3"/>
  <c r="V86" i="3"/>
  <c r="H49" i="3"/>
  <c r="AM47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AM69" i="3"/>
  <c r="AK81" i="3"/>
  <c r="AI80" i="3"/>
  <c r="O59" i="3"/>
  <c r="AE81" i="3"/>
  <c r="J47" i="3"/>
  <c r="AE66" i="3"/>
  <c r="P93" i="3"/>
  <c r="AE95" i="3"/>
  <c r="AA79" i="3"/>
  <c r="Z60" i="3"/>
  <c r="AO72" i="3"/>
  <c r="W69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AI89" i="3"/>
  <c r="AM59" i="3"/>
  <c r="AE80" i="3"/>
  <c r="J68" i="3"/>
  <c r="AO66" i="3"/>
  <c r="M67" i="3"/>
  <c r="V56" i="3"/>
  <c r="AG62" i="3"/>
  <c r="AA93" i="3"/>
  <c r="T55" i="3"/>
  <c r="Z92" i="3"/>
  <c r="Y54" i="3"/>
  <c r="AM60" i="3"/>
  <c r="AG93" i="3"/>
  <c r="U47" i="3"/>
  <c r="AJ85" i="3"/>
  <c r="AO48" i="3"/>
  <c r="S55" i="3"/>
  <c r="AH83" i="3"/>
  <c r="Y62" i="3"/>
  <c r="I64" i="3"/>
  <c r="S81" i="3"/>
  <c r="AJ83" i="3"/>
  <c r="V95" i="3"/>
  <c r="Z88" i="3"/>
  <c r="I50" i="3"/>
  <c r="AI65" i="3"/>
  <c r="H64" i="3"/>
  <c r="AE64" i="3"/>
  <c r="AL54" i="3"/>
  <c r="H62" i="3"/>
  <c r="AE82" i="3"/>
  <c r="H48" i="3"/>
  <c r="U56" i="3"/>
  <c r="Q96" i="3"/>
  <c r="AO54" i="3"/>
  <c r="Z74" i="3"/>
  <c r="I79" i="3"/>
  <c r="AM61" i="3"/>
  <c r="X92" i="3"/>
  <c r="AG81" i="3"/>
  <c r="U63" i="3"/>
  <c r="AJ96" i="3"/>
  <c r="AO96" i="3"/>
  <c r="S54" i="3"/>
  <c r="U97" i="3"/>
  <c r="Y75" i="3"/>
  <c r="I47" i="3"/>
  <c r="AH68" i="3"/>
  <c r="AL56" i="3"/>
  <c r="Z84" i="3"/>
  <c r="AQ47" i="3"/>
  <c r="P68" i="3"/>
  <c r="M80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E61" i="3"/>
  <c r="AI85" i="3"/>
  <c r="AM84" i="3"/>
  <c r="P71" i="3"/>
  <c r="O54" i="3"/>
  <c r="X69" i="3"/>
  <c r="P92" i="3"/>
  <c r="O69" i="3"/>
  <c r="X91" i="3"/>
  <c r="O88" i="3"/>
  <c r="AI74" i="3"/>
  <c r="Q70" i="3"/>
  <c r="AO59" i="3"/>
  <c r="AC68" i="3"/>
  <c r="W77" i="3"/>
  <c r="AM92" i="3"/>
  <c r="AC55" i="3"/>
  <c r="AG68" i="3"/>
  <c r="R48" i="3"/>
  <c r="V80" i="3"/>
  <c r="S94" i="3"/>
  <c r="U96" i="3"/>
  <c r="Y73" i="3"/>
  <c r="I56" i="3"/>
  <c r="H63" i="3"/>
  <c r="AI76" i="3"/>
  <c r="M97" i="3"/>
  <c r="AI78" i="3"/>
  <c r="AI60" i="3"/>
  <c r="H68" i="3"/>
  <c r="O96" i="3"/>
  <c r="AA65" i="3"/>
  <c r="O78" i="3"/>
  <c r="O87" i="3"/>
  <c r="AE75" i="3"/>
  <c r="H82" i="3"/>
  <c r="Q82" i="3"/>
  <c r="O81" i="3"/>
  <c r="AE55" i="3"/>
  <c r="U68" i="3"/>
  <c r="T63" i="3"/>
  <c r="W55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AA60" i="3"/>
  <c r="J49" i="3"/>
  <c r="AM66" i="3"/>
  <c r="AM83" i="3"/>
  <c r="AK77" i="3"/>
  <c r="H75" i="3"/>
  <c r="J91" i="3"/>
  <c r="P59" i="3"/>
  <c r="Q87" i="3"/>
  <c r="M96" i="3"/>
  <c r="H97" i="3"/>
  <c r="AE72" i="3"/>
  <c r="J95" i="3"/>
  <c r="O50" i="3"/>
  <c r="AJ94" i="3"/>
  <c r="Z80" i="3"/>
  <c r="AO97" i="3"/>
  <c r="W86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Q72" i="3"/>
  <c r="AO69" i="3"/>
  <c r="AG74" i="3"/>
  <c r="R62" i="3"/>
  <c r="S80" i="3"/>
  <c r="I92" i="3"/>
  <c r="K60" i="3"/>
  <c r="AM48" i="3"/>
  <c r="AM80" i="3"/>
  <c r="AK69" i="3"/>
  <c r="AI84" i="3"/>
  <c r="O66" i="3"/>
  <c r="J85" i="3"/>
  <c r="H58" i="3"/>
  <c r="AE84" i="3"/>
  <c r="AE79" i="3"/>
  <c r="M95" i="3"/>
  <c r="M59" i="3"/>
  <c r="AO50" i="3"/>
  <c r="W59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K62" i="3"/>
  <c r="AA88" i="3"/>
  <c r="AG56" i="3"/>
  <c r="S47" i="3"/>
  <c r="M92" i="3"/>
  <c r="S69" i="3"/>
  <c r="AK93" i="3"/>
  <c r="H69" i="3"/>
  <c r="R74" i="3"/>
  <c r="AI97" i="3"/>
  <c r="AM81" i="3"/>
  <c r="H85" i="3"/>
  <c r="AE68" i="3"/>
  <c r="P50" i="3"/>
  <c r="J81" i="3"/>
  <c r="X89" i="3"/>
  <c r="AM67" i="3"/>
  <c r="AK96" i="3"/>
  <c r="H92" i="3"/>
  <c r="H76" i="3"/>
  <c r="O47" i="3"/>
  <c r="J80" i="3"/>
  <c r="J56" i="3"/>
  <c r="AE85" i="3"/>
  <c r="P61" i="3"/>
  <c r="AJ67" i="3"/>
  <c r="Q75" i="3"/>
  <c r="AI75" i="3"/>
  <c r="AK68" i="3"/>
  <c r="AJ61" i="3"/>
  <c r="M94" i="3"/>
  <c r="P58" i="3"/>
  <c r="AE67" i="3"/>
  <c r="AJ95" i="3"/>
  <c r="AJ72" i="3"/>
  <c r="O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J74" i="3"/>
  <c r="AH73" i="3"/>
  <c r="Y63" i="3"/>
  <c r="AC69" i="3"/>
  <c r="AI56" i="3"/>
  <c r="AI95" i="3"/>
  <c r="L64" i="3"/>
  <c r="AI57" i="3"/>
  <c r="P87" i="3"/>
  <c r="H91" i="3"/>
  <c r="L80" i="3"/>
  <c r="V87" i="3"/>
  <c r="AG49" i="3"/>
  <c r="H47" i="3"/>
  <c r="AO49" i="3"/>
  <c r="Q74" i="3"/>
  <c r="Q71" i="3"/>
  <c r="X80" i="3"/>
  <c r="T74" i="3"/>
  <c r="H66" i="3"/>
  <c r="L86" i="3"/>
  <c r="H96" i="3"/>
  <c r="AA96" i="3"/>
  <c r="AE89" i="3"/>
  <c r="M76" i="3"/>
  <c r="Q63" i="3"/>
  <c r="Z77" i="3"/>
  <c r="X77" i="3"/>
  <c r="AQ94" i="3"/>
  <c r="N97" i="3"/>
  <c r="M49" i="3"/>
  <c r="AL92" i="3"/>
  <c r="U81" i="3"/>
  <c r="AJ59" i="3"/>
  <c r="V66" i="3"/>
  <c r="S82" i="3"/>
  <c r="U87" i="3"/>
  <c r="AQ76" i="3"/>
  <c r="H95" i="3"/>
  <c r="O82" i="3"/>
  <c r="T61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J74" i="3"/>
  <c r="P55" i="3"/>
  <c r="N86" i="3"/>
  <c r="AH84" i="3"/>
  <c r="AA81" i="3"/>
  <c r="X97" i="3"/>
  <c r="O92" i="3"/>
  <c r="AG83" i="3"/>
  <c r="Z63" i="3"/>
  <c r="Y97" i="3"/>
  <c r="M73" i="3"/>
  <c r="X85" i="3"/>
  <c r="T71" i="3"/>
  <c r="AQ62" i="3"/>
  <c r="AA50" i="3"/>
  <c r="AM91" i="3"/>
  <c r="R76" i="3"/>
  <c r="I85" i="3"/>
  <c r="AK75" i="3"/>
  <c r="AK70" i="3"/>
  <c r="AQ69" i="3"/>
  <c r="Q65" i="3"/>
  <c r="P81" i="3"/>
  <c r="AJ78" i="3"/>
  <c r="S64" i="3"/>
  <c r="AA68" i="3"/>
  <c r="AL80" i="3"/>
  <c r="R54" i="3"/>
  <c r="AJ63" i="3"/>
  <c r="X78" i="3"/>
  <c r="AG65" i="3"/>
  <c r="S75" i="3"/>
  <c r="W70" i="3"/>
  <c r="R85" i="3"/>
  <c r="H89" i="3"/>
  <c r="W87" i="3"/>
  <c r="Y78" i="3"/>
  <c r="AQ86" i="3"/>
  <c r="U61" i="3"/>
  <c r="AC94" i="3"/>
  <c r="AQ96" i="3"/>
  <c r="S58" i="3"/>
  <c r="AI73" i="3"/>
  <c r="M86" i="3"/>
  <c r="O57" i="3"/>
  <c r="Q59" i="3"/>
  <c r="AC75" i="3"/>
  <c r="Q60" i="3"/>
  <c r="AO65" i="3"/>
  <c r="Z67" i="3"/>
  <c r="X58" i="3"/>
  <c r="W89" i="3"/>
  <c r="N84" i="3"/>
  <c r="AA54" i="3"/>
  <c r="AL70" i="3"/>
  <c r="U73" i="3"/>
  <c r="AJ66" i="3"/>
  <c r="V64" i="3"/>
  <c r="S56" i="3"/>
  <c r="Y49" i="3"/>
  <c r="R75" i="3"/>
  <c r="M63" i="3"/>
  <c r="J55" i="3"/>
  <c r="AO60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K65" i="3"/>
  <c r="S63" i="3"/>
  <c r="X83" i="3"/>
  <c r="O64" i="3"/>
  <c r="AJ88" i="3"/>
  <c r="Y67" i="3"/>
  <c r="I55" i="3"/>
  <c r="V72" i="3"/>
  <c r="K92" i="3"/>
  <c r="K93" i="3"/>
  <c r="K58" i="3"/>
  <c r="AG82" i="3"/>
  <c r="K85" i="3"/>
  <c r="I78" i="3"/>
  <c r="Z54" i="3"/>
  <c r="H55" i="3"/>
  <c r="V69" i="3"/>
  <c r="Q93" i="3"/>
  <c r="Z57" i="3"/>
  <c r="AQ95" i="3"/>
  <c r="W94" i="3"/>
  <c r="S84" i="3"/>
  <c r="Q64" i="3"/>
  <c r="AL90" i="3"/>
  <c r="S86" i="3"/>
  <c r="AK79" i="3"/>
  <c r="P48" i="3"/>
  <c r="AH88" i="3"/>
  <c r="P78" i="3"/>
  <c r="Q67" i="3"/>
  <c r="T66" i="3"/>
  <c r="U84" i="3"/>
  <c r="AK50" i="3"/>
  <c r="J62" i="3"/>
  <c r="W54" i="3"/>
  <c r="I91" i="3"/>
  <c r="AQ50" i="3"/>
  <c r="S62" i="3"/>
  <c r="AC95" i="3"/>
  <c r="O62" i="3"/>
  <c r="U67" i="3"/>
  <c r="X96" i="3"/>
  <c r="U75" i="3"/>
  <c r="L85" i="3"/>
  <c r="H56" i="3"/>
  <c r="AQ68" i="3"/>
  <c r="P60" i="3"/>
  <c r="W56" i="3"/>
  <c r="Z76" i="3"/>
  <c r="AQ59" i="3"/>
  <c r="R63" i="3"/>
  <c r="J54" i="3"/>
  <c r="V63" i="3"/>
  <c r="I96" i="3"/>
  <c r="AM50" i="3"/>
  <c r="AI92" i="3"/>
  <c r="Q54" i="3"/>
  <c r="AJ87" i="3"/>
  <c r="AA91" i="3"/>
  <c r="AJ84" i="3"/>
  <c r="N58" i="3"/>
  <c r="AC72" i="3"/>
  <c r="Z58" i="3"/>
  <c r="W81" i="3"/>
  <c r="N88" i="3"/>
  <c r="AA61" i="3"/>
  <c r="K84" i="3"/>
  <c r="U58" i="3"/>
  <c r="AJ76" i="3"/>
  <c r="AL73" i="3"/>
  <c r="S57" i="3"/>
  <c r="Y95" i="3"/>
  <c r="R69" i="3"/>
  <c r="AL76" i="3"/>
  <c r="AE57" i="3"/>
  <c r="AO84" i="3"/>
  <c r="X65" i="3"/>
  <c r="AQ82" i="3"/>
  <c r="AE90" i="3"/>
  <c r="Q97" i="3"/>
  <c r="AG95" i="3"/>
  <c r="AE56" i="3"/>
  <c r="U94" i="3"/>
  <c r="X56" i="3"/>
  <c r="AI49" i="3"/>
  <c r="N54" i="3"/>
  <c r="N89" i="3"/>
  <c r="L79" i="3"/>
  <c r="J97" i="3"/>
  <c r="L58" i="3"/>
  <c r="AA63" i="3"/>
  <c r="Q89" i="3"/>
  <c r="J59" i="3"/>
  <c r="N70" i="3"/>
  <c r="AM64" i="3"/>
  <c r="H93" i="3"/>
  <c r="O70" i="3"/>
  <c r="AA86" i="3"/>
  <c r="X76" i="3"/>
  <c r="AL79" i="3"/>
  <c r="AG94" i="3"/>
  <c r="U93" i="3"/>
  <c r="AO80" i="3"/>
  <c r="AQ60" i="3"/>
  <c r="L95" i="3"/>
  <c r="AG91" i="3"/>
  <c r="S60" i="3"/>
  <c r="J84" i="3"/>
  <c r="AM63" i="3"/>
  <c r="Y65" i="3"/>
  <c r="W76" i="3"/>
  <c r="X86" i="3"/>
  <c r="P47" i="3"/>
  <c r="P56" i="3"/>
  <c r="Q66" i="3"/>
  <c r="AA92" i="3"/>
  <c r="AO61" i="3"/>
  <c r="AH63" i="3"/>
  <c r="Z62" i="3"/>
  <c r="S72" i="3"/>
  <c r="N74" i="3"/>
  <c r="I82" i="3"/>
  <c r="W72" i="3"/>
  <c r="AC93" i="3"/>
  <c r="AL62" i="3"/>
  <c r="AM96" i="3"/>
  <c r="V55" i="3"/>
  <c r="P69" i="3"/>
  <c r="R95" i="3"/>
  <c r="Q62" i="3"/>
  <c r="AK74" i="3"/>
  <c r="AM87" i="3"/>
  <c r="H87" i="3"/>
  <c r="AE47" i="3"/>
  <c r="N76" i="3"/>
  <c r="Z48" i="3"/>
  <c r="W74" i="3"/>
  <c r="AK71" i="3"/>
  <c r="Q50" i="3"/>
  <c r="U69" i="3"/>
  <c r="AH86" i="3"/>
  <c r="AL95" i="3"/>
  <c r="Z72" i="3"/>
  <c r="AQ92" i="3"/>
  <c r="Z82" i="3"/>
  <c r="Y69" i="3"/>
  <c r="T47" i="3"/>
  <c r="P66" i="3"/>
  <c r="J70" i="3"/>
  <c r="L84" i="3"/>
  <c r="Y74" i="3"/>
  <c r="AL66" i="3"/>
  <c r="R79" i="3"/>
  <c r="AJ81" i="3"/>
  <c r="Z96" i="3"/>
  <c r="AG71" i="3"/>
  <c r="M64" i="3"/>
  <c r="AI86" i="3"/>
  <c r="V62" i="3"/>
  <c r="AG79" i="3"/>
  <c r="H94" i="3"/>
  <c r="V93" i="3"/>
  <c r="AI88" i="3"/>
  <c r="AC59" i="3"/>
  <c r="AM94" i="3"/>
  <c r="Z59" i="3"/>
  <c r="Z95" i="3"/>
  <c r="X87" i="3"/>
  <c r="AE77" i="3"/>
  <c r="O83" i="3"/>
  <c r="I90" i="3"/>
  <c r="AC82" i="3"/>
  <c r="AK89" i="3"/>
  <c r="AL61" i="3"/>
  <c r="S71" i="3"/>
  <c r="AI87" i="3"/>
  <c r="AK67" i="3"/>
  <c r="AI66" i="3"/>
  <c r="O91" i="3"/>
  <c r="AA47" i="3"/>
  <c r="W68" i="3"/>
  <c r="J64" i="3"/>
  <c r="K74" i="3"/>
  <c r="AH91" i="3"/>
  <c r="AJ50" i="3"/>
  <c r="AL94" i="3"/>
  <c r="W80" i="3"/>
  <c r="V71" i="3"/>
  <c r="Z86" i="3"/>
  <c r="AO89" i="3"/>
  <c r="AK59" i="3"/>
  <c r="AA74" i="3"/>
  <c r="L60" i="3"/>
  <c r="H65" i="3"/>
  <c r="AA56" i="3"/>
  <c r="AA48" i="3"/>
  <c r="W62" i="3"/>
  <c r="U83" i="3"/>
  <c r="AH61" i="3"/>
  <c r="J77" i="3"/>
  <c r="O55" i="3"/>
  <c r="I84" i="3"/>
  <c r="Z56" i="3"/>
  <c r="L76" i="3"/>
  <c r="I74" i="3"/>
  <c r="AQ48" i="3"/>
  <c r="M66" i="3"/>
  <c r="W61" i="3"/>
  <c r="U92" i="3"/>
  <c r="Y92" i="3"/>
  <c r="K78" i="3"/>
  <c r="AL47" i="3"/>
  <c r="AG88" i="3"/>
  <c r="P79" i="3"/>
  <c r="K81" i="3"/>
  <c r="V82" i="3"/>
  <c r="P95" i="3"/>
  <c r="AM95" i="3"/>
  <c r="T56" i="3"/>
  <c r="AA95" i="3"/>
  <c r="I63" i="3"/>
  <c r="H59" i="3"/>
  <c r="AA62" i="3"/>
  <c r="K76" i="3"/>
  <c r="N55" i="3"/>
  <c r="J63" i="3"/>
  <c r="M87" i="3"/>
  <c r="AM86" i="3"/>
  <c r="S97" i="3"/>
  <c r="N87" i="3"/>
  <c r="Y85" i="3"/>
  <c r="H78" i="3"/>
  <c r="X49" i="3"/>
  <c r="L50" i="3"/>
  <c r="T75" i="3"/>
  <c r="Q47" i="3"/>
  <c r="T65" i="3"/>
  <c r="W66" i="3"/>
  <c r="AE91" i="3"/>
  <c r="AH82" i="3"/>
  <c r="Y76" i="3"/>
  <c r="I49" i="3"/>
  <c r="AL50" i="3"/>
  <c r="P54" i="3"/>
  <c r="W97" i="3"/>
  <c r="Y82" i="3"/>
  <c r="V77" i="3"/>
  <c r="AK94" i="3"/>
  <c r="AI50" i="3"/>
  <c r="H90" i="3"/>
  <c r="L57" i="3"/>
  <c r="K47" i="3"/>
  <c r="W84" i="3"/>
  <c r="U80" i="3"/>
  <c r="T93" i="3"/>
  <c r="AE73" i="3"/>
  <c r="V50" i="3"/>
  <c r="AL64" i="3"/>
  <c r="I75" i="3"/>
  <c r="P85" i="3"/>
  <c r="AA70" i="3"/>
  <c r="AG80" i="3"/>
  <c r="M54" i="3"/>
  <c r="AH60" i="3"/>
  <c r="P73" i="3"/>
  <c r="N68" i="3"/>
  <c r="R66" i="3"/>
  <c r="Z85" i="3"/>
  <c r="I65" i="3"/>
  <c r="Q80" i="3"/>
  <c r="O93" i="3"/>
  <c r="I72" i="3"/>
  <c r="N75" i="3"/>
  <c r="T89" i="3"/>
  <c r="Q48" i="3"/>
  <c r="P86" i="3"/>
  <c r="AC86" i="3"/>
  <c r="J82" i="3"/>
  <c r="AK58" i="3"/>
  <c r="P82" i="3"/>
  <c r="AI69" i="3"/>
  <c r="Q56" i="3"/>
  <c r="P62" i="3"/>
  <c r="AA90" i="3"/>
  <c r="V70" i="3"/>
  <c r="W60" i="3"/>
  <c r="AM90" i="3"/>
  <c r="AG90" i="3"/>
  <c r="Z79" i="3"/>
  <c r="K68" i="3"/>
  <c r="Y87" i="3"/>
  <c r="AL86" i="3"/>
  <c r="R71" i="3"/>
  <c r="AG54" i="3"/>
  <c r="V48" i="3"/>
  <c r="P97" i="3"/>
  <c r="L49" i="3"/>
  <c r="AI79" i="3"/>
  <c r="P89" i="3"/>
  <c r="AA94" i="3"/>
  <c r="P70" i="3"/>
  <c r="W58" i="3"/>
  <c r="AL84" i="3"/>
  <c r="J88" i="3"/>
  <c r="H84" i="3"/>
  <c r="Q79" i="3"/>
  <c r="V89" i="3"/>
  <c r="O89" i="3"/>
  <c r="U55" i="3"/>
  <c r="Z71" i="3"/>
  <c r="U70" i="3"/>
  <c r="AH93" i="3"/>
  <c r="J87" i="3"/>
  <c r="AL63" i="3"/>
  <c r="T48" i="3"/>
  <c r="AM97" i="3"/>
  <c r="AK61" i="3"/>
  <c r="AC50" i="3"/>
  <c r="P84" i="3"/>
  <c r="AH89" i="3"/>
  <c r="U85" i="3"/>
  <c r="W93" i="3"/>
  <c r="AM72" i="3"/>
  <c r="AG87" i="3"/>
  <c r="K83" i="3"/>
  <c r="I93" i="3"/>
  <c r="X62" i="3"/>
  <c r="AO47" i="3"/>
  <c r="AL59" i="3"/>
  <c r="Z83" i="3"/>
  <c r="AM82" i="3"/>
  <c r="AK72" i="3"/>
  <c r="L83" i="3"/>
  <c r="AJ80" i="3"/>
  <c r="AC60" i="3"/>
  <c r="W49" i="3"/>
  <c r="J58" i="3"/>
  <c r="AQ74" i="3"/>
  <c r="AK63" i="3"/>
  <c r="AI91" i="3"/>
  <c r="W88" i="3"/>
  <c r="AQ63" i="3"/>
  <c r="O80" i="3"/>
  <c r="W73" i="3"/>
  <c r="AA49" i="3"/>
  <c r="X71" i="3"/>
  <c r="AC92" i="3"/>
  <c r="AK76" i="3"/>
  <c r="Y71" i="3"/>
  <c r="M79" i="3"/>
  <c r="T91" i="3"/>
  <c r="AK55" i="3"/>
  <c r="O49" i="3"/>
  <c r="AI72" i="3"/>
  <c r="P90" i="3"/>
  <c r="AE48" i="3"/>
  <c r="AL82" i="3"/>
  <c r="AL81" i="3"/>
  <c r="AJ77" i="3"/>
  <c r="W90" i="3"/>
  <c r="W91" i="3"/>
  <c r="AM73" i="3"/>
  <c r="AJ71" i="3"/>
  <c r="AH95" i="3"/>
  <c r="Z50" i="3"/>
  <c r="AL75" i="3"/>
  <c r="AK62" i="3"/>
  <c r="AE49" i="3"/>
  <c r="S89" i="3"/>
  <c r="O73" i="3"/>
  <c r="T81" i="3"/>
  <c r="AA67" i="3"/>
  <c r="AL89" i="3"/>
  <c r="AL58" i="3"/>
  <c r="H70" i="3"/>
  <c r="K54" i="3"/>
  <c r="AK83" i="3"/>
  <c r="L75" i="3"/>
  <c r="O48" i="3"/>
  <c r="Y47" i="3"/>
  <c r="AE69" i="3"/>
  <c r="W71" i="3"/>
  <c r="AM88" i="3"/>
  <c r="Z97" i="3"/>
  <c r="AH70" i="3"/>
  <c r="I66" i="3"/>
  <c r="Z61" i="3"/>
  <c r="R58" i="3"/>
  <c r="AA71" i="3"/>
  <c r="AG63" i="3"/>
  <c r="K67" i="3"/>
  <c r="O65" i="3"/>
  <c r="Q91" i="3"/>
  <c r="AM85" i="3"/>
  <c r="AK64" i="3"/>
  <c r="M55" i="3"/>
  <c r="Y72" i="3"/>
  <c r="Z66" i="3"/>
  <c r="AJ49" i="3"/>
  <c r="AC58" i="3"/>
  <c r="AE62" i="3"/>
  <c r="I94" i="3"/>
  <c r="P83" i="3"/>
  <c r="P49" i="3"/>
  <c r="AG89" i="3"/>
  <c r="AH67" i="3"/>
  <c r="AK84" i="3"/>
  <c r="H57" i="3"/>
  <c r="AJ90" i="3"/>
  <c r="T59" i="3"/>
  <c r="U88" i="3"/>
  <c r="M60" i="3"/>
  <c r="AC74" i="3"/>
  <c r="M62" i="3"/>
  <c r="O84" i="3"/>
  <c r="Y59" i="3"/>
  <c r="AM75" i="3"/>
  <c r="J57" i="3"/>
  <c r="P91" i="3"/>
  <c r="T88" i="3"/>
  <c r="U71" i="3"/>
  <c r="I67" i="3"/>
  <c r="Z94" i="3"/>
  <c r="AM49" i="3"/>
  <c r="AH54" i="3"/>
  <c r="W83" i="3"/>
  <c r="AL72" i="3"/>
  <c r="AM65" i="3"/>
  <c r="AJ73" i="3"/>
  <c r="AK92" i="3"/>
  <c r="P74" i="3"/>
  <c r="P63" i="3"/>
  <c r="J65" i="3"/>
  <c r="AH78" i="3"/>
  <c r="U50" i="3"/>
  <c r="P65" i="3"/>
  <c r="P77" i="3"/>
  <c r="AK73" i="3"/>
  <c r="X75" i="3"/>
  <c r="W95" i="3"/>
  <c r="AO57" i="3"/>
  <c r="Z91" i="3"/>
  <c r="AC64" i="3"/>
  <c r="Y77" i="3"/>
  <c r="AM57" i="3"/>
  <c r="Q83" i="3"/>
  <c r="S50" i="3" l="1"/>
  <c r="U89" i="3"/>
  <c r="Q49" i="3"/>
  <c r="K65" i="3"/>
  <c r="I61" i="3"/>
  <c r="S90" i="3"/>
  <c r="K48" i="3"/>
  <c r="S61" i="3"/>
  <c r="K50" i="3"/>
  <c r="AE94" i="3"/>
  <c r="V59" i="3"/>
  <c r="AC84" i="3"/>
  <c r="S59" i="3"/>
  <c r="V68" i="3"/>
  <c r="V58" i="3"/>
  <c r="K57" i="3"/>
  <c r="L88" i="3"/>
  <c r="L56" i="3"/>
  <c r="N96" i="3"/>
  <c r="N93" i="3"/>
  <c r="N92" i="3"/>
  <c r="N49" i="3"/>
  <c r="L92" i="3"/>
  <c r="L47" i="3"/>
  <c r="L97" i="3"/>
  <c r="L65" i="3"/>
  <c r="N82" i="3"/>
  <c r="N94" i="3"/>
  <c r="L61" i="3"/>
  <c r="L70" i="3"/>
  <c r="N78" i="3"/>
  <c r="N69" i="3"/>
  <c r="L67" i="3"/>
  <c r="L77" i="3"/>
  <c r="N47" i="3"/>
  <c r="N95" i="3"/>
  <c r="L72" i="3"/>
  <c r="N62" i="3"/>
  <c r="L68" i="3"/>
  <c r="N59" i="3"/>
  <c r="L90" i="3"/>
  <c r="N79" i="3"/>
  <c r="N73" i="3"/>
  <c r="N77" i="3"/>
  <c r="L96" i="3"/>
  <c r="L66" i="3"/>
  <c r="L59" i="3"/>
  <c r="N71" i="3"/>
  <c r="N50" i="3"/>
  <c r="L94" i="3"/>
  <c r="L63" i="3"/>
  <c r="L82" i="3"/>
  <c r="L69" i="3"/>
  <c r="N67" i="3"/>
  <c r="N72" i="3"/>
  <c r="L81" i="3"/>
  <c r="L91" i="3"/>
  <c r="N60" i="3"/>
  <c r="L87" i="3"/>
  <c r="L71" i="3"/>
  <c r="L54" i="3"/>
  <c r="N65" i="3"/>
  <c r="Y91" i="3"/>
  <c r="AM56" i="3"/>
  <c r="V67" i="3"/>
  <c r="AH94" i="3"/>
  <c r="J75" i="3"/>
  <c r="AQ66" i="3"/>
  <c r="AO92" i="3"/>
  <c r="P72" i="3"/>
  <c r="AH58" i="3"/>
  <c r="Y48" i="3"/>
  <c r="N64" i="3"/>
  <c r="I86" i="3"/>
  <c r="AL49" i="3"/>
  <c r="AO75" i="3"/>
  <c r="X74" i="3"/>
  <c r="N83" i="3"/>
  <c r="AL71" i="3"/>
  <c r="J89" i="3"/>
  <c r="T95" i="3"/>
  <c r="AG96" i="3"/>
  <c r="AJ75" i="3"/>
  <c r="J73" i="3"/>
  <c r="AI54" i="3"/>
  <c r="X90" i="3"/>
  <c r="AI68" i="3"/>
  <c r="U95" i="3"/>
  <c r="Y90" i="3"/>
  <c r="R94" i="3"/>
  <c r="Z90" i="3"/>
  <c r="AO70" i="3"/>
  <c r="X48" i="3"/>
  <c r="AM70" i="3"/>
  <c r="AA77" i="3"/>
  <c r="I77" i="3"/>
  <c r="P88" i="3"/>
  <c r="T64" i="3"/>
  <c r="AK82" i="3"/>
  <c r="X55" i="3"/>
  <c r="K64" i="3"/>
  <c r="AJ79" i="3"/>
  <c r="Q61" i="3"/>
  <c r="AM62" i="3"/>
  <c r="P80" i="3"/>
  <c r="X68" i="3"/>
  <c r="P67" i="3"/>
  <c r="AO95" i="3"/>
  <c r="Y93" i="3"/>
  <c r="X61" i="3"/>
  <c r="W47" i="3"/>
  <c r="U82" i="3"/>
  <c r="I71" i="3"/>
  <c r="AQ90" i="3"/>
  <c r="AH65" i="3"/>
  <c r="AJ68" i="3"/>
  <c r="AJ92" i="3"/>
  <c r="AA80" i="3"/>
  <c r="H61" i="3"/>
  <c r="V78" i="3"/>
  <c r="AK87" i="3"/>
  <c r="Z78" i="3"/>
  <c r="S93" i="3"/>
  <c r="X60" i="3"/>
  <c r="AJ89" i="3"/>
  <c r="AI61" i="3"/>
  <c r="AA82" i="3"/>
  <c r="V88" i="3"/>
  <c r="AK86" i="3"/>
  <c r="V84" i="3"/>
  <c r="T76" i="3"/>
  <c r="T78" i="3"/>
  <c r="J76" i="3"/>
  <c r="N61" i="3"/>
  <c r="AE86" i="3"/>
  <c r="AL74" i="3"/>
  <c r="AH64" i="3"/>
  <c r="R91" i="3"/>
  <c r="L48" i="3"/>
  <c r="Q68" i="3"/>
  <c r="AJ47" i="3"/>
  <c r="AH62" i="3"/>
  <c r="T92" i="3"/>
  <c r="N90" i="3"/>
  <c r="N57" i="3"/>
  <c r="O79" i="3"/>
  <c r="AJ56" i="3"/>
  <c r="AH56" i="3"/>
  <c r="I88" i="3"/>
  <c r="T82" i="3"/>
  <c r="T80" i="3"/>
  <c r="R56" i="3"/>
  <c r="L73" i="3"/>
  <c r="J60" i="3"/>
  <c r="AG47" i="3"/>
  <c r="Y64" i="3"/>
  <c r="T70" i="3"/>
  <c r="AG97" i="3"/>
  <c r="M85" i="3"/>
  <c r="AA66" i="3"/>
  <c r="AQ83" i="3"/>
  <c r="V83" i="3"/>
  <c r="AA73" i="3"/>
  <c r="S77" i="3"/>
  <c r="R67" i="3"/>
  <c r="AE63" i="3"/>
  <c r="Q77" i="3"/>
  <c r="AO91" i="3"/>
  <c r="L89" i="3"/>
  <c r="M89" i="3"/>
  <c r="AK90" i="3"/>
  <c r="R87" i="3"/>
  <c r="Y66" i="3"/>
  <c r="AG75" i="3"/>
  <c r="W92" i="3"/>
  <c r="K88" i="3"/>
  <c r="AH75" i="3"/>
  <c r="X54" i="3"/>
  <c r="J92" i="3"/>
  <c r="O67" i="3"/>
  <c r="M83" i="3"/>
  <c r="AG64" i="3"/>
  <c r="Y61" i="3"/>
  <c r="T97" i="3"/>
  <c r="AK66" i="3"/>
  <c r="R73" i="3"/>
  <c r="Y55" i="3"/>
  <c r="AG50" i="3"/>
  <c r="AL88" i="3"/>
  <c r="Y89" i="3"/>
  <c r="X95" i="3"/>
  <c r="N56" i="3"/>
  <c r="AQ89" i="3"/>
  <c r="O60" i="3"/>
  <c r="Y86" i="3"/>
  <c r="AA83" i="3"/>
  <c r="X73" i="3"/>
  <c r="AL65" i="3"/>
  <c r="U91" i="3"/>
  <c r="V74" i="3"/>
  <c r="R68" i="3"/>
  <c r="L55" i="3"/>
  <c r="AA78" i="3"/>
  <c r="X66" i="3"/>
  <c r="R65" i="3"/>
  <c r="AE60" i="3"/>
  <c r="AA84" i="3"/>
  <c r="AK88" i="3"/>
  <c r="I83" i="3"/>
  <c r="J50" i="3"/>
  <c r="X64" i="3"/>
  <c r="AJ48" i="3"/>
  <c r="Z65" i="3"/>
  <c r="AE83" i="3"/>
  <c r="K94" i="3"/>
  <c r="R83" i="3"/>
  <c r="M88" i="3"/>
  <c r="R49" i="3"/>
  <c r="Q90" i="3"/>
  <c r="Y60" i="3"/>
  <c r="S83" i="3"/>
  <c r="Z68" i="3"/>
  <c r="H67" i="3"/>
  <c r="I89" i="3"/>
  <c r="AM77" i="3"/>
  <c r="J72" i="3"/>
  <c r="Z87" i="3"/>
  <c r="T86" i="3"/>
  <c r="AL67" i="3"/>
  <c r="V61" i="3"/>
  <c r="I87" i="3"/>
  <c r="AI96" i="3"/>
  <c r="AJ82" i="3"/>
  <c r="AH79" i="3"/>
  <c r="R50" i="3"/>
  <c r="K69" i="3"/>
  <c r="S85" i="3"/>
  <c r="J61" i="3"/>
  <c r="AH92" i="3"/>
  <c r="H88" i="3"/>
  <c r="AH47" i="3"/>
  <c r="AQ58" i="3"/>
  <c r="AE59" i="3"/>
  <c r="AO82" i="3"/>
  <c r="AG85" i="3"/>
  <c r="Y81" i="3"/>
  <c r="Z89" i="3"/>
  <c r="Y79" i="3"/>
  <c r="AI83" i="3"/>
  <c r="H74" i="3"/>
  <c r="AC87" i="3"/>
  <c r="H50" i="3"/>
  <c r="X50" i="3"/>
  <c r="AL69" i="3"/>
  <c r="N66" i="3"/>
  <c r="AH90" i="3"/>
  <c r="AC85" i="3"/>
  <c r="I62" i="3"/>
  <c r="U72" i="3"/>
  <c r="K71" i="3"/>
  <c r="R57" i="3"/>
  <c r="X57" i="3"/>
  <c r="AI82" i="3"/>
  <c r="M71" i="3"/>
  <c r="K87" i="3"/>
  <c r="AC63" i="3"/>
  <c r="AL57" i="3"/>
  <c r="AJ64" i="3"/>
  <c r="O94" i="3"/>
  <c r="AE54" i="3"/>
  <c r="AQ85" i="3"/>
  <c r="AE97" i="3"/>
  <c r="K49" i="3"/>
  <c r="AH59" i="3"/>
  <c r="U78" i="3"/>
  <c r="U90" i="3"/>
  <c r="AA87" i="3"/>
  <c r="H80" i="3"/>
  <c r="AO74" i="3"/>
  <c r="AG66" i="3"/>
  <c r="I54" i="3"/>
  <c r="AA64" i="3"/>
  <c r="AQ55" i="3"/>
  <c r="O56" i="3"/>
  <c r="AO87" i="3"/>
  <c r="V60" i="3"/>
  <c r="AI62" i="3"/>
  <c r="AC62" i="3"/>
  <c r="U62" i="3"/>
  <c r="O77" i="3"/>
  <c r="AJ93" i="3"/>
  <c r="V65" i="3"/>
  <c r="AC47" i="3"/>
  <c r="Y88" i="3"/>
  <c r="Q78" i="3"/>
  <c r="AQ65" i="3"/>
  <c r="J96" i="3"/>
  <c r="Y57" i="3"/>
  <c r="O72" i="3"/>
  <c r="S68" i="3"/>
  <c r="V73" i="3"/>
  <c r="R77" i="3"/>
  <c r="AG48" i="3"/>
  <c r="Q92" i="3"/>
  <c r="T87" i="3"/>
  <c r="Q69" i="3"/>
  <c r="AH81" i="3"/>
  <c r="S74" i="3"/>
  <c r="AJ62" i="3"/>
  <c r="Y84" i="3"/>
  <c r="O63" i="3"/>
  <c r="AQ54" i="3"/>
  <c r="AC54" i="3"/>
  <c r="AQ70" i="3"/>
  <c r="M58" i="3"/>
  <c r="R92" i="3"/>
  <c r="N81" i="3"/>
  <c r="U59" i="3"/>
  <c r="AO56" i="3"/>
  <c r="Q84" i="3"/>
  <c r="AC90" i="3"/>
  <c r="AQ73" i="3"/>
  <c r="N63" i="3"/>
  <c r="I59" i="3"/>
  <c r="O97" i="3"/>
  <c r="O86" i="3"/>
  <c r="N91" i="3"/>
  <c r="AO68" i="3"/>
  <c r="V91" i="3"/>
  <c r="AI48" i="3"/>
  <c r="AM54" i="3"/>
  <c r="Y50" i="3"/>
  <c r="AC89" i="3"/>
  <c r="AH97" i="3"/>
  <c r="Q95" i="3"/>
  <c r="L74" i="3"/>
  <c r="AH87" i="3"/>
  <c r="T73" i="3"/>
  <c r="M84" i="3"/>
  <c r="AO76" i="3"/>
  <c r="AC79" i="3"/>
  <c r="AE58" i="3"/>
  <c r="S78" i="3"/>
  <c r="AJ86" i="3"/>
  <c r="AC96" i="3"/>
  <c r="J90" i="3"/>
  <c r="AC71" i="3"/>
  <c r="R78" i="3"/>
  <c r="R59" i="3"/>
  <c r="AQ81" i="3"/>
  <c r="AJ55" i="3"/>
  <c r="AC48" i="3"/>
  <c r="AC67" i="3"/>
  <c r="AG55" i="3"/>
  <c r="S65" i="3"/>
  <c r="AO58" i="3"/>
  <c r="AG70" i="3"/>
  <c r="R82" i="3"/>
  <c r="T94" i="3"/>
  <c r="M74" i="3"/>
  <c r="M78" i="3"/>
  <c r="AC81" i="3"/>
  <c r="M82" i="3"/>
  <c r="AQ75" i="3"/>
  <c r="AO90" i="3"/>
  <c r="S95" i="3"/>
  <c r="AH50" i="3"/>
  <c r="AC70" i="3"/>
  <c r="AQ77" i="3"/>
  <c r="J78" i="3"/>
  <c r="J67" i="3"/>
  <c r="AC91" i="3"/>
  <c r="AH96" i="3"/>
  <c r="K56" i="3"/>
  <c r="R96" i="3"/>
  <c r="J93" i="3"/>
  <c r="AG69" i="3"/>
  <c r="AG77" i="3"/>
  <c r="T72" i="3"/>
  <c r="AO94" i="3"/>
  <c r="I73" i="3"/>
  <c r="M68" i="3"/>
  <c r="R60" i="3"/>
  <c r="AQ49" i="3"/>
  <c r="K73" i="3"/>
  <c r="AG72" i="3"/>
  <c r="K95" i="3"/>
  <c r="K55" i="3"/>
  <c r="AC61" i="3"/>
  <c r="AG78" i="3"/>
  <c r="V81" i="3"/>
  <c r="AO62" i="3"/>
  <c r="AE71" i="3"/>
  <c r="R88" i="3"/>
  <c r="T79" i="3"/>
  <c r="M65" i="3"/>
  <c r="J71" i="3"/>
  <c r="AH85" i="3"/>
  <c r="AQ79" i="3"/>
  <c r="T77" i="3"/>
  <c r="V75" i="3"/>
  <c r="M81" i="3"/>
  <c r="AE76" i="3"/>
  <c r="R64" i="3"/>
  <c r="R55" i="3"/>
  <c r="R72" i="3"/>
  <c r="AO64" i="3"/>
  <c r="V94" i="3"/>
  <c r="AO85" i="3"/>
  <c r="AC49" i="3"/>
  <c r="S88" i="3"/>
  <c r="AN75" i="3"/>
  <c r="AN96" i="3"/>
  <c r="AN76" i="3"/>
  <c r="AN63" i="3"/>
  <c r="AN82" i="3"/>
  <c r="AN91" i="3"/>
  <c r="AN54" i="3"/>
  <c r="AN70" i="3"/>
  <c r="AN74" i="3"/>
  <c r="AN92" i="3"/>
  <c r="AN85" i="3"/>
  <c r="AN57" i="3"/>
  <c r="AN64" i="3"/>
  <c r="AN49" i="3"/>
  <c r="BS81" i="1" s="1"/>
  <c r="AN71" i="3"/>
  <c r="AN60" i="3"/>
  <c r="AN78" i="3"/>
  <c r="AN90" i="3"/>
  <c r="AN62" i="3"/>
  <c r="AN86" i="3"/>
  <c r="AN59" i="3"/>
  <c r="AN89" i="3"/>
  <c r="AN93" i="3"/>
  <c r="AN56" i="3"/>
  <c r="AN88" i="3"/>
  <c r="AN79" i="3"/>
  <c r="AN83" i="3"/>
  <c r="AN67" i="3"/>
  <c r="AN68" i="3"/>
  <c r="AN95" i="3"/>
  <c r="AN58" i="3"/>
  <c r="AN77" i="3"/>
  <c r="AN84" i="3"/>
  <c r="AN66" i="3"/>
  <c r="AN48" i="3"/>
  <c r="AN72" i="3"/>
  <c r="AN73" i="3"/>
  <c r="AN80" i="3"/>
  <c r="AN87" i="3"/>
  <c r="AN55" i="3"/>
  <c r="AN94" i="3"/>
  <c r="AN47" i="3"/>
  <c r="AN81" i="3"/>
  <c r="AN69" i="3"/>
  <c r="AN65" i="3"/>
  <c r="AN50" i="3"/>
  <c r="BS82" i="1" s="1"/>
  <c r="AN97" i="3"/>
  <c r="AN61" i="3"/>
  <c r="M91" i="3"/>
  <c r="AR162" i="1" s="1"/>
  <c r="M61" i="3"/>
  <c r="AV168" i="1"/>
  <c r="BR126" i="1"/>
  <c r="BS126" i="1" s="1"/>
  <c r="BD148" i="1"/>
  <c r="BE148" i="1" s="1"/>
  <c r="BH157" i="1"/>
  <c r="BT126" i="1"/>
  <c r="BU126" i="1" s="1"/>
  <c r="BB172" i="1"/>
  <c r="BC172" i="1" s="1"/>
  <c r="BP163" i="1"/>
  <c r="BR158" i="1"/>
  <c r="BB168" i="1"/>
  <c r="AT154" i="1"/>
  <c r="AR132" i="1"/>
  <c r="BH145" i="1"/>
  <c r="BI145" i="1" s="1"/>
  <c r="AR130" i="1"/>
  <c r="AS130" i="1" s="1"/>
  <c r="AZ135" i="1"/>
  <c r="BA135" i="1" s="1"/>
  <c r="BP154" i="1"/>
  <c r="BL161" i="1"/>
  <c r="BJ132" i="1"/>
  <c r="BH127" i="1"/>
  <c r="BD143" i="1"/>
  <c r="BE143" i="1" s="1"/>
  <c r="BP157" i="1"/>
  <c r="BR155" i="1"/>
  <c r="AV162" i="1"/>
  <c r="AT158" i="1"/>
  <c r="BL133" i="1"/>
  <c r="BM133" i="1" s="1"/>
  <c r="AN159" i="1"/>
  <c r="BR135" i="1"/>
  <c r="BS135" i="1" s="1"/>
  <c r="BJ140" i="1"/>
  <c r="BK140" i="1" s="1"/>
  <c r="BP168" i="1"/>
  <c r="AX161" i="1"/>
  <c r="BP132" i="1"/>
  <c r="BB162" i="1"/>
  <c r="BB134" i="1"/>
  <c r="BC134" i="1" s="1"/>
  <c r="BN143" i="1"/>
  <c r="BO143" i="1" s="1"/>
  <c r="AR151" i="1"/>
  <c r="BH163" i="1"/>
  <c r="AT167" i="1"/>
  <c r="BV133" i="1"/>
  <c r="BW133" i="1" s="1"/>
  <c r="BB135" i="1"/>
  <c r="BC135" i="1" s="1"/>
  <c r="BN162" i="1"/>
  <c r="BP133" i="1"/>
  <c r="BQ133" i="1" s="1"/>
  <c r="BH130" i="1"/>
  <c r="BI130" i="1" s="1"/>
  <c r="BP143" i="1"/>
  <c r="BQ143" i="1" s="1"/>
  <c r="BR153" i="1"/>
  <c r="AP168" i="1"/>
  <c r="BL160" i="1"/>
  <c r="BR143" i="1"/>
  <c r="BS143" i="1" s="1"/>
  <c r="AZ155" i="1"/>
  <c r="AZ141" i="1"/>
  <c r="BA141" i="1" s="1"/>
  <c r="AT161" i="1"/>
  <c r="AV151" i="1"/>
  <c r="BB127" i="1"/>
  <c r="BN151" i="1"/>
  <c r="BD160" i="1"/>
  <c r="AP139" i="1"/>
  <c r="BL134" i="1"/>
  <c r="BM134" i="1" s="1"/>
  <c r="BR134" i="1"/>
  <c r="BS134" i="1" s="1"/>
  <c r="BB130" i="1"/>
  <c r="BC130" i="1" s="1"/>
  <c r="BF134" i="1"/>
  <c r="BG134" i="1" s="1"/>
  <c r="AV125" i="1"/>
  <c r="BN140" i="1"/>
  <c r="BP127" i="1"/>
  <c r="AN143" i="1"/>
  <c r="AO143" i="1" s="1"/>
  <c r="AV167" i="1"/>
  <c r="AN158" i="1"/>
  <c r="BL167" i="1"/>
  <c r="BF141" i="1"/>
  <c r="BG141" i="1" s="1"/>
  <c r="AZ167" i="1"/>
  <c r="BB154" i="1"/>
  <c r="BD153" i="1"/>
  <c r="BJ162" i="1"/>
  <c r="BB159" i="1"/>
  <c r="BD155" i="1"/>
  <c r="AR160" i="1"/>
  <c r="BF132" i="1"/>
  <c r="AN133" i="1"/>
  <c r="AO133" i="1" s="1"/>
  <c r="BF172" i="1"/>
  <c r="BG172" i="1" s="1"/>
  <c r="BR172" i="1"/>
  <c r="BS172" i="1" s="1"/>
  <c r="AP152" i="1"/>
  <c r="BL135" i="1"/>
  <c r="BM135" i="1" s="1"/>
  <c r="AP150" i="1"/>
  <c r="BD163" i="1"/>
  <c r="AZ163" i="1"/>
  <c r="AR159" i="1"/>
  <c r="AN145" i="1"/>
  <c r="AO145" i="1" s="1"/>
  <c r="AN154" i="1"/>
  <c r="AZ168" i="1"/>
  <c r="BB132" i="1"/>
  <c r="BF125" i="1"/>
  <c r="BF145" i="1"/>
  <c r="BG145" i="1" s="1"/>
  <c r="BT161" i="1"/>
  <c r="BB167" i="1"/>
  <c r="AP145" i="1"/>
  <c r="AQ145" i="1" s="1"/>
  <c r="BB139" i="1"/>
  <c r="AT162" i="1"/>
  <c r="BN159" i="1"/>
  <c r="BN160" i="1"/>
  <c r="BP161" i="1"/>
  <c r="BH153" i="1"/>
  <c r="AN134" i="1"/>
  <c r="AO134" i="1" s="1"/>
  <c r="AT168" i="1"/>
  <c r="BJ148" i="1"/>
  <c r="BN135" i="1"/>
  <c r="BO135" i="1" s="1"/>
  <c r="BL151" i="1"/>
  <c r="AR157" i="1"/>
  <c r="BD145" i="1"/>
  <c r="BE145" i="1" s="1"/>
  <c r="BD140" i="1"/>
  <c r="BV163" i="1"/>
  <c r="AZ140" i="1"/>
  <c r="BB145" i="1"/>
  <c r="BC145" i="1" s="1"/>
  <c r="BR160" i="1"/>
  <c r="BP145" i="1"/>
  <c r="BQ145" i="1" s="1"/>
  <c r="AV132" i="1"/>
  <c r="BR171" i="1"/>
  <c r="BS171" i="1" s="1"/>
  <c r="BB143" i="1"/>
  <c r="BC143" i="1" s="1"/>
  <c r="AN153" i="1"/>
  <c r="AX143" i="1"/>
  <c r="AY143" i="1" s="1"/>
  <c r="BF163" i="1"/>
  <c r="AV159" i="1"/>
  <c r="BD158" i="1"/>
  <c r="BR133" i="1"/>
  <c r="BS133" i="1" s="1"/>
  <c r="AX130" i="1"/>
  <c r="AY130" i="1" s="1"/>
  <c r="BL162" i="1"/>
  <c r="BV130" i="1"/>
  <c r="BW130" i="1" s="1"/>
  <c r="BT167" i="1"/>
  <c r="AT141" i="1"/>
  <c r="AU141" i="1" s="1"/>
  <c r="BR157" i="1"/>
  <c r="AV161" i="1"/>
  <c r="BF133" i="1"/>
  <c r="BG133" i="1" s="1"/>
  <c r="BJ125" i="1"/>
  <c r="BL172" i="1"/>
  <c r="BM172" i="1" s="1"/>
  <c r="BJ134" i="1"/>
  <c r="BK134" i="1" s="1"/>
  <c r="BV153" i="1"/>
  <c r="BT154" i="1"/>
  <c r="BJ126" i="1"/>
  <c r="BK126" i="1" s="1"/>
  <c r="BD172" i="1"/>
  <c r="BE172" i="1" s="1"/>
  <c r="AX126" i="1"/>
  <c r="AY126" i="1" s="1"/>
  <c r="AZ127" i="1"/>
  <c r="AP154" i="1"/>
  <c r="BB152" i="1"/>
  <c r="BH143" i="1"/>
  <c r="BI143" i="1" s="1"/>
  <c r="BF162" i="1"/>
  <c r="BN163" i="1"/>
  <c r="AN171" i="1"/>
  <c r="AO171" i="1" s="1"/>
  <c r="BB125" i="1"/>
  <c r="BV139" i="1"/>
  <c r="AT132" i="1"/>
  <c r="BH172" i="1"/>
  <c r="BI172" i="1" s="1"/>
  <c r="AX132" i="1"/>
  <c r="AN162" i="1"/>
  <c r="AZ154" i="1"/>
  <c r="BP151" i="1"/>
  <c r="AV157" i="1"/>
  <c r="AX154" i="1"/>
  <c r="BV172" i="1"/>
  <c r="BW172" i="1" s="1"/>
  <c r="AN150" i="1"/>
  <c r="AP155" i="1"/>
  <c r="BL153" i="1"/>
  <c r="AP127" i="1"/>
  <c r="AP163" i="1"/>
  <c r="AT157" i="1"/>
  <c r="AX133" i="1"/>
  <c r="AY133" i="1" s="1"/>
  <c r="BP158" i="1"/>
  <c r="BV162" i="1"/>
  <c r="BD168" i="1"/>
  <c r="BR127" i="1"/>
  <c r="BT135" i="1"/>
  <c r="BU135" i="1" s="1"/>
  <c r="BR161" i="1"/>
  <c r="AT127" i="1"/>
  <c r="AX141" i="1"/>
  <c r="AY141" i="1" s="1"/>
  <c r="AN127" i="1"/>
  <c r="AR143" i="1"/>
  <c r="AS143" i="1" s="1"/>
  <c r="BT150" i="1"/>
  <c r="AR126" i="1"/>
  <c r="AS126" i="1" s="1"/>
  <c r="AV135" i="1"/>
  <c r="AW135" i="1" s="1"/>
  <c r="AZ126" i="1"/>
  <c r="BA126" i="1" s="1"/>
  <c r="BF155" i="1"/>
  <c r="AP162" i="1"/>
  <c r="BH126" i="1"/>
  <c r="BI126" i="1" s="1"/>
  <c r="BV150" i="1"/>
  <c r="BT130" i="1"/>
  <c r="BU130" i="1" s="1"/>
  <c r="AR133" i="1"/>
  <c r="AS133" i="1" s="1"/>
  <c r="AX125" i="1"/>
  <c r="BB161" i="1"/>
  <c r="BT158" i="1"/>
  <c r="AV130" i="1"/>
  <c r="AW130" i="1" s="1"/>
  <c r="AT126" i="1"/>
  <c r="AU126" i="1" s="1"/>
  <c r="AX127" i="1"/>
  <c r="BV171" i="1"/>
  <c r="BD150" i="1"/>
  <c r="BB160" i="1"/>
  <c r="BB141" i="1"/>
  <c r="BC141" i="1" s="1"/>
  <c r="BL158" i="1"/>
  <c r="BF139" i="1"/>
  <c r="AX157" i="1"/>
  <c r="AV158" i="1"/>
  <c r="BV140" i="1"/>
  <c r="BW140" i="1" s="1"/>
  <c r="BP141" i="1"/>
  <c r="BQ141" i="1" s="1"/>
  <c r="AN155" i="1"/>
  <c r="BR162" i="1"/>
  <c r="BV132" i="1"/>
  <c r="BL168" i="1"/>
  <c r="AT163" i="1"/>
  <c r="BF152" i="1"/>
  <c r="BB133" i="1"/>
  <c r="BC133" i="1" s="1"/>
  <c r="BH159" i="1"/>
  <c r="BB151" i="1"/>
  <c r="BJ160" i="1"/>
  <c r="AP141" i="1"/>
  <c r="AQ141" i="1" s="1"/>
  <c r="AR134" i="1"/>
  <c r="AS134" i="1" s="1"/>
  <c r="BH167" i="1"/>
  <c r="BD139" i="1"/>
  <c r="AX162" i="1"/>
  <c r="AT155" i="1"/>
  <c r="AR141" i="1"/>
  <c r="AS141" i="1" s="1"/>
  <c r="AN141" i="1"/>
  <c r="AO141" i="1" s="1"/>
  <c r="AX163" i="1"/>
  <c r="BL126" i="1"/>
  <c r="BM126" i="1" s="1"/>
  <c r="BR151" i="1"/>
  <c r="BH135" i="1"/>
  <c r="BI135" i="1" s="1"/>
  <c r="BJ150" i="1"/>
  <c r="BN152" i="1"/>
  <c r="AT139" i="1"/>
  <c r="AR148" i="1"/>
  <c r="AS148" i="1" s="1"/>
  <c r="AR125" i="1"/>
  <c r="BP162" i="1"/>
  <c r="BP150" i="1"/>
  <c r="AP159" i="1"/>
  <c r="AP171" i="1"/>
  <c r="BF140" i="1"/>
  <c r="AN172" i="1"/>
  <c r="AO172" i="1" s="1"/>
  <c r="AN130" i="1"/>
  <c r="AO130" i="1" s="1"/>
  <c r="AT153" i="1"/>
  <c r="AZ160" i="1"/>
  <c r="AX153" i="1"/>
  <c r="AZ152" i="1"/>
  <c r="AV133" i="1"/>
  <c r="AW133" i="1" s="1"/>
  <c r="BJ161" i="1"/>
  <c r="BF171" i="1"/>
  <c r="BG171" i="1" s="1"/>
  <c r="AV145" i="1"/>
  <c r="AW145" i="1" s="1"/>
  <c r="BN126" i="1"/>
  <c r="BO126" i="1" s="1"/>
  <c r="BN172" i="1"/>
  <c r="BO172" i="1" s="1"/>
  <c r="BN125" i="1"/>
  <c r="BH140" i="1"/>
  <c r="BD133" i="1"/>
  <c r="BE133" i="1" s="1"/>
  <c r="BB158" i="1"/>
  <c r="AN126" i="1"/>
  <c r="AO126" i="1" s="1"/>
  <c r="AR140" i="1"/>
  <c r="AP143" i="1"/>
  <c r="AQ143" i="1" s="1"/>
  <c r="BH158" i="1"/>
  <c r="AX151" i="1"/>
  <c r="BP155" i="1"/>
  <c r="BB171" i="1"/>
  <c r="AP167" i="1"/>
  <c r="AT134" i="1"/>
  <c r="AU134" i="1" s="1"/>
  <c r="BP139" i="1"/>
  <c r="BJ155" i="1"/>
  <c r="BP171" i="1"/>
  <c r="BJ139" i="1"/>
  <c r="BR152" i="1"/>
  <c r="AX140" i="1"/>
  <c r="AR163" i="1"/>
  <c r="BL125" i="1"/>
  <c r="BF135" i="1"/>
  <c r="BG135" i="1" s="1"/>
  <c r="AP132" i="1"/>
  <c r="AP161" i="1"/>
  <c r="AN167" i="1"/>
  <c r="BV143" i="1"/>
  <c r="BW143" i="1" s="1"/>
  <c r="BD171" i="1"/>
  <c r="AX160" i="1"/>
  <c r="AR172" i="1"/>
  <c r="AS172" i="1" s="1"/>
  <c r="BJ154" i="1"/>
  <c r="AT159" i="1"/>
  <c r="BN154" i="1"/>
  <c r="BP140" i="1"/>
  <c r="BR167" i="1"/>
  <c r="AP130" i="1"/>
  <c r="AQ130" i="1" s="1"/>
  <c r="AN163" i="1"/>
  <c r="AX167" i="1"/>
  <c r="BT140" i="1"/>
  <c r="AV143" i="1"/>
  <c r="AW143" i="1" s="1"/>
  <c r="AP134" i="1"/>
  <c r="AQ134" i="1" s="1"/>
  <c r="BB150" i="1"/>
  <c r="BV160" i="1"/>
  <c r="AX171" i="1"/>
  <c r="AY171" i="1" s="1"/>
  <c r="BJ143" i="1"/>
  <c r="BK143" i="1" s="1"/>
  <c r="AR171" i="1"/>
  <c r="AS171" i="1" s="1"/>
  <c r="AV160" i="1"/>
  <c r="BP148" i="1"/>
  <c r="BQ148" i="1" s="1"/>
  <c r="BR168" i="1"/>
  <c r="BR159" i="1"/>
  <c r="BF130" i="1"/>
  <c r="BG130" i="1" s="1"/>
  <c r="BR139" i="1"/>
  <c r="BJ135" i="1"/>
  <c r="BK135" i="1" s="1"/>
  <c r="BV135" i="1"/>
  <c r="BW135" i="1" s="1"/>
  <c r="BV125" i="1"/>
  <c r="AZ157" i="1"/>
  <c r="AX159" i="1"/>
  <c r="BH148" i="1"/>
  <c r="BR150" i="1"/>
  <c r="AZ139" i="1"/>
  <c r="AT152" i="1"/>
  <c r="AV153" i="1"/>
  <c r="AT160" i="1"/>
  <c r="AT150" i="1"/>
  <c r="BF158" i="1"/>
  <c r="AT171" i="1"/>
  <c r="AU171" i="1" s="1"/>
  <c r="BN130" i="1"/>
  <c r="BO130" i="1" s="1"/>
  <c r="BN150" i="1"/>
  <c r="AN125" i="1"/>
  <c r="AZ171" i="1"/>
  <c r="BA171" i="1" s="1"/>
  <c r="BL139" i="1"/>
  <c r="BR163" i="1"/>
  <c r="BB148" i="1"/>
  <c r="BC148" i="1" s="1"/>
  <c r="BH139" i="1"/>
  <c r="AV141" i="1"/>
  <c r="AW141" i="1" s="1"/>
  <c r="BN145" i="1"/>
  <c r="BO145" i="1" s="1"/>
  <c r="AT135" i="1"/>
  <c r="AU135" i="1" s="1"/>
  <c r="AT140" i="1"/>
  <c r="BR154" i="1"/>
  <c r="BN155" i="1"/>
  <c r="BP126" i="1"/>
  <c r="BQ126" i="1" s="1"/>
  <c r="BF126" i="1"/>
  <c r="BG126" i="1" s="1"/>
  <c r="BT148" i="1"/>
  <c r="BU148" i="1" s="1"/>
  <c r="BL163" i="1"/>
  <c r="AR167" i="1"/>
  <c r="BT171" i="1"/>
  <c r="AZ133" i="1"/>
  <c r="BA133" i="1" s="1"/>
  <c r="BL152" i="1"/>
  <c r="AN151" i="1"/>
  <c r="AV171" i="1"/>
  <c r="AW171" i="1" s="1"/>
  <c r="AZ125" i="1"/>
  <c r="BJ153" i="1"/>
  <c r="BJ157" i="1"/>
  <c r="BN158" i="1"/>
  <c r="AX152" i="1"/>
  <c r="AN157" i="1"/>
  <c r="BD132" i="1"/>
  <c r="BR130" i="1"/>
  <c r="BS130" i="1" s="1"/>
  <c r="BL132" i="1"/>
  <c r="BT159" i="1"/>
  <c r="BJ167" i="1"/>
  <c r="BN161" i="1"/>
  <c r="AP153" i="1"/>
  <c r="BV157" i="1"/>
  <c r="AN140" i="1"/>
  <c r="BL130" i="1"/>
  <c r="BM130" i="1" s="1"/>
  <c r="AZ148" i="1"/>
  <c r="BA148" i="1" s="1"/>
  <c r="BB140" i="1"/>
  <c r="BT143" i="1"/>
  <c r="BU143" i="1" s="1"/>
  <c r="BF151" i="1"/>
  <c r="BJ172" i="1"/>
  <c r="BK172" i="1" s="1"/>
  <c r="BJ159" i="1"/>
  <c r="BJ152" i="1"/>
  <c r="BN167" i="1"/>
  <c r="BP152" i="1"/>
  <c r="BR140" i="1"/>
  <c r="BV154" i="1"/>
  <c r="BD127" i="1"/>
  <c r="BB157" i="1"/>
  <c r="BV167" i="1"/>
  <c r="BJ163" i="1"/>
  <c r="BD141" i="1"/>
  <c r="BE141" i="1" s="1"/>
  <c r="AP148" i="1"/>
  <c r="AQ148" i="1" s="1"/>
  <c r="BT168" i="1"/>
  <c r="BJ141" i="1"/>
  <c r="BK141" i="1" s="1"/>
  <c r="AZ158" i="1"/>
  <c r="BB126" i="1"/>
  <c r="BC126" i="1" s="1"/>
  <c r="BH125" i="1"/>
  <c r="BH150" i="1"/>
  <c r="AV126" i="1"/>
  <c r="AW126" i="1" s="1"/>
  <c r="BN141" i="1"/>
  <c r="BO141" i="1" s="1"/>
  <c r="AV155" i="1"/>
  <c r="BL154" i="1"/>
  <c r="BF143" i="1"/>
  <c r="BG143" i="1" s="1"/>
  <c r="BJ171" i="1"/>
  <c r="BN148" i="1"/>
  <c r="BO148" i="1" s="1"/>
  <c r="BR145" i="1"/>
  <c r="BS145" i="1" s="1"/>
  <c r="BJ145" i="1"/>
  <c r="BK145" i="1" s="1"/>
  <c r="AZ151" i="1"/>
  <c r="BB155" i="1"/>
  <c r="BV126" i="1"/>
  <c r="BW126" i="1" s="1"/>
  <c r="AN139" i="1"/>
  <c r="BT133" i="1"/>
  <c r="BU133" i="1" s="1"/>
  <c r="BJ158" i="1"/>
  <c r="BD125" i="1"/>
  <c r="AV152" i="1"/>
  <c r="AZ145" i="1"/>
  <c r="BA145" i="1" s="1"/>
  <c r="BB153" i="1"/>
  <c r="BF127" i="1"/>
  <c r="BF161" i="1"/>
  <c r="BH168" i="1"/>
  <c r="BN134" i="1"/>
  <c r="BO134" i="1" s="1"/>
  <c r="BP172" i="1"/>
  <c r="BQ172" i="1" s="1"/>
  <c r="BP130" i="1"/>
  <c r="BQ130" i="1" s="1"/>
  <c r="AT145" i="1"/>
  <c r="AU145" i="1" s="1"/>
  <c r="BN133" i="1"/>
  <c r="BO133" i="1" s="1"/>
  <c r="BP167" i="1"/>
  <c r="BT152" i="1"/>
  <c r="AN152" i="1"/>
  <c r="AZ159" i="1"/>
  <c r="BL127" i="1"/>
  <c r="BD167" i="1"/>
  <c r="AP133" i="1"/>
  <c r="AQ133" i="1" s="1"/>
  <c r="AZ130" i="1"/>
  <c r="BA130" i="1" s="1"/>
  <c r="AP151" i="1"/>
  <c r="AT172" i="1"/>
  <c r="AU172" i="1" s="1"/>
  <c r="AV127" i="1"/>
  <c r="BN127" i="1"/>
  <c r="BP125" i="1"/>
  <c r="BN157" i="1"/>
  <c r="BN40" i="1"/>
  <c r="BN202" i="1" s="1"/>
  <c r="BF30" i="1"/>
  <c r="AO59" i="1"/>
  <c r="BM16" i="1"/>
  <c r="AV21" i="1"/>
  <c r="AZ17" i="1"/>
  <c r="AP44" i="1"/>
  <c r="AX40" i="1"/>
  <c r="AX202" i="1" s="1"/>
  <c r="BS32" i="1"/>
  <c r="AR31" i="1"/>
  <c r="BR16" i="1"/>
  <c r="BR239" i="1" s="1"/>
  <c r="BH23" i="1"/>
  <c r="BO59" i="1"/>
  <c r="AS28" i="1"/>
  <c r="AP22" i="1"/>
  <c r="BP16" i="1"/>
  <c r="BS28" i="1"/>
  <c r="BC29" i="1"/>
  <c r="BF28" i="1"/>
  <c r="BQ44" i="1"/>
  <c r="AV31" i="1"/>
  <c r="BM40" i="1"/>
  <c r="BM202" i="1" s="1"/>
  <c r="AR22" i="1"/>
  <c r="AP16" i="1"/>
  <c r="BU29" i="1"/>
  <c r="BQ28" i="1"/>
  <c r="AX53" i="1"/>
  <c r="BN22" i="1"/>
  <c r="AL53" i="1"/>
  <c r="AP40" i="1"/>
  <c r="AP261" i="1" s="1"/>
  <c r="AV44" i="1"/>
  <c r="BJ28" i="1"/>
  <c r="AY59" i="1"/>
  <c r="BD32" i="1"/>
  <c r="BL22" i="1"/>
  <c r="BD21" i="1"/>
  <c r="BA55" i="1"/>
  <c r="BH22" i="1"/>
  <c r="BM55" i="1"/>
  <c r="AU32" i="1"/>
  <c r="AZ44" i="1"/>
  <c r="AP21" i="1"/>
  <c r="BL53" i="1"/>
  <c r="AX43" i="1"/>
  <c r="BR17" i="1"/>
  <c r="AM54" i="1"/>
  <c r="AQ40" i="1"/>
  <c r="AQ202" i="1" s="1"/>
  <c r="AU33" i="1"/>
  <c r="AO53" i="1"/>
  <c r="BA33" i="1"/>
  <c r="BG53" i="1"/>
  <c r="BP40" i="1"/>
  <c r="BP202" i="1" s="1"/>
  <c r="BQ31" i="1"/>
  <c r="BS33" i="1"/>
  <c r="BE30" i="1"/>
  <c r="BD23" i="1"/>
  <c r="AQ54" i="1"/>
  <c r="BG32" i="1"/>
  <c r="BJ22" i="1"/>
  <c r="AQ30" i="1"/>
  <c r="AU22" i="1"/>
  <c r="AX17" i="1"/>
  <c r="BI81" i="1"/>
  <c r="AX21" i="1"/>
  <c r="BT59" i="1"/>
  <c r="AS43" i="1"/>
  <c r="BA54" i="1"/>
  <c r="BI59" i="1"/>
  <c r="BA30" i="1"/>
  <c r="BJ54" i="1"/>
  <c r="BE59" i="1"/>
  <c r="AN22" i="1"/>
  <c r="BQ55" i="1"/>
  <c r="BT33" i="1"/>
  <c r="BO33" i="1"/>
  <c r="BR43" i="1"/>
  <c r="AH16" i="1"/>
  <c r="AH239" i="1" s="1"/>
  <c r="AW17" i="1"/>
  <c r="BR30" i="1"/>
  <c r="AV54" i="1"/>
  <c r="AY43" i="1"/>
  <c r="BV53" i="1"/>
  <c r="BC16" i="1"/>
  <c r="BR59" i="1"/>
  <c r="BT16" i="1"/>
  <c r="BT239" i="1" s="1"/>
  <c r="AM22" i="1"/>
  <c r="BH53" i="1"/>
  <c r="BM33" i="1"/>
  <c r="BQ54" i="1"/>
  <c r="BR32" i="1"/>
  <c r="BI53" i="1"/>
  <c r="AS23" i="1"/>
  <c r="BL28" i="1"/>
  <c r="BF47" i="1"/>
  <c r="BS59" i="1"/>
  <c r="AN17" i="1"/>
  <c r="BB59" i="1"/>
  <c r="AT21" i="1"/>
  <c r="AV40" i="1"/>
  <c r="AV202" i="1" s="1"/>
  <c r="AO47" i="1"/>
  <c r="BS47" i="1"/>
  <c r="AY23" i="1"/>
  <c r="BF16" i="1"/>
  <c r="BF239" i="1" s="1"/>
  <c r="AH44" i="1"/>
  <c r="AQ47" i="1"/>
  <c r="AM40" i="1"/>
  <c r="AM140" i="1" s="1"/>
  <c r="AM142" i="1" s="1"/>
  <c r="AM146" i="1" s="1"/>
  <c r="BE33" i="1"/>
  <c r="BM53" i="1"/>
  <c r="BC54" i="1"/>
  <c r="AR33" i="1"/>
  <c r="BC17" i="1"/>
  <c r="BC18" i="1" s="1"/>
  <c r="BF40" i="1"/>
  <c r="BF202" i="1" s="1"/>
  <c r="BM22" i="1"/>
  <c r="AX33" i="1"/>
  <c r="BA32" i="1"/>
  <c r="BJ32" i="1"/>
  <c r="AP55" i="1"/>
  <c r="AS29" i="1"/>
  <c r="AU40" i="1"/>
  <c r="AU202" i="1" s="1"/>
  <c r="AR40" i="1"/>
  <c r="AR202" i="1" s="1"/>
  <c r="BR54" i="1"/>
  <c r="BB43" i="1"/>
  <c r="BV55" i="1"/>
  <c r="AQ32" i="1"/>
  <c r="BV32" i="1"/>
  <c r="BT28" i="1"/>
  <c r="AM21" i="1"/>
  <c r="AO30" i="1"/>
  <c r="AQ55" i="1"/>
  <c r="AY54" i="1"/>
  <c r="BG81" i="1"/>
  <c r="AR30" i="1"/>
  <c r="BE28" i="1"/>
  <c r="BN47" i="1"/>
  <c r="BQ33" i="1"/>
  <c r="AV32" i="1"/>
  <c r="BB54" i="1"/>
  <c r="BS44" i="1"/>
  <c r="AY32" i="1"/>
  <c r="BE31" i="1"/>
  <c r="BO47" i="1"/>
  <c r="AO23" i="1"/>
  <c r="BN31" i="1"/>
  <c r="AV23" i="1"/>
  <c r="BP28" i="1"/>
  <c r="AR28" i="1"/>
  <c r="BA31" i="1"/>
  <c r="BA40" i="1"/>
  <c r="BH54" i="1"/>
  <c r="AP17" i="1"/>
  <c r="BC59" i="1"/>
  <c r="AO31" i="1"/>
  <c r="AZ28" i="1"/>
  <c r="BQ23" i="1"/>
  <c r="AZ29" i="1"/>
  <c r="BI43" i="1"/>
  <c r="BG28" i="1"/>
  <c r="AT53" i="1"/>
  <c r="AX44" i="1"/>
  <c r="AX32" i="1"/>
  <c r="BA29" i="1"/>
  <c r="BH21" i="1"/>
  <c r="AI81" i="1"/>
  <c r="BU47" i="1"/>
  <c r="AP23" i="1"/>
  <c r="BS23" i="1"/>
  <c r="AW53" i="1"/>
  <c r="BQ40" i="1"/>
  <c r="AZ54" i="1"/>
  <c r="AZ31" i="1"/>
  <c r="AY22" i="1"/>
  <c r="AT23" i="1"/>
  <c r="BL21" i="1"/>
  <c r="BB33" i="1"/>
  <c r="BO16" i="1"/>
  <c r="BO239" i="1" s="1"/>
  <c r="BD30" i="1"/>
  <c r="BL44" i="1"/>
  <c r="BL54" i="1"/>
  <c r="BC43" i="1"/>
  <c r="AO55" i="1"/>
  <c r="AW22" i="1"/>
  <c r="BS55" i="1"/>
  <c r="BV28" i="1"/>
  <c r="BP55" i="1"/>
  <c r="BD22" i="1"/>
  <c r="BO22" i="1"/>
  <c r="BU16" i="1"/>
  <c r="BU239" i="1" s="1"/>
  <c r="BQ43" i="1"/>
  <c r="BO21" i="1"/>
  <c r="AN23" i="1"/>
  <c r="AV22" i="1"/>
  <c r="AH17" i="1"/>
  <c r="BU17" i="1"/>
  <c r="BF31" i="1"/>
  <c r="BH31" i="1"/>
  <c r="BG16" i="1"/>
  <c r="BG239" i="1" s="1"/>
  <c r="BG30" i="1"/>
  <c r="BG23" i="1"/>
  <c r="BD33" i="1"/>
  <c r="AM16" i="1"/>
  <c r="AT29" i="1"/>
  <c r="AT30" i="1"/>
  <c r="BA43" i="1"/>
  <c r="AQ21" i="1"/>
  <c r="BE29" i="1"/>
  <c r="AZ59" i="1"/>
  <c r="AU55" i="1"/>
  <c r="AM55" i="1"/>
  <c r="BR21" i="1"/>
  <c r="AO16" i="1"/>
  <c r="AO239" i="1" s="1"/>
  <c r="AQ29" i="1"/>
  <c r="BT40" i="1"/>
  <c r="AL81" i="1"/>
  <c r="AS40" i="1"/>
  <c r="AS202" i="1" s="1"/>
  <c r="AM59" i="1"/>
  <c r="BM23" i="1"/>
  <c r="AN28" i="1"/>
  <c r="AN40" i="1"/>
  <c r="AN202" i="1" s="1"/>
  <c r="BH32" i="1"/>
  <c r="AH55" i="1"/>
  <c r="BP32" i="1"/>
  <c r="BN55" i="1"/>
  <c r="AY16" i="1"/>
  <c r="BF55" i="1"/>
  <c r="BO30" i="1"/>
  <c r="BG29" i="1"/>
  <c r="AQ53" i="1"/>
  <c r="AH21" i="1"/>
  <c r="BR40" i="1"/>
  <c r="BR202" i="1" s="1"/>
  <c r="BL17" i="1"/>
  <c r="BN54" i="1"/>
  <c r="AS44" i="1"/>
  <c r="BU30" i="1"/>
  <c r="BT55" i="1"/>
  <c r="BA17" i="1"/>
  <c r="BV40" i="1"/>
  <c r="BV202" i="1" s="1"/>
  <c r="AV33" i="1"/>
  <c r="BB31" i="1"/>
  <c r="BP33" i="1"/>
  <c r="BP44" i="1"/>
  <c r="AM47" i="1"/>
  <c r="BA21" i="1"/>
  <c r="BU54" i="1"/>
  <c r="AT22" i="1"/>
  <c r="AS22" i="1"/>
  <c r="AY33" i="1"/>
  <c r="BD59" i="1"/>
  <c r="BF33" i="1"/>
  <c r="AT31" i="1"/>
  <c r="AZ47" i="1"/>
  <c r="BH30" i="1"/>
  <c r="BG31" i="1"/>
  <c r="BS21" i="1"/>
  <c r="BT22" i="1"/>
  <c r="BM44" i="1"/>
  <c r="AN16" i="1"/>
  <c r="BE47" i="1"/>
  <c r="BH43" i="1"/>
  <c r="AT28" i="1"/>
  <c r="BJ53" i="1"/>
  <c r="BF22" i="1"/>
  <c r="AP28" i="1"/>
  <c r="AO21" i="1"/>
  <c r="AU31" i="1"/>
  <c r="AH33" i="1"/>
  <c r="BF32" i="1"/>
  <c r="BR33" i="1"/>
  <c r="BD47" i="1"/>
  <c r="BP54" i="1"/>
  <c r="BI30" i="1"/>
  <c r="BI34" i="1" s="1"/>
  <c r="AN33" i="1"/>
  <c r="BH29" i="1"/>
  <c r="BN53" i="1"/>
  <c r="AW16" i="1"/>
  <c r="AR17" i="1"/>
  <c r="AV29" i="1"/>
  <c r="AX31" i="1"/>
  <c r="AV17" i="1"/>
  <c r="BF54" i="1"/>
  <c r="BV23" i="1"/>
  <c r="AS33" i="1"/>
  <c r="BM17" i="1"/>
  <c r="BI47" i="1"/>
  <c r="BC33" i="1"/>
  <c r="AN29" i="1"/>
  <c r="BN29" i="1"/>
  <c r="BP43" i="1"/>
  <c r="BJ55" i="1"/>
  <c r="BV21" i="1"/>
  <c r="BB44" i="1"/>
  <c r="BV54" i="1"/>
  <c r="AO40" i="1"/>
  <c r="AR59" i="1"/>
  <c r="BD54" i="1"/>
  <c r="BS30" i="1"/>
  <c r="AY17" i="1"/>
  <c r="AM32" i="1"/>
  <c r="BJ40" i="1"/>
  <c r="BT47" i="1"/>
  <c r="AN54" i="1"/>
  <c r="BV43" i="1"/>
  <c r="BU28" i="1"/>
  <c r="BM31" i="1"/>
  <c r="BB22" i="1"/>
  <c r="BA22" i="1"/>
  <c r="BU44" i="1"/>
  <c r="BS40" i="1"/>
  <c r="BS202" i="1" s="1"/>
  <c r="AX55" i="1"/>
  <c r="BQ22" i="1"/>
  <c r="BJ47" i="1"/>
  <c r="BP21" i="1"/>
  <c r="AP33" i="1"/>
  <c r="AN53" i="1"/>
  <c r="BL33" i="1"/>
  <c r="BT21" i="1"/>
  <c r="BM21" i="1"/>
  <c r="AN47" i="1"/>
  <c r="AU30" i="1"/>
  <c r="BS29" i="1"/>
  <c r="AH59" i="1"/>
  <c r="AN44" i="1"/>
  <c r="AZ22" i="1"/>
  <c r="BS53" i="1"/>
  <c r="BO31" i="1"/>
  <c r="AS17" i="1"/>
  <c r="AL55" i="1"/>
  <c r="BG33" i="1"/>
  <c r="BF59" i="1"/>
  <c r="AS21" i="1"/>
  <c r="BE40" i="1"/>
  <c r="BE202" i="1" s="1"/>
  <c r="BH59" i="1"/>
  <c r="AP54" i="1"/>
  <c r="BR31" i="1"/>
  <c r="BI17" i="1"/>
  <c r="BI18" i="1" s="1"/>
  <c r="BI24" i="1" s="1"/>
  <c r="BI25" i="1" s="1"/>
  <c r="BJ44" i="1"/>
  <c r="BE44" i="1"/>
  <c r="AL59" i="1"/>
  <c r="BE32" i="1"/>
  <c r="BI54" i="1"/>
  <c r="BT32" i="1"/>
  <c r="BH17" i="1"/>
  <c r="BJ21" i="1"/>
  <c r="BB55" i="1"/>
  <c r="AZ30" i="1"/>
  <c r="BN16" i="1"/>
  <c r="AM17" i="1"/>
  <c r="T158" i="1"/>
  <c r="W178" i="1"/>
  <c r="B135" i="1"/>
  <c r="S163" i="1"/>
  <c r="C167" i="1"/>
  <c r="T127" i="1"/>
  <c r="D82" i="1"/>
  <c r="B172" i="1"/>
  <c r="F135" i="1"/>
  <c r="K141" i="1"/>
  <c r="E86" i="1"/>
  <c r="G148" i="1"/>
  <c r="V85" i="1"/>
  <c r="V110" i="1" s="1"/>
  <c r="L125" i="1"/>
  <c r="R180" i="1"/>
  <c r="D148" i="1"/>
  <c r="U148" i="1"/>
  <c r="W82" i="1"/>
  <c r="E150" i="1"/>
  <c r="V172" i="1"/>
  <c r="S126" i="1"/>
  <c r="E82" i="1"/>
  <c r="H171" i="1"/>
  <c r="BA59" i="1"/>
  <c r="AV59" i="1"/>
  <c r="AP31" i="1"/>
  <c r="AV30" i="1"/>
  <c r="AZ21" i="1"/>
  <c r="AX16" i="1"/>
  <c r="BP31" i="1"/>
  <c r="BQ16" i="1"/>
  <c r="BQ239" i="1" s="1"/>
  <c r="BI55" i="1"/>
  <c r="BQ29" i="1"/>
  <c r="AM28" i="1"/>
  <c r="BJ43" i="1"/>
  <c r="BT29" i="1"/>
  <c r="BD43" i="1"/>
  <c r="AU47" i="1"/>
  <c r="BF21" i="1"/>
  <c r="BB21" i="1"/>
  <c r="AQ33" i="1"/>
  <c r="BO23" i="1"/>
  <c r="BQ59" i="1"/>
  <c r="AU28" i="1"/>
  <c r="AY55" i="1"/>
  <c r="BV22" i="1"/>
  <c r="AU54" i="1"/>
  <c r="AQ43" i="1"/>
  <c r="BT23" i="1"/>
  <c r="AQ31" i="1"/>
  <c r="AU16" i="1"/>
  <c r="AU239" i="1" s="1"/>
  <c r="AY40" i="1"/>
  <c r="BO32" i="1"/>
  <c r="AT33" i="1"/>
  <c r="AQ16" i="1"/>
  <c r="AQ239" i="1" s="1"/>
  <c r="AT54" i="1"/>
  <c r="BC32" i="1"/>
  <c r="BC21" i="1"/>
  <c r="AM23" i="1"/>
  <c r="BV16" i="1"/>
  <c r="BN30" i="1"/>
  <c r="AX54" i="1"/>
  <c r="BD16" i="1"/>
  <c r="AW54" i="1"/>
  <c r="BF44" i="1"/>
  <c r="BM28" i="1"/>
  <c r="BD29" i="1"/>
  <c r="BV47" i="1"/>
  <c r="AT43" i="1"/>
  <c r="AR54" i="1"/>
  <c r="BG82" i="1"/>
  <c r="D153" i="1"/>
  <c r="D188" i="1" s="1"/>
  <c r="V154" i="1"/>
  <c r="J151" i="1"/>
  <c r="S143" i="1"/>
  <c r="S139" i="1" s="1"/>
  <c r="R172" i="1"/>
  <c r="B153" i="1"/>
  <c r="B188" i="1" s="1"/>
  <c r="D144" i="1"/>
  <c r="K135" i="1"/>
  <c r="Q82" i="1"/>
  <c r="W158" i="1"/>
  <c r="D158" i="1"/>
  <c r="I140" i="1"/>
  <c r="D178" i="1"/>
  <c r="J179" i="1"/>
  <c r="T144" i="1"/>
  <c r="O144" i="1"/>
  <c r="J157" i="1"/>
  <c r="N179" i="1"/>
  <c r="AQ22" i="1"/>
  <c r="BT54" i="1"/>
  <c r="BO54" i="1"/>
  <c r="BU59" i="1"/>
  <c r="BD31" i="1"/>
  <c r="BR53" i="1"/>
  <c r="BE17" i="1"/>
  <c r="BI44" i="1"/>
  <c r="BI260" i="1" s="1"/>
  <c r="AO43" i="1"/>
  <c r="AY30" i="1"/>
  <c r="AU29" i="1"/>
  <c r="BV59" i="1"/>
  <c r="BA23" i="1"/>
  <c r="BC47" i="1"/>
  <c r="BT43" i="1"/>
  <c r="AY31" i="1"/>
  <c r="BQ32" i="1"/>
  <c r="AW40" i="1"/>
  <c r="AW202" i="1" s="1"/>
  <c r="AT16" i="1"/>
  <c r="BH44" i="1"/>
  <c r="AH53" i="1"/>
  <c r="BU40" i="1"/>
  <c r="BU202" i="1" s="1"/>
  <c r="AW29" i="1"/>
  <c r="AH29" i="1"/>
  <c r="BR22" i="1"/>
  <c r="BL32" i="1"/>
  <c r="BO28" i="1"/>
  <c r="BL40" i="1"/>
  <c r="BS22" i="1"/>
  <c r="BB47" i="1"/>
  <c r="BR23" i="1"/>
  <c r="AR23" i="1"/>
  <c r="BM29" i="1"/>
  <c r="AZ32" i="1"/>
  <c r="AT40" i="1"/>
  <c r="AT202" i="1" s="1"/>
  <c r="AR53" i="1"/>
  <c r="AX28" i="1"/>
  <c r="BB40" i="1"/>
  <c r="BB202" i="1" s="1"/>
  <c r="AY29" i="1"/>
  <c r="AH43" i="1"/>
  <c r="B140" i="1"/>
  <c r="L132" i="1"/>
  <c r="U172" i="1"/>
  <c r="R161" i="1"/>
  <c r="R191" i="1" s="1"/>
  <c r="C125" i="1"/>
  <c r="F145" i="1"/>
  <c r="Q86" i="1"/>
  <c r="Q97" i="1" s="1"/>
  <c r="N154" i="1"/>
  <c r="P126" i="1"/>
  <c r="U180" i="1"/>
  <c r="S125" i="1"/>
  <c r="B139" i="1"/>
  <c r="M159" i="1"/>
  <c r="P180" i="1"/>
  <c r="E144" i="1"/>
  <c r="O132" i="1"/>
  <c r="L143" i="1"/>
  <c r="L139" i="1" s="1"/>
  <c r="W87" i="1"/>
  <c r="J159" i="1"/>
  <c r="N144" i="1"/>
  <c r="AS47" i="1"/>
  <c r="AZ16" i="1"/>
  <c r="AI82" i="1"/>
  <c r="AW59" i="1"/>
  <c r="AP30" i="1"/>
  <c r="BN43" i="1"/>
  <c r="BM54" i="1"/>
  <c r="BU32" i="1"/>
  <c r="BO17" i="1"/>
  <c r="AQ28" i="1"/>
  <c r="BQ21" i="1"/>
  <c r="AS30" i="1"/>
  <c r="AS54" i="1"/>
  <c r="BA47" i="1"/>
  <c r="AU17" i="1"/>
  <c r="BJ23" i="1"/>
  <c r="AO44" i="1"/>
  <c r="BF29" i="1"/>
  <c r="BP29" i="1"/>
  <c r="BD53" i="1"/>
  <c r="AY53" i="1"/>
  <c r="BM32" i="1"/>
  <c r="BC40" i="1"/>
  <c r="BC53" i="1"/>
  <c r="AV28" i="1"/>
  <c r="BC22" i="1"/>
  <c r="BL59" i="1"/>
  <c r="AT47" i="1"/>
  <c r="AR21" i="1"/>
  <c r="AR29" i="1"/>
  <c r="T141" i="1"/>
  <c r="O159" i="1"/>
  <c r="U144" i="1"/>
  <c r="C145" i="1"/>
  <c r="R132" i="1"/>
  <c r="B180" i="1"/>
  <c r="L150" i="1"/>
  <c r="P167" i="1"/>
  <c r="P169" i="1" s="1"/>
  <c r="Q217" i="1" s="1"/>
  <c r="M127" i="1"/>
  <c r="I151" i="1"/>
  <c r="J158" i="1"/>
  <c r="U152" i="1"/>
  <c r="U187" i="1" s="1"/>
  <c r="J150" i="1"/>
  <c r="S144" i="1"/>
  <c r="T168" i="1"/>
  <c r="G125" i="1"/>
  <c r="L130" i="1"/>
  <c r="O86" i="1"/>
  <c r="O111" i="1" s="1"/>
  <c r="D141" i="1"/>
  <c r="U167" i="1"/>
  <c r="H168" i="1"/>
  <c r="H179" i="1"/>
  <c r="AQ59" i="1"/>
  <c r="BQ47" i="1"/>
  <c r="AM43" i="1"/>
  <c r="AO17" i="1"/>
  <c r="BE43" i="1"/>
  <c r="AT55" i="1"/>
  <c r="BH28" i="1"/>
  <c r="BG47" i="1"/>
  <c r="AP32" i="1"/>
  <c r="AY21" i="1"/>
  <c r="AM44" i="1"/>
  <c r="BL43" i="1"/>
  <c r="AL82" i="1"/>
  <c r="AW55" i="1"/>
  <c r="BT53" i="1"/>
  <c r="AT17" i="1"/>
  <c r="BS16" i="1"/>
  <c r="BP23" i="1"/>
  <c r="BU55" i="1"/>
  <c r="AV47" i="1"/>
  <c r="BN21" i="1"/>
  <c r="BE22" i="1"/>
  <c r="BC31" i="1"/>
  <c r="AU44" i="1"/>
  <c r="AU21" i="1"/>
  <c r="B134" i="1"/>
  <c r="B162" i="1" s="1"/>
  <c r="F172" i="1"/>
  <c r="S75" i="1"/>
  <c r="S76" i="1" s="1"/>
  <c r="R179" i="1"/>
  <c r="G153" i="1"/>
  <c r="G188" i="1" s="1"/>
  <c r="Q130" i="1"/>
  <c r="L140" i="1"/>
  <c r="F171" i="1"/>
  <c r="O180" i="1"/>
  <c r="C71" i="1"/>
  <c r="W152" i="1"/>
  <c r="O127" i="1"/>
  <c r="L81" i="1"/>
  <c r="T134" i="1"/>
  <c r="T162" i="1" s="1"/>
  <c r="K130" i="1"/>
  <c r="Q158" i="1"/>
  <c r="N134" i="1"/>
  <c r="N162" i="1" s="1"/>
  <c r="B171" i="1"/>
  <c r="E179" i="1"/>
  <c r="D159" i="1"/>
  <c r="BG40" i="1"/>
  <c r="BG202" i="1" s="1"/>
  <c r="AZ53" i="1"/>
  <c r="BN44" i="1"/>
  <c r="BH40" i="1"/>
  <c r="AU59" i="1"/>
  <c r="AT44" i="1"/>
  <c r="BN33" i="1"/>
  <c r="BG44" i="1"/>
  <c r="BO40" i="1"/>
  <c r="AZ55" i="1"/>
  <c r="BR47" i="1"/>
  <c r="BC30" i="1"/>
  <c r="AX30" i="1"/>
  <c r="BE55" i="1"/>
  <c r="BO53" i="1"/>
  <c r="BB28" i="1"/>
  <c r="BH16" i="1"/>
  <c r="BH239" i="1" s="1"/>
  <c r="AO29" i="1"/>
  <c r="BU31" i="1"/>
  <c r="AN32" i="1"/>
  <c r="BD40" i="1"/>
  <c r="BD202" i="1" s="1"/>
  <c r="BO43" i="1"/>
  <c r="AX23" i="1"/>
  <c r="AT59" i="1"/>
  <c r="AH22" i="1"/>
  <c r="BS17" i="1"/>
  <c r="BS18" i="1" s="1"/>
  <c r="BS7" i="1" s="1"/>
  <c r="BS10" i="1" s="1"/>
  <c r="BD44" i="1"/>
  <c r="AW32" i="1"/>
  <c r="AX59" i="1"/>
  <c r="BB53" i="1"/>
  <c r="AS31" i="1"/>
  <c r="BN28" i="1"/>
  <c r="BO44" i="1"/>
  <c r="AN43" i="1"/>
  <c r="BM30" i="1"/>
  <c r="BI82" i="1"/>
  <c r="BM43" i="1"/>
  <c r="U179" i="1"/>
  <c r="D168" i="1"/>
  <c r="G180" i="1"/>
  <c r="J153" i="1"/>
  <c r="J188" i="1" s="1"/>
  <c r="L135" i="1"/>
  <c r="G140" i="1"/>
  <c r="L144" i="1"/>
  <c r="M171" i="1"/>
  <c r="W86" i="1"/>
  <c r="W111" i="1" s="1"/>
  <c r="E81" i="1"/>
  <c r="V145" i="1"/>
  <c r="T140" i="1"/>
  <c r="H132" i="1"/>
  <c r="V86" i="1"/>
  <c r="J134" i="1"/>
  <c r="J162" i="1" s="1"/>
  <c r="U155" i="1"/>
  <c r="M141" i="1"/>
  <c r="BJ16" i="1"/>
  <c r="AN59" i="1"/>
  <c r="BV31" i="1"/>
  <c r="AH23" i="1"/>
  <c r="BL23" i="1"/>
  <c r="BV29" i="1"/>
  <c r="BV17" i="1"/>
  <c r="AH54" i="1"/>
  <c r="BL47" i="1"/>
  <c r="AO54" i="1"/>
  <c r="AW28" i="1"/>
  <c r="AH28" i="1"/>
  <c r="BC23" i="1"/>
  <c r="AW23" i="1"/>
  <c r="BL31" i="1"/>
  <c r="AP53" i="1"/>
  <c r="AY47" i="1"/>
  <c r="BB17" i="1"/>
  <c r="AP29" i="1"/>
  <c r="BB29" i="1"/>
  <c r="BF17" i="1"/>
  <c r="AX47" i="1"/>
  <c r="BD55" i="1"/>
  <c r="BO55" i="1"/>
  <c r="AH31" i="1"/>
  <c r="BR29" i="1"/>
  <c r="BN17" i="1"/>
  <c r="AU43" i="1"/>
  <c r="AW21" i="1"/>
  <c r="AS59" i="1"/>
  <c r="BJ17" i="1"/>
  <c r="BN59" i="1"/>
  <c r="AM33" i="1"/>
  <c r="BG55" i="1"/>
  <c r="BV30" i="1"/>
  <c r="BP53" i="1"/>
  <c r="AW31" i="1"/>
  <c r="AZ40" i="1"/>
  <c r="AZ202" i="1" s="1"/>
  <c r="BL30" i="1"/>
  <c r="AP59" i="1"/>
  <c r="BA44" i="1"/>
  <c r="AR55" i="1"/>
  <c r="AX29" i="1"/>
  <c r="BS43" i="1"/>
  <c r="BA53" i="1"/>
  <c r="AP43" i="1"/>
  <c r="AV55" i="1"/>
  <c r="BS54" i="1"/>
  <c r="BE54" i="1"/>
  <c r="BG43" i="1"/>
  <c r="BB32" i="1"/>
  <c r="BN32" i="1"/>
  <c r="AR32" i="1"/>
  <c r="AQ23" i="1"/>
  <c r="AV53" i="1"/>
  <c r="AW47" i="1"/>
  <c r="M132" i="1"/>
  <c r="P132" i="1"/>
  <c r="B158" i="1"/>
  <c r="O133" i="1"/>
  <c r="H167" i="1"/>
  <c r="M75" i="1"/>
  <c r="M76" i="1" s="1"/>
  <c r="P150" i="1"/>
  <c r="J81" i="1"/>
  <c r="M154" i="1"/>
  <c r="K155" i="1"/>
  <c r="Q150" i="1"/>
  <c r="H127" i="1"/>
  <c r="F157" i="1"/>
  <c r="Q155" i="1"/>
  <c r="V155" i="1"/>
  <c r="C161" i="1"/>
  <c r="C191" i="1" s="1"/>
  <c r="E133" i="1"/>
  <c r="R87" i="1"/>
  <c r="C150" i="1"/>
  <c r="T167" i="1"/>
  <c r="T169" i="1" s="1"/>
  <c r="C178" i="1"/>
  <c r="O141" i="1"/>
  <c r="D85" i="1"/>
  <c r="BV44" i="1"/>
  <c r="AH47" i="1"/>
  <c r="AZ33" i="1"/>
  <c r="AS16" i="1"/>
  <c r="AS239" i="1" s="1"/>
  <c r="BP59" i="1"/>
  <c r="AV16" i="1"/>
  <c r="BA16" i="1"/>
  <c r="BA239" i="1" s="1"/>
  <c r="BG54" i="1"/>
  <c r="BH55" i="1"/>
  <c r="AU23" i="1"/>
  <c r="AZ43" i="1"/>
  <c r="BF43" i="1"/>
  <c r="BU33" i="1"/>
  <c r="BQ53" i="1"/>
  <c r="AN31" i="1"/>
  <c r="BM47" i="1"/>
  <c r="BB23" i="1"/>
  <c r="AR16" i="1"/>
  <c r="AR239" i="1" s="1"/>
  <c r="BL16" i="1"/>
  <c r="BT44" i="1"/>
  <c r="BS31" i="1"/>
  <c r="AY28" i="1"/>
  <c r="AO32" i="1"/>
  <c r="BG22" i="1"/>
  <c r="BJ33" i="1"/>
  <c r="BG21" i="1"/>
  <c r="BL55" i="1"/>
  <c r="AO33" i="1"/>
  <c r="BT31" i="1"/>
  <c r="AR44" i="1"/>
  <c r="AR260" i="1" s="1"/>
  <c r="BC28" i="1"/>
  <c r="AL54" i="1"/>
  <c r="AR43" i="1"/>
  <c r="BU43" i="1"/>
  <c r="BE53" i="1"/>
  <c r="AX22" i="1"/>
  <c r="AS32" i="1"/>
  <c r="AW44" i="1"/>
  <c r="BU21" i="1"/>
  <c r="AS55" i="1"/>
  <c r="BH33" i="1"/>
  <c r="AH30" i="1"/>
  <c r="BU82" i="1"/>
  <c r="T82" i="1"/>
  <c r="L87" i="1"/>
  <c r="L116" i="1" s="1"/>
  <c r="M145" i="1"/>
  <c r="E153" i="1"/>
  <c r="E188" i="1" s="1"/>
  <c r="R135" i="1"/>
  <c r="G85" i="1"/>
  <c r="G126" i="1"/>
  <c r="T85" i="1"/>
  <c r="D135" i="1"/>
  <c r="L172" i="1"/>
  <c r="I134" i="1"/>
  <c r="I162" i="1" s="1"/>
  <c r="F144" i="1"/>
  <c r="E158" i="1"/>
  <c r="J145" i="1"/>
  <c r="Q141" i="1"/>
  <c r="S133" i="1"/>
  <c r="C154" i="1"/>
  <c r="U151" i="1"/>
  <c r="E163" i="1"/>
  <c r="M157" i="1"/>
  <c r="AU53" i="1"/>
  <c r="BE16" i="1"/>
  <c r="AO28" i="1"/>
  <c r="BU22" i="1"/>
  <c r="M153" i="1"/>
  <c r="M188" i="1" s="1"/>
  <c r="C86" i="1"/>
  <c r="J140" i="1"/>
  <c r="V159" i="1"/>
  <c r="C82" i="1"/>
  <c r="F168" i="1"/>
  <c r="J172" i="1"/>
  <c r="T75" i="1"/>
  <c r="T76" i="1" s="1"/>
  <c r="H158" i="1"/>
  <c r="V130" i="1"/>
  <c r="W134" i="1"/>
  <c r="W162" i="1" s="1"/>
  <c r="R82" i="1"/>
  <c r="L167" i="1"/>
  <c r="D86" i="1"/>
  <c r="D97" i="1" s="1"/>
  <c r="U140" i="1"/>
  <c r="Q172" i="1"/>
  <c r="K87" i="1"/>
  <c r="K112" i="1" s="1"/>
  <c r="G150" i="1"/>
  <c r="G178" i="1"/>
  <c r="B126" i="1"/>
  <c r="D71" i="1"/>
  <c r="E125" i="1"/>
  <c r="C87" i="1"/>
  <c r="J171" i="1"/>
  <c r="D179" i="1"/>
  <c r="AZ23" i="1"/>
  <c r="BB30" i="1"/>
  <c r="BJ30" i="1"/>
  <c r="AM31" i="1"/>
  <c r="BF53" i="1"/>
  <c r="AJ81" i="1"/>
  <c r="AY44" i="1"/>
  <c r="AW33" i="1"/>
  <c r="BA28" i="1"/>
  <c r="AM29" i="1"/>
  <c r="AM53" i="1"/>
  <c r="BU81" i="1"/>
  <c r="AH81" i="1"/>
  <c r="U154" i="1"/>
  <c r="M163" i="1"/>
  <c r="F158" i="1"/>
  <c r="U130" i="1"/>
  <c r="M140" i="1"/>
  <c r="W168" i="1"/>
  <c r="F155" i="1"/>
  <c r="Q151" i="1"/>
  <c r="I133" i="1"/>
  <c r="P86" i="1"/>
  <c r="F140" i="1"/>
  <c r="U132" i="1"/>
  <c r="T153" i="1"/>
  <c r="T188" i="1" s="1"/>
  <c r="D161" i="1"/>
  <c r="D191" i="1" s="1"/>
  <c r="N143" i="1"/>
  <c r="N139" i="1" s="1"/>
  <c r="T172" i="1"/>
  <c r="C152" i="1"/>
  <c r="C187" i="1" s="1"/>
  <c r="D145" i="1"/>
  <c r="H86" i="1"/>
  <c r="C75" i="1"/>
  <c r="Q135" i="1"/>
  <c r="Q143" i="1"/>
  <c r="Q139" i="1" s="1"/>
  <c r="E157" i="1"/>
  <c r="AW30" i="1"/>
  <c r="AW43" i="1"/>
  <c r="BJ29" i="1"/>
  <c r="BD17" i="1"/>
  <c r="AN21" i="1"/>
  <c r="BF23" i="1"/>
  <c r="BQ30" i="1"/>
  <c r="BP17" i="1"/>
  <c r="BC55" i="1"/>
  <c r="AJ82" i="1"/>
  <c r="BC44" i="1"/>
  <c r="AN30" i="1"/>
  <c r="BG59" i="1"/>
  <c r="BU23" i="1"/>
  <c r="BD28" i="1"/>
  <c r="AH32" i="1"/>
  <c r="BB16" i="1"/>
  <c r="BJ59" i="1"/>
  <c r="AV43" i="1"/>
  <c r="AQ17" i="1"/>
  <c r="AM30" i="1"/>
  <c r="AT32" i="1"/>
  <c r="BR55" i="1"/>
  <c r="BP47" i="1"/>
  <c r="BU53" i="1"/>
  <c r="BH47" i="1"/>
  <c r="BT30" i="1"/>
  <c r="AN55" i="1"/>
  <c r="BE23" i="1"/>
  <c r="BJ31" i="1"/>
  <c r="BT17" i="1"/>
  <c r="BL29" i="1"/>
  <c r="BR44" i="1"/>
  <c r="BN23" i="1"/>
  <c r="AO22" i="1"/>
  <c r="BP22" i="1"/>
  <c r="BQ17" i="1"/>
  <c r="BO29" i="1"/>
  <c r="AH40" i="1"/>
  <c r="AH202" i="1" s="1"/>
  <c r="K168" i="1"/>
  <c r="N87" i="1"/>
  <c r="J141" i="1"/>
  <c r="T178" i="1"/>
  <c r="S171" i="1"/>
  <c r="M161" i="1"/>
  <c r="M191" i="1" s="1"/>
  <c r="B168" i="1"/>
  <c r="Q127" i="1"/>
  <c r="O143" i="1"/>
  <c r="O139" i="1" s="1"/>
  <c r="B159" i="1"/>
  <c r="W135" i="1"/>
  <c r="C148" i="1"/>
  <c r="R150" i="1"/>
  <c r="P154" i="1"/>
  <c r="F159" i="1"/>
  <c r="F75" i="1"/>
  <c r="F76" i="1" s="1"/>
  <c r="I154" i="1"/>
  <c r="S167" i="1"/>
  <c r="V167" i="1"/>
  <c r="C130" i="1"/>
  <c r="F132" i="1"/>
  <c r="K180" i="1"/>
  <c r="L178" i="1"/>
  <c r="N132" i="1"/>
  <c r="H154" i="1"/>
  <c r="T87" i="1"/>
  <c r="T95" i="1" s="1"/>
  <c r="I179" i="1"/>
  <c r="D134" i="1"/>
  <c r="D162" i="1" s="1"/>
  <c r="E130" i="1"/>
  <c r="S159" i="1"/>
  <c r="S81" i="1"/>
  <c r="I171" i="1"/>
  <c r="B71" i="1"/>
  <c r="J148" i="1"/>
  <c r="W159" i="1"/>
  <c r="H126" i="1"/>
  <c r="E127" i="1"/>
  <c r="N140" i="1"/>
  <c r="G154" i="1"/>
  <c r="H135" i="1"/>
  <c r="L168" i="1"/>
  <c r="D154" i="1"/>
  <c r="K157" i="1"/>
  <c r="W180" i="1"/>
  <c r="K81" i="1"/>
  <c r="H155" i="1"/>
  <c r="H85" i="1"/>
  <c r="H110" i="1" s="1"/>
  <c r="C168" i="1"/>
  <c r="G179" i="1"/>
  <c r="P144" i="1"/>
  <c r="O134" i="1"/>
  <c r="O162" i="1" s="1"/>
  <c r="I163" i="1"/>
  <c r="I132" i="1"/>
  <c r="B148" i="1"/>
  <c r="B150" i="1"/>
  <c r="E148" i="1"/>
  <c r="I155" i="1"/>
  <c r="H152" i="1"/>
  <c r="H187" i="1" s="1"/>
  <c r="R143" i="1"/>
  <c r="R139" i="1" s="1"/>
  <c r="V151" i="1"/>
  <c r="H172" i="1"/>
  <c r="G81" i="1"/>
  <c r="C157" i="1"/>
  <c r="N161" i="1"/>
  <c r="N191" i="1" s="1"/>
  <c r="W157" i="1"/>
  <c r="Q179" i="1"/>
  <c r="I157" i="1"/>
  <c r="J152" i="1"/>
  <c r="J187" i="1" s="1"/>
  <c r="N125" i="1"/>
  <c r="L75" i="1"/>
  <c r="L76" i="1" s="1"/>
  <c r="U86" i="1"/>
  <c r="U94" i="1" s="1"/>
  <c r="W151" i="1"/>
  <c r="K179" i="1"/>
  <c r="L180" i="1"/>
  <c r="H87" i="1"/>
  <c r="H112" i="1" s="1"/>
  <c r="L133" i="1"/>
  <c r="S130" i="1"/>
  <c r="T163" i="1"/>
  <c r="V133" i="1"/>
  <c r="C155" i="1"/>
  <c r="K143" i="1"/>
  <c r="K139" i="1" s="1"/>
  <c r="N153" i="1"/>
  <c r="N188" i="1" s="1"/>
  <c r="K153" i="1"/>
  <c r="K188" i="1" s="1"/>
  <c r="S155" i="1"/>
  <c r="M150" i="1"/>
  <c r="V144" i="1"/>
  <c r="R140" i="1"/>
  <c r="V134" i="1"/>
  <c r="V162" i="1" s="1"/>
  <c r="P152" i="1"/>
  <c r="P187" i="1" s="1"/>
  <c r="K158" i="1"/>
  <c r="H82" i="1"/>
  <c r="N168" i="1"/>
  <c r="S157" i="1"/>
  <c r="C140" i="1"/>
  <c r="M81" i="1"/>
  <c r="S179" i="1"/>
  <c r="S127" i="1"/>
  <c r="L163" i="1"/>
  <c r="C139" i="1"/>
  <c r="O140" i="1"/>
  <c r="D143" i="1"/>
  <c r="S168" i="1"/>
  <c r="D139" i="1"/>
  <c r="V180" i="1"/>
  <c r="V87" i="1"/>
  <c r="V95" i="1" s="1"/>
  <c r="T150" i="1"/>
  <c r="W172" i="1"/>
  <c r="I127" i="1"/>
  <c r="J161" i="1"/>
  <c r="J191" i="1" s="1"/>
  <c r="R85" i="1"/>
  <c r="R110" i="1" s="1"/>
  <c r="S87" i="1"/>
  <c r="S112" i="1" s="1"/>
  <c r="L148" i="1"/>
  <c r="U145" i="1"/>
  <c r="O157" i="1"/>
  <c r="E180" i="1"/>
  <c r="R141" i="1"/>
  <c r="O130" i="1"/>
  <c r="K145" i="1"/>
  <c r="W81" i="1"/>
  <c r="O153" i="1"/>
  <c r="O188" i="1" s="1"/>
  <c r="D133" i="1"/>
  <c r="F141" i="1"/>
  <c r="F143" i="1"/>
  <c r="F139" i="1" s="1"/>
  <c r="N145" i="1"/>
  <c r="H75" i="1"/>
  <c r="H76" i="1" s="1"/>
  <c r="P143" i="1"/>
  <c r="P139" i="1" s="1"/>
  <c r="I153" i="1"/>
  <c r="I188" i="1" s="1"/>
  <c r="D155" i="1"/>
  <c r="F134" i="1"/>
  <c r="F162" i="1" s="1"/>
  <c r="S148" i="1"/>
  <c r="S135" i="1"/>
  <c r="H134" i="1"/>
  <c r="H162" i="1" s="1"/>
  <c r="E154" i="1"/>
  <c r="L179" i="1"/>
  <c r="L127" i="1"/>
  <c r="D180" i="1"/>
  <c r="U135" i="1"/>
  <c r="V125" i="1"/>
  <c r="I126" i="1"/>
  <c r="D172" i="1"/>
  <c r="J133" i="1"/>
  <c r="N75" i="1"/>
  <c r="N76" i="1" s="1"/>
  <c r="K154" i="1"/>
  <c r="M87" i="1"/>
  <c r="M95" i="1" s="1"/>
  <c r="I144" i="1"/>
  <c r="W126" i="1"/>
  <c r="G135" i="1"/>
  <c r="H143" i="1"/>
  <c r="H139" i="1" s="1"/>
  <c r="H142" i="1" s="1"/>
  <c r="Q81" i="1"/>
  <c r="C143" i="1"/>
  <c r="V161" i="1"/>
  <c r="V191" i="1" s="1"/>
  <c r="V126" i="1"/>
  <c r="Q140" i="1"/>
  <c r="B132" i="1"/>
  <c r="E171" i="1"/>
  <c r="Q134" i="1"/>
  <c r="Q162" i="1" s="1"/>
  <c r="O125" i="1"/>
  <c r="K125" i="1"/>
  <c r="E85" i="1"/>
  <c r="E110" i="1" s="1"/>
  <c r="N85" i="1"/>
  <c r="R154" i="1"/>
  <c r="E126" i="1"/>
  <c r="H153" i="1"/>
  <c r="H188" i="1" s="1"/>
  <c r="R127" i="1"/>
  <c r="K133" i="1"/>
  <c r="O126" i="1"/>
  <c r="Q133" i="1"/>
  <c r="J87" i="1"/>
  <c r="J112" i="1" s="1"/>
  <c r="U150" i="1"/>
  <c r="B145" i="1"/>
  <c r="I180" i="1"/>
  <c r="P140" i="1"/>
  <c r="H178" i="1"/>
  <c r="I148" i="1"/>
  <c r="G75" i="1"/>
  <c r="G76" i="1" s="1"/>
  <c r="U171" i="1"/>
  <c r="E87" i="1"/>
  <c r="B125" i="1"/>
  <c r="M130" i="1"/>
  <c r="P178" i="1"/>
  <c r="F148" i="1"/>
  <c r="T155" i="1"/>
  <c r="O152" i="1"/>
  <c r="O187" i="1" s="1"/>
  <c r="S152" i="1"/>
  <c r="S187" i="1" s="1"/>
  <c r="O172" i="1"/>
  <c r="R155" i="1"/>
  <c r="N82" i="1"/>
  <c r="BM59" i="1"/>
  <c r="BV33" i="1"/>
  <c r="AS53" i="1"/>
  <c r="AP47" i="1"/>
  <c r="BI40" i="1"/>
  <c r="AR47" i="1"/>
  <c r="BG17" i="1"/>
  <c r="BP30" i="1"/>
  <c r="AQ44" i="1"/>
  <c r="BE21" i="1"/>
  <c r="BR28" i="1"/>
  <c r="W130" i="1"/>
  <c r="S140" i="1"/>
  <c r="H151" i="1"/>
  <c r="I145" i="1"/>
  <c r="N157" i="1"/>
  <c r="F152" i="1"/>
  <c r="F187" i="1" s="1"/>
  <c r="L145" i="1"/>
  <c r="D81" i="1"/>
  <c r="C144" i="1"/>
  <c r="I158" i="1"/>
  <c r="U153" i="1"/>
  <c r="U188" i="1" s="1"/>
  <c r="J168" i="1"/>
  <c r="L158" i="1"/>
  <c r="G144" i="1"/>
  <c r="G145" i="1"/>
  <c r="E135" i="1"/>
  <c r="Q148" i="1"/>
  <c r="W133" i="1"/>
  <c r="H130" i="1"/>
  <c r="M82" i="1"/>
  <c r="L154" i="1"/>
  <c r="M85" i="1"/>
  <c r="Q152" i="1"/>
  <c r="Q187" i="1" s="1"/>
  <c r="D157" i="1"/>
  <c r="S172" i="1"/>
  <c r="C81" i="1"/>
  <c r="B85" i="1"/>
  <c r="R148" i="1"/>
  <c r="S210" i="1" s="1"/>
  <c r="C134" i="1"/>
  <c r="C162" i="1" s="1"/>
  <c r="O87" i="1"/>
  <c r="O112" i="1" s="1"/>
  <c r="I152" i="1"/>
  <c r="I187" i="1" s="1"/>
  <c r="R86" i="1"/>
  <c r="R115" i="1" s="1"/>
  <c r="R171" i="1"/>
  <c r="T145" i="1"/>
  <c r="W75" i="1"/>
  <c r="J126" i="1"/>
  <c r="T132" i="1"/>
  <c r="W150" i="1"/>
  <c r="V179" i="1"/>
  <c r="D125" i="1"/>
  <c r="W154" i="1"/>
  <c r="N172" i="1"/>
  <c r="F133" i="1"/>
  <c r="E134" i="1"/>
  <c r="E162" i="1" s="1"/>
  <c r="I167" i="1"/>
  <c r="J130" i="1"/>
  <c r="Q75" i="1"/>
  <c r="Q76" i="1" s="1"/>
  <c r="Q154" i="1"/>
  <c r="P134" i="1"/>
  <c r="P162" i="1" s="1"/>
  <c r="Q85" i="1"/>
  <c r="L152" i="1"/>
  <c r="L187" i="1" s="1"/>
  <c r="S145" i="1"/>
  <c r="V163" i="1"/>
  <c r="I168" i="1"/>
  <c r="F151" i="1"/>
  <c r="R153" i="1"/>
  <c r="R188" i="1" s="1"/>
  <c r="Q168" i="1"/>
  <c r="V140" i="1"/>
  <c r="I135" i="1"/>
  <c r="F86" i="1"/>
  <c r="F97" i="1" s="1"/>
  <c r="W167" i="1"/>
  <c r="G141" i="1"/>
  <c r="S153" i="1"/>
  <c r="S188" i="1" s="1"/>
  <c r="S141" i="1"/>
  <c r="D75" i="1"/>
  <c r="K178" i="1"/>
  <c r="M158" i="1"/>
  <c r="N133" i="1"/>
  <c r="Q145" i="1"/>
  <c r="U85" i="1"/>
  <c r="G86" i="1"/>
  <c r="Q144" i="1"/>
  <c r="J125" i="1"/>
  <c r="W143" i="1"/>
  <c r="W139" i="1" s="1"/>
  <c r="U87" i="1"/>
  <c r="S180" i="1"/>
  <c r="G155" i="1"/>
  <c r="R75" i="1"/>
  <c r="R76" i="1" s="1"/>
  <c r="J163" i="1"/>
  <c r="G132" i="1"/>
  <c r="N141" i="1"/>
  <c r="V168" i="1"/>
  <c r="R125" i="1"/>
  <c r="T81" i="1"/>
  <c r="D72" i="1"/>
  <c r="E161" i="1"/>
  <c r="E191" i="1" s="1"/>
  <c r="M179" i="1"/>
  <c r="S134" i="1"/>
  <c r="S162" i="1" s="1"/>
  <c r="S85" i="1"/>
  <c r="S110" i="1" s="1"/>
  <c r="R130" i="1"/>
  <c r="D87" i="1"/>
  <c r="U157" i="1"/>
  <c r="K163" i="1"/>
  <c r="W179" i="1"/>
  <c r="W181" i="1" s="1"/>
  <c r="B130" i="1"/>
  <c r="R144" i="1"/>
  <c r="F81" i="1"/>
  <c r="G134" i="1"/>
  <c r="G162" i="1" s="1"/>
  <c r="K75" i="1"/>
  <c r="K76" i="1" s="1"/>
  <c r="U75" i="1"/>
  <c r="U76" i="1" s="1"/>
  <c r="V135" i="1"/>
  <c r="Q178" i="1"/>
  <c r="C72" i="1"/>
  <c r="P179" i="1"/>
  <c r="L82" i="1"/>
  <c r="T135" i="1"/>
  <c r="R81" i="1"/>
  <c r="P153" i="1"/>
  <c r="P188" i="1" s="1"/>
  <c r="E159" i="1"/>
  <c r="V153" i="1"/>
  <c r="V188" i="1" s="1"/>
  <c r="P171" i="1"/>
  <c r="C163" i="1"/>
  <c r="P145" i="1"/>
  <c r="U127" i="1"/>
  <c r="M168" i="1"/>
  <c r="K159" i="1"/>
  <c r="B178" i="1"/>
  <c r="R178" i="1"/>
  <c r="J154" i="1"/>
  <c r="E155" i="1"/>
  <c r="R158" i="1"/>
  <c r="J180" i="1"/>
  <c r="F153" i="1"/>
  <c r="F188" i="1" s="1"/>
  <c r="J143" i="1"/>
  <c r="J139" i="1" s="1"/>
  <c r="D140" i="1"/>
  <c r="R145" i="1"/>
  <c r="O151" i="1"/>
  <c r="F150" i="1"/>
  <c r="D167" i="1"/>
  <c r="O158" i="1"/>
  <c r="G158" i="1"/>
  <c r="T171" i="1"/>
  <c r="P127" i="1"/>
  <c r="J82" i="1"/>
  <c r="S86" i="1"/>
  <c r="P85" i="1"/>
  <c r="P110" i="1" s="1"/>
  <c r="Q153" i="1"/>
  <c r="Q188" i="1" s="1"/>
  <c r="C159" i="1"/>
  <c r="M152" i="1"/>
  <c r="M187" i="1" s="1"/>
  <c r="U82" i="1"/>
  <c r="V132" i="1"/>
  <c r="R168" i="1"/>
  <c r="K82" i="1"/>
  <c r="K150" i="1"/>
  <c r="J155" i="1"/>
  <c r="L161" i="1"/>
  <c r="L191" i="1" s="1"/>
  <c r="V148" i="1"/>
  <c r="V82" i="1"/>
  <c r="M86" i="1"/>
  <c r="M97" i="1" s="1"/>
  <c r="O148" i="1"/>
  <c r="O145" i="1"/>
  <c r="C172" i="1"/>
  <c r="F130" i="1"/>
  <c r="N171" i="1"/>
  <c r="W171" i="1"/>
  <c r="N152" i="1"/>
  <c r="N187" i="1" s="1"/>
  <c r="H145" i="1"/>
  <c r="F85" i="1"/>
  <c r="I81" i="1"/>
  <c r="K167" i="1"/>
  <c r="I86" i="1"/>
  <c r="I97" i="1" s="1"/>
  <c r="T126" i="1"/>
  <c r="T154" i="1"/>
  <c r="J86" i="1"/>
  <c r="J94" i="1" s="1"/>
  <c r="O178" i="1"/>
  <c r="P172" i="1"/>
  <c r="J167" i="1"/>
  <c r="N135" i="1"/>
  <c r="L85" i="1"/>
  <c r="L110" i="1" s="1"/>
  <c r="L126" i="1"/>
  <c r="V81" i="1"/>
  <c r="P158" i="1"/>
  <c r="P151" i="1"/>
  <c r="O135" i="1"/>
  <c r="F126" i="1"/>
  <c r="O163" i="1"/>
  <c r="C135" i="1"/>
  <c r="P157" i="1"/>
  <c r="V143" i="1"/>
  <c r="V139" i="1" s="1"/>
  <c r="N159" i="1"/>
  <c r="V75" i="1"/>
  <c r="V76" i="1" s="1"/>
  <c r="W127" i="1"/>
  <c r="F161" i="1"/>
  <c r="F191" i="1" s="1"/>
  <c r="E141" i="1"/>
  <c r="C179" i="1"/>
  <c r="M143" i="1"/>
  <c r="M139" i="1" s="1"/>
  <c r="J144" i="1"/>
  <c r="I82" i="1"/>
  <c r="B72" i="1"/>
  <c r="N158" i="1"/>
  <c r="S132" i="1"/>
  <c r="Q180" i="1"/>
  <c r="F180" i="1"/>
  <c r="R133" i="1"/>
  <c r="T151" i="1"/>
  <c r="B163" i="1"/>
  <c r="E143" i="1"/>
  <c r="E139" i="1" s="1"/>
  <c r="S154" i="1"/>
  <c r="B127" i="1"/>
  <c r="V171" i="1"/>
  <c r="F163" i="1"/>
  <c r="T130" i="1"/>
  <c r="W132" i="1"/>
  <c r="O150" i="1"/>
  <c r="Q163" i="1"/>
  <c r="G143" i="1"/>
  <c r="G139" i="1" s="1"/>
  <c r="T148" i="1"/>
  <c r="R151" i="1"/>
  <c r="D127" i="1"/>
  <c r="N163" i="1"/>
  <c r="I159" i="1"/>
  <c r="O154" i="1"/>
  <c r="H125" i="1"/>
  <c r="I125" i="1"/>
  <c r="N86" i="1"/>
  <c r="N94" i="1" s="1"/>
  <c r="G82" i="1"/>
  <c r="P87" i="1"/>
  <c r="P116" i="1" s="1"/>
  <c r="R163" i="1"/>
  <c r="N151" i="1"/>
  <c r="W85" i="1"/>
  <c r="W110" i="1" s="1"/>
  <c r="U178" i="1"/>
  <c r="C180" i="1"/>
  <c r="W148" i="1"/>
  <c r="T161" i="1"/>
  <c r="T191" i="1" s="1"/>
  <c r="F127" i="1"/>
  <c r="K161" i="1"/>
  <c r="K191" i="1" s="1"/>
  <c r="U126" i="1"/>
  <c r="I161" i="1"/>
  <c r="I191" i="1" s="1"/>
  <c r="H180" i="1"/>
  <c r="L141" i="1"/>
  <c r="G163" i="1"/>
  <c r="V141" i="1"/>
  <c r="B75" i="1"/>
  <c r="O171" i="1"/>
  <c r="C127" i="1"/>
  <c r="C151" i="1"/>
  <c r="M167" i="1"/>
  <c r="I178" i="1"/>
  <c r="C141" i="1"/>
  <c r="B144" i="1"/>
  <c r="N155" i="1"/>
  <c r="P81" i="1"/>
  <c r="K151" i="1"/>
  <c r="K171" i="1"/>
  <c r="P141" i="1"/>
  <c r="Q132" i="1"/>
  <c r="R152" i="1"/>
  <c r="R187" i="1" s="1"/>
  <c r="D163" i="1"/>
  <c r="N130" i="1"/>
  <c r="K152" i="1"/>
  <c r="K187" i="1" s="1"/>
  <c r="T157" i="1"/>
  <c r="G151" i="1"/>
  <c r="U161" i="1"/>
  <c r="U191" i="1" s="1"/>
  <c r="H140" i="1"/>
  <c r="L171" i="1"/>
  <c r="V178" i="1"/>
  <c r="P133" i="1"/>
  <c r="Q167" i="1"/>
  <c r="I75" i="1"/>
  <c r="I76" i="1" s="1"/>
  <c r="C171" i="1"/>
  <c r="Q87" i="1"/>
  <c r="Q112" i="1" s="1"/>
  <c r="V150" i="1"/>
  <c r="S178" i="1"/>
  <c r="J132" i="1"/>
  <c r="U158" i="1"/>
  <c r="M133" i="1"/>
  <c r="U168" i="1"/>
  <c r="O81" i="1"/>
  <c r="D132" i="1"/>
  <c r="S150" i="1"/>
  <c r="E172" i="1"/>
  <c r="D171" i="1"/>
  <c r="K144" i="1"/>
  <c r="B151" i="1"/>
  <c r="W163" i="1"/>
  <c r="F82" i="1"/>
  <c r="C133" i="1"/>
  <c r="S158" i="1"/>
  <c r="H161" i="1"/>
  <c r="H191" i="1" s="1"/>
  <c r="U134" i="1"/>
  <c r="U162" i="1" s="1"/>
  <c r="L155" i="1"/>
  <c r="H133" i="1"/>
  <c r="L134" i="1"/>
  <c r="L162" i="1" s="1"/>
  <c r="B157" i="1"/>
  <c r="H144" i="1"/>
  <c r="G167" i="1"/>
  <c r="K86" i="1"/>
  <c r="K115" i="1" s="1"/>
  <c r="M144" i="1"/>
  <c r="S151" i="1"/>
  <c r="H141" i="1"/>
  <c r="F87" i="1"/>
  <c r="F116" i="1" s="1"/>
  <c r="H163" i="1"/>
  <c r="G127" i="1"/>
  <c r="P82" i="1"/>
  <c r="T159" i="1"/>
  <c r="G172" i="1"/>
  <c r="D126" i="1"/>
  <c r="C126" i="1"/>
  <c r="W144" i="1"/>
  <c r="B87" i="1"/>
  <c r="B179" i="1"/>
  <c r="W161" i="1"/>
  <c r="J85" i="1"/>
  <c r="B154" i="1"/>
  <c r="R126" i="1"/>
  <c r="W155" i="1"/>
  <c r="C85" i="1"/>
  <c r="D151" i="1"/>
  <c r="F178" i="1"/>
  <c r="B155" i="1"/>
  <c r="J178" i="1"/>
  <c r="V152" i="1"/>
  <c r="V187" i="1" s="1"/>
  <c r="P155" i="1"/>
  <c r="B167" i="1"/>
  <c r="I143" i="1"/>
  <c r="I139" i="1" s="1"/>
  <c r="R167" i="1"/>
  <c r="C153" i="1"/>
  <c r="C188" i="1" s="1"/>
  <c r="L86" i="1"/>
  <c r="L94" i="1" s="1"/>
  <c r="G159" i="1"/>
  <c r="I141" i="1"/>
  <c r="M172" i="1"/>
  <c r="L151" i="1"/>
  <c r="H81" i="1"/>
  <c r="P125" i="1"/>
  <c r="R157" i="1"/>
  <c r="M151" i="1"/>
  <c r="J75" i="1"/>
  <c r="J76" i="1" s="1"/>
  <c r="L159" i="1"/>
  <c r="H157" i="1"/>
  <c r="I85" i="1"/>
  <c r="I110" i="1" s="1"/>
  <c r="U133" i="1"/>
  <c r="L153" i="1"/>
  <c r="L188" i="1" s="1"/>
  <c r="O155" i="1"/>
  <c r="K148" i="1"/>
  <c r="K132" i="1"/>
  <c r="E152" i="1"/>
  <c r="E187" i="1" s="1"/>
  <c r="N178" i="1"/>
  <c r="M125" i="1"/>
  <c r="O167" i="1"/>
  <c r="S161" i="1"/>
  <c r="S191" i="1" s="1"/>
  <c r="O85" i="1"/>
  <c r="O110" i="1" s="1"/>
  <c r="O161" i="1"/>
  <c r="O191" i="1" s="1"/>
  <c r="N127" i="1"/>
  <c r="T133" i="1"/>
  <c r="Q126" i="1"/>
  <c r="P148" i="1"/>
  <c r="I172" i="1"/>
  <c r="V127" i="1"/>
  <c r="E140" i="1"/>
  <c r="H148" i="1"/>
  <c r="T152" i="1"/>
  <c r="T187" i="1" s="1"/>
  <c r="N167" i="1"/>
  <c r="U141" i="1"/>
  <c r="E75" i="1"/>
  <c r="E76" i="1" s="1"/>
  <c r="M135" i="1"/>
  <c r="P75" i="1"/>
  <c r="P76" i="1" s="1"/>
  <c r="Q159" i="1"/>
  <c r="M178" i="1"/>
  <c r="Q125" i="1"/>
  <c r="E151" i="1"/>
  <c r="R134" i="1"/>
  <c r="R162" i="1" s="1"/>
  <c r="F167" i="1"/>
  <c r="V157" i="1"/>
  <c r="P130" i="1"/>
  <c r="M134" i="1"/>
  <c r="U163" i="1"/>
  <c r="K172" i="1"/>
  <c r="E145" i="1"/>
  <c r="Q157" i="1"/>
  <c r="G152" i="1"/>
  <c r="G187" i="1" s="1"/>
  <c r="T86" i="1"/>
  <c r="T97" i="1" s="1"/>
  <c r="F154" i="1"/>
  <c r="G130" i="1"/>
  <c r="I130" i="1"/>
  <c r="K126" i="1"/>
  <c r="O75" i="1"/>
  <c r="O76" i="1" s="1"/>
  <c r="M148" i="1"/>
  <c r="K85" i="1"/>
  <c r="K110" i="1" s="1"/>
  <c r="T143" i="1"/>
  <c r="T139" i="1" s="1"/>
  <c r="E178" i="1"/>
  <c r="G87" i="1"/>
  <c r="R159" i="1"/>
  <c r="T180" i="1"/>
  <c r="M126" i="1"/>
  <c r="N81" i="1"/>
  <c r="N180" i="1"/>
  <c r="D150" i="1"/>
  <c r="B161" i="1"/>
  <c r="B191" i="1" s="1"/>
  <c r="U81" i="1"/>
  <c r="U125" i="1"/>
  <c r="T179" i="1"/>
  <c r="B143" i="1"/>
  <c r="V158" i="1"/>
  <c r="W145" i="1"/>
  <c r="B86" i="1"/>
  <c r="Q171" i="1"/>
  <c r="F179" i="1"/>
  <c r="N150" i="1"/>
  <c r="M155" i="1"/>
  <c r="G157" i="1"/>
  <c r="I87" i="1"/>
  <c r="I95" i="1" s="1"/>
  <c r="H150" i="1"/>
  <c r="B141" i="1"/>
  <c r="U143" i="1"/>
  <c r="U139" i="1" s="1"/>
  <c r="O168" i="1"/>
  <c r="B152" i="1"/>
  <c r="B187" i="1" s="1"/>
  <c r="N126" i="1"/>
  <c r="K127" i="1"/>
  <c r="U159" i="1"/>
  <c r="P159" i="1"/>
  <c r="N148" i="1"/>
  <c r="T125" i="1"/>
  <c r="H159" i="1"/>
  <c r="W141" i="1"/>
  <c r="G168" i="1"/>
  <c r="G169" i="1" s="1"/>
  <c r="L157" i="1"/>
  <c r="M180" i="1"/>
  <c r="B133" i="1"/>
  <c r="G133" i="1"/>
  <c r="I150" i="1"/>
  <c r="E168" i="1"/>
  <c r="E169" i="1" s="1"/>
  <c r="F217" i="1" s="1"/>
  <c r="D152" i="1"/>
  <c r="D187" i="1" s="1"/>
  <c r="K134" i="1"/>
  <c r="K162" i="1" s="1"/>
  <c r="S82" i="1"/>
  <c r="E132" i="1"/>
  <c r="K140" i="1"/>
  <c r="C158" i="1"/>
  <c r="W153" i="1"/>
  <c r="O179" i="1"/>
  <c r="O82" i="1"/>
  <c r="F125" i="1"/>
  <c r="J135" i="1"/>
  <c r="L78" i="1"/>
  <c r="Q116" i="1"/>
  <c r="N111" i="1"/>
  <c r="F95" i="1"/>
  <c r="BO81" i="1"/>
  <c r="BE82" i="1"/>
  <c r="BV82" i="1"/>
  <c r="AZ81" i="1"/>
  <c r="BF81" i="1"/>
  <c r="BA82" i="1"/>
  <c r="AZ82" i="1"/>
  <c r="BB81" i="1"/>
  <c r="AU81" i="1"/>
  <c r="AT81" i="1"/>
  <c r="AQ81" i="1"/>
  <c r="BN82" i="1"/>
  <c r="BM81" i="1"/>
  <c r="BN81" i="1"/>
  <c r="BR81" i="1"/>
  <c r="BP82" i="1"/>
  <c r="BQ82" i="1"/>
  <c r="BO82" i="1"/>
  <c r="AN81" i="1"/>
  <c r="BD81" i="1"/>
  <c r="AX81" i="1"/>
  <c r="AV82" i="1"/>
  <c r="AR81" i="1"/>
  <c r="BF82" i="1"/>
  <c r="BJ81" i="1"/>
  <c r="AQ82" i="1"/>
  <c r="AU82" i="1"/>
  <c r="BC81" i="1"/>
  <c r="BH82" i="1"/>
  <c r="AR82" i="1"/>
  <c r="BP81" i="1"/>
  <c r="BR82" i="1"/>
  <c r="AO81" i="1"/>
  <c r="BA81" i="1"/>
  <c r="BJ82" i="1"/>
  <c r="BB82" i="1"/>
  <c r="BT81" i="1"/>
  <c r="AY82" i="1"/>
  <c r="BL81" i="1"/>
  <c r="BT82" i="1"/>
  <c r="BE81" i="1"/>
  <c r="AT82" i="1"/>
  <c r="AY81" i="1"/>
  <c r="AM81" i="1"/>
  <c r="AN82" i="1"/>
  <c r="BA202" i="1"/>
  <c r="R78" i="1"/>
  <c r="K78" i="1"/>
  <c r="BQ202" i="1"/>
  <c r="AM106" i="1"/>
  <c r="AM107" i="1" s="1"/>
  <c r="BS239" i="1"/>
  <c r="Q95" i="1"/>
  <c r="Q78" i="1"/>
  <c r="H78" i="1"/>
  <c r="H95" i="1"/>
  <c r="F78" i="1"/>
  <c r="V78" i="1"/>
  <c r="O77" i="1"/>
  <c r="CX73" i="1"/>
  <c r="CY71" i="1"/>
  <c r="S78" i="1"/>
  <c r="T78" i="1"/>
  <c r="M78" i="1"/>
  <c r="I78" i="1"/>
  <c r="S95" i="1"/>
  <c r="K97" i="1"/>
  <c r="AP158" i="1" l="1"/>
  <c r="AZ161" i="1"/>
  <c r="AX134" i="1"/>
  <c r="AY134" i="1" s="1"/>
  <c r="AV81" i="1"/>
  <c r="AX82" i="1"/>
  <c r="AP82" i="1"/>
  <c r="BT202" i="1"/>
  <c r="AM239" i="1"/>
  <c r="BH261" i="1"/>
  <c r="BH202" i="1"/>
  <c r="AP126" i="1"/>
  <c r="AQ126" i="1" s="1"/>
  <c r="BH154" i="1"/>
  <c r="S116" i="1"/>
  <c r="AS82" i="1"/>
  <c r="AS81" i="1"/>
  <c r="AV172" i="1"/>
  <c r="AW172" i="1" s="1"/>
  <c r="AN168" i="1"/>
  <c r="AR152" i="1"/>
  <c r="BP135" i="1"/>
  <c r="BQ135" i="1" s="1"/>
  <c r="BF154" i="1"/>
  <c r="BH161" i="1"/>
  <c r="BJ130" i="1"/>
  <c r="BK130" i="1" s="1"/>
  <c r="BF150" i="1"/>
  <c r="BV151" i="1"/>
  <c r="AZ162" i="1"/>
  <c r="BT139" i="1"/>
  <c r="AR158" i="1"/>
  <c r="BF168" i="1"/>
  <c r="AT130" i="1"/>
  <c r="AU130" i="1" s="1"/>
  <c r="BV161" i="1"/>
  <c r="BT132" i="1"/>
  <c r="BH134" i="1"/>
  <c r="BI134" i="1" s="1"/>
  <c r="BD161" i="1"/>
  <c r="AV154" i="1"/>
  <c r="BT125" i="1"/>
  <c r="BL150" i="1"/>
  <c r="BP159" i="1"/>
  <c r="AR127" i="1"/>
  <c r="BV141" i="1"/>
  <c r="BW141" i="1" s="1"/>
  <c r="BL157" i="1"/>
  <c r="AR168" i="1"/>
  <c r="AT133" i="1"/>
  <c r="AU133" i="1" s="1"/>
  <c r="BD154" i="1"/>
  <c r="AP172" i="1"/>
  <c r="AQ172" i="1" s="1"/>
  <c r="AX145" i="1"/>
  <c r="AY145" i="1" s="1"/>
  <c r="AP135" i="1"/>
  <c r="AQ135" i="1" s="1"/>
  <c r="BL143" i="1"/>
  <c r="BM143" i="1" s="1"/>
  <c r="BB163" i="1"/>
  <c r="AV140" i="1"/>
  <c r="BD159" i="1"/>
  <c r="AV163" i="1"/>
  <c r="AN161" i="1"/>
  <c r="AV134" i="1"/>
  <c r="AW134" i="1" s="1"/>
  <c r="BV159" i="1"/>
  <c r="BD162" i="1"/>
  <c r="BP134" i="1"/>
  <c r="BQ134" i="1" s="1"/>
  <c r="AR161" i="1"/>
  <c r="AR139" i="1"/>
  <c r="BT162" i="1"/>
  <c r="AV148" i="1"/>
  <c r="AW148" i="1" s="1"/>
  <c r="BJ133" i="1"/>
  <c r="BK133" i="1" s="1"/>
  <c r="AX139" i="1"/>
  <c r="AX148" i="1"/>
  <c r="AY148" i="1" s="1"/>
  <c r="BL148" i="1"/>
  <c r="BM148" i="1" s="1"/>
  <c r="AT143" i="1"/>
  <c r="AU143" i="1" s="1"/>
  <c r="BV145" i="1"/>
  <c r="BW145" i="1" s="1"/>
  <c r="BD126" i="1"/>
  <c r="BE126" i="1" s="1"/>
  <c r="BL140" i="1"/>
  <c r="BV168" i="1"/>
  <c r="BV169" i="1" s="1"/>
  <c r="BF159" i="1"/>
  <c r="AR155" i="1"/>
  <c r="BV158" i="1"/>
  <c r="AV150" i="1"/>
  <c r="AP125" i="1"/>
  <c r="BD135" i="1"/>
  <c r="BE135" i="1" s="1"/>
  <c r="BD157" i="1"/>
  <c r="BH162" i="1"/>
  <c r="AT148" i="1"/>
  <c r="AU148" i="1" s="1"/>
  <c r="AZ132" i="1"/>
  <c r="BH132" i="1"/>
  <c r="BN132" i="1"/>
  <c r="AN135" i="1"/>
  <c r="AO135" i="1" s="1"/>
  <c r="BT160" i="1"/>
  <c r="AT125" i="1"/>
  <c r="AT151" i="1"/>
  <c r="BV148" i="1"/>
  <c r="BH141" i="1"/>
  <c r="BI141" i="1" s="1"/>
  <c r="BF157" i="1"/>
  <c r="BL159" i="1"/>
  <c r="BT145" i="1"/>
  <c r="BU145" i="1" s="1"/>
  <c r="AX172" i="1"/>
  <c r="AY172" i="1" s="1"/>
  <c r="AV139" i="1"/>
  <c r="BF160" i="1"/>
  <c r="AZ134" i="1"/>
  <c r="BA134" i="1" s="1"/>
  <c r="BT134" i="1"/>
  <c r="BU134" i="1" s="1"/>
  <c r="AZ150" i="1"/>
  <c r="AR153" i="1"/>
  <c r="BV155" i="1"/>
  <c r="BH152" i="1"/>
  <c r="AR150" i="1"/>
  <c r="BF153" i="1"/>
  <c r="AR145" i="1"/>
  <c r="AS145" i="1" s="1"/>
  <c r="BH133" i="1"/>
  <c r="BI133" i="1" s="1"/>
  <c r="AP160" i="1"/>
  <c r="BL141" i="1"/>
  <c r="BM141" i="1" s="1"/>
  <c r="BP160" i="1"/>
  <c r="BT127" i="1"/>
  <c r="BN153" i="1"/>
  <c r="BF167" i="1"/>
  <c r="AZ143" i="1"/>
  <c r="BA143" i="1" s="1"/>
  <c r="BV134" i="1"/>
  <c r="BW134" i="1" s="1"/>
  <c r="AN132" i="1"/>
  <c r="AX158" i="1"/>
  <c r="AZ153" i="1"/>
  <c r="BH155" i="1"/>
  <c r="BT172" i="1"/>
  <c r="BU172" i="1" s="1"/>
  <c r="BH160" i="1"/>
  <c r="BR132" i="1"/>
  <c r="BN168" i="1"/>
  <c r="BD151" i="1"/>
  <c r="BV152" i="1"/>
  <c r="AP157" i="1"/>
  <c r="BD152" i="1"/>
  <c r="BL155" i="1"/>
  <c r="BP153" i="1"/>
  <c r="BT153" i="1"/>
  <c r="BV127" i="1"/>
  <c r="BW127" i="1" s="1"/>
  <c r="AN148" i="1"/>
  <c r="AO148" i="1" s="1"/>
  <c r="BF148" i="1"/>
  <c r="BG148" i="1" s="1"/>
  <c r="BH171" i="1"/>
  <c r="BR141" i="1"/>
  <c r="BS141" i="1" s="1"/>
  <c r="BT141" i="1"/>
  <c r="BU141" i="1" s="1"/>
  <c r="AX150" i="1"/>
  <c r="AX155" i="1"/>
  <c r="AP140" i="1"/>
  <c r="BJ127" i="1"/>
  <c r="BK127" i="1" s="1"/>
  <c r="BD134" i="1"/>
  <c r="BE134" i="1" s="1"/>
  <c r="AZ172" i="1"/>
  <c r="BA172" i="1" s="1"/>
  <c r="BH151" i="1"/>
  <c r="BN139" i="1"/>
  <c r="BN171" i="1"/>
  <c r="BO171" i="1" s="1"/>
  <c r="AN160" i="1"/>
  <c r="BL171" i="1"/>
  <c r="BM171" i="1" s="1"/>
  <c r="BR148" i="1"/>
  <c r="BS148" i="1" s="1"/>
  <c r="AR154" i="1"/>
  <c r="AX168" i="1"/>
  <c r="BD130" i="1"/>
  <c r="BE130" i="1" s="1"/>
  <c r="BT163" i="1"/>
  <c r="AR135" i="1"/>
  <c r="AS135" i="1" s="1"/>
  <c r="BJ168" i="1"/>
  <c r="BR125" i="1"/>
  <c r="BJ151" i="1"/>
  <c r="BL145" i="1"/>
  <c r="BM145" i="1" s="1"/>
  <c r="BT151" i="1"/>
  <c r="BT187" i="1"/>
  <c r="BU187" i="1" s="1"/>
  <c r="AM18" i="1"/>
  <c r="BV261" i="1"/>
  <c r="BE18" i="1"/>
  <c r="D73" i="1"/>
  <c r="BD18" i="1"/>
  <c r="BC260" i="1"/>
  <c r="D169" i="1"/>
  <c r="AP81" i="1"/>
  <c r="AW82" i="1"/>
  <c r="BL82" i="1"/>
  <c r="AW81" i="1"/>
  <c r="BV81" i="1"/>
  <c r="BQ81" i="1"/>
  <c r="BC82" i="1"/>
  <c r="AM82" i="1"/>
  <c r="BD82" i="1"/>
  <c r="BM82" i="1"/>
  <c r="AO82" i="1"/>
  <c r="AX135" i="1"/>
  <c r="AY135" i="1" s="1"/>
  <c r="BT155" i="1"/>
  <c r="BT157" i="1"/>
  <c r="J181" i="1"/>
  <c r="BB260" i="1"/>
  <c r="AQ18" i="1"/>
  <c r="AQ260" i="1"/>
  <c r="BH81" i="1"/>
  <c r="BN187" i="1"/>
  <c r="BO187" i="1" s="1"/>
  <c r="AH45" i="1"/>
  <c r="BO18" i="1"/>
  <c r="AV34" i="1"/>
  <c r="AM260" i="1"/>
  <c r="L210" i="1"/>
  <c r="N169" i="1"/>
  <c r="O217" i="1" s="1"/>
  <c r="BN260" i="1"/>
  <c r="BN18" i="1"/>
  <c r="BN239" i="1"/>
  <c r="E111" i="1"/>
  <c r="E97" i="1"/>
  <c r="E115" i="1"/>
  <c r="E94" i="1"/>
  <c r="V94" i="1"/>
  <c r="V115" i="1"/>
  <c r="BJ239" i="1"/>
  <c r="BK106" i="1"/>
  <c r="BK107" i="1" s="1"/>
  <c r="R116" i="1"/>
  <c r="R112" i="1"/>
  <c r="R95" i="1"/>
  <c r="BL239" i="1"/>
  <c r="BL260" i="1"/>
  <c r="N93" i="1"/>
  <c r="N110" i="1"/>
  <c r="E95" i="1"/>
  <c r="E116" i="1"/>
  <c r="M93" i="1"/>
  <c r="M110" i="1"/>
  <c r="Q110" i="1"/>
  <c r="Q93" i="1"/>
  <c r="AX191" i="1"/>
  <c r="AY191" i="1" s="1"/>
  <c r="AY140" i="1"/>
  <c r="BD188" i="1"/>
  <c r="BE188" i="1" s="1"/>
  <c r="BC140" i="1"/>
  <c r="BI140" i="1"/>
  <c r="BA140" i="1"/>
  <c r="AP18" i="1"/>
  <c r="BL18" i="1"/>
  <c r="AN18" i="1"/>
  <c r="AW261" i="1"/>
  <c r="BF260" i="1"/>
  <c r="AT260" i="1"/>
  <c r="BD260" i="1"/>
  <c r="BV260" i="1"/>
  <c r="AV191" i="1"/>
  <c r="AW191" i="1" s="1"/>
  <c r="BT260" i="1"/>
  <c r="S169" i="1"/>
  <c r="T217" i="1" s="1"/>
  <c r="W210" i="1"/>
  <c r="V142" i="1"/>
  <c r="V181" i="1"/>
  <c r="P136" i="1"/>
  <c r="R169" i="1"/>
  <c r="S217" i="1" s="1"/>
  <c r="T181" i="1"/>
  <c r="W142" i="1"/>
  <c r="AP239" i="1"/>
  <c r="AP191" i="1"/>
  <c r="AQ191" i="1" s="1"/>
  <c r="AT239" i="1"/>
  <c r="AT187" i="1"/>
  <c r="AU187" i="1" s="1"/>
  <c r="W112" i="1"/>
  <c r="W116" i="1"/>
  <c r="AZ239" i="1"/>
  <c r="AZ261" i="1"/>
  <c r="BL187" i="1"/>
  <c r="BM187" i="1" s="1"/>
  <c r="BL191" i="1"/>
  <c r="BM191" i="1" s="1"/>
  <c r="T93" i="1"/>
  <c r="T110" i="1"/>
  <c r="P115" i="1"/>
  <c r="P94" i="1"/>
  <c r="P111" i="1"/>
  <c r="P97" i="1"/>
  <c r="H97" i="1"/>
  <c r="H115" i="1"/>
  <c r="H111" i="1"/>
  <c r="H94" i="1"/>
  <c r="U110" i="1"/>
  <c r="U93" i="1"/>
  <c r="G97" i="1"/>
  <c r="G94" i="1"/>
  <c r="G115" i="1"/>
  <c r="G111" i="1"/>
  <c r="U95" i="1"/>
  <c r="U116" i="1"/>
  <c r="S111" i="1"/>
  <c r="S115" i="1"/>
  <c r="F110" i="1"/>
  <c r="F93" i="1"/>
  <c r="BE260" i="1"/>
  <c r="AM261" i="1"/>
  <c r="BV239" i="1"/>
  <c r="F112" i="1"/>
  <c r="T115" i="1"/>
  <c r="O169" i="1"/>
  <c r="P217" i="1" s="1"/>
  <c r="R164" i="1"/>
  <c r="R193" i="1" s="1"/>
  <c r="F181" i="1"/>
  <c r="M169" i="1"/>
  <c r="N217" i="1" s="1"/>
  <c r="I181" i="1"/>
  <c r="V169" i="1"/>
  <c r="W217" i="1" s="1"/>
  <c r="I136" i="1"/>
  <c r="I45" i="1" s="1"/>
  <c r="G181" i="1"/>
  <c r="G142" i="1"/>
  <c r="H181" i="1"/>
  <c r="BL261" i="1"/>
  <c r="BH260" i="1"/>
  <c r="BJ260" i="1"/>
  <c r="BS34" i="1"/>
  <c r="BS35" i="1" s="1"/>
  <c r="BA18" i="1"/>
  <c r="BE19" i="1" s="1"/>
  <c r="AY18" i="1"/>
  <c r="BF18" i="1"/>
  <c r="BC261" i="1"/>
  <c r="AV260" i="1"/>
  <c r="AP260" i="1"/>
  <c r="AV187" i="1"/>
  <c r="AW187" i="1" s="1"/>
  <c r="BL188" i="1"/>
  <c r="BM188" i="1" s="1"/>
  <c r="BT191" i="1"/>
  <c r="BU191" i="1" s="1"/>
  <c r="BR188" i="1"/>
  <c r="BS188" i="1" s="1"/>
  <c r="U142" i="1"/>
  <c r="E181" i="1"/>
  <c r="T136" i="1"/>
  <c r="E142" i="1"/>
  <c r="E41" i="1" s="1"/>
  <c r="P164" i="1"/>
  <c r="J142" i="1"/>
  <c r="G136" i="1"/>
  <c r="J128" i="1"/>
  <c r="J183" i="1" s="1"/>
  <c r="J169" i="1"/>
  <c r="K217" i="1" s="1"/>
  <c r="I210" i="1"/>
  <c r="B136" i="1"/>
  <c r="V128" i="1"/>
  <c r="V183" i="1" s="1"/>
  <c r="T210" i="1"/>
  <c r="C142" i="1"/>
  <c r="N142" i="1"/>
  <c r="AM34" i="1"/>
  <c r="U136" i="1"/>
  <c r="F169" i="1"/>
  <c r="BN34" i="1"/>
  <c r="BU260" i="1"/>
  <c r="BS261" i="1"/>
  <c r="BC239" i="1"/>
  <c r="P112" i="1"/>
  <c r="V111" i="1"/>
  <c r="V93" i="1"/>
  <c r="AV239" i="1"/>
  <c r="BL106" i="1"/>
  <c r="BL107" i="1" s="1"/>
  <c r="BL202" i="1"/>
  <c r="BX106" i="1"/>
  <c r="BX107" i="1" s="1"/>
  <c r="AR18" i="1"/>
  <c r="AY239" i="1"/>
  <c r="H116" i="1"/>
  <c r="P95" i="1"/>
  <c r="BR187" i="1"/>
  <c r="BS187" i="1" s="1"/>
  <c r="F128" i="1"/>
  <c r="B142" i="1"/>
  <c r="B41" i="1" s="1"/>
  <c r="Q128" i="1"/>
  <c r="C128" i="1"/>
  <c r="BJ18" i="1"/>
  <c r="BO260" i="1"/>
  <c r="BU261" i="1"/>
  <c r="BU18" i="1"/>
  <c r="AV169" i="1"/>
  <c r="AR261" i="1"/>
  <c r="AY260" i="1"/>
  <c r="L164" i="1"/>
  <c r="L193" i="1" s="1"/>
  <c r="L192" i="1" s="1"/>
  <c r="L93" i="1"/>
  <c r="E93" i="1"/>
  <c r="BR18" i="1"/>
  <c r="BR260" i="1"/>
  <c r="B169" i="1"/>
  <c r="C217" i="1" s="1"/>
  <c r="Q169" i="1"/>
  <c r="R217" i="1" s="1"/>
  <c r="Q136" i="1"/>
  <c r="I169" i="1"/>
  <c r="J217" i="1" s="1"/>
  <c r="BB34" i="1"/>
  <c r="C73" i="1"/>
  <c r="C74" i="1" s="1"/>
  <c r="H169" i="1"/>
  <c r="J156" i="1"/>
  <c r="S128" i="1"/>
  <c r="BO34" i="1"/>
  <c r="E210" i="1"/>
  <c r="H210" i="1"/>
  <c r="BJ261" i="1"/>
  <c r="AV18" i="1"/>
  <c r="AV24" i="1" s="1"/>
  <c r="AV25" i="1" s="1"/>
  <c r="AW260" i="1"/>
  <c r="AR34" i="1"/>
  <c r="BS260" i="1"/>
  <c r="AZ18" i="1"/>
  <c r="BN191" i="1"/>
  <c r="BO191" i="1" s="1"/>
  <c r="AU140" i="1"/>
  <c r="AV188" i="1"/>
  <c r="AW188" i="1" s="1"/>
  <c r="BR169" i="1"/>
  <c r="AT188" i="1"/>
  <c r="AU188" i="1" s="1"/>
  <c r="M181" i="1"/>
  <c r="B73" i="1"/>
  <c r="F115" i="1"/>
  <c r="B164" i="1"/>
  <c r="B193" i="1" s="1"/>
  <c r="B192" i="1" s="1"/>
  <c r="J210" i="1"/>
  <c r="M128" i="1"/>
  <c r="AW34" i="1"/>
  <c r="BR34" i="1"/>
  <c r="BF34" i="1"/>
  <c r="BV18" i="1"/>
  <c r="AS261" i="1"/>
  <c r="AM41" i="1"/>
  <c r="F94" i="1"/>
  <c r="I164" i="1"/>
  <c r="I193" i="1" s="1"/>
  <c r="B128" i="1"/>
  <c r="O156" i="1"/>
  <c r="O190" i="1" s="1"/>
  <c r="O189" i="1" s="1"/>
  <c r="G210" i="1"/>
  <c r="J136" i="1"/>
  <c r="J45" i="1" s="1"/>
  <c r="E128" i="1"/>
  <c r="E100" i="1" s="1"/>
  <c r="E103" i="1" s="1"/>
  <c r="D181" i="1"/>
  <c r="L169" i="1"/>
  <c r="M217" i="1" s="1"/>
  <c r="R136" i="1"/>
  <c r="Q156" i="1"/>
  <c r="Q190" i="1" s="1"/>
  <c r="Q189" i="1" s="1"/>
  <c r="O181" i="1"/>
  <c r="AZ191" i="1"/>
  <c r="BA191" i="1" s="1"/>
  <c r="R181" i="1"/>
  <c r="BH18" i="1"/>
  <c r="BI196" i="1" s="1"/>
  <c r="AS18" i="1"/>
  <c r="BG34" i="1"/>
  <c r="AZ260" i="1"/>
  <c r="BJ187" i="1"/>
  <c r="BK187" i="1" s="1"/>
  <c r="AS140" i="1"/>
  <c r="AZ187" i="1"/>
  <c r="BA187" i="1" s="1"/>
  <c r="BF187" i="1"/>
  <c r="BG187" i="1" s="1"/>
  <c r="BR191" i="1"/>
  <c r="BS191" i="1" s="1"/>
  <c r="BV188" i="1"/>
  <c r="BW188" i="1" s="1"/>
  <c r="K128" i="1"/>
  <c r="BI36" i="1"/>
  <c r="AW18" i="1"/>
  <c r="BE239" i="1"/>
  <c r="L112" i="1"/>
  <c r="L95" i="1"/>
  <c r="AW239" i="1"/>
  <c r="BJ202" i="1"/>
  <c r="AT18" i="1"/>
  <c r="AM202" i="1"/>
  <c r="K111" i="1"/>
  <c r="F111" i="1"/>
  <c r="N115" i="1"/>
  <c r="BC202" i="1"/>
  <c r="U128" i="1"/>
  <c r="S156" i="1"/>
  <c r="M142" i="1"/>
  <c r="O136" i="1"/>
  <c r="O45" i="1" s="1"/>
  <c r="P210" i="1"/>
  <c r="W136" i="1"/>
  <c r="Q164" i="1"/>
  <c r="I128" i="1"/>
  <c r="I100" i="1" s="1"/>
  <c r="I102" i="1" s="1"/>
  <c r="S181" i="1"/>
  <c r="V156" i="1"/>
  <c r="V190" i="1" s="1"/>
  <c r="V189" i="1" s="1"/>
  <c r="C210" i="1"/>
  <c r="S136" i="1"/>
  <c r="AO34" i="1"/>
  <c r="P128" i="1"/>
  <c r="BM34" i="1"/>
  <c r="AT34" i="1"/>
  <c r="AT35" i="1" s="1"/>
  <c r="AS260" i="1"/>
  <c r="BP18" i="1"/>
  <c r="BM261" i="1"/>
  <c r="BJ188" i="1"/>
  <c r="BK188" i="1" s="1"/>
  <c r="BH188" i="1"/>
  <c r="BI188" i="1" s="1"/>
  <c r="U164" i="1"/>
  <c r="J164" i="1"/>
  <c r="J193" i="1" s="1"/>
  <c r="AW106" i="1"/>
  <c r="AW107" i="1" s="1"/>
  <c r="AW110" i="1" s="1"/>
  <c r="T142" i="1"/>
  <c r="BY106" i="1"/>
  <c r="BY107" i="1" s="1"/>
  <c r="K94" i="1"/>
  <c r="P93" i="1"/>
  <c r="N210" i="1"/>
  <c r="R128" i="1"/>
  <c r="R183" i="1" s="1"/>
  <c r="P142" i="1"/>
  <c r="V136" i="1"/>
  <c r="Q210" i="1"/>
  <c r="R142" i="1"/>
  <c r="L181" i="1"/>
  <c r="AY34" i="1"/>
  <c r="BA260" i="1"/>
  <c r="L142" i="1"/>
  <c r="B181" i="1"/>
  <c r="N181" i="1"/>
  <c r="AX18" i="1"/>
  <c r="V210" i="1"/>
  <c r="C169" i="1"/>
  <c r="D217" i="1" s="1"/>
  <c r="BH34" i="1"/>
  <c r="BD169" i="1"/>
  <c r="BF191" i="1"/>
  <c r="BG191" i="1" s="1"/>
  <c r="AP188" i="1"/>
  <c r="AQ188" i="1" s="1"/>
  <c r="BJ191" i="1"/>
  <c r="BK191" i="1" s="1"/>
  <c r="AP187" i="1"/>
  <c r="AQ187" i="1" s="1"/>
  <c r="AT191" i="1"/>
  <c r="AU191" i="1" s="1"/>
  <c r="BI35" i="1"/>
  <c r="N136" i="1"/>
  <c r="BB18" i="1"/>
  <c r="BC20" i="1" s="1"/>
  <c r="D164" i="1"/>
  <c r="E136" i="1"/>
  <c r="P156" i="1"/>
  <c r="AS34" i="1"/>
  <c r="BQ34" i="1"/>
  <c r="BP191" i="1"/>
  <c r="BQ191" i="1" s="1"/>
  <c r="T156" i="1"/>
  <c r="T190" i="1" s="1"/>
  <c r="O210" i="1"/>
  <c r="S164" i="1"/>
  <c r="S193" i="1" s="1"/>
  <c r="O142" i="1"/>
  <c r="AQ34" i="1"/>
  <c r="AQ35" i="1" s="1"/>
  <c r="S142" i="1"/>
  <c r="S41" i="1" s="1"/>
  <c r="BB188" i="1"/>
  <c r="BC188" i="1" s="1"/>
  <c r="BR261" i="1"/>
  <c r="AY202" i="1"/>
  <c r="AP202" i="1"/>
  <c r="AT261" i="1"/>
  <c r="F210" i="1"/>
  <c r="K116" i="1"/>
  <c r="Q115" i="1"/>
  <c r="BQ140" i="1"/>
  <c r="BE106" i="1"/>
  <c r="BE107" i="1" s="1"/>
  <c r="BE111" i="1" s="1"/>
  <c r="AP34" i="1"/>
  <c r="AX34" i="1"/>
  <c r="BP187" i="1"/>
  <c r="BQ187" i="1" s="1"/>
  <c r="T128" i="1"/>
  <c r="T62" i="1" s="1"/>
  <c r="K169" i="1"/>
  <c r="L217" i="1" s="1"/>
  <c r="X210" i="1"/>
  <c r="L136" i="1"/>
  <c r="V164" i="1"/>
  <c r="V193" i="1" s="1"/>
  <c r="E164" i="1"/>
  <c r="E193" i="1" s="1"/>
  <c r="C156" i="1"/>
  <c r="C190" i="1" s="1"/>
  <c r="C189" i="1" s="1"/>
  <c r="BP34" i="1"/>
  <c r="AY261" i="1"/>
  <c r="K95" i="1"/>
  <c r="AK106" i="1"/>
  <c r="AK107" i="1" s="1"/>
  <c r="Q94" i="1"/>
  <c r="Q111" i="1"/>
  <c r="BD34" i="1"/>
  <c r="L156" i="1"/>
  <c r="AU34" i="1"/>
  <c r="H164" i="1"/>
  <c r="H193" i="1" s="1"/>
  <c r="H192" i="1" s="1"/>
  <c r="U181" i="1"/>
  <c r="G156" i="1"/>
  <c r="G190" i="1" s="1"/>
  <c r="G189" i="1" s="1"/>
  <c r="AH34" i="1"/>
  <c r="BA34" i="1"/>
  <c r="AT106" i="1"/>
  <c r="AT107" i="1" s="1"/>
  <c r="AT112" i="1" s="1"/>
  <c r="R111" i="1"/>
  <c r="BB191" i="1"/>
  <c r="BC191" i="1" s="1"/>
  <c r="I142" i="1"/>
  <c r="I41" i="1" s="1"/>
  <c r="K136" i="1"/>
  <c r="N128" i="1"/>
  <c r="N256" i="1" s="1"/>
  <c r="BO140" i="1"/>
  <c r="G128" i="1"/>
  <c r="BG106" i="1"/>
  <c r="BG107" i="1" s="1"/>
  <c r="BG111" i="1" s="1"/>
  <c r="BQ261" i="1"/>
  <c r="AH18" i="1"/>
  <c r="BB106" i="1"/>
  <c r="BB107" i="1" s="1"/>
  <c r="BB111" i="1" s="1"/>
  <c r="I115" i="1"/>
  <c r="C164" i="1"/>
  <c r="C193" i="1" s="1"/>
  <c r="BJ34" i="1"/>
  <c r="AO140" i="1"/>
  <c r="M136" i="1"/>
  <c r="D136" i="1"/>
  <c r="D142" i="1"/>
  <c r="D41" i="1" s="1"/>
  <c r="C181" i="1"/>
  <c r="AX260" i="1"/>
  <c r="AN187" i="1"/>
  <c r="AO187" i="1" s="1"/>
  <c r="O128" i="1"/>
  <c r="K164" i="1"/>
  <c r="N156" i="1"/>
  <c r="N190" i="1" s="1"/>
  <c r="F142" i="1"/>
  <c r="BL34" i="1"/>
  <c r="BL35" i="1" s="1"/>
  <c r="BQ260" i="1"/>
  <c r="BO202" i="1"/>
  <c r="V116" i="1"/>
  <c r="BG140" i="1"/>
  <c r="H136" i="1"/>
  <c r="P181" i="1"/>
  <c r="BC34" i="1"/>
  <c r="BC35" i="1" s="1"/>
  <c r="BM260" i="1"/>
  <c r="G164" i="1"/>
  <c r="G193" i="1" s="1"/>
  <c r="D128" i="1"/>
  <c r="D62" i="1" s="1"/>
  <c r="D156" i="1"/>
  <c r="D190" i="1" s="1"/>
  <c r="D189" i="1" s="1"/>
  <c r="AL56" i="1"/>
  <c r="AN34" i="1"/>
  <c r="BE34" i="1"/>
  <c r="BE35" i="1" s="1"/>
  <c r="BT18" i="1"/>
  <c r="BT7" i="1" s="1"/>
  <c r="BT10" i="1" s="1"/>
  <c r="K210" i="1"/>
  <c r="J111" i="1"/>
  <c r="H156" i="1"/>
  <c r="K181" i="1"/>
  <c r="BT34" i="1"/>
  <c r="BQ18" i="1"/>
  <c r="BQ7" i="1" s="1"/>
  <c r="BQ10" i="1" s="1"/>
  <c r="N164" i="1"/>
  <c r="N193" i="1" s="1"/>
  <c r="N192" i="1" s="1"/>
  <c r="BV34" i="1"/>
  <c r="R156" i="1"/>
  <c r="R190" i="1" s="1"/>
  <c r="R189" i="1" s="1"/>
  <c r="AS106" i="1"/>
  <c r="AS107" i="1" s="1"/>
  <c r="AS111" i="1" s="1"/>
  <c r="U210" i="1"/>
  <c r="Q142" i="1"/>
  <c r="Q146" i="1" s="1"/>
  <c r="K142" i="1"/>
  <c r="K41" i="1" s="1"/>
  <c r="AZ34" i="1"/>
  <c r="BU34" i="1"/>
  <c r="BI202" i="1"/>
  <c r="AQ261" i="1"/>
  <c r="AX188" i="1"/>
  <c r="AY188" i="1" s="1"/>
  <c r="BS106" i="1"/>
  <c r="BS107" i="1" s="1"/>
  <c r="BS110" i="1" s="1"/>
  <c r="BM106" i="1"/>
  <c r="BM107" i="1" s="1"/>
  <c r="M116" i="1"/>
  <c r="N112" i="1"/>
  <c r="N95" i="1"/>
  <c r="N116" i="1"/>
  <c r="G93" i="1"/>
  <c r="G110" i="1"/>
  <c r="BI148" i="1"/>
  <c r="BJ210" i="1" s="1"/>
  <c r="AQ132" i="1"/>
  <c r="BC171" i="1"/>
  <c r="AQ171" i="1"/>
  <c r="BB128" i="1"/>
  <c r="BC125" i="1"/>
  <c r="BB136" i="1"/>
  <c r="BC132" i="1"/>
  <c r="BC136" i="1" s="1"/>
  <c r="BR106" i="1"/>
  <c r="BR107" i="1" s="1"/>
  <c r="BR110" i="1" s="1"/>
  <c r="I94" i="1"/>
  <c r="AN239" i="1"/>
  <c r="AX106" i="1"/>
  <c r="AX107" i="1" s="1"/>
  <c r="AO202" i="1"/>
  <c r="I111" i="1"/>
  <c r="O97" i="1"/>
  <c r="AN188" i="1"/>
  <c r="AO188" i="1" s="1"/>
  <c r="AX187" i="1"/>
  <c r="AY187" i="1" s="1"/>
  <c r="U97" i="1"/>
  <c r="BD106" i="1"/>
  <c r="BD107" i="1" s="1"/>
  <c r="AU18" i="1"/>
  <c r="AU24" i="1" s="1"/>
  <c r="AQ106" i="1"/>
  <c r="AQ107" i="1" s="1"/>
  <c r="AQ110" i="1" s="1"/>
  <c r="BA261" i="1"/>
  <c r="BP260" i="1"/>
  <c r="J115" i="1"/>
  <c r="E112" i="1"/>
  <c r="O115" i="1"/>
  <c r="J97" i="1"/>
  <c r="S97" i="1"/>
  <c r="BU140" i="1"/>
  <c r="U156" i="1"/>
  <c r="U190" i="1" s="1"/>
  <c r="U189" i="1" s="1"/>
  <c r="U169" i="1"/>
  <c r="V217" i="1" s="1"/>
  <c r="BH128" i="1"/>
  <c r="BI125" i="1"/>
  <c r="BJ164" i="1"/>
  <c r="BJ193" i="1" s="1"/>
  <c r="AN128" i="1"/>
  <c r="AO125" i="1"/>
  <c r="AN156" i="1"/>
  <c r="AQ139" i="1"/>
  <c r="BQ132" i="1"/>
  <c r="BI261" i="1"/>
  <c r="AZ128" i="1"/>
  <c r="BA125" i="1"/>
  <c r="BW125" i="1"/>
  <c r="AZ169" i="1"/>
  <c r="S94" i="1"/>
  <c r="M111" i="1"/>
  <c r="BN261" i="1"/>
  <c r="BP261" i="1"/>
  <c r="BO261" i="1"/>
  <c r="BU106" i="1"/>
  <c r="BU107" i="1" s="1"/>
  <c r="BU111" i="1" s="1"/>
  <c r="BP239" i="1"/>
  <c r="V112" i="1"/>
  <c r="R94" i="1"/>
  <c r="L97" i="1"/>
  <c r="U112" i="1"/>
  <c r="AS125" i="1"/>
  <c r="BW132" i="1"/>
  <c r="BW171" i="1"/>
  <c r="BK125" i="1"/>
  <c r="BT169" i="1"/>
  <c r="O164" i="1"/>
  <c r="J110" i="1"/>
  <c r="J93" i="1"/>
  <c r="R97" i="1"/>
  <c r="AZ106" i="1"/>
  <c r="AZ107" i="1" s="1"/>
  <c r="AZ111" i="1" s="1"/>
  <c r="BG261" i="1"/>
  <c r="AN106" i="1"/>
  <c r="AN107" i="1" s="1"/>
  <c r="BT261" i="1"/>
  <c r="BG18" i="1"/>
  <c r="BG19" i="1" s="1"/>
  <c r="AX239" i="1"/>
  <c r="BW106" i="1"/>
  <c r="BW107" i="1" s="1"/>
  <c r="BG260" i="1"/>
  <c r="M162" i="1"/>
  <c r="M164" i="1" s="1"/>
  <c r="J116" i="1"/>
  <c r="L115" i="1"/>
  <c r="D210" i="1"/>
  <c r="D115" i="1"/>
  <c r="C136" i="1"/>
  <c r="BB187" i="1"/>
  <c r="BC187" i="1" s="1"/>
  <c r="L128" i="1"/>
  <c r="BN164" i="1"/>
  <c r="BN193" i="1" s="1"/>
  <c r="BK171" i="1"/>
  <c r="BS139" i="1"/>
  <c r="BJ142" i="1"/>
  <c r="BK139" i="1"/>
  <c r="BK142" i="1" s="1"/>
  <c r="AT142" i="1"/>
  <c r="AU139" i="1"/>
  <c r="BH169" i="1"/>
  <c r="BM125" i="1"/>
  <c r="BL128" i="1"/>
  <c r="BJ106" i="1"/>
  <c r="BJ107" i="1" s="1"/>
  <c r="BJ112" i="1" s="1"/>
  <c r="E156" i="1"/>
  <c r="K156" i="1"/>
  <c r="K190" i="1" s="1"/>
  <c r="K189" i="1" s="1"/>
  <c r="F136" i="1"/>
  <c r="F45" i="1" s="1"/>
  <c r="AV128" i="1"/>
  <c r="AW125" i="1"/>
  <c r="AP106" i="1"/>
  <c r="AP107" i="1" s="1"/>
  <c r="AP112" i="1" s="1"/>
  <c r="AH41" i="1"/>
  <c r="AH211" i="1"/>
  <c r="AH209" i="1" s="1"/>
  <c r="BQ106" i="1"/>
  <c r="BQ107" i="1" s="1"/>
  <c r="R93" i="1"/>
  <c r="U111" i="1"/>
  <c r="M94" i="1"/>
  <c r="B156" i="1"/>
  <c r="M210" i="1"/>
  <c r="K93" i="1"/>
  <c r="BP128" i="1"/>
  <c r="BQ125" i="1"/>
  <c r="BL136" i="1"/>
  <c r="BM132" i="1"/>
  <c r="BM136" i="1" s="1"/>
  <c r="BQ171" i="1"/>
  <c r="BL169" i="1"/>
  <c r="M112" i="1"/>
  <c r="L111" i="1"/>
  <c r="S93" i="1"/>
  <c r="H93" i="1"/>
  <c r="BD261" i="1"/>
  <c r="AU106" i="1"/>
  <c r="AU107" i="1" s="1"/>
  <c r="BC106" i="1"/>
  <c r="BC107" i="1" s="1"/>
  <c r="BC110" i="1" s="1"/>
  <c r="AN260" i="1"/>
  <c r="AY106" i="1"/>
  <c r="AY107" i="1" s="1"/>
  <c r="AY110" i="1" s="1"/>
  <c r="BF106" i="1"/>
  <c r="BF107" i="1" s="1"/>
  <c r="BO106" i="1"/>
  <c r="BO107" i="1" s="1"/>
  <c r="U115" i="1"/>
  <c r="M115" i="1"/>
  <c r="T112" i="1"/>
  <c r="I112" i="1"/>
  <c r="F164" i="1"/>
  <c r="F193" i="1" s="1"/>
  <c r="F192" i="1" s="1"/>
  <c r="R210" i="1"/>
  <c r="BD239" i="1"/>
  <c r="BB239" i="1"/>
  <c r="I156" i="1"/>
  <c r="I190" i="1" s="1"/>
  <c r="I189" i="1" s="1"/>
  <c r="Q181" i="1"/>
  <c r="BP169" i="1"/>
  <c r="BE125" i="1"/>
  <c r="BU171" i="1"/>
  <c r="BI139" i="1"/>
  <c r="BE171" i="1"/>
  <c r="AT164" i="1"/>
  <c r="AT193" i="1" s="1"/>
  <c r="AY132" i="1"/>
  <c r="BK148" i="1"/>
  <c r="BK132" i="1"/>
  <c r="BA106" i="1"/>
  <c r="BA107" i="1" s="1"/>
  <c r="BA112" i="1" s="1"/>
  <c r="AX261" i="1"/>
  <c r="BB261" i="1"/>
  <c r="AO106" i="1"/>
  <c r="AO107" i="1" s="1"/>
  <c r="AO111" i="1" s="1"/>
  <c r="BE261" i="1"/>
  <c r="BV106" i="1"/>
  <c r="BV107" i="1" s="1"/>
  <c r="BI106" i="1"/>
  <c r="BI107" i="1" s="1"/>
  <c r="BI110" i="1" s="1"/>
  <c r="O116" i="1"/>
  <c r="W115" i="1"/>
  <c r="T116" i="1"/>
  <c r="T164" i="1"/>
  <c r="I116" i="1"/>
  <c r="BE140" i="1"/>
  <c r="T111" i="1"/>
  <c r="T94" i="1"/>
  <c r="BE132" i="1"/>
  <c r="BP142" i="1"/>
  <c r="BP146" i="1" s="1"/>
  <c r="BQ139" i="1"/>
  <c r="AW132" i="1"/>
  <c r="AP156" i="1"/>
  <c r="BF136" i="1"/>
  <c r="BG132" i="1"/>
  <c r="BG136" i="1" s="1"/>
  <c r="AS132" i="1"/>
  <c r="BH106" i="1"/>
  <c r="BH107" i="1" s="1"/>
  <c r="BP106" i="1"/>
  <c r="BP107" i="1" s="1"/>
  <c r="BF261" i="1"/>
  <c r="J95" i="1"/>
  <c r="BD142" i="1"/>
  <c r="BD146" i="1" s="1"/>
  <c r="BE139" i="1"/>
  <c r="I93" i="1"/>
  <c r="AU261" i="1"/>
  <c r="BM18" i="1"/>
  <c r="AU260" i="1"/>
  <c r="BT106" i="1"/>
  <c r="BT107" i="1" s="1"/>
  <c r="BT110" i="1" s="1"/>
  <c r="BM239" i="1"/>
  <c r="AN261" i="1"/>
  <c r="AO18" i="1"/>
  <c r="AO260" i="1"/>
  <c r="M156" i="1"/>
  <c r="M190" i="1" s="1"/>
  <c r="M189" i="1" s="1"/>
  <c r="AZ142" i="1"/>
  <c r="BA139" i="1"/>
  <c r="BO125" i="1"/>
  <c r="BN128" i="1"/>
  <c r="BB156" i="1"/>
  <c r="AX128" i="1"/>
  <c r="AY125" i="1"/>
  <c r="AU132" i="1"/>
  <c r="BR164" i="1"/>
  <c r="BR193" i="1" s="1"/>
  <c r="BC139" i="1"/>
  <c r="BB142" i="1"/>
  <c r="BB146" i="1" s="1"/>
  <c r="F156" i="1"/>
  <c r="BB169" i="1"/>
  <c r="AV106" i="1"/>
  <c r="AV107" i="1" s="1"/>
  <c r="AV111" i="1" s="1"/>
  <c r="AR106" i="1"/>
  <c r="AR107" i="1" s="1"/>
  <c r="AR111" i="1" s="1"/>
  <c r="AV261" i="1"/>
  <c r="BN106" i="1"/>
  <c r="BN107" i="1" s="1"/>
  <c r="BN110" i="1" s="1"/>
  <c r="AO261" i="1"/>
  <c r="G112" i="1"/>
  <c r="G116" i="1"/>
  <c r="G95" i="1"/>
  <c r="H128" i="1"/>
  <c r="BS140" i="1"/>
  <c r="AN142" i="1"/>
  <c r="AN146" i="1" s="1"/>
  <c r="AO139" i="1"/>
  <c r="BM139" i="1"/>
  <c r="BR156" i="1"/>
  <c r="AP169" i="1"/>
  <c r="BF142" i="1"/>
  <c r="BF146" i="1" s="1"/>
  <c r="BG139" i="1"/>
  <c r="BW139" i="1"/>
  <c r="BG125" i="1"/>
  <c r="BF128" i="1"/>
  <c r="AT169" i="1"/>
  <c r="U217" i="1"/>
  <c r="H146" i="1"/>
  <c r="H41" i="1"/>
  <c r="H217" i="1"/>
  <c r="BU210" i="1"/>
  <c r="BQ210" i="1"/>
  <c r="AM210" i="1"/>
  <c r="BE210" i="1"/>
  <c r="AS210" i="1"/>
  <c r="AR210" i="1"/>
  <c r="BD210" i="1"/>
  <c r="BP210" i="1"/>
  <c r="BA210" i="1"/>
  <c r="BB210" i="1"/>
  <c r="BC210" i="1"/>
  <c r="BC24" i="1"/>
  <c r="AM110" i="1"/>
  <c r="AM111" i="1"/>
  <c r="AM112" i="1"/>
  <c r="BW19" i="1"/>
  <c r="BS24" i="1"/>
  <c r="AR110" i="1"/>
  <c r="AR112" i="1"/>
  <c r="AV112" i="1"/>
  <c r="P78" i="1"/>
  <c r="N97" i="1"/>
  <c r="O94" i="1"/>
  <c r="O95" i="1"/>
  <c r="O78" i="1"/>
  <c r="O93" i="1"/>
  <c r="CP146" i="1"/>
  <c r="CQ40" i="1"/>
  <c r="AB133" i="1"/>
  <c r="AB136" i="1" s="1"/>
  <c r="AB257" i="1" s="1"/>
  <c r="AD150" i="1"/>
  <c r="CY73" i="1"/>
  <c r="CZ71" i="1"/>
  <c r="AD71" i="1" s="1"/>
  <c r="AD73" i="1" s="1"/>
  <c r="BI19" i="1" l="1"/>
  <c r="BE24" i="1"/>
  <c r="BD20" i="1"/>
  <c r="AQ24" i="1"/>
  <c r="BO24" i="1"/>
  <c r="BD24" i="1"/>
  <c r="BE20" i="1"/>
  <c r="BO19" i="1"/>
  <c r="AM19" i="1"/>
  <c r="AM24" i="1"/>
  <c r="AM20" i="1"/>
  <c r="AM233" i="1"/>
  <c r="AQ19" i="1"/>
  <c r="BS19" i="1"/>
  <c r="BH191" i="1"/>
  <c r="BI191" i="1" s="1"/>
  <c r="AZ188" i="1"/>
  <c r="BA188" i="1" s="1"/>
  <c r="BF188" i="1"/>
  <c r="BG188" i="1" s="1"/>
  <c r="AR191" i="1"/>
  <c r="AS191" i="1" s="1"/>
  <c r="BH187" i="1"/>
  <c r="BI187" i="1" s="1"/>
  <c r="BD191" i="1"/>
  <c r="BE191" i="1" s="1"/>
  <c r="AM35" i="1"/>
  <c r="BN35" i="1"/>
  <c r="BO35" i="1"/>
  <c r="BV191" i="1"/>
  <c r="BW191" i="1" s="1"/>
  <c r="AR187" i="1"/>
  <c r="AS187" i="1" s="1"/>
  <c r="AN191" i="1"/>
  <c r="AO191" i="1" s="1"/>
  <c r="BF156" i="1"/>
  <c r="AZ164" i="1"/>
  <c r="AZ193" i="1" s="1"/>
  <c r="BV164" i="1"/>
  <c r="BV193" i="1" s="1"/>
  <c r="BH156" i="1"/>
  <c r="AP136" i="1"/>
  <c r="AQ136" i="1"/>
  <c r="AR156" i="1"/>
  <c r="BV210" i="1"/>
  <c r="BN169" i="1"/>
  <c r="AX169" i="1"/>
  <c r="BN188" i="1"/>
  <c r="BO188" i="1" s="1"/>
  <c r="AR188" i="1"/>
  <c r="AS188" i="1" s="1"/>
  <c r="AQ140" i="1"/>
  <c r="BD187" i="1"/>
  <c r="BE187" i="1" s="1"/>
  <c r="BV187" i="1"/>
  <c r="BW187" i="1" s="1"/>
  <c r="AW140" i="1"/>
  <c r="BH210" i="1"/>
  <c r="BT188" i="1"/>
  <c r="BU188" i="1" s="1"/>
  <c r="BJ169" i="1"/>
  <c r="BL156" i="1"/>
  <c r="BN156" i="1"/>
  <c r="BN190" i="1" s="1"/>
  <c r="BG210" i="1"/>
  <c r="BV156" i="1"/>
  <c r="BD164" i="1"/>
  <c r="BD193" i="1" s="1"/>
  <c r="BP164" i="1"/>
  <c r="BP193" i="1" s="1"/>
  <c r="AP142" i="1"/>
  <c r="AP146" i="1" s="1"/>
  <c r="BO132" i="1"/>
  <c r="BO136" i="1" s="1"/>
  <c r="BP136" i="1"/>
  <c r="BQ136" i="1"/>
  <c r="AP128" i="1"/>
  <c r="AQ125" i="1"/>
  <c r="BH164" i="1"/>
  <c r="BH193" i="1" s="1"/>
  <c r="BH192" i="1" s="1"/>
  <c r="BI192" i="1" s="1"/>
  <c r="BI193" i="1" s="1"/>
  <c r="AR128" i="1"/>
  <c r="BV136" i="1"/>
  <c r="BW136" i="1"/>
  <c r="AV164" i="1"/>
  <c r="AV193" i="1" s="1"/>
  <c r="BJ128" i="1"/>
  <c r="BK128" i="1"/>
  <c r="BK100" i="1" s="1"/>
  <c r="BF164" i="1"/>
  <c r="BF193" i="1" s="1"/>
  <c r="BH136" i="1"/>
  <c r="BI132" i="1"/>
  <c r="BI136" i="1" s="1"/>
  <c r="BI257" i="1" s="1"/>
  <c r="AV156" i="1"/>
  <c r="BL164" i="1"/>
  <c r="BL193" i="1" s="1"/>
  <c r="BT128" i="1"/>
  <c r="BU125" i="1"/>
  <c r="BP188" i="1"/>
  <c r="BQ188" i="1" s="1"/>
  <c r="AT156" i="1"/>
  <c r="BR142" i="1"/>
  <c r="BR146" i="1" s="1"/>
  <c r="AT146" i="1"/>
  <c r="BR128" i="1"/>
  <c r="BS125" i="1"/>
  <c r="AX156" i="1"/>
  <c r="BW148" i="1"/>
  <c r="BX210" i="1" s="1"/>
  <c r="BA132" i="1"/>
  <c r="BA136" i="1" s="1"/>
  <c r="AZ136" i="1"/>
  <c r="AR142" i="1"/>
  <c r="AR146" i="1" s="1"/>
  <c r="AS139" i="1"/>
  <c r="AV142" i="1"/>
  <c r="AV146" i="1" s="1"/>
  <c r="AW139" i="1"/>
  <c r="AN169" i="1"/>
  <c r="AU136" i="1"/>
  <c r="AT136" i="1"/>
  <c r="BB164" i="1"/>
  <c r="BB193" i="1" s="1"/>
  <c r="BV142" i="1"/>
  <c r="BV146" i="1" s="1"/>
  <c r="BW142" i="1"/>
  <c r="AR164" i="1"/>
  <c r="AR193" i="1" s="1"/>
  <c r="BT136" i="1"/>
  <c r="BU132" i="1"/>
  <c r="BU136" i="1" s="1"/>
  <c r="BU139" i="1"/>
  <c r="AW210" i="1"/>
  <c r="AV210" i="1"/>
  <c r="BM210" i="1"/>
  <c r="AT210" i="1"/>
  <c r="AU210" i="1"/>
  <c r="AZ210" i="1"/>
  <c r="AX210" i="1"/>
  <c r="AY210" i="1"/>
  <c r="BF210" i="1"/>
  <c r="BM140" i="1"/>
  <c r="BD128" i="1"/>
  <c r="BH142" i="1"/>
  <c r="BH146" i="1" s="1"/>
  <c r="E217" i="1"/>
  <c r="D74" i="1"/>
  <c r="D116" i="1"/>
  <c r="BL20" i="1"/>
  <c r="BO20" i="1"/>
  <c r="BN24" i="1"/>
  <c r="AP24" i="1"/>
  <c r="AP19" i="1"/>
  <c r="AQ20" i="1"/>
  <c r="AQ196" i="1"/>
  <c r="AN19" i="1"/>
  <c r="AN196" i="1"/>
  <c r="AN24" i="1"/>
  <c r="AN233" i="1"/>
  <c r="AN20" i="1"/>
  <c r="BJ156" i="1"/>
  <c r="BN142" i="1"/>
  <c r="BN146" i="1" s="1"/>
  <c r="BO139" i="1"/>
  <c r="BL210" i="1"/>
  <c r="BK136" i="1"/>
  <c r="BJ136" i="1"/>
  <c r="BL142" i="1"/>
  <c r="BI171" i="1"/>
  <c r="BF169" i="1"/>
  <c r="BT142" i="1"/>
  <c r="BT146" i="1" s="1"/>
  <c r="BT210" i="1"/>
  <c r="BK112" i="1"/>
  <c r="BK110" i="1"/>
  <c r="BK111" i="1"/>
  <c r="AR35" i="1"/>
  <c r="BR35" i="1"/>
  <c r="BF35" i="1"/>
  <c r="C215" i="1"/>
  <c r="BP156" i="1"/>
  <c r="BP190" i="1" s="1"/>
  <c r="BD35" i="1"/>
  <c r="BN136" i="1"/>
  <c r="BV128" i="1"/>
  <c r="BW128" i="1"/>
  <c r="BD156" i="1"/>
  <c r="BT164" i="1"/>
  <c r="BT193" i="1" s="1"/>
  <c r="AP164" i="1"/>
  <c r="AP193" i="1" s="1"/>
  <c r="AP192" i="1" s="1"/>
  <c r="AQ192" i="1" s="1"/>
  <c r="AQ193" i="1" s="1"/>
  <c r="AV192" i="1"/>
  <c r="AW192" i="1" s="1"/>
  <c r="AW193" i="1" s="1"/>
  <c r="BD136" i="1"/>
  <c r="BE136" i="1"/>
  <c r="AR169" i="1"/>
  <c r="AV136" i="1"/>
  <c r="AW136" i="1"/>
  <c r="AT128" i="1"/>
  <c r="AU125" i="1"/>
  <c r="AY139" i="1"/>
  <c r="AX142" i="1"/>
  <c r="AX146" i="1" s="1"/>
  <c r="AR136" i="1"/>
  <c r="AS136" i="1"/>
  <c r="AN136" i="1"/>
  <c r="AO132" i="1"/>
  <c r="AO136" i="1" s="1"/>
  <c r="AN164" i="1"/>
  <c r="AN193" i="1" s="1"/>
  <c r="AZ146" i="1"/>
  <c r="AX164" i="1"/>
  <c r="AX193" i="1" s="1"/>
  <c r="BR136" i="1"/>
  <c r="BS132" i="1"/>
  <c r="BS136" i="1" s="1"/>
  <c r="AZ156" i="1"/>
  <c r="BI142" i="1"/>
  <c r="BT156" i="1"/>
  <c r="AX136" i="1"/>
  <c r="AY136" i="1"/>
  <c r="AY142" i="1"/>
  <c r="AY146" i="1" s="1"/>
  <c r="BL24" i="1"/>
  <c r="BH35" i="1"/>
  <c r="N176" i="1"/>
  <c r="N117" i="1" s="1"/>
  <c r="AP35" i="1"/>
  <c r="BP35" i="1"/>
  <c r="BN189" i="1"/>
  <c r="BO189" i="1" s="1"/>
  <c r="BO190" i="1" s="1"/>
  <c r="AZ192" i="1"/>
  <c r="BA192" i="1" s="1"/>
  <c r="BA193" i="1" s="1"/>
  <c r="AN35" i="1"/>
  <c r="L256" i="1"/>
  <c r="AQ233" i="1"/>
  <c r="BA142" i="1"/>
  <c r="BA146" i="1" s="1"/>
  <c r="BC142" i="1"/>
  <c r="BC146" i="1" s="1"/>
  <c r="V165" i="1"/>
  <c r="AS35" i="1"/>
  <c r="AX35" i="1"/>
  <c r="V41" i="1"/>
  <c r="V146" i="1"/>
  <c r="P176" i="1"/>
  <c r="P117" i="1" s="1"/>
  <c r="P45" i="1"/>
  <c r="W146" i="1"/>
  <c r="X211" i="1" s="1"/>
  <c r="W41" i="1"/>
  <c r="R45" i="1"/>
  <c r="R137" i="1"/>
  <c r="R63" i="1" s="1"/>
  <c r="AS24" i="1"/>
  <c r="AS25" i="1" s="1"/>
  <c r="AT20" i="1"/>
  <c r="K183" i="1"/>
  <c r="K100" i="1"/>
  <c r="K62" i="1"/>
  <c r="BI240" i="1"/>
  <c r="BI241" i="1" s="1"/>
  <c r="BI37" i="1"/>
  <c r="BI42" i="1"/>
  <c r="BI46" i="1" s="1"/>
  <c r="AW24" i="1"/>
  <c r="AX20" i="1"/>
  <c r="AT24" i="1"/>
  <c r="AT19" i="1"/>
  <c r="S190" i="1"/>
  <c r="S189" i="1" s="1"/>
  <c r="T204" i="1"/>
  <c r="M146" i="1"/>
  <c r="M41" i="1"/>
  <c r="W45" i="1"/>
  <c r="X257" i="1"/>
  <c r="X259" i="1" s="1"/>
  <c r="X214" i="1"/>
  <c r="S257" i="1"/>
  <c r="S259" i="1" s="1"/>
  <c r="S176" i="1"/>
  <c r="S117" i="1" s="1"/>
  <c r="S119" i="1" s="1"/>
  <c r="S122" i="1" s="1"/>
  <c r="BP196" i="1"/>
  <c r="BP24" i="1"/>
  <c r="BP20" i="1"/>
  <c r="BY111" i="1"/>
  <c r="BY110" i="1"/>
  <c r="BY112" i="1"/>
  <c r="P41" i="1"/>
  <c r="P146" i="1"/>
  <c r="L41" i="1"/>
  <c r="L146" i="1"/>
  <c r="G183" i="1"/>
  <c r="G100" i="1"/>
  <c r="G103" i="1" s="1"/>
  <c r="AK233" i="1"/>
  <c r="AH24" i="1"/>
  <c r="O183" i="1"/>
  <c r="O100" i="1"/>
  <c r="O103" i="1" s="1"/>
  <c r="AX110" i="1"/>
  <c r="AX112" i="1"/>
  <c r="BD112" i="1"/>
  <c r="BD110" i="1"/>
  <c r="AN110" i="1"/>
  <c r="AN111" i="1"/>
  <c r="BW110" i="1"/>
  <c r="BW112" i="1"/>
  <c r="BV110" i="1"/>
  <c r="BV111" i="1"/>
  <c r="BH111" i="1"/>
  <c r="BH110" i="1"/>
  <c r="BP110" i="1"/>
  <c r="BP111" i="1"/>
  <c r="BP233" i="1"/>
  <c r="BM20" i="1"/>
  <c r="AL60" i="1"/>
  <c r="AL74" i="1"/>
  <c r="AL77" i="1" s="1"/>
  <c r="AT192" i="1"/>
  <c r="AU192" i="1" s="1"/>
  <c r="AU193" i="1" s="1"/>
  <c r="T41" i="1"/>
  <c r="T146" i="1"/>
  <c r="U137" i="1"/>
  <c r="U63" i="1" s="1"/>
  <c r="V176" i="1"/>
  <c r="V117" i="1" s="1"/>
  <c r="AY35" i="1"/>
  <c r="C256" i="1"/>
  <c r="P204" i="1"/>
  <c r="K137" i="1"/>
  <c r="K63" i="1" s="1"/>
  <c r="BJ35" i="1"/>
  <c r="K205" i="1"/>
  <c r="BV35" i="1"/>
  <c r="T252" i="1"/>
  <c r="P205" i="1"/>
  <c r="BG196" i="1"/>
  <c r="M205" i="1"/>
  <c r="C257" i="1"/>
  <c r="C259" i="1" s="1"/>
  <c r="BN192" i="1"/>
  <c r="BO192" i="1" s="1"/>
  <c r="BO193" i="1" s="1"/>
  <c r="AU142" i="1"/>
  <c r="AU146" i="1" s="1"/>
  <c r="B165" i="1"/>
  <c r="AQ36" i="1"/>
  <c r="AQ37" i="1" s="1"/>
  <c r="G41" i="1"/>
  <c r="G146" i="1"/>
  <c r="BC19" i="1"/>
  <c r="AY24" i="1"/>
  <c r="AY25" i="1" s="1"/>
  <c r="BF19" i="1"/>
  <c r="BF233" i="1"/>
  <c r="BF20" i="1"/>
  <c r="BJ19" i="1"/>
  <c r="BF24" i="1"/>
  <c r="U146" i="1"/>
  <c r="U41" i="1"/>
  <c r="T257" i="1"/>
  <c r="T259" i="1" s="1"/>
  <c r="T214" i="1"/>
  <c r="T45" i="1"/>
  <c r="T176" i="1"/>
  <c r="T117" i="1" s="1"/>
  <c r="P193" i="1"/>
  <c r="P192" i="1" s="1"/>
  <c r="Q205" i="1"/>
  <c r="J146" i="1"/>
  <c r="J41" i="1"/>
  <c r="G137" i="1"/>
  <c r="G63" i="1" s="1"/>
  <c r="G45" i="1"/>
  <c r="G176" i="1"/>
  <c r="G117" i="1" s="1"/>
  <c r="B176" i="1"/>
  <c r="B117" i="1" s="1"/>
  <c r="B45" i="1"/>
  <c r="C41" i="1"/>
  <c r="C146" i="1"/>
  <c r="N41" i="1"/>
  <c r="N146" i="1"/>
  <c r="U257" i="1"/>
  <c r="U259" i="1" s="1"/>
  <c r="U45" i="1"/>
  <c r="U214" i="1"/>
  <c r="F256" i="1"/>
  <c r="G217" i="1"/>
  <c r="BL111" i="1"/>
  <c r="BL110" i="1"/>
  <c r="BL112" i="1"/>
  <c r="BX111" i="1"/>
  <c r="BX110" i="1"/>
  <c r="BX112" i="1"/>
  <c r="AR19" i="1"/>
  <c r="AR20" i="1"/>
  <c r="AS20" i="1"/>
  <c r="AR24" i="1"/>
  <c r="AR196" i="1"/>
  <c r="AT233" i="1"/>
  <c r="AS233" i="1"/>
  <c r="F183" i="1"/>
  <c r="F62" i="1"/>
  <c r="F100" i="1"/>
  <c r="Q100" i="1"/>
  <c r="R215" i="1"/>
  <c r="Q183" i="1"/>
  <c r="Q215" i="1"/>
  <c r="Q62" i="1"/>
  <c r="C62" i="1"/>
  <c r="C183" i="1"/>
  <c r="D215" i="1"/>
  <c r="BO196" i="1"/>
  <c r="BK196" i="1"/>
  <c r="BJ196" i="1"/>
  <c r="BJ20" i="1"/>
  <c r="BK20" i="1"/>
  <c r="BJ24" i="1"/>
  <c r="BL233" i="1"/>
  <c r="BN19" i="1"/>
  <c r="BU24" i="1"/>
  <c r="BU7" i="1"/>
  <c r="BU10" i="1" s="1"/>
  <c r="BY19" i="1"/>
  <c r="BU19" i="1"/>
  <c r="BR7" i="1"/>
  <c r="BR10" i="1" s="1"/>
  <c r="BS196" i="1"/>
  <c r="BR196" i="1"/>
  <c r="BS20" i="1"/>
  <c r="BR24" i="1"/>
  <c r="BR19" i="1"/>
  <c r="BV19" i="1"/>
  <c r="Q214" i="1"/>
  <c r="Q137" i="1"/>
  <c r="Q63" i="1" s="1"/>
  <c r="Q45" i="1"/>
  <c r="Q257" i="1"/>
  <c r="Q259" i="1" s="1"/>
  <c r="I217" i="1"/>
  <c r="H176" i="1"/>
  <c r="H117" i="1" s="1"/>
  <c r="J165" i="1"/>
  <c r="J190" i="1"/>
  <c r="J189" i="1" s="1"/>
  <c r="S62" i="1"/>
  <c r="S215" i="1"/>
  <c r="BC233" i="1"/>
  <c r="AZ24" i="1"/>
  <c r="B115" i="1"/>
  <c r="B116" i="1"/>
  <c r="M256" i="1"/>
  <c r="M100" i="1"/>
  <c r="BV7" i="1"/>
  <c r="BV10" i="1" s="1"/>
  <c r="BW196" i="1"/>
  <c r="BZ196" i="1"/>
  <c r="BZ19" i="1"/>
  <c r="BW20" i="1"/>
  <c r="Q193" i="1"/>
  <c r="R205" i="1"/>
  <c r="P183" i="1"/>
  <c r="P256" i="1"/>
  <c r="P137" i="1"/>
  <c r="P63" i="1" s="1"/>
  <c r="P100" i="1"/>
  <c r="P62" i="1"/>
  <c r="BP7" i="1"/>
  <c r="BP10" i="1" s="1"/>
  <c r="BP19" i="1"/>
  <c r="U193" i="1"/>
  <c r="V205" i="1"/>
  <c r="R100" i="1"/>
  <c r="R102" i="1" s="1"/>
  <c r="R62" i="1"/>
  <c r="R256" i="1"/>
  <c r="R41" i="1"/>
  <c r="R146" i="1"/>
  <c r="R252" i="1" s="1"/>
  <c r="AX19" i="1"/>
  <c r="AX196" i="1"/>
  <c r="AX24" i="1"/>
  <c r="AY20" i="1"/>
  <c r="BC196" i="1"/>
  <c r="BB24" i="1"/>
  <c r="BB19" i="1"/>
  <c r="BE233" i="1"/>
  <c r="E45" i="1"/>
  <c r="E176" i="1"/>
  <c r="E117" i="1" s="1"/>
  <c r="P190" i="1"/>
  <c r="P165" i="1"/>
  <c r="O41" i="1"/>
  <c r="O146" i="1"/>
  <c r="AK112" i="1"/>
  <c r="AK110" i="1"/>
  <c r="H190" i="1"/>
  <c r="H165" i="1"/>
  <c r="H173" i="1" s="1"/>
  <c r="BM112" i="1"/>
  <c r="BM111" i="1"/>
  <c r="BQ110" i="1"/>
  <c r="BQ111" i="1"/>
  <c r="AU111" i="1"/>
  <c r="AU112" i="1"/>
  <c r="AU110" i="1"/>
  <c r="BF110" i="1"/>
  <c r="BF111" i="1"/>
  <c r="BO112" i="1"/>
  <c r="BO110" i="1"/>
  <c r="AW111" i="1"/>
  <c r="BC112" i="1"/>
  <c r="V62" i="1"/>
  <c r="E146" i="1"/>
  <c r="BE110" i="1"/>
  <c r="G257" i="1"/>
  <c r="G259" i="1" s="1"/>
  <c r="F137" i="1"/>
  <c r="F63" i="1" s="1"/>
  <c r="BB20" i="1"/>
  <c r="BB112" i="1"/>
  <c r="N45" i="1"/>
  <c r="AO142" i="1"/>
  <c r="AT110" i="1"/>
  <c r="BE112" i="1"/>
  <c r="N137" i="1"/>
  <c r="N63" i="1" s="1"/>
  <c r="S204" i="1"/>
  <c r="K45" i="1"/>
  <c r="V257" i="1"/>
  <c r="V259" i="1" s="1"/>
  <c r="B146" i="1"/>
  <c r="BG142" i="1"/>
  <c r="BG146" i="1" s="1"/>
  <c r="BW111" i="1"/>
  <c r="BH20" i="1"/>
  <c r="BG110" i="1"/>
  <c r="BA35" i="1"/>
  <c r="BD111" i="1"/>
  <c r="BH19" i="1"/>
  <c r="BN111" i="1"/>
  <c r="BM110" i="1"/>
  <c r="R165" i="1"/>
  <c r="O257" i="1"/>
  <c r="O259" i="1" s="1"/>
  <c r="D183" i="1"/>
  <c r="E214" i="1"/>
  <c r="BN112" i="1"/>
  <c r="BB110" i="1"/>
  <c r="BG112" i="1"/>
  <c r="BE196" i="1"/>
  <c r="BH196" i="1"/>
  <c r="BE36" i="1"/>
  <c r="BI38" i="1" s="1"/>
  <c r="I137" i="1"/>
  <c r="I63" i="1" s="1"/>
  <c r="V256" i="1"/>
  <c r="J214" i="1"/>
  <c r="D256" i="1"/>
  <c r="C115" i="1"/>
  <c r="F176" i="1"/>
  <c r="F117" i="1" s="1"/>
  <c r="D257" i="1"/>
  <c r="D259" i="1" s="1"/>
  <c r="I256" i="1"/>
  <c r="M257" i="1"/>
  <c r="M259" i="1" s="1"/>
  <c r="AV110" i="1"/>
  <c r="BF196" i="1"/>
  <c r="BN196" i="1"/>
  <c r="AW20" i="1"/>
  <c r="BD233" i="1"/>
  <c r="BM24" i="1"/>
  <c r="BA20" i="1"/>
  <c r="BL196" i="1"/>
  <c r="AY111" i="1"/>
  <c r="AY112" i="1"/>
  <c r="BD196" i="1"/>
  <c r="BS112" i="1"/>
  <c r="AL19" i="1"/>
  <c r="AZ20" i="1"/>
  <c r="BQ112" i="1"/>
  <c r="AV35" i="1"/>
  <c r="I214" i="1"/>
  <c r="D146" i="1"/>
  <c r="Q204" i="1"/>
  <c r="I146" i="1"/>
  <c r="I252" i="1" s="1"/>
  <c r="J257" i="1"/>
  <c r="J259" i="1" s="1"/>
  <c r="G215" i="1"/>
  <c r="S205" i="1"/>
  <c r="O215" i="1"/>
  <c r="E183" i="1"/>
  <c r="BQ257" i="1"/>
  <c r="I176" i="1"/>
  <c r="I117" i="1" s="1"/>
  <c r="I119" i="1" s="1"/>
  <c r="I122" i="1" s="1"/>
  <c r="AH35" i="1"/>
  <c r="BB35" i="1"/>
  <c r="AM196" i="1"/>
  <c r="AZ110" i="1"/>
  <c r="BA24" i="1"/>
  <c r="AZ233" i="1"/>
  <c r="AI20" i="1"/>
  <c r="AZ19" i="1"/>
  <c r="B256" i="1"/>
  <c r="G62" i="1"/>
  <c r="J256" i="1"/>
  <c r="S165" i="1"/>
  <c r="C116" i="1"/>
  <c r="BQ142" i="1"/>
  <c r="BQ146" i="1" s="1"/>
  <c r="AV20" i="1"/>
  <c r="AZ35" i="1"/>
  <c r="I257" i="1"/>
  <c r="I259" i="1" s="1"/>
  <c r="BA233" i="1"/>
  <c r="BD19" i="1"/>
  <c r="AV36" i="1"/>
  <c r="AV240" i="1" s="1"/>
  <c r="AV241" i="1" s="1"/>
  <c r="BI233" i="1"/>
  <c r="BM233" i="1"/>
  <c r="BB233" i="1"/>
  <c r="BQ196" i="1"/>
  <c r="AK111" i="1"/>
  <c r="BI20" i="1"/>
  <c r="BV112" i="1"/>
  <c r="AV19" i="1"/>
  <c r="P215" i="1"/>
  <c r="G256" i="1"/>
  <c r="I205" i="1"/>
  <c r="Q41" i="1"/>
  <c r="J215" i="1"/>
  <c r="K204" i="1"/>
  <c r="T205" i="1"/>
  <c r="BY233" i="1"/>
  <c r="BV24" i="1"/>
  <c r="AW19" i="1"/>
  <c r="AY233" i="1"/>
  <c r="AW196" i="1"/>
  <c r="BA196" i="1"/>
  <c r="BC111" i="1"/>
  <c r="R214" i="1"/>
  <c r="V100" i="1"/>
  <c r="P214" i="1"/>
  <c r="P213" i="1" s="1"/>
  <c r="S183" i="1"/>
  <c r="S137" i="1"/>
  <c r="S63" i="1" s="1"/>
  <c r="J62" i="1"/>
  <c r="J176" i="1"/>
  <c r="J117" i="1" s="1"/>
  <c r="J119" i="1" s="1"/>
  <c r="J122" i="1" s="1"/>
  <c r="S214" i="1"/>
  <c r="M62" i="1"/>
  <c r="B74" i="1"/>
  <c r="I183" i="1"/>
  <c r="AO112" i="1"/>
  <c r="BX233" i="1"/>
  <c r="BA19" i="1"/>
  <c r="AW35" i="1"/>
  <c r="J205" i="1"/>
  <c r="S256" i="1"/>
  <c r="S100" i="1"/>
  <c r="K214" i="1"/>
  <c r="O176" i="1"/>
  <c r="O117" i="1" s="1"/>
  <c r="O119" i="1" s="1"/>
  <c r="O122" i="1" s="1"/>
  <c r="J100" i="1"/>
  <c r="K215" i="1"/>
  <c r="J137" i="1"/>
  <c r="J63" i="1" s="1"/>
  <c r="O214" i="1"/>
  <c r="Q256" i="1"/>
  <c r="S45" i="1"/>
  <c r="M183" i="1"/>
  <c r="D45" i="1"/>
  <c r="R176" i="1"/>
  <c r="R117" i="1" s="1"/>
  <c r="I215" i="1"/>
  <c r="I62" i="1"/>
  <c r="L176" i="1"/>
  <c r="L117" i="1" s="1"/>
  <c r="BB196" i="1"/>
  <c r="BV20" i="1"/>
  <c r="CA196" i="1"/>
  <c r="BS111" i="1"/>
  <c r="E102" i="1"/>
  <c r="P257" i="1"/>
  <c r="P259" i="1" s="1"/>
  <c r="R257" i="1"/>
  <c r="R259" i="1" s="1"/>
  <c r="K257" i="1"/>
  <c r="K259" i="1" s="1"/>
  <c r="Q176" i="1"/>
  <c r="Q117" i="1" s="1"/>
  <c r="D176" i="1"/>
  <c r="D117" i="1" s="1"/>
  <c r="D118" i="1" s="1"/>
  <c r="D121" i="1" s="1"/>
  <c r="BW210" i="1"/>
  <c r="BI214" i="1"/>
  <c r="BW214" i="1"/>
  <c r="W257" i="1"/>
  <c r="W259" i="1" s="1"/>
  <c r="U215" i="1"/>
  <c r="E215" i="1"/>
  <c r="K176" i="1"/>
  <c r="K117" i="1" s="1"/>
  <c r="K118" i="1" s="1"/>
  <c r="K121" i="1" s="1"/>
  <c r="BV196" i="1"/>
  <c r="AZ112" i="1"/>
  <c r="BK19" i="1"/>
  <c r="AV196" i="1"/>
  <c r="AW112" i="1"/>
  <c r="AX111" i="1"/>
  <c r="BQ19" i="1"/>
  <c r="BH233" i="1"/>
  <c r="BQ24" i="1"/>
  <c r="BH24" i="1"/>
  <c r="BH36" i="1" s="1"/>
  <c r="AS110" i="1"/>
  <c r="BQ35" i="1"/>
  <c r="BX19" i="1"/>
  <c r="BG35" i="1"/>
  <c r="N214" i="1"/>
  <c r="H204" i="1"/>
  <c r="B137" i="1"/>
  <c r="B63" i="1" s="1"/>
  <c r="B62" i="1"/>
  <c r="D204" i="1"/>
  <c r="H45" i="1"/>
  <c r="U100" i="1"/>
  <c r="V45" i="1"/>
  <c r="BF137" i="1"/>
  <c r="BV192" i="1"/>
  <c r="BW192" i="1" s="1"/>
  <c r="BW193" i="1" s="1"/>
  <c r="E62" i="1"/>
  <c r="AU35" i="1"/>
  <c r="BY196" i="1"/>
  <c r="AU196" i="1"/>
  <c r="BJ233" i="1"/>
  <c r="BK233" i="1"/>
  <c r="AS112" i="1"/>
  <c r="BS233" i="1"/>
  <c r="BT24" i="1"/>
  <c r="BT36" i="1" s="1"/>
  <c r="BT19" i="1"/>
  <c r="BL19" i="1"/>
  <c r="M137" i="1"/>
  <c r="M63" i="1" s="1"/>
  <c r="V137" i="1"/>
  <c r="V63" i="1" s="1"/>
  <c r="Q165" i="1"/>
  <c r="Q173" i="1" s="1"/>
  <c r="V215" i="1"/>
  <c r="R204" i="1"/>
  <c r="U183" i="1"/>
  <c r="W214" i="1"/>
  <c r="B183" i="1"/>
  <c r="H137" i="1"/>
  <c r="H63" i="1" s="1"/>
  <c r="S146" i="1"/>
  <c r="U62" i="1"/>
  <c r="N215" i="1"/>
  <c r="BR192" i="1"/>
  <c r="BS192" i="1" s="1"/>
  <c r="BS193" i="1" s="1"/>
  <c r="BJ192" i="1"/>
  <c r="BK192" i="1" s="1"/>
  <c r="N62" i="1"/>
  <c r="BT35" i="1"/>
  <c r="M204" i="1"/>
  <c r="E137" i="1"/>
  <c r="E63" i="1" s="1"/>
  <c r="D165" i="1"/>
  <c r="BG24" i="1"/>
  <c r="BG26" i="1" s="1"/>
  <c r="BX196" i="1"/>
  <c r="BG233" i="1"/>
  <c r="AU19" i="1"/>
  <c r="BG20" i="1"/>
  <c r="BW233" i="1"/>
  <c r="BT233" i="1"/>
  <c r="AV233" i="1"/>
  <c r="M45" i="1"/>
  <c r="N257" i="1"/>
  <c r="N259" i="1" s="1"/>
  <c r="I165" i="1"/>
  <c r="V214" i="1"/>
  <c r="D193" i="1"/>
  <c r="K256" i="1"/>
  <c r="H214" i="1"/>
  <c r="F215" i="1"/>
  <c r="AQ142" i="1"/>
  <c r="AQ146" i="1" s="1"/>
  <c r="D137" i="1"/>
  <c r="D63" i="1" s="1"/>
  <c r="L205" i="1"/>
  <c r="BE142" i="1"/>
  <c r="K193" i="1"/>
  <c r="K192" i="1" s="1"/>
  <c r="BL190" i="1"/>
  <c r="N165" i="1"/>
  <c r="BI210" i="1"/>
  <c r="F146" i="1"/>
  <c r="F41" i="1"/>
  <c r="L165" i="1"/>
  <c r="G214" i="1"/>
  <c r="BH112" i="1"/>
  <c r="AQ111" i="1"/>
  <c r="AP111" i="1"/>
  <c r="BU112" i="1"/>
  <c r="AT111" i="1"/>
  <c r="G205" i="1"/>
  <c r="L214" i="1"/>
  <c r="F214" i="1"/>
  <c r="L190" i="1"/>
  <c r="L189" i="1" s="1"/>
  <c r="E205" i="1"/>
  <c r="H257" i="1"/>
  <c r="H259" i="1" s="1"/>
  <c r="T193" i="1"/>
  <c r="T192" i="1" s="1"/>
  <c r="H205" i="1"/>
  <c r="E204" i="1"/>
  <c r="E206" i="1" s="1"/>
  <c r="E207" i="1" s="1"/>
  <c r="AX233" i="1"/>
  <c r="AS19" i="1"/>
  <c r="BU35" i="1"/>
  <c r="BA110" i="1"/>
  <c r="BU110" i="1"/>
  <c r="G165" i="1"/>
  <c r="T256" i="1"/>
  <c r="I104" i="1"/>
  <c r="AN112" i="1"/>
  <c r="AU20" i="1"/>
  <c r="BA111" i="1"/>
  <c r="AR233" i="1"/>
  <c r="BU196" i="1"/>
  <c r="E104" i="1"/>
  <c r="AL201" i="1"/>
  <c r="AL203" i="1" s="1"/>
  <c r="L45" i="1"/>
  <c r="T165" i="1"/>
  <c r="L137" i="1"/>
  <c r="L63" i="1" s="1"/>
  <c r="T137" i="1"/>
  <c r="T63" i="1" s="1"/>
  <c r="D205" i="1"/>
  <c r="O137" i="1"/>
  <c r="O63" i="1" s="1"/>
  <c r="T183" i="1"/>
  <c r="BF190" i="1"/>
  <c r="BF194" i="1" s="1"/>
  <c r="AU233" i="1"/>
  <c r="I103" i="1"/>
  <c r="L257" i="1"/>
  <c r="L259" i="1" s="1"/>
  <c r="F257" i="1"/>
  <c r="F259" i="1" s="1"/>
  <c r="C165" i="1"/>
  <c r="BV233" i="1"/>
  <c r="BU233" i="1"/>
  <c r="BU20" i="1"/>
  <c r="BT111" i="1"/>
  <c r="AP196" i="1"/>
  <c r="M193" i="1"/>
  <c r="M176" i="1"/>
  <c r="M117" i="1" s="1"/>
  <c r="M118" i="1" s="1"/>
  <c r="M121" i="1" s="1"/>
  <c r="E165" i="1"/>
  <c r="M214" i="1"/>
  <c r="T100" i="1"/>
  <c r="T103" i="1" s="1"/>
  <c r="U165" i="1"/>
  <c r="BR111" i="1"/>
  <c r="T215" i="1"/>
  <c r="AY196" i="1"/>
  <c r="BT112" i="1"/>
  <c r="AO35" i="1"/>
  <c r="M165" i="1"/>
  <c r="F205" i="1"/>
  <c r="O204" i="1"/>
  <c r="K146" i="1"/>
  <c r="U256" i="1"/>
  <c r="AP110" i="1"/>
  <c r="BR112" i="1"/>
  <c r="AQ112" i="1"/>
  <c r="AW233" i="1"/>
  <c r="AY19" i="1"/>
  <c r="AZ196" i="1"/>
  <c r="U176" i="1"/>
  <c r="U117" i="1" s="1"/>
  <c r="U119" i="1" s="1"/>
  <c r="U122" i="1" s="1"/>
  <c r="N204" i="1"/>
  <c r="I204" i="1"/>
  <c r="O256" i="1"/>
  <c r="BP137" i="1"/>
  <c r="N100" i="1"/>
  <c r="N183" i="1"/>
  <c r="BS142" i="1"/>
  <c r="BS146" i="1" s="1"/>
  <c r="BP192" i="1"/>
  <c r="BQ192" i="1" s="1"/>
  <c r="BQ193" i="1" s="1"/>
  <c r="N205" i="1"/>
  <c r="C205" i="1"/>
  <c r="O62" i="1"/>
  <c r="BT20" i="1"/>
  <c r="BP112" i="1"/>
  <c r="BQ20" i="1"/>
  <c r="BR233" i="1"/>
  <c r="BR20" i="1"/>
  <c r="BQ233" i="1"/>
  <c r="BT196" i="1"/>
  <c r="V204" i="1"/>
  <c r="BG214" i="1"/>
  <c r="BH137" i="1"/>
  <c r="AP137" i="1"/>
  <c r="BK102" i="1"/>
  <c r="BK104" i="1"/>
  <c r="BK103" i="1"/>
  <c r="BW146" i="1"/>
  <c r="BX211" i="1" s="1"/>
  <c r="BX209" i="1" s="1"/>
  <c r="BX41" i="1"/>
  <c r="BK146" i="1"/>
  <c r="BL41" i="1"/>
  <c r="AX190" i="1"/>
  <c r="AT165" i="1"/>
  <c r="AT173" i="1" s="1"/>
  <c r="AT190" i="1"/>
  <c r="AN190" i="1"/>
  <c r="BH165" i="1"/>
  <c r="BH173" i="1" s="1"/>
  <c r="BH190" i="1"/>
  <c r="AS196" i="1"/>
  <c r="AP20" i="1"/>
  <c r="AO110" i="1"/>
  <c r="BO233" i="1"/>
  <c r="AO233" i="1"/>
  <c r="J204" i="1"/>
  <c r="H256" i="1"/>
  <c r="D214" i="1"/>
  <c r="BN194" i="1"/>
  <c r="BV165" i="1"/>
  <c r="BV173" i="1" s="1"/>
  <c r="BV190" i="1"/>
  <c r="BB137" i="1"/>
  <c r="H62" i="1"/>
  <c r="H100" i="1"/>
  <c r="H183" i="1"/>
  <c r="L204" i="1"/>
  <c r="AT196" i="1"/>
  <c r="F165" i="1"/>
  <c r="C137" i="1"/>
  <c r="C63" i="1" s="1"/>
  <c r="BB165" i="1"/>
  <c r="BB173" i="1" s="1"/>
  <c r="BB190" i="1"/>
  <c r="AP190" i="1"/>
  <c r="L100" i="1"/>
  <c r="L183" i="1"/>
  <c r="L62" i="1"/>
  <c r="BO111" i="1"/>
  <c r="BM196" i="1"/>
  <c r="AP233" i="1"/>
  <c r="BJ110" i="1"/>
  <c r="BI112" i="1"/>
  <c r="G204" i="1"/>
  <c r="C45" i="1"/>
  <c r="BM35" i="1"/>
  <c r="BM19" i="1"/>
  <c r="BJ111" i="1"/>
  <c r="BI111" i="1"/>
  <c r="O165" i="1"/>
  <c r="K165" i="1"/>
  <c r="C176" i="1"/>
  <c r="C117" i="1" s="1"/>
  <c r="C214" i="1"/>
  <c r="F204" i="1"/>
  <c r="F190" i="1"/>
  <c r="F194" i="1" s="1"/>
  <c r="M215" i="1"/>
  <c r="AO19" i="1"/>
  <c r="E190" i="1"/>
  <c r="E189" i="1" s="1"/>
  <c r="BK210" i="1"/>
  <c r="BL137" i="1"/>
  <c r="BF112" i="1"/>
  <c r="C204" i="1"/>
  <c r="BR165" i="1"/>
  <c r="BR190" i="1"/>
  <c r="BJ146" i="1"/>
  <c r="BK41" i="1"/>
  <c r="AO196" i="1"/>
  <c r="AO24" i="1"/>
  <c r="AO36" i="1" s="1"/>
  <c r="BN20" i="1"/>
  <c r="AO20" i="1"/>
  <c r="O205" i="1"/>
  <c r="B190" i="1"/>
  <c r="B194" i="1" s="1"/>
  <c r="L215" i="1"/>
  <c r="U205" i="1"/>
  <c r="BD192" i="1"/>
  <c r="BE192" i="1" s="1"/>
  <c r="BE193" i="1" s="1"/>
  <c r="BN165" i="1"/>
  <c r="BN233" i="1"/>
  <c r="O193" i="1"/>
  <c r="O194" i="1" s="1"/>
  <c r="H215" i="1"/>
  <c r="AR190" i="1"/>
  <c r="U204" i="1"/>
  <c r="C76" i="1"/>
  <c r="C77" i="1"/>
  <c r="C95" i="1" s="1"/>
  <c r="H254" i="1"/>
  <c r="H252" i="1"/>
  <c r="S192" i="1"/>
  <c r="AQ210" i="1"/>
  <c r="AP210" i="1"/>
  <c r="J192" i="1"/>
  <c r="C192" i="1"/>
  <c r="C194" i="1"/>
  <c r="AU257" i="1"/>
  <c r="Q254" i="1"/>
  <c r="Q252" i="1"/>
  <c r="AQ214" i="1"/>
  <c r="AQ257" i="1"/>
  <c r="AN41" i="1"/>
  <c r="AU214" i="1"/>
  <c r="I192" i="1"/>
  <c r="I194" i="1"/>
  <c r="E192" i="1"/>
  <c r="V192" i="1"/>
  <c r="V194" i="1"/>
  <c r="BB214" i="1"/>
  <c r="BB257" i="1"/>
  <c r="T189" i="1"/>
  <c r="N194" i="1"/>
  <c r="N189" i="1"/>
  <c r="G194" i="1"/>
  <c r="G192" i="1"/>
  <c r="R194" i="1"/>
  <c r="R192" i="1"/>
  <c r="AM257" i="1"/>
  <c r="AM214" i="1"/>
  <c r="BN210" i="1"/>
  <c r="BO210" i="1"/>
  <c r="BM257" i="1"/>
  <c r="BM214" i="1"/>
  <c r="BS210" i="1"/>
  <c r="BR210" i="1"/>
  <c r="BU257" i="1"/>
  <c r="BU214" i="1"/>
  <c r="AO210" i="1"/>
  <c r="AN210" i="1"/>
  <c r="BC214" i="1"/>
  <c r="BC257" i="1"/>
  <c r="BG257" i="1"/>
  <c r="BA214" i="1"/>
  <c r="BA257" i="1"/>
  <c r="BQ214" i="1"/>
  <c r="BP257" i="1"/>
  <c r="BP214" i="1"/>
  <c r="AL62" i="1"/>
  <c r="AL215" i="1"/>
  <c r="AL213" i="1" s="1"/>
  <c r="AL63" i="1"/>
  <c r="AL100" i="1"/>
  <c r="AQ25" i="1"/>
  <c r="BO36" i="1"/>
  <c r="BO26" i="1"/>
  <c r="BO25" i="1"/>
  <c r="BE25" i="1"/>
  <c r="BI26" i="1"/>
  <c r="BD27" i="1"/>
  <c r="BC25" i="1"/>
  <c r="BC36" i="1"/>
  <c r="BD36" i="1"/>
  <c r="BD25" i="1"/>
  <c r="BE27" i="1"/>
  <c r="BS27" i="1"/>
  <c r="BN36" i="1"/>
  <c r="BO27" i="1"/>
  <c r="BR26" i="1"/>
  <c r="BN26" i="1"/>
  <c r="BN25" i="1"/>
  <c r="BR36" i="1"/>
  <c r="BR25" i="1"/>
  <c r="AM36" i="1"/>
  <c r="AN27" i="1"/>
  <c r="AM26" i="1"/>
  <c r="AQ26" i="1"/>
  <c r="AM27" i="1"/>
  <c r="AM25" i="1"/>
  <c r="AU36" i="1"/>
  <c r="AU25" i="1"/>
  <c r="AV27" i="1"/>
  <c r="AU26" i="1"/>
  <c r="BS36" i="1"/>
  <c r="BW26" i="1"/>
  <c r="BS25" i="1"/>
  <c r="BS26" i="1"/>
  <c r="BW41" i="1"/>
  <c r="AN26" i="1"/>
  <c r="AN36" i="1"/>
  <c r="AN25" i="1"/>
  <c r="AP36" i="1"/>
  <c r="AP26" i="1"/>
  <c r="AP25" i="1"/>
  <c r="AQ27" i="1"/>
  <c r="BI41" i="1"/>
  <c r="CQ202" i="1"/>
  <c r="CQ140" i="1"/>
  <c r="CQ142" i="1" s="1"/>
  <c r="CP211" i="1"/>
  <c r="CP209" i="1" s="1"/>
  <c r="AB214" i="1"/>
  <c r="CZ73" i="1"/>
  <c r="BW257" i="1" l="1"/>
  <c r="BL165" i="1"/>
  <c r="BF165" i="1"/>
  <c r="BV257" i="1"/>
  <c r="BH214" i="1"/>
  <c r="BX214" i="1"/>
  <c r="BX257" i="1"/>
  <c r="BX259" i="1" s="1"/>
  <c r="AV165" i="1"/>
  <c r="AV173" i="1" s="1"/>
  <c r="AV190" i="1"/>
  <c r="BR173" i="1"/>
  <c r="S118" i="1"/>
  <c r="S121" i="1" s="1"/>
  <c r="AZ137" i="1"/>
  <c r="AR165" i="1"/>
  <c r="D77" i="1"/>
  <c r="D76" i="1"/>
  <c r="N119" i="1"/>
  <c r="N122" i="1" s="1"/>
  <c r="N118" i="1"/>
  <c r="N121" i="1" s="1"/>
  <c r="BL25" i="1"/>
  <c r="BL36" i="1"/>
  <c r="BL27" i="1"/>
  <c r="AT26" i="1"/>
  <c r="AV42" i="1"/>
  <c r="AV46" i="1" s="1"/>
  <c r="AT27" i="1"/>
  <c r="AU27" i="1"/>
  <c r="AT36" i="1"/>
  <c r="AT25" i="1"/>
  <c r="AW27" i="1"/>
  <c r="AW25" i="1"/>
  <c r="AW26" i="1"/>
  <c r="AW36" i="1"/>
  <c r="BV25" i="1"/>
  <c r="BZ26" i="1"/>
  <c r="BV36" i="1"/>
  <c r="AX27" i="1"/>
  <c r="AX192" i="1"/>
  <c r="AY192" i="1" s="1"/>
  <c r="AY193" i="1" s="1"/>
  <c r="AS142" i="1"/>
  <c r="AS146" i="1" s="1"/>
  <c r="BF192" i="1"/>
  <c r="BG192" i="1" s="1"/>
  <c r="BG193" i="1" s="1"/>
  <c r="BL192" i="1"/>
  <c r="BM192" i="1" s="1"/>
  <c r="BM193" i="1" s="1"/>
  <c r="BH257" i="1"/>
  <c r="AX137" i="1"/>
  <c r="BT192" i="1"/>
  <c r="BU192" i="1" s="1"/>
  <c r="BU193" i="1" s="1"/>
  <c r="AR192" i="1"/>
  <c r="AS192" i="1" s="1"/>
  <c r="AS193" i="1" s="1"/>
  <c r="BB192" i="1"/>
  <c r="BC192" i="1" s="1"/>
  <c r="BC193" i="1" s="1"/>
  <c r="AW142" i="1"/>
  <c r="AW146" i="1" s="1"/>
  <c r="BV214" i="1"/>
  <c r="BT137" i="1"/>
  <c r="BU142" i="1"/>
  <c r="BU146" i="1" s="1"/>
  <c r="BM142" i="1"/>
  <c r="BM146" i="1" s="1"/>
  <c r="BV137" i="1"/>
  <c r="S213" i="1"/>
  <c r="BO194" i="1"/>
  <c r="BO142" i="1"/>
  <c r="BO146" i="1" s="1"/>
  <c r="BP189" i="1"/>
  <c r="BQ189" i="1" s="1"/>
  <c r="BQ190" i="1" s="1"/>
  <c r="BF173" i="1"/>
  <c r="AN192" i="1"/>
  <c r="AO192" i="1" s="1"/>
  <c r="AO193" i="1" s="1"/>
  <c r="AN137" i="1"/>
  <c r="M173" i="1"/>
  <c r="BI146" i="1"/>
  <c r="BI211" i="1" s="1"/>
  <c r="BJ41" i="1"/>
  <c r="AX165" i="1"/>
  <c r="AX173" i="1" s="1"/>
  <c r="AT137" i="1"/>
  <c r="AN165" i="1"/>
  <c r="AN173" i="1" s="1"/>
  <c r="BD137" i="1"/>
  <c r="BX215" i="1"/>
  <c r="BW100" i="1"/>
  <c r="AP165" i="1"/>
  <c r="AP173" i="1" s="1"/>
  <c r="BP165" i="1"/>
  <c r="BP173" i="1" s="1"/>
  <c r="BJ165" i="1"/>
  <c r="BJ190" i="1"/>
  <c r="BD165" i="1"/>
  <c r="BD173" i="1" s="1"/>
  <c r="BD190" i="1"/>
  <c r="AZ165" i="1"/>
  <c r="AZ173" i="1" s="1"/>
  <c r="AZ190" i="1"/>
  <c r="BN137" i="1"/>
  <c r="BJ137" i="1"/>
  <c r="BJ257" i="1"/>
  <c r="BJ214" i="1"/>
  <c r="BW137" i="1"/>
  <c r="C213" i="1"/>
  <c r="AV137" i="1"/>
  <c r="BK137" i="1"/>
  <c r="BK214" i="1"/>
  <c r="BK257" i="1"/>
  <c r="BR137" i="1"/>
  <c r="BL257" i="1"/>
  <c r="BL214" i="1"/>
  <c r="BT165" i="1"/>
  <c r="BT173" i="1" s="1"/>
  <c r="BT190" i="1"/>
  <c r="AR137" i="1"/>
  <c r="BN173" i="1"/>
  <c r="BP194" i="1"/>
  <c r="BL146" i="1"/>
  <c r="BM41" i="1"/>
  <c r="AR173" i="1"/>
  <c r="L252" i="1"/>
  <c r="W211" i="1"/>
  <c r="W209" i="1" s="1"/>
  <c r="G102" i="1"/>
  <c r="P252" i="1"/>
  <c r="P254" i="1"/>
  <c r="M211" i="1"/>
  <c r="M209" i="1" s="1"/>
  <c r="M252" i="1"/>
  <c r="M254" i="1"/>
  <c r="S194" i="1"/>
  <c r="AP257" i="1"/>
  <c r="AR214" i="1"/>
  <c r="AR257" i="1"/>
  <c r="AN257" i="1"/>
  <c r="AN214" i="1"/>
  <c r="BE214" i="1"/>
  <c r="BO257" i="1"/>
  <c r="BO214" i="1"/>
  <c r="BR257" i="1"/>
  <c r="BR214" i="1"/>
  <c r="AW214" i="1"/>
  <c r="AW257" i="1"/>
  <c r="BN214" i="1"/>
  <c r="BN257" i="1"/>
  <c r="AV257" i="1"/>
  <c r="AV214" i="1"/>
  <c r="BT257" i="1"/>
  <c r="BT214" i="1"/>
  <c r="BS257" i="1"/>
  <c r="BS214" i="1"/>
  <c r="AS257" i="1"/>
  <c r="AS214" i="1"/>
  <c r="BD257" i="1"/>
  <c r="BD214" i="1"/>
  <c r="AP214" i="1"/>
  <c r="AO214" i="1"/>
  <c r="AO257" i="1"/>
  <c r="BF257" i="1"/>
  <c r="AT214" i="1"/>
  <c r="AT257" i="1"/>
  <c r="BE257" i="1"/>
  <c r="BF214" i="1"/>
  <c r="BI49" i="1"/>
  <c r="BI48" i="1"/>
  <c r="Q174" i="1"/>
  <c r="R211" i="1"/>
  <c r="R209" i="1" s="1"/>
  <c r="BD26" i="1"/>
  <c r="AZ36" i="1"/>
  <c r="V206" i="1"/>
  <c r="V207" i="1" s="1"/>
  <c r="L254" i="1"/>
  <c r="O104" i="1"/>
  <c r="H119" i="1"/>
  <c r="H122" i="1" s="1"/>
  <c r="H118" i="1"/>
  <c r="H121" i="1" s="1"/>
  <c r="H189" i="1"/>
  <c r="H194" i="1"/>
  <c r="Q213" i="1"/>
  <c r="J194" i="1"/>
  <c r="P189" i="1"/>
  <c r="E118" i="1"/>
  <c r="E121" i="1" s="1"/>
  <c r="E119" i="1"/>
  <c r="E122" i="1" s="1"/>
  <c r="Q194" i="1"/>
  <c r="Q192" i="1"/>
  <c r="U192" i="1"/>
  <c r="U194" i="1"/>
  <c r="O252" i="1"/>
  <c r="BB41" i="1"/>
  <c r="AZ41" i="1"/>
  <c r="AY257" i="1"/>
  <c r="AY214" i="1"/>
  <c r="AZ257" i="1"/>
  <c r="AZ214" i="1"/>
  <c r="AX214" i="1"/>
  <c r="AX257" i="1"/>
  <c r="C211" i="1"/>
  <c r="C209" i="1" s="1"/>
  <c r="BP36" i="1"/>
  <c r="BP37" i="1" s="1"/>
  <c r="D211" i="1"/>
  <c r="D209" i="1" s="1"/>
  <c r="T206" i="1"/>
  <c r="T207" i="1" s="1"/>
  <c r="P206" i="1"/>
  <c r="P207" i="1" s="1"/>
  <c r="V173" i="1"/>
  <c r="V119" i="1"/>
  <c r="V122" i="1" s="1"/>
  <c r="V118" i="1"/>
  <c r="V121" i="1" s="1"/>
  <c r="T118" i="1"/>
  <c r="T121" i="1" s="1"/>
  <c r="T119" i="1"/>
  <c r="T122" i="1" s="1"/>
  <c r="B118" i="1"/>
  <c r="B121" i="1" s="1"/>
  <c r="B119" i="1"/>
  <c r="B122" i="1" s="1"/>
  <c r="G118" i="1"/>
  <c r="G121" i="1" s="1"/>
  <c r="G119" i="1"/>
  <c r="G122" i="1" s="1"/>
  <c r="P119" i="1"/>
  <c r="P122" i="1" s="1"/>
  <c r="P118" i="1"/>
  <c r="P121" i="1" s="1"/>
  <c r="V252" i="1"/>
  <c r="V254" i="1"/>
  <c r="P173" i="1"/>
  <c r="P174" i="1" s="1"/>
  <c r="Q206" i="1"/>
  <c r="Q207" i="1" s="1"/>
  <c r="R206" i="1"/>
  <c r="R207" i="1" s="1"/>
  <c r="S211" i="1"/>
  <c r="S209" i="1" s="1"/>
  <c r="L206" i="1"/>
  <c r="L207" i="1" s="1"/>
  <c r="K103" i="1"/>
  <c r="K104" i="1"/>
  <c r="K102" i="1"/>
  <c r="V211" i="1"/>
  <c r="V209" i="1" s="1"/>
  <c r="P194" i="1"/>
  <c r="Q211" i="1"/>
  <c r="Q209" i="1" s="1"/>
  <c r="O211" i="1"/>
  <c r="O209" i="1" s="1"/>
  <c r="K206" i="1"/>
  <c r="K207" i="1" s="1"/>
  <c r="R213" i="1"/>
  <c r="AY36" i="1"/>
  <c r="BU36" i="1"/>
  <c r="N173" i="1"/>
  <c r="N174" i="1" s="1"/>
  <c r="X209" i="1"/>
  <c r="L173" i="1"/>
  <c r="AS36" i="1"/>
  <c r="R254" i="1"/>
  <c r="I118" i="1"/>
  <c r="I121" i="1" s="1"/>
  <c r="R173" i="1"/>
  <c r="R174" i="1" s="1"/>
  <c r="G173" i="1"/>
  <c r="G174" i="1" s="1"/>
  <c r="T254" i="1"/>
  <c r="T173" i="1"/>
  <c r="C173" i="1"/>
  <c r="U173" i="1"/>
  <c r="U174" i="1" s="1"/>
  <c r="T213" i="1"/>
  <c r="D213" i="1"/>
  <c r="BK193" i="1"/>
  <c r="AV41" i="1"/>
  <c r="BD41" i="1"/>
  <c r="BK27" i="1"/>
  <c r="BJ25" i="1"/>
  <c r="BJ36" i="1"/>
  <c r="BJ27" i="1"/>
  <c r="AL94" i="1"/>
  <c r="AL93" i="1"/>
  <c r="AL95" i="1"/>
  <c r="AX36" i="1"/>
  <c r="AX25" i="1"/>
  <c r="AY27" i="1"/>
  <c r="BP25" i="1"/>
  <c r="BT26" i="1"/>
  <c r="BT25" i="1"/>
  <c r="AR25" i="1"/>
  <c r="AR36" i="1"/>
  <c r="AR39" i="1" s="1"/>
  <c r="AS27" i="1"/>
  <c r="AV26" i="1"/>
  <c r="AR27" i="1"/>
  <c r="BP27" i="1"/>
  <c r="BP26" i="1"/>
  <c r="BR27" i="1"/>
  <c r="BC26" i="1"/>
  <c r="BE37" i="1"/>
  <c r="BE42" i="1"/>
  <c r="BE46" i="1" s="1"/>
  <c r="BE240" i="1"/>
  <c r="BE241" i="1" s="1"/>
  <c r="AI27" i="1"/>
  <c r="AH25" i="1"/>
  <c r="AL26" i="1"/>
  <c r="AH36" i="1"/>
  <c r="AX26" i="1"/>
  <c r="BC27" i="1"/>
  <c r="BB36" i="1"/>
  <c r="BB25" i="1"/>
  <c r="BB26" i="1"/>
  <c r="BQ36" i="1"/>
  <c r="BQ27" i="1"/>
  <c r="BQ25" i="1"/>
  <c r="BA26" i="1"/>
  <c r="BM26" i="1"/>
  <c r="BQ26" i="1"/>
  <c r="BM36" i="1"/>
  <c r="BM25" i="1"/>
  <c r="BM27" i="1"/>
  <c r="AQ240" i="1"/>
  <c r="AQ241" i="1" s="1"/>
  <c r="BN27" i="1"/>
  <c r="BF27" i="1"/>
  <c r="BF26" i="1"/>
  <c r="BF25" i="1"/>
  <c r="BJ26" i="1"/>
  <c r="BF36" i="1"/>
  <c r="AY26" i="1"/>
  <c r="AQ42" i="1"/>
  <c r="AQ46" i="1" s="1"/>
  <c r="AR26" i="1"/>
  <c r="BE26" i="1"/>
  <c r="G104" i="1"/>
  <c r="O102" i="1"/>
  <c r="R104" i="1"/>
  <c r="R103" i="1"/>
  <c r="U211" i="1"/>
  <c r="U209" i="1" s="1"/>
  <c r="M206" i="1"/>
  <c r="M207" i="1" s="1"/>
  <c r="B173" i="1"/>
  <c r="J173" i="1"/>
  <c r="I206" i="1"/>
  <c r="I207" i="1" s="1"/>
  <c r="J213" i="1"/>
  <c r="K213" i="1"/>
  <c r="G213" i="1"/>
  <c r="O173" i="1"/>
  <c r="O174" i="1" s="1"/>
  <c r="K173" i="1"/>
  <c r="K174" i="1" s="1"/>
  <c r="M213" i="1"/>
  <c r="O206" i="1"/>
  <c r="O207" i="1" s="1"/>
  <c r="F119" i="1"/>
  <c r="F122" i="1" s="1"/>
  <c r="F118" i="1"/>
  <c r="F121" i="1" s="1"/>
  <c r="H211" i="1"/>
  <c r="H209" i="1" s="1"/>
  <c r="G252" i="1"/>
  <c r="G254" i="1"/>
  <c r="U254" i="1"/>
  <c r="U252" i="1"/>
  <c r="J252" i="1"/>
  <c r="J254" i="1"/>
  <c r="N252" i="1"/>
  <c r="N254" i="1"/>
  <c r="N211" i="1"/>
  <c r="N209" i="1" s="1"/>
  <c r="F102" i="1"/>
  <c r="F103" i="1"/>
  <c r="F104" i="1"/>
  <c r="Q103" i="1"/>
  <c r="Q104" i="1"/>
  <c r="Q102" i="1"/>
  <c r="M103" i="1"/>
  <c r="M104" i="1"/>
  <c r="M102" i="1"/>
  <c r="P102" i="1"/>
  <c r="P103" i="1"/>
  <c r="P104" i="1"/>
  <c r="O254" i="1"/>
  <c r="P211" i="1"/>
  <c r="P209" i="1" s="1"/>
  <c r="V103" i="1"/>
  <c r="V102" i="1"/>
  <c r="V104" i="1"/>
  <c r="U102" i="1"/>
  <c r="U104" i="1"/>
  <c r="D192" i="1"/>
  <c r="D194" i="1"/>
  <c r="D197" i="1" s="1"/>
  <c r="D198" i="1" s="1"/>
  <c r="K254" i="1"/>
  <c r="K252" i="1"/>
  <c r="BY26" i="1"/>
  <c r="BU25" i="1"/>
  <c r="E211" i="1"/>
  <c r="E209" i="1" s="1"/>
  <c r="E221" i="1" s="1"/>
  <c r="I213" i="1"/>
  <c r="U213" i="1"/>
  <c r="E213" i="1"/>
  <c r="E218" i="1" s="1"/>
  <c r="E219" i="1" s="1"/>
  <c r="BU26" i="1"/>
  <c r="D173" i="1"/>
  <c r="E173" i="1"/>
  <c r="E174" i="1" s="1"/>
  <c r="L213" i="1"/>
  <c r="AZ26" i="1"/>
  <c r="AZ25" i="1"/>
  <c r="AZ27" i="1"/>
  <c r="AO146" i="1"/>
  <c r="AP41" i="1"/>
  <c r="BA25" i="1"/>
  <c r="BB27" i="1"/>
  <c r="BV27" i="1"/>
  <c r="BV26" i="1"/>
  <c r="B76" i="1"/>
  <c r="B77" i="1"/>
  <c r="S103" i="1"/>
  <c r="S102" i="1"/>
  <c r="S104" i="1"/>
  <c r="J102" i="1"/>
  <c r="J103" i="1"/>
  <c r="R118" i="1"/>
  <c r="R121" i="1" s="1"/>
  <c r="R119" i="1"/>
  <c r="R122" i="1" s="1"/>
  <c r="L119" i="1"/>
  <c r="L122" i="1" s="1"/>
  <c r="L118" i="1"/>
  <c r="L121" i="1" s="1"/>
  <c r="Q119" i="1"/>
  <c r="Q122" i="1" s="1"/>
  <c r="Q118" i="1"/>
  <c r="Q121" i="1" s="1"/>
  <c r="BE146" i="1"/>
  <c r="BF41" i="1"/>
  <c r="F252" i="1"/>
  <c r="F211" i="1"/>
  <c r="F209" i="1" s="1"/>
  <c r="M194" i="1"/>
  <c r="N197" i="1" s="1"/>
  <c r="N198" i="1" s="1"/>
  <c r="M192" i="1"/>
  <c r="J104" i="1"/>
  <c r="AV37" i="1"/>
  <c r="K194" i="1"/>
  <c r="E254" i="1"/>
  <c r="H174" i="1"/>
  <c r="S206" i="1"/>
  <c r="S207" i="1" s="1"/>
  <c r="AS26" i="1"/>
  <c r="BR41" i="1"/>
  <c r="E252" i="1"/>
  <c r="H213" i="1"/>
  <c r="F173" i="1"/>
  <c r="F174" i="1" s="1"/>
  <c r="BA36" i="1"/>
  <c r="BN41" i="1"/>
  <c r="J118" i="1"/>
  <c r="J121" i="1" s="1"/>
  <c r="M119" i="1"/>
  <c r="M122" i="1" s="1"/>
  <c r="I254" i="1"/>
  <c r="H206" i="1"/>
  <c r="H207" i="1" s="1"/>
  <c r="BL26" i="1"/>
  <c r="J211" i="1"/>
  <c r="J209" i="1" s="1"/>
  <c r="D119" i="1"/>
  <c r="D122" i="1" s="1"/>
  <c r="C118" i="1"/>
  <c r="C121" i="1" s="1"/>
  <c r="BH41" i="1"/>
  <c r="I173" i="1"/>
  <c r="I174" i="1" s="1"/>
  <c r="N213" i="1"/>
  <c r="BA27" i="1"/>
  <c r="BW27" i="1"/>
  <c r="AX41" i="1"/>
  <c r="BT41" i="1"/>
  <c r="U118" i="1"/>
  <c r="U121" i="1" s="1"/>
  <c r="K119" i="1"/>
  <c r="K122" i="1" s="1"/>
  <c r="K211" i="1"/>
  <c r="K209" i="1" s="1"/>
  <c r="I211" i="1"/>
  <c r="I209" i="1" s="1"/>
  <c r="G211" i="1"/>
  <c r="G209" i="1" s="1"/>
  <c r="AR41" i="1"/>
  <c r="O213" i="1"/>
  <c r="J206" i="1"/>
  <c r="J207" i="1" s="1"/>
  <c r="E194" i="1"/>
  <c r="L211" i="1"/>
  <c r="L209" i="1" s="1"/>
  <c r="T104" i="1"/>
  <c r="V213" i="1"/>
  <c r="T194" i="1"/>
  <c r="T102" i="1"/>
  <c r="D206" i="1"/>
  <c r="D207" i="1" s="1"/>
  <c r="BX26" i="1"/>
  <c r="O118" i="1"/>
  <c r="O121" i="1" s="1"/>
  <c r="U103" i="1"/>
  <c r="BQ194" i="1"/>
  <c r="BT27" i="1"/>
  <c r="BK26" i="1"/>
  <c r="BU27" i="1"/>
  <c r="BP41" i="1"/>
  <c r="S254" i="1"/>
  <c r="F189" i="1"/>
  <c r="BV174" i="1"/>
  <c r="F254" i="1"/>
  <c r="BH27" i="1"/>
  <c r="BG25" i="1"/>
  <c r="BH25" i="1"/>
  <c r="B189" i="1"/>
  <c r="T211" i="1"/>
  <c r="T209" i="1" s="1"/>
  <c r="N206" i="1"/>
  <c r="N207" i="1" s="1"/>
  <c r="BV41" i="1"/>
  <c r="S173" i="1"/>
  <c r="S174" i="1" s="1"/>
  <c r="F206" i="1"/>
  <c r="F207" i="1" s="1"/>
  <c r="BG36" i="1"/>
  <c r="BI27" i="1"/>
  <c r="BH26" i="1"/>
  <c r="S252" i="1"/>
  <c r="F213" i="1"/>
  <c r="BG27" i="1"/>
  <c r="BL189" i="1"/>
  <c r="BM189" i="1" s="1"/>
  <c r="BM190" i="1" s="1"/>
  <c r="BM194" i="1" s="1"/>
  <c r="BL194" i="1"/>
  <c r="BH174" i="1"/>
  <c r="G206" i="1"/>
  <c r="G207" i="1" s="1"/>
  <c r="C206" i="1"/>
  <c r="C207" i="1" s="1"/>
  <c r="BI209" i="1"/>
  <c r="O192" i="1"/>
  <c r="BF189" i="1"/>
  <c r="BG189" i="1" s="1"/>
  <c r="BG190" i="1" s="1"/>
  <c r="BG194" i="1" s="1"/>
  <c r="L194" i="1"/>
  <c r="M197" i="1" s="1"/>
  <c r="M198" i="1" s="1"/>
  <c r="N103" i="1"/>
  <c r="N104" i="1"/>
  <c r="N102" i="1"/>
  <c r="BB174" i="1"/>
  <c r="BH189" i="1"/>
  <c r="BI189" i="1" s="1"/>
  <c r="BI190" i="1" s="1"/>
  <c r="BI194" i="1" s="1"/>
  <c r="BH194" i="1"/>
  <c r="AR189" i="1"/>
  <c r="AS189" i="1" s="1"/>
  <c r="AS190" i="1" s="1"/>
  <c r="AS194" i="1" s="1"/>
  <c r="AR194" i="1"/>
  <c r="H102" i="1"/>
  <c r="H103" i="1"/>
  <c r="H104" i="1"/>
  <c r="AN194" i="1"/>
  <c r="AN189" i="1"/>
  <c r="AO189" i="1" s="1"/>
  <c r="AO190" i="1" s="1"/>
  <c r="C119" i="1"/>
  <c r="C122" i="1" s="1"/>
  <c r="BK211" i="1"/>
  <c r="BK209" i="1" s="1"/>
  <c r="AO27" i="1"/>
  <c r="AP27" i="1"/>
  <c r="D78" i="1"/>
  <c r="U206" i="1"/>
  <c r="U207" i="1" s="1"/>
  <c r="BR189" i="1"/>
  <c r="BS189" i="1" s="1"/>
  <c r="BS190" i="1" s="1"/>
  <c r="BS194" i="1" s="1"/>
  <c r="BR194" i="1"/>
  <c r="AP194" i="1"/>
  <c r="AP189" i="1"/>
  <c r="AQ189" i="1" s="1"/>
  <c r="AQ190" i="1" s="1"/>
  <c r="AQ194" i="1" s="1"/>
  <c r="AT189" i="1"/>
  <c r="AU189" i="1" s="1"/>
  <c r="AU190" i="1" s="1"/>
  <c r="AU194" i="1" s="1"/>
  <c r="AT194" i="1"/>
  <c r="BV194" i="1"/>
  <c r="BV189" i="1"/>
  <c r="BW189" i="1" s="1"/>
  <c r="BW190" i="1" s="1"/>
  <c r="BW194" i="1" s="1"/>
  <c r="AO25" i="1"/>
  <c r="AX189" i="1"/>
  <c r="AY189" i="1" s="1"/>
  <c r="AY190" i="1" s="1"/>
  <c r="AY194" i="1" s="1"/>
  <c r="AX194" i="1"/>
  <c r="AV189" i="1"/>
  <c r="AW189" i="1" s="1"/>
  <c r="AW190" i="1" s="1"/>
  <c r="AW194" i="1" s="1"/>
  <c r="AV194" i="1"/>
  <c r="L102" i="1"/>
  <c r="L104" i="1"/>
  <c r="L103" i="1"/>
  <c r="BB189" i="1"/>
  <c r="BC189" i="1" s="1"/>
  <c r="BC190" i="1" s="1"/>
  <c r="BC194" i="1" s="1"/>
  <c r="BB194" i="1"/>
  <c r="AO26" i="1"/>
  <c r="C93" i="1"/>
  <c r="B97" i="1"/>
  <c r="C94" i="1"/>
  <c r="BS41" i="1"/>
  <c r="AS41" i="1"/>
  <c r="AO41" i="1"/>
  <c r="D93" i="1"/>
  <c r="D94" i="1"/>
  <c r="D95" i="1"/>
  <c r="C97" i="1"/>
  <c r="E78" i="1"/>
  <c r="AY41" i="1"/>
  <c r="G197" i="1"/>
  <c r="G198" i="1" s="1"/>
  <c r="C197" i="1"/>
  <c r="C198" i="1" s="1"/>
  <c r="BC41" i="1"/>
  <c r="AM211" i="1"/>
  <c r="AM209" i="1" s="1"/>
  <c r="AW41" i="1"/>
  <c r="BA41" i="1"/>
  <c r="BQ41" i="1"/>
  <c r="BG41" i="1"/>
  <c r="BE41" i="1"/>
  <c r="BU41" i="1"/>
  <c r="AQ41" i="1"/>
  <c r="AU41" i="1"/>
  <c r="O197" i="1"/>
  <c r="O198" i="1" s="1"/>
  <c r="BO41" i="1"/>
  <c r="BW211" i="1"/>
  <c r="BW209" i="1" s="1"/>
  <c r="BV211" i="1"/>
  <c r="BV209" i="1" s="1"/>
  <c r="AP258" i="1"/>
  <c r="AP39" i="1"/>
  <c r="AL102" i="1"/>
  <c r="AL103" i="1"/>
  <c r="AL104" i="1"/>
  <c r="AO37" i="1"/>
  <c r="AO38" i="1"/>
  <c r="AO240" i="1"/>
  <c r="AO241" i="1" s="1"/>
  <c r="AO42" i="1"/>
  <c r="AO46" i="1" s="1"/>
  <c r="BT37" i="1"/>
  <c r="BT240" i="1"/>
  <c r="BT241" i="1" s="1"/>
  <c r="BX38" i="1"/>
  <c r="BT42" i="1"/>
  <c r="BT46" i="1" s="1"/>
  <c r="BE258" i="1"/>
  <c r="BH240" i="1"/>
  <c r="BH241" i="1" s="1"/>
  <c r="BH42" i="1"/>
  <c r="BH37" i="1"/>
  <c r="BI39" i="1"/>
  <c r="BI258" i="1"/>
  <c r="BI259" i="1" s="1"/>
  <c r="BO37" i="1"/>
  <c r="BO38" i="1"/>
  <c r="BO240" i="1"/>
  <c r="BO241" i="1" s="1"/>
  <c r="BO42" i="1"/>
  <c r="BO46" i="1" s="1"/>
  <c r="AO39" i="1"/>
  <c r="BD39" i="1"/>
  <c r="BC42" i="1"/>
  <c r="BC46" i="1" s="1"/>
  <c r="BC37" i="1"/>
  <c r="BC240" i="1"/>
  <c r="BC241" i="1" s="1"/>
  <c r="BD258" i="1"/>
  <c r="BH38" i="1"/>
  <c r="BD240" i="1"/>
  <c r="BD241" i="1" s="1"/>
  <c r="BD37" i="1"/>
  <c r="BD42" i="1"/>
  <c r="BD46" i="1" s="1"/>
  <c r="BE39" i="1"/>
  <c r="BN37" i="1"/>
  <c r="BN42" i="1"/>
  <c r="BN46" i="1" s="1"/>
  <c r="BN240" i="1"/>
  <c r="BN241" i="1" s="1"/>
  <c r="BO39" i="1"/>
  <c r="BO258" i="1"/>
  <c r="BS258" i="1"/>
  <c r="BR38" i="1"/>
  <c r="BR42" i="1"/>
  <c r="BR46" i="1" s="1"/>
  <c r="BR37" i="1"/>
  <c r="BR240" i="1"/>
  <c r="BR241" i="1" s="1"/>
  <c r="AP234" i="1"/>
  <c r="AP120" i="1"/>
  <c r="BS39" i="1"/>
  <c r="AQ234" i="1"/>
  <c r="AO234" i="1"/>
  <c r="AO258" i="1"/>
  <c r="AO120" i="1"/>
  <c r="BH211" i="1"/>
  <c r="BH209" i="1" s="1"/>
  <c r="AU42" i="1"/>
  <c r="AU37" i="1"/>
  <c r="AU240" i="1"/>
  <c r="AU241" i="1" s="1"/>
  <c r="AV258" i="1"/>
  <c r="AV39" i="1"/>
  <c r="AM258" i="1"/>
  <c r="AM259" i="1" s="1"/>
  <c r="AM42" i="1"/>
  <c r="AN234" i="1"/>
  <c r="AM39" i="1"/>
  <c r="AM37" i="1"/>
  <c r="AM240" i="1"/>
  <c r="AM241" i="1" s="1"/>
  <c r="AM234" i="1"/>
  <c r="AQ38" i="1"/>
  <c r="AN120" i="1"/>
  <c r="AM120" i="1"/>
  <c r="AN39" i="1"/>
  <c r="AM38" i="1"/>
  <c r="AP37" i="1"/>
  <c r="AP240" i="1"/>
  <c r="AP241" i="1" s="1"/>
  <c r="AP42" i="1"/>
  <c r="AP38" i="1"/>
  <c r="AQ39" i="1"/>
  <c r="AQ258" i="1"/>
  <c r="AQ259" i="1" s="1"/>
  <c r="AN240" i="1"/>
  <c r="AN241" i="1" s="1"/>
  <c r="AN42" i="1"/>
  <c r="AN46" i="1" s="1"/>
  <c r="AN48" i="1" s="1"/>
  <c r="AQ120" i="1"/>
  <c r="AN258" i="1"/>
  <c r="AN38" i="1"/>
  <c r="AN37" i="1"/>
  <c r="BS42" i="1"/>
  <c r="BT258" i="1"/>
  <c r="BS37" i="1"/>
  <c r="BW38" i="1"/>
  <c r="BT39" i="1"/>
  <c r="BS240" i="1"/>
  <c r="BS241" i="1" s="1"/>
  <c r="BS38" i="1"/>
  <c r="AU38" i="1"/>
  <c r="AC132" i="1"/>
  <c r="AT41" i="1" l="1"/>
  <c r="BP42" i="1"/>
  <c r="BP46" i="1" s="1"/>
  <c r="AZ38" i="1"/>
  <c r="AZ42" i="1"/>
  <c r="AZ46" i="1" s="1"/>
  <c r="BD38" i="1"/>
  <c r="BL42" i="1"/>
  <c r="BL46" i="1" s="1"/>
  <c r="BL37" i="1"/>
  <c r="BL39" i="1"/>
  <c r="BL38" i="1"/>
  <c r="BL240" i="1"/>
  <c r="BL241" i="1" s="1"/>
  <c r="BL258" i="1"/>
  <c r="AW234" i="1"/>
  <c r="AT240" i="1"/>
  <c r="AT241" i="1" s="1"/>
  <c r="AT37" i="1"/>
  <c r="AT42" i="1"/>
  <c r="AT46" i="1" s="1"/>
  <c r="AU39" i="1"/>
  <c r="AU258" i="1"/>
  <c r="AU259" i="1" s="1"/>
  <c r="AT38" i="1"/>
  <c r="AW120" i="1"/>
  <c r="BV38" i="1"/>
  <c r="AW258" i="1"/>
  <c r="AW240" i="1"/>
  <c r="AW241" i="1" s="1"/>
  <c r="AW42" i="1"/>
  <c r="AW39" i="1"/>
  <c r="AW37" i="1"/>
  <c r="BV240" i="1"/>
  <c r="BV241" i="1" s="1"/>
  <c r="BW39" i="1"/>
  <c r="BV37" i="1"/>
  <c r="BY120" i="1"/>
  <c r="BY234" i="1"/>
  <c r="BV42" i="1"/>
  <c r="BZ38" i="1"/>
  <c r="BW258" i="1"/>
  <c r="BW259" i="1" s="1"/>
  <c r="AV48" i="1"/>
  <c r="AV49" i="1"/>
  <c r="AO194" i="1"/>
  <c r="BJ211" i="1"/>
  <c r="BJ209" i="1" s="1"/>
  <c r="BT38" i="1"/>
  <c r="BP39" i="1"/>
  <c r="BP258" i="1"/>
  <c r="BP259" i="1" s="1"/>
  <c r="BP38" i="1"/>
  <c r="BC258" i="1"/>
  <c r="BC259" i="1" s="1"/>
  <c r="BE49" i="1"/>
  <c r="BE48" i="1"/>
  <c r="AI39" i="1"/>
  <c r="AK120" i="1"/>
  <c r="AH37" i="1"/>
  <c r="AL38" i="1"/>
  <c r="AH42" i="1"/>
  <c r="AK234" i="1"/>
  <c r="AH240" i="1"/>
  <c r="AH241" i="1" s="1"/>
  <c r="AX174" i="1"/>
  <c r="M221" i="1"/>
  <c r="M218" i="1"/>
  <c r="M219" i="1" s="1"/>
  <c r="BT174" i="1"/>
  <c r="BL173" i="1"/>
  <c r="BL174" i="1" s="1"/>
  <c r="M174" i="1"/>
  <c r="BF174" i="1"/>
  <c r="AN174" i="1"/>
  <c r="BD174" i="1"/>
  <c r="BL211" i="1"/>
  <c r="BL209" i="1" s="1"/>
  <c r="BP174" i="1"/>
  <c r="BJ173" i="1"/>
  <c r="BJ174" i="1" s="1"/>
  <c r="AV174" i="1"/>
  <c r="T197" i="1"/>
  <c r="T198" i="1" s="1"/>
  <c r="AT174" i="1"/>
  <c r="AP174" i="1"/>
  <c r="BN174" i="1"/>
  <c r="AR174" i="1"/>
  <c r="BR174" i="1"/>
  <c r="BJ194" i="1"/>
  <c r="BJ189" i="1"/>
  <c r="BK189" i="1" s="1"/>
  <c r="BK190" i="1" s="1"/>
  <c r="AZ194" i="1"/>
  <c r="AZ189" i="1"/>
  <c r="BA189" i="1" s="1"/>
  <c r="BA190" i="1" s="1"/>
  <c r="BA194" i="1" s="1"/>
  <c r="BD189" i="1"/>
  <c r="BE189" i="1" s="1"/>
  <c r="BE190" i="1" s="1"/>
  <c r="BE194" i="1" s="1"/>
  <c r="BD194" i="1"/>
  <c r="BW104" i="1"/>
  <c r="BW102" i="1"/>
  <c r="BW103" i="1"/>
  <c r="BT194" i="1"/>
  <c r="BT189" i="1"/>
  <c r="BU189" i="1" s="1"/>
  <c r="BU190" i="1" s="1"/>
  <c r="BU194" i="1" s="1"/>
  <c r="AZ174" i="1"/>
  <c r="BX213" i="1"/>
  <c r="I197" i="1"/>
  <c r="I198" i="1" s="1"/>
  <c r="V197" i="1"/>
  <c r="V198" i="1" s="1"/>
  <c r="V221" i="1"/>
  <c r="J197" i="1"/>
  <c r="J198" i="1" s="1"/>
  <c r="Q197" i="1"/>
  <c r="Q198" i="1" s="1"/>
  <c r="BM211" i="1"/>
  <c r="BM209" i="1" s="1"/>
  <c r="S197" i="1"/>
  <c r="S198" i="1" s="1"/>
  <c r="R197" i="1"/>
  <c r="R198" i="1" s="1"/>
  <c r="AP259" i="1"/>
  <c r="BE259" i="1"/>
  <c r="BL259" i="1"/>
  <c r="BD259" i="1"/>
  <c r="BO259" i="1"/>
  <c r="BS259" i="1"/>
  <c r="AO259" i="1"/>
  <c r="AV259" i="1"/>
  <c r="AW259" i="1"/>
  <c r="AN259" i="1"/>
  <c r="BT259" i="1"/>
  <c r="BI242" i="1"/>
  <c r="BI50" i="1"/>
  <c r="BI253" i="1" s="1"/>
  <c r="BI56" i="1"/>
  <c r="BI127" i="1" s="1"/>
  <c r="BI128" i="1" s="1"/>
  <c r="O221" i="1"/>
  <c r="K197" i="1"/>
  <c r="K198" i="1" s="1"/>
  <c r="L221" i="1"/>
  <c r="Q218" i="1"/>
  <c r="Q219" i="1" s="1"/>
  <c r="BU42" i="1"/>
  <c r="BU46" i="1" s="1"/>
  <c r="BP240" i="1"/>
  <c r="BP241" i="1" s="1"/>
  <c r="BU240" i="1"/>
  <c r="BU241" i="1" s="1"/>
  <c r="V218" i="1"/>
  <c r="V219" i="1" s="1"/>
  <c r="D221" i="1"/>
  <c r="V174" i="1"/>
  <c r="L174" i="1"/>
  <c r="T174" i="1"/>
  <c r="C221" i="1"/>
  <c r="AZ240" i="1"/>
  <c r="AZ241" i="1" s="1"/>
  <c r="AZ37" i="1"/>
  <c r="AZ258" i="1"/>
  <c r="AZ259" i="1" s="1"/>
  <c r="Q221" i="1"/>
  <c r="R221" i="1"/>
  <c r="H197" i="1"/>
  <c r="H198" i="1" s="1"/>
  <c r="P197" i="1"/>
  <c r="P198" i="1" s="1"/>
  <c r="AS38" i="1"/>
  <c r="BN38" i="1"/>
  <c r="BW234" i="1"/>
  <c r="BJ39" i="1"/>
  <c r="BJ37" i="1"/>
  <c r="BK39" i="1"/>
  <c r="BJ240" i="1"/>
  <c r="BJ241" i="1" s="1"/>
  <c r="BJ42" i="1"/>
  <c r="BJ46" i="1" s="1"/>
  <c r="BJ258" i="1"/>
  <c r="BJ259" i="1" s="1"/>
  <c r="BK258" i="1"/>
  <c r="BK259" i="1" s="1"/>
  <c r="AX37" i="1"/>
  <c r="AX240" i="1"/>
  <c r="AX241" i="1" s="1"/>
  <c r="AX42" i="1"/>
  <c r="AX46" i="1" s="1"/>
  <c r="AY258" i="1"/>
  <c r="AY259" i="1" s="1"/>
  <c r="AY39" i="1"/>
  <c r="BU258" i="1"/>
  <c r="BU259" i="1" s="1"/>
  <c r="BU39" i="1"/>
  <c r="BL120" i="1"/>
  <c r="BL234" i="1"/>
  <c r="AR240" i="1"/>
  <c r="AR241" i="1" s="1"/>
  <c r="AR42" i="1"/>
  <c r="AR46" i="1" s="1"/>
  <c r="AV38" i="1"/>
  <c r="AS39" i="1"/>
  <c r="AR258" i="1"/>
  <c r="AR259" i="1" s="1"/>
  <c r="AR37" i="1"/>
  <c r="AS258" i="1"/>
  <c r="AS259" i="1" s="1"/>
  <c r="AR234" i="1"/>
  <c r="AR120" i="1"/>
  <c r="BK234" i="1"/>
  <c r="AV234" i="1"/>
  <c r="AT234" i="1"/>
  <c r="AV120" i="1"/>
  <c r="AT39" i="1"/>
  <c r="AT258" i="1"/>
  <c r="AT259" i="1" s="1"/>
  <c r="BU234" i="1"/>
  <c r="BV234" i="1"/>
  <c r="BV258" i="1"/>
  <c r="BV259" i="1" s="1"/>
  <c r="BX120" i="1"/>
  <c r="BX234" i="1"/>
  <c r="AR38" i="1"/>
  <c r="BV120" i="1"/>
  <c r="BP48" i="1"/>
  <c r="BP49" i="1"/>
  <c r="AT120" i="1"/>
  <c r="AU234" i="1"/>
  <c r="AX38" i="1"/>
  <c r="BR258" i="1"/>
  <c r="BR259" i="1" s="1"/>
  <c r="BC39" i="1"/>
  <c r="BF38" i="1"/>
  <c r="BE120" i="1"/>
  <c r="BB42" i="1"/>
  <c r="BB37" i="1"/>
  <c r="BB240" i="1"/>
  <c r="BB241" i="1" s="1"/>
  <c r="BE234" i="1"/>
  <c r="BB38" i="1"/>
  <c r="BU38" i="1"/>
  <c r="BR120" i="1"/>
  <c r="BS234" i="1"/>
  <c r="BQ258" i="1"/>
  <c r="BQ259" i="1" s="1"/>
  <c r="BQ37" i="1"/>
  <c r="BQ39" i="1"/>
  <c r="BR39" i="1"/>
  <c r="BQ234" i="1"/>
  <c r="BQ240" i="1"/>
  <c r="BQ241" i="1" s="1"/>
  <c r="BQ120" i="1"/>
  <c r="BQ42" i="1"/>
  <c r="BM120" i="1"/>
  <c r="BM234" i="1"/>
  <c r="AY42" i="1"/>
  <c r="AY46" i="1" s="1"/>
  <c r="AY240" i="1"/>
  <c r="AY241" i="1" s="1"/>
  <c r="AY37" i="1"/>
  <c r="BC38" i="1"/>
  <c r="AZ39" i="1"/>
  <c r="BY38" i="1"/>
  <c r="BU37" i="1"/>
  <c r="AS240" i="1"/>
  <c r="AS241" i="1" s="1"/>
  <c r="AS37" i="1"/>
  <c r="AS42" i="1"/>
  <c r="AS46" i="1" s="1"/>
  <c r="J174" i="1"/>
  <c r="H221" i="1"/>
  <c r="I221" i="1"/>
  <c r="O218" i="1"/>
  <c r="O219" i="1" s="1"/>
  <c r="N221" i="1"/>
  <c r="C252" i="1"/>
  <c r="C174" i="1"/>
  <c r="R218" i="1"/>
  <c r="R219" i="1" s="1"/>
  <c r="AZ234" i="1"/>
  <c r="BK120" i="1"/>
  <c r="BR234" i="1"/>
  <c r="BJ38" i="1"/>
  <c r="AZ120" i="1"/>
  <c r="AX120" i="1"/>
  <c r="AX234" i="1"/>
  <c r="AX39" i="1"/>
  <c r="AX258" i="1"/>
  <c r="AX259" i="1" s="1"/>
  <c r="AY120" i="1"/>
  <c r="BU120" i="1"/>
  <c r="BS120" i="1"/>
  <c r="BW120" i="1"/>
  <c r="AU120" i="1"/>
  <c r="AY38" i="1"/>
  <c r="BF37" i="1"/>
  <c r="BF120" i="1"/>
  <c r="BF258" i="1"/>
  <c r="BF259" i="1" s="1"/>
  <c r="BF42" i="1"/>
  <c r="BF240" i="1"/>
  <c r="BF241" i="1" s="1"/>
  <c r="BF234" i="1"/>
  <c r="BF39" i="1"/>
  <c r="BV39" i="1"/>
  <c r="BM42" i="1"/>
  <c r="BO234" i="1"/>
  <c r="BN234" i="1"/>
  <c r="BQ38" i="1"/>
  <c r="BP120" i="1"/>
  <c r="BM37" i="1"/>
  <c r="BN39" i="1"/>
  <c r="BM39" i="1"/>
  <c r="BM240" i="1"/>
  <c r="BM241" i="1" s="1"/>
  <c r="BN258" i="1"/>
  <c r="BN259" i="1" s="1"/>
  <c r="BM258" i="1"/>
  <c r="BM259" i="1" s="1"/>
  <c r="BM38" i="1"/>
  <c r="BO120" i="1"/>
  <c r="BP234" i="1"/>
  <c r="BN120" i="1"/>
  <c r="AW38" i="1"/>
  <c r="AY234" i="1"/>
  <c r="AS234" i="1"/>
  <c r="AS120" i="1"/>
  <c r="AQ49" i="1"/>
  <c r="AQ48" i="1"/>
  <c r="BT120" i="1"/>
  <c r="U221" i="1"/>
  <c r="B252" i="1"/>
  <c r="B174" i="1"/>
  <c r="P221" i="1"/>
  <c r="P218" i="1"/>
  <c r="P219" i="1" s="1"/>
  <c r="BA240" i="1"/>
  <c r="BA241" i="1" s="1"/>
  <c r="BD120" i="1"/>
  <c r="BA258" i="1"/>
  <c r="BA259" i="1" s="1"/>
  <c r="AZ48" i="1"/>
  <c r="AZ49" i="1"/>
  <c r="BJ120" i="1"/>
  <c r="BI120" i="1"/>
  <c r="BH234" i="1"/>
  <c r="BG37" i="1"/>
  <c r="BG240" i="1"/>
  <c r="BG241" i="1" s="1"/>
  <c r="BG38" i="1"/>
  <c r="BG234" i="1"/>
  <c r="BH120" i="1"/>
  <c r="BG120" i="1"/>
  <c r="BK38" i="1"/>
  <c r="BG42" i="1"/>
  <c r="BG46" i="1" s="1"/>
  <c r="BG258" i="1"/>
  <c r="BG259" i="1" s="1"/>
  <c r="BH258" i="1"/>
  <c r="BH259" i="1" s="1"/>
  <c r="BH39" i="1"/>
  <c r="BJ234" i="1"/>
  <c r="B94" i="1"/>
  <c r="B93" i="1"/>
  <c r="H218" i="1"/>
  <c r="H219" i="1" s="1"/>
  <c r="N218" i="1"/>
  <c r="N219" i="1" s="1"/>
  <c r="F221" i="1"/>
  <c r="G221" i="1"/>
  <c r="D252" i="1"/>
  <c r="D174" i="1"/>
  <c r="B95" i="1"/>
  <c r="C78" i="1"/>
  <c r="S221" i="1"/>
  <c r="S218" i="1"/>
  <c r="S219" i="1" s="1"/>
  <c r="BC234" i="1"/>
  <c r="BB39" i="1"/>
  <c r="BA234" i="1"/>
  <c r="K221" i="1"/>
  <c r="K218" i="1"/>
  <c r="K219" i="1" s="1"/>
  <c r="E197" i="1"/>
  <c r="E198" i="1" s="1"/>
  <c r="F197" i="1"/>
  <c r="F198" i="1" s="1"/>
  <c r="T221" i="1"/>
  <c r="T218" i="1"/>
  <c r="T219" i="1" s="1"/>
  <c r="BI234" i="1"/>
  <c r="BG39" i="1"/>
  <c r="BB234" i="1"/>
  <c r="J221" i="1"/>
  <c r="BA37" i="1"/>
  <c r="BB258" i="1"/>
  <c r="BB259" i="1" s="1"/>
  <c r="BC120" i="1"/>
  <c r="BA42" i="1"/>
  <c r="BA46" i="1" s="1"/>
  <c r="BB120" i="1"/>
  <c r="D218" i="1"/>
  <c r="D219" i="1" s="1"/>
  <c r="BD234" i="1"/>
  <c r="BE38" i="1"/>
  <c r="BA39" i="1"/>
  <c r="BA120" i="1"/>
  <c r="BA38" i="1"/>
  <c r="I218" i="1"/>
  <c r="I219" i="1" s="1"/>
  <c r="G218" i="1"/>
  <c r="G219" i="1" s="1"/>
  <c r="U197" i="1"/>
  <c r="U198" i="1" s="1"/>
  <c r="L218" i="1"/>
  <c r="L219" i="1" s="1"/>
  <c r="J218" i="1"/>
  <c r="J219" i="1" s="1"/>
  <c r="L197" i="1"/>
  <c r="L198" i="1" s="1"/>
  <c r="F218" i="1"/>
  <c r="F219" i="1" s="1"/>
  <c r="C218" i="1"/>
  <c r="C219" i="1" s="1"/>
  <c r="U218" i="1"/>
  <c r="U219" i="1" s="1"/>
  <c r="BS211" i="1"/>
  <c r="BS209" i="1" s="1"/>
  <c r="BR211" i="1"/>
  <c r="BR209" i="1" s="1"/>
  <c r="AR211" i="1"/>
  <c r="AR209" i="1" s="1"/>
  <c r="AS211" i="1"/>
  <c r="AS209" i="1" s="1"/>
  <c r="AO211" i="1"/>
  <c r="AO209" i="1" s="1"/>
  <c r="AN211" i="1"/>
  <c r="AN209" i="1" s="1"/>
  <c r="AX211" i="1"/>
  <c r="AX209" i="1" s="1"/>
  <c r="AY211" i="1"/>
  <c r="AY209" i="1" s="1"/>
  <c r="BB211" i="1"/>
  <c r="BB209" i="1" s="1"/>
  <c r="BC211" i="1"/>
  <c r="BC209" i="1" s="1"/>
  <c r="AW211" i="1"/>
  <c r="AW209" i="1" s="1"/>
  <c r="AV211" i="1"/>
  <c r="AV209" i="1" s="1"/>
  <c r="BA211" i="1"/>
  <c r="BA209" i="1" s="1"/>
  <c r="AZ211" i="1"/>
  <c r="AZ209" i="1" s="1"/>
  <c r="BQ211" i="1"/>
  <c r="BQ209" i="1" s="1"/>
  <c r="BP211" i="1"/>
  <c r="BP209" i="1" s="1"/>
  <c r="BG211" i="1"/>
  <c r="BG209" i="1" s="1"/>
  <c r="BF211" i="1"/>
  <c r="BF209" i="1" s="1"/>
  <c r="AQ211" i="1"/>
  <c r="AQ209" i="1" s="1"/>
  <c r="AP211" i="1"/>
  <c r="AP209" i="1" s="1"/>
  <c r="BD211" i="1"/>
  <c r="BD209" i="1" s="1"/>
  <c r="BE211" i="1"/>
  <c r="BE209" i="1" s="1"/>
  <c r="BU211" i="1"/>
  <c r="BU209" i="1" s="1"/>
  <c r="BT211" i="1"/>
  <c r="BT209" i="1" s="1"/>
  <c r="AU211" i="1"/>
  <c r="AU209" i="1" s="1"/>
  <c r="AT211" i="1"/>
  <c r="AT209" i="1" s="1"/>
  <c r="BN211" i="1"/>
  <c r="BN209" i="1" s="1"/>
  <c r="BO211" i="1"/>
  <c r="BO209" i="1" s="1"/>
  <c r="AO48" i="1"/>
  <c r="AO49" i="1"/>
  <c r="AO51" i="1" s="1"/>
  <c r="BT49" i="1"/>
  <c r="BX51" i="1" s="1"/>
  <c r="BT48" i="1"/>
  <c r="BO48" i="1"/>
  <c r="BO49" i="1"/>
  <c r="BH46" i="1"/>
  <c r="BL48" i="1"/>
  <c r="BL49" i="1"/>
  <c r="BD48" i="1"/>
  <c r="BD49" i="1"/>
  <c r="BC48" i="1"/>
  <c r="BC49" i="1"/>
  <c r="BN49" i="1"/>
  <c r="BN48" i="1"/>
  <c r="AT49" i="1"/>
  <c r="AT48" i="1"/>
  <c r="AN49" i="1"/>
  <c r="AW46" i="1"/>
  <c r="AP46" i="1"/>
  <c r="BY63" i="1"/>
  <c r="BV46" i="1"/>
  <c r="AM46" i="1"/>
  <c r="AU46" i="1"/>
  <c r="BS46" i="1"/>
  <c r="BR48" i="1"/>
  <c r="BR49" i="1"/>
  <c r="AV56" i="1"/>
  <c r="AV242" i="1"/>
  <c r="AV50" i="1"/>
  <c r="AV253" i="1" s="1"/>
  <c r="CQ146" i="1"/>
  <c r="CR40" i="1"/>
  <c r="AB40" i="1" s="1"/>
  <c r="AB41" i="1" s="1"/>
  <c r="BI137" i="1" l="1"/>
  <c r="BU48" i="1"/>
  <c r="BU49" i="1"/>
  <c r="BI100" i="1"/>
  <c r="BK63" i="1"/>
  <c r="BE242" i="1"/>
  <c r="BE50" i="1"/>
  <c r="BE253" i="1" s="1"/>
  <c r="BE56" i="1"/>
  <c r="BE127" i="1" s="1"/>
  <c r="BE128" i="1" s="1"/>
  <c r="BI51" i="1"/>
  <c r="AH46" i="1"/>
  <c r="AK63" i="1"/>
  <c r="BW63" i="1"/>
  <c r="BX63" i="1"/>
  <c r="BI60" i="1"/>
  <c r="BI201" i="1"/>
  <c r="BI203" i="1" s="1"/>
  <c r="BI74" i="1"/>
  <c r="BP50" i="1"/>
  <c r="BP253" i="1" s="1"/>
  <c r="BP56" i="1"/>
  <c r="BP242" i="1"/>
  <c r="BK194" i="1"/>
  <c r="BJ49" i="1"/>
  <c r="BJ48" i="1"/>
  <c r="AX48" i="1"/>
  <c r="AX49" i="1"/>
  <c r="AR48" i="1"/>
  <c r="AR49" i="1"/>
  <c r="BP52" i="1"/>
  <c r="BB46" i="1"/>
  <c r="BQ46" i="1"/>
  <c r="AY48" i="1"/>
  <c r="AY49" i="1"/>
  <c r="AS48" i="1"/>
  <c r="AS49" i="1"/>
  <c r="BI63" i="1"/>
  <c r="AQ50" i="1"/>
  <c r="AQ253" i="1" s="1"/>
  <c r="AQ56" i="1"/>
  <c r="AQ127" i="1" s="1"/>
  <c r="AQ128" i="1" s="1"/>
  <c r="AQ242" i="1"/>
  <c r="BM46" i="1"/>
  <c r="BF46" i="1"/>
  <c r="AZ242" i="1"/>
  <c r="AZ50" i="1"/>
  <c r="AZ253" i="1" s="1"/>
  <c r="AZ56" i="1"/>
  <c r="AZ51" i="1"/>
  <c r="BG49" i="1"/>
  <c r="BG48" i="1"/>
  <c r="BU50" i="1"/>
  <c r="BU253" i="1" s="1"/>
  <c r="BU56" i="1"/>
  <c r="BU127" i="1" s="1"/>
  <c r="BU128" i="1" s="1"/>
  <c r="BU242" i="1"/>
  <c r="BY51" i="1"/>
  <c r="BI104" i="1"/>
  <c r="BI102" i="1"/>
  <c r="BI103" i="1"/>
  <c r="AB202" i="1"/>
  <c r="AO242" i="1"/>
  <c r="AO56" i="1"/>
  <c r="AO127" i="1" s="1"/>
  <c r="AO128" i="1" s="1"/>
  <c r="AO50" i="1"/>
  <c r="AO253" i="1" s="1"/>
  <c r="BT50" i="1"/>
  <c r="BT253" i="1" s="1"/>
  <c r="BT242" i="1"/>
  <c r="BT56" i="1"/>
  <c r="BU52" i="1"/>
  <c r="BT51" i="1"/>
  <c r="BO56" i="1"/>
  <c r="BO127" i="1" s="1"/>
  <c r="BO128" i="1" s="1"/>
  <c r="BO51" i="1"/>
  <c r="BO242" i="1"/>
  <c r="BO50" i="1"/>
  <c r="BO253" i="1" s="1"/>
  <c r="BH49" i="1"/>
  <c r="BH48" i="1"/>
  <c r="BL56" i="1"/>
  <c r="BL52" i="1"/>
  <c r="BL242" i="1"/>
  <c r="BP51" i="1"/>
  <c r="BL50" i="1"/>
  <c r="BL253" i="1" s="1"/>
  <c r="BD50" i="1"/>
  <c r="BD253" i="1" s="1"/>
  <c r="BD56" i="1"/>
  <c r="BD242" i="1"/>
  <c r="BE52" i="1"/>
  <c r="BR51" i="1"/>
  <c r="BD51" i="1"/>
  <c r="BC56" i="1"/>
  <c r="BC127" i="1" s="1"/>
  <c r="BC128" i="1" s="1"/>
  <c r="BC242" i="1"/>
  <c r="BC50" i="1"/>
  <c r="BC253" i="1" s="1"/>
  <c r="BD52" i="1"/>
  <c r="BN242" i="1"/>
  <c r="BN50" i="1"/>
  <c r="BN253" i="1" s="1"/>
  <c r="BN56" i="1"/>
  <c r="BO52" i="1"/>
  <c r="AH48" i="1"/>
  <c r="AT50" i="1"/>
  <c r="AT253" i="1" s="1"/>
  <c r="AT242" i="1"/>
  <c r="AT56" i="1"/>
  <c r="AO52" i="1"/>
  <c r="AN56" i="1"/>
  <c r="AN51" i="1"/>
  <c r="AN242" i="1"/>
  <c r="AN50" i="1"/>
  <c r="AN253" i="1" s="1"/>
  <c r="BV49" i="1"/>
  <c r="BV51" i="1" s="1"/>
  <c r="BV48" i="1"/>
  <c r="AP49" i="1"/>
  <c r="AP48" i="1"/>
  <c r="BS49" i="1"/>
  <c r="BS48" i="1"/>
  <c r="AU48" i="1"/>
  <c r="AU49" i="1"/>
  <c r="AM49" i="1"/>
  <c r="AM48" i="1"/>
  <c r="AW49" i="1"/>
  <c r="AW48" i="1"/>
  <c r="BA49" i="1"/>
  <c r="BA48" i="1"/>
  <c r="BR242" i="1"/>
  <c r="BR50" i="1"/>
  <c r="BR253" i="1" s="1"/>
  <c r="BR56" i="1"/>
  <c r="AV201" i="1"/>
  <c r="AV203" i="1" s="1"/>
  <c r="AV74" i="1"/>
  <c r="AV60" i="1"/>
  <c r="CR202" i="1"/>
  <c r="CR140" i="1"/>
  <c r="CR142" i="1" s="1"/>
  <c r="CQ211" i="1"/>
  <c r="CQ209" i="1" s="1"/>
  <c r="AC133" i="1"/>
  <c r="AC136" i="1" s="1"/>
  <c r="AC257" i="1" s="1"/>
  <c r="AR52" i="1" l="1"/>
  <c r="BE201" i="1"/>
  <c r="BE203" i="1" s="1"/>
  <c r="AH49" i="1"/>
  <c r="BE100" i="1"/>
  <c r="BE137" i="1"/>
  <c r="BE63" i="1" s="1"/>
  <c r="BL235" i="1"/>
  <c r="BE60" i="1"/>
  <c r="BE74" i="1"/>
  <c r="BP201" i="1"/>
  <c r="BP203" i="1" s="1"/>
  <c r="BP74" i="1"/>
  <c r="BP60" i="1"/>
  <c r="BK52" i="1"/>
  <c r="BJ56" i="1"/>
  <c r="BJ50" i="1"/>
  <c r="BJ253" i="1" s="1"/>
  <c r="AX242" i="1"/>
  <c r="AX50" i="1"/>
  <c r="AX253" i="1" s="1"/>
  <c r="AX56" i="1"/>
  <c r="BJ52" i="1"/>
  <c r="BJ242" i="1"/>
  <c r="AR56" i="1"/>
  <c r="AR50" i="1"/>
  <c r="AR253" i="1" s="1"/>
  <c r="AR242" i="1"/>
  <c r="AV51" i="1"/>
  <c r="BB49" i="1"/>
  <c r="BB48" i="1"/>
  <c r="BC51" i="1"/>
  <c r="BN51" i="1"/>
  <c r="BM49" i="1"/>
  <c r="BM48" i="1"/>
  <c r="AQ60" i="1"/>
  <c r="AQ74" i="1"/>
  <c r="BG56" i="1"/>
  <c r="BG127" i="1" s="1"/>
  <c r="BG128" i="1" s="1"/>
  <c r="AX51" i="1"/>
  <c r="AT235" i="1"/>
  <c r="AT52" i="1"/>
  <c r="BQ49" i="1"/>
  <c r="BQ48" i="1"/>
  <c r="AR51" i="1"/>
  <c r="AQ201" i="1"/>
  <c r="AQ203" i="1" s="1"/>
  <c r="BG51" i="1"/>
  <c r="BK51" i="1"/>
  <c r="BG242" i="1"/>
  <c r="BG50" i="1"/>
  <c r="BG253" i="1" s="1"/>
  <c r="BU201" i="1"/>
  <c r="BU203" i="1" s="1"/>
  <c r="AZ52" i="1"/>
  <c r="AY50" i="1"/>
  <c r="AY253" i="1" s="1"/>
  <c r="AY56" i="1"/>
  <c r="AY242" i="1"/>
  <c r="AS50" i="1"/>
  <c r="AS253" i="1" s="1"/>
  <c r="AS242" i="1"/>
  <c r="AS56" i="1"/>
  <c r="AQ100" i="1"/>
  <c r="AQ137" i="1"/>
  <c r="AQ63" i="1" s="1"/>
  <c r="BU100" i="1"/>
  <c r="BU137" i="1"/>
  <c r="BU63" i="1" s="1"/>
  <c r="AS51" i="1"/>
  <c r="AY52" i="1"/>
  <c r="AS52" i="1"/>
  <c r="BH52" i="1"/>
  <c r="BU74" i="1"/>
  <c r="BU60" i="1"/>
  <c r="BF48" i="1"/>
  <c r="BF49" i="1"/>
  <c r="AZ60" i="1"/>
  <c r="AZ201" i="1"/>
  <c r="AZ203" i="1" s="1"/>
  <c r="AZ74" i="1"/>
  <c r="BE102" i="1"/>
  <c r="BE103" i="1"/>
  <c r="BE104" i="1"/>
  <c r="AQ102" i="1"/>
  <c r="AQ104" i="1"/>
  <c r="AQ103" i="1"/>
  <c r="BU104" i="1"/>
  <c r="BU103" i="1"/>
  <c r="AO100" i="1"/>
  <c r="AO137" i="1"/>
  <c r="AO63" i="1" s="1"/>
  <c r="BO100" i="1"/>
  <c r="BO137" i="1"/>
  <c r="BO63" i="1" s="1"/>
  <c r="BC100" i="1"/>
  <c r="BC137" i="1"/>
  <c r="BC63" i="1" s="1"/>
  <c r="AO201" i="1"/>
  <c r="AO203" i="1" s="1"/>
  <c r="AO74" i="1"/>
  <c r="AO60" i="1"/>
  <c r="BT60" i="1"/>
  <c r="BT201" i="1"/>
  <c r="BT203" i="1" s="1"/>
  <c r="BT74" i="1"/>
  <c r="BH51" i="1"/>
  <c r="BJ235" i="1"/>
  <c r="BL74" i="1"/>
  <c r="BL60" i="1"/>
  <c r="BO60" i="1"/>
  <c r="BO201" i="1"/>
  <c r="BO203" i="1" s="1"/>
  <c r="BO74" i="1"/>
  <c r="BL51" i="1"/>
  <c r="BK235" i="1"/>
  <c r="BH56" i="1"/>
  <c r="BH242" i="1"/>
  <c r="BI52" i="1"/>
  <c r="BH50" i="1"/>
  <c r="BH253" i="1" s="1"/>
  <c r="BL201" i="1"/>
  <c r="BL203" i="1" s="1"/>
  <c r="BD74" i="1"/>
  <c r="BD201" i="1"/>
  <c r="BD203" i="1" s="1"/>
  <c r="BD60" i="1"/>
  <c r="BE235" i="1"/>
  <c r="BC52" i="1"/>
  <c r="BB51" i="1"/>
  <c r="BB56" i="1"/>
  <c r="BB242" i="1"/>
  <c r="BB50" i="1"/>
  <c r="BB253" i="1" s="1"/>
  <c r="BC60" i="1"/>
  <c r="BC201" i="1"/>
  <c r="BC203" i="1" s="1"/>
  <c r="BC74" i="1"/>
  <c r="BN60" i="1"/>
  <c r="BN74" i="1"/>
  <c r="BN201" i="1"/>
  <c r="BN203" i="1" s="1"/>
  <c r="AH50" i="1"/>
  <c r="AH242" i="1"/>
  <c r="AI52" i="1"/>
  <c r="AL51" i="1"/>
  <c r="AH56" i="1"/>
  <c r="AK235" i="1"/>
  <c r="AT60" i="1"/>
  <c r="AT74" i="1"/>
  <c r="AT201" i="1"/>
  <c r="AT203" i="1" s="1"/>
  <c r="AN201" i="1"/>
  <c r="AN203" i="1" s="1"/>
  <c r="AN74" i="1"/>
  <c r="AN60" i="1"/>
  <c r="BQ235" i="1"/>
  <c r="AM50" i="1"/>
  <c r="AM253" i="1" s="1"/>
  <c r="AP235" i="1"/>
  <c r="AN52" i="1"/>
  <c r="AM235" i="1"/>
  <c r="AM51" i="1"/>
  <c r="AO235" i="1"/>
  <c r="AQ51" i="1"/>
  <c r="AN235" i="1"/>
  <c r="AM56" i="1"/>
  <c r="AM127" i="1" s="1"/>
  <c r="AM128" i="1" s="1"/>
  <c r="AM52" i="1"/>
  <c r="AM242" i="1"/>
  <c r="BW51" i="1"/>
  <c r="BS50" i="1"/>
  <c r="BS253" i="1" s="1"/>
  <c r="BS242" i="1"/>
  <c r="BS56" i="1"/>
  <c r="BS127" i="1" s="1"/>
  <c r="BS128" i="1" s="1"/>
  <c r="BT52" i="1"/>
  <c r="BS51" i="1"/>
  <c r="BV235" i="1"/>
  <c r="BU235" i="1"/>
  <c r="AY51" i="1"/>
  <c r="AU50" i="1"/>
  <c r="AU253" i="1" s="1"/>
  <c r="AU242" i="1"/>
  <c r="AU56" i="1"/>
  <c r="AU127" i="1" s="1"/>
  <c r="AU128" i="1" s="1"/>
  <c r="AX235" i="1"/>
  <c r="AV235" i="1"/>
  <c r="AV52" i="1"/>
  <c r="AU51" i="1"/>
  <c r="AU52" i="1"/>
  <c r="AW235" i="1"/>
  <c r="AU235" i="1"/>
  <c r="AQ52" i="1"/>
  <c r="AP51" i="1"/>
  <c r="AP242" i="1"/>
  <c r="AP56" i="1"/>
  <c r="AP50" i="1"/>
  <c r="AP253" i="1" s="1"/>
  <c r="AP52" i="1"/>
  <c r="AT51" i="1"/>
  <c r="AS235" i="1"/>
  <c r="AR235" i="1"/>
  <c r="AQ235" i="1"/>
  <c r="BM242" i="1"/>
  <c r="BQ51" i="1"/>
  <c r="BM56" i="1"/>
  <c r="BM51" i="1"/>
  <c r="BM50" i="1"/>
  <c r="BM253" i="1" s="1"/>
  <c r="BN52" i="1"/>
  <c r="BM235" i="1"/>
  <c r="BP235" i="1"/>
  <c r="BM52" i="1"/>
  <c r="BN235" i="1"/>
  <c r="BO235" i="1"/>
  <c r="BA50" i="1"/>
  <c r="BA253" i="1" s="1"/>
  <c r="BE51" i="1"/>
  <c r="BA242" i="1"/>
  <c r="BA56" i="1"/>
  <c r="BA127" i="1" s="1"/>
  <c r="BA128" i="1" s="1"/>
  <c r="BA235" i="1"/>
  <c r="BA52" i="1"/>
  <c r="BA51" i="1"/>
  <c r="AW56" i="1"/>
  <c r="AW127" i="1" s="1"/>
  <c r="AW128" i="1" s="1"/>
  <c r="AW242" i="1"/>
  <c r="AW50" i="1"/>
  <c r="AW253" i="1" s="1"/>
  <c r="AY235" i="1"/>
  <c r="AW52" i="1"/>
  <c r="AX52" i="1"/>
  <c r="AW51" i="1"/>
  <c r="AZ235" i="1"/>
  <c r="BS52" i="1"/>
  <c r="BW235" i="1"/>
  <c r="BV242" i="1"/>
  <c r="BV52" i="1"/>
  <c r="BW52" i="1"/>
  <c r="BV56" i="1"/>
  <c r="BX235" i="1"/>
  <c r="BZ51" i="1"/>
  <c r="BV50" i="1"/>
  <c r="BV253" i="1" s="1"/>
  <c r="BY235" i="1"/>
  <c r="BR201" i="1"/>
  <c r="BR203" i="1" s="1"/>
  <c r="BR60" i="1"/>
  <c r="BR74" i="1"/>
  <c r="BP215" i="1"/>
  <c r="BP213" i="1" s="1"/>
  <c r="BP63" i="1"/>
  <c r="BP100" i="1"/>
  <c r="AV63" i="1"/>
  <c r="AV100" i="1"/>
  <c r="AZ100" i="1"/>
  <c r="AZ63" i="1"/>
  <c r="AC214" i="1"/>
  <c r="BZ234" i="1"/>
  <c r="CA234" i="1"/>
  <c r="BT234" i="1"/>
  <c r="BB52" i="1" l="1"/>
  <c r="BG100" i="1"/>
  <c r="BG137" i="1"/>
  <c r="BG63" i="1" s="1"/>
  <c r="BJ60" i="1"/>
  <c r="BJ201" i="1"/>
  <c r="BJ203" i="1" s="1"/>
  <c r="BJ74" i="1"/>
  <c r="AX201" i="1"/>
  <c r="AX203" i="1" s="1"/>
  <c r="AX74" i="1"/>
  <c r="AX60" i="1"/>
  <c r="AR60" i="1"/>
  <c r="AR201" i="1"/>
  <c r="AR203" i="1" s="1"/>
  <c r="AR74" i="1"/>
  <c r="BC235" i="1"/>
  <c r="BB235" i="1"/>
  <c r="BD235" i="1"/>
  <c r="BG60" i="1"/>
  <c r="BG74" i="1"/>
  <c r="BG201" i="1"/>
  <c r="BG203" i="1" s="1"/>
  <c r="BS235" i="1"/>
  <c r="BR52" i="1"/>
  <c r="BR235" i="1"/>
  <c r="BQ50" i="1"/>
  <c r="BQ253" i="1" s="1"/>
  <c r="BQ242" i="1"/>
  <c r="BQ56" i="1"/>
  <c r="BQ127" i="1" s="1"/>
  <c r="BQ128" i="1" s="1"/>
  <c r="BU51" i="1"/>
  <c r="BQ52" i="1"/>
  <c r="BU102" i="1"/>
  <c r="AY201" i="1"/>
  <c r="AY203" i="1" s="1"/>
  <c r="AY60" i="1"/>
  <c r="AY74" i="1"/>
  <c r="AY127" i="1"/>
  <c r="AY128" i="1" s="1"/>
  <c r="AS60" i="1"/>
  <c r="AS201" i="1"/>
  <c r="AS203" i="1" s="1"/>
  <c r="AS74" i="1"/>
  <c r="AS127" i="1"/>
  <c r="AS128" i="1" s="1"/>
  <c r="BF242" i="1"/>
  <c r="BF52" i="1"/>
  <c r="BF56" i="1"/>
  <c r="BG235" i="1"/>
  <c r="BF50" i="1"/>
  <c r="BF253" i="1" s="1"/>
  <c r="BG52" i="1"/>
  <c r="BI235" i="1"/>
  <c r="BH235" i="1"/>
  <c r="BJ51" i="1"/>
  <c r="BF51" i="1"/>
  <c r="BF235" i="1"/>
  <c r="AO104" i="1"/>
  <c r="AO103" i="1"/>
  <c r="AO102" i="1"/>
  <c r="BO103" i="1"/>
  <c r="BO104" i="1"/>
  <c r="BO102" i="1"/>
  <c r="BC103" i="1"/>
  <c r="BC102" i="1"/>
  <c r="BC104" i="1"/>
  <c r="AM100" i="1"/>
  <c r="AM137" i="1"/>
  <c r="AM63" i="1" s="1"/>
  <c r="BS100" i="1"/>
  <c r="BS137" i="1"/>
  <c r="BS63" i="1" s="1"/>
  <c r="AV215" i="1"/>
  <c r="AV213" i="1" s="1"/>
  <c r="AU100" i="1"/>
  <c r="AU137" i="1"/>
  <c r="AU63" i="1" s="1"/>
  <c r="BP62" i="1"/>
  <c r="BM127" i="1"/>
  <c r="BM128" i="1" s="1"/>
  <c r="BM62" i="1" s="1"/>
  <c r="BA215" i="1"/>
  <c r="BA213" i="1" s="1"/>
  <c r="BA100" i="1"/>
  <c r="BA137" i="1"/>
  <c r="BA63" i="1" s="1"/>
  <c r="AW100" i="1"/>
  <c r="AW137" i="1"/>
  <c r="AW63" i="1" s="1"/>
  <c r="BJ62" i="1"/>
  <c r="BJ100" i="1"/>
  <c r="BK215" i="1"/>
  <c r="BK213" i="1" s="1"/>
  <c r="BJ215" i="1"/>
  <c r="BJ213" i="1" s="1"/>
  <c r="BJ63" i="1"/>
  <c r="BU215" i="1"/>
  <c r="BU213" i="1" s="1"/>
  <c r="BT215" i="1"/>
  <c r="BT213" i="1" s="1"/>
  <c r="BT100" i="1"/>
  <c r="BT63" i="1"/>
  <c r="AX100" i="1"/>
  <c r="AX215" i="1"/>
  <c r="AX213" i="1" s="1"/>
  <c r="AX63" i="1"/>
  <c r="AR215" i="1"/>
  <c r="AR213" i="1" s="1"/>
  <c r="AR100" i="1"/>
  <c r="AR63" i="1"/>
  <c r="AN62" i="1"/>
  <c r="BK62" i="1"/>
  <c r="BH60" i="1"/>
  <c r="BH201" i="1"/>
  <c r="BH203" i="1" s="1"/>
  <c r="BH74" i="1"/>
  <c r="BL62" i="1"/>
  <c r="BL215" i="1"/>
  <c r="BL213" i="1" s="1"/>
  <c r="BL63" i="1"/>
  <c r="BL100" i="1"/>
  <c r="AW215" i="1"/>
  <c r="AW213" i="1" s="1"/>
  <c r="AZ62" i="1"/>
  <c r="BE215" i="1"/>
  <c r="BE213" i="1" s="1"/>
  <c r="BD100" i="1"/>
  <c r="BD63" i="1"/>
  <c r="BD215" i="1"/>
  <c r="BD213" i="1" s="1"/>
  <c r="BE62" i="1"/>
  <c r="BB74" i="1"/>
  <c r="BE77" i="1" s="1"/>
  <c r="BB201" i="1"/>
  <c r="BB203" i="1" s="1"/>
  <c r="BB60" i="1"/>
  <c r="BN63" i="1"/>
  <c r="BO215" i="1"/>
  <c r="BO213" i="1" s="1"/>
  <c r="BN100" i="1"/>
  <c r="AH74" i="1"/>
  <c r="AK77" i="1" s="1"/>
  <c r="AH60" i="1"/>
  <c r="AK62" i="1"/>
  <c r="AH215" i="1"/>
  <c r="AH213" i="1" s="1"/>
  <c r="AH201" i="1"/>
  <c r="AH203" i="1" s="1"/>
  <c r="AH207" i="1" s="1"/>
  <c r="AH221" i="1" s="1"/>
  <c r="AT100" i="1"/>
  <c r="AT215" i="1"/>
  <c r="AT213" i="1" s="1"/>
  <c r="AT63" i="1"/>
  <c r="AT62" i="1"/>
  <c r="AO215" i="1"/>
  <c r="AO213" i="1" s="1"/>
  <c r="AN100" i="1"/>
  <c r="AN63" i="1"/>
  <c r="AN215" i="1"/>
  <c r="AN213" i="1" s="1"/>
  <c r="AU215" i="1"/>
  <c r="AU213" i="1" s="1"/>
  <c r="AX62" i="1"/>
  <c r="BQ60" i="1"/>
  <c r="BQ201" i="1"/>
  <c r="BQ203" i="1" s="1"/>
  <c r="BQ74" i="1"/>
  <c r="AV62" i="1"/>
  <c r="BU62" i="1"/>
  <c r="BN62" i="1"/>
  <c r="BT62" i="1"/>
  <c r="BW62" i="1"/>
  <c r="BX62" i="1"/>
  <c r="BV201" i="1"/>
  <c r="BV203" i="1" s="1"/>
  <c r="BV60" i="1"/>
  <c r="BY62" i="1"/>
  <c r="BV74" i="1"/>
  <c r="BM60" i="1"/>
  <c r="BM74" i="1"/>
  <c r="BM201" i="1"/>
  <c r="BM203" i="1" s="1"/>
  <c r="BO62" i="1"/>
  <c r="AU201" i="1"/>
  <c r="AU203" i="1" s="1"/>
  <c r="AU60" i="1"/>
  <c r="AU74" i="1"/>
  <c r="AU62" i="1"/>
  <c r="AW62" i="1"/>
  <c r="BS201" i="1"/>
  <c r="BS203" i="1" s="1"/>
  <c r="BS60" i="1"/>
  <c r="BS74" i="1"/>
  <c r="BU77" i="1" s="1"/>
  <c r="BQ97" i="1" s="1"/>
  <c r="AW60" i="1"/>
  <c r="AW74" i="1"/>
  <c r="AW201" i="1"/>
  <c r="AW203" i="1" s="1"/>
  <c r="BA74" i="1"/>
  <c r="BA60" i="1"/>
  <c r="BA201" i="1"/>
  <c r="BA203" i="1" s="1"/>
  <c r="BA62" i="1"/>
  <c r="BC62" i="1"/>
  <c r="BD62" i="1"/>
  <c r="AP201" i="1"/>
  <c r="AP203" i="1" s="1"/>
  <c r="AP60" i="1"/>
  <c r="AP74" i="1"/>
  <c r="AR62" i="1"/>
  <c r="AQ62" i="1"/>
  <c r="AM60" i="1"/>
  <c r="AO62" i="1"/>
  <c r="AM74" i="1"/>
  <c r="AM201" i="1"/>
  <c r="AM203" i="1" s="1"/>
  <c r="AM62" i="1"/>
  <c r="AM215" i="1"/>
  <c r="AM213" i="1" s="1"/>
  <c r="BS215" i="1"/>
  <c r="BS213" i="1" s="1"/>
  <c r="BR100" i="1"/>
  <c r="BR63" i="1"/>
  <c r="BP102" i="1"/>
  <c r="BP103" i="1"/>
  <c r="BP104" i="1"/>
  <c r="AZ103" i="1"/>
  <c r="AZ102" i="1"/>
  <c r="AZ104" i="1"/>
  <c r="AV103" i="1"/>
  <c r="AV102" i="1"/>
  <c r="AV104" i="1"/>
  <c r="CR146" i="1"/>
  <c r="CS40" i="1"/>
  <c r="AD132" i="1"/>
  <c r="AA146" i="1"/>
  <c r="BS62" i="1" l="1"/>
  <c r="BG103" i="1"/>
  <c r="BG102" i="1"/>
  <c r="BG104" i="1"/>
  <c r="BQ100" i="1"/>
  <c r="BQ137" i="1"/>
  <c r="BQ63" i="1" s="1"/>
  <c r="BL77" i="1"/>
  <c r="BH97" i="1" s="1"/>
  <c r="AY62" i="1"/>
  <c r="BR215" i="1"/>
  <c r="BR213" i="1" s="1"/>
  <c r="BR62" i="1"/>
  <c r="BQ215" i="1"/>
  <c r="BQ213" i="1" s="1"/>
  <c r="BQ62" i="1"/>
  <c r="AT77" i="1"/>
  <c r="AY215" i="1"/>
  <c r="AY213" i="1" s="1"/>
  <c r="AS215" i="1"/>
  <c r="AS213" i="1" s="1"/>
  <c r="AZ215" i="1"/>
  <c r="AZ213" i="1" s="1"/>
  <c r="AY137" i="1"/>
  <c r="AY63" i="1" s="1"/>
  <c r="AY100" i="1"/>
  <c r="AS137" i="1"/>
  <c r="AS63" i="1" s="1"/>
  <c r="AS100" i="1"/>
  <c r="AS62" i="1"/>
  <c r="BF60" i="1"/>
  <c r="BF74" i="1"/>
  <c r="BI62" i="1"/>
  <c r="BG62" i="1"/>
  <c r="BF201" i="1"/>
  <c r="BF203" i="1" s="1"/>
  <c r="BN215" i="1"/>
  <c r="BN213" i="1" s="1"/>
  <c r="BM215" i="1"/>
  <c r="BM213" i="1" s="1"/>
  <c r="AM104" i="1"/>
  <c r="AM102" i="1"/>
  <c r="AM103" i="1"/>
  <c r="BS102" i="1"/>
  <c r="BS103" i="1"/>
  <c r="BS104" i="1"/>
  <c r="AU102" i="1"/>
  <c r="AU103" i="1"/>
  <c r="AU104" i="1"/>
  <c r="BM100" i="1"/>
  <c r="BM137" i="1"/>
  <c r="BM63" i="1" s="1"/>
  <c r="BA102" i="1"/>
  <c r="BA104" i="1"/>
  <c r="BA103" i="1"/>
  <c r="AW102" i="1"/>
  <c r="AW103" i="1"/>
  <c r="AW104" i="1"/>
  <c r="BJ104" i="1"/>
  <c r="BJ102" i="1"/>
  <c r="BJ103" i="1"/>
  <c r="BT102" i="1"/>
  <c r="BT104" i="1"/>
  <c r="BT103" i="1"/>
  <c r="AX102" i="1"/>
  <c r="AX103" i="1"/>
  <c r="AX104" i="1"/>
  <c r="BK77" i="1"/>
  <c r="BJ77" i="1"/>
  <c r="BQ77" i="1"/>
  <c r="BQ94" i="1" s="1"/>
  <c r="BS77" i="1"/>
  <c r="BR77" i="1"/>
  <c r="AR103" i="1"/>
  <c r="AR104" i="1"/>
  <c r="AR102" i="1"/>
  <c r="BH100" i="1"/>
  <c r="BH63" i="1"/>
  <c r="BH215" i="1"/>
  <c r="BH213" i="1" s="1"/>
  <c r="BH62" i="1"/>
  <c r="BI215" i="1"/>
  <c r="BI213" i="1" s="1"/>
  <c r="AH218" i="1"/>
  <c r="AH219" i="1" s="1"/>
  <c r="BL103" i="1"/>
  <c r="BL104" i="1"/>
  <c r="BL102" i="1"/>
  <c r="BT77" i="1"/>
  <c r="BT93" i="1" s="1"/>
  <c r="BD102" i="1"/>
  <c r="BD104" i="1"/>
  <c r="BD103" i="1"/>
  <c r="BB215" i="1"/>
  <c r="BB213" i="1" s="1"/>
  <c r="BB63" i="1"/>
  <c r="BB100" i="1"/>
  <c r="BB62" i="1"/>
  <c r="BC215" i="1"/>
  <c r="BC213" i="1" s="1"/>
  <c r="BA97" i="1"/>
  <c r="BE93" i="1"/>
  <c r="BE95" i="1"/>
  <c r="BE94" i="1"/>
  <c r="BN102" i="1"/>
  <c r="BN103" i="1"/>
  <c r="BN104" i="1"/>
  <c r="AK93" i="1"/>
  <c r="AK94" i="1"/>
  <c r="AK95" i="1"/>
  <c r="AT103" i="1"/>
  <c r="AT104" i="1"/>
  <c r="AT102" i="1"/>
  <c r="AN104" i="1"/>
  <c r="AN102" i="1"/>
  <c r="AN103" i="1"/>
  <c r="AZ77" i="1"/>
  <c r="AY77" i="1"/>
  <c r="AX77" i="1"/>
  <c r="AX94" i="1" s="1"/>
  <c r="AW77" i="1"/>
  <c r="AU77" i="1"/>
  <c r="AV77" i="1"/>
  <c r="AS77" i="1"/>
  <c r="AQ77" i="1"/>
  <c r="AR77" i="1"/>
  <c r="BP77" i="1"/>
  <c r="BN77" i="1"/>
  <c r="BM77" i="1"/>
  <c r="BO77" i="1"/>
  <c r="AP77" i="1"/>
  <c r="AM77" i="1"/>
  <c r="AO77" i="1"/>
  <c r="AN77" i="1"/>
  <c r="BD77" i="1"/>
  <c r="BD94" i="1" s="1"/>
  <c r="BC77" i="1"/>
  <c r="BA77" i="1"/>
  <c r="BB77" i="1"/>
  <c r="BY77" i="1"/>
  <c r="BW77" i="1"/>
  <c r="BX77" i="1"/>
  <c r="BV77" i="1"/>
  <c r="BF215" i="1"/>
  <c r="BF213" i="1" s="1"/>
  <c r="BF63" i="1"/>
  <c r="BF100" i="1"/>
  <c r="BF62" i="1"/>
  <c r="BG215" i="1"/>
  <c r="BG213" i="1" s="1"/>
  <c r="AP63" i="1"/>
  <c r="AP215" i="1"/>
  <c r="AP213" i="1" s="1"/>
  <c r="AP100" i="1"/>
  <c r="AQ215" i="1"/>
  <c r="AQ213" i="1" s="1"/>
  <c r="AP62" i="1"/>
  <c r="BV215" i="1"/>
  <c r="BV213" i="1" s="1"/>
  <c r="BW215" i="1"/>
  <c r="BW213" i="1" s="1"/>
  <c r="BV63" i="1"/>
  <c r="BV62" i="1"/>
  <c r="BV100" i="1"/>
  <c r="BU95" i="1"/>
  <c r="BU94" i="1"/>
  <c r="BU93" i="1"/>
  <c r="BR102" i="1"/>
  <c r="BR103" i="1"/>
  <c r="BR104" i="1"/>
  <c r="CS202" i="1"/>
  <c r="CS140" i="1"/>
  <c r="CR211" i="1"/>
  <c r="CR209" i="1" s="1"/>
  <c r="BQ103" i="1" l="1"/>
  <c r="BQ102" i="1"/>
  <c r="BQ104" i="1"/>
  <c r="BL93" i="1"/>
  <c r="BL95" i="1"/>
  <c r="BL94" i="1"/>
  <c r="AT95" i="1"/>
  <c r="AT94" i="1"/>
  <c r="AP97" i="1"/>
  <c r="AT93" i="1"/>
  <c r="BG77" i="1"/>
  <c r="BF77" i="1"/>
  <c r="BH77" i="1"/>
  <c r="AY103" i="1"/>
  <c r="AY102" i="1"/>
  <c r="AY104" i="1"/>
  <c r="AS102" i="1"/>
  <c r="AS103" i="1"/>
  <c r="AS104" i="1"/>
  <c r="BI77" i="1"/>
  <c r="BE97" i="1" s="1"/>
  <c r="BM102" i="1"/>
  <c r="BM103" i="1"/>
  <c r="BM104" i="1"/>
  <c r="AC139" i="1"/>
  <c r="CS142" i="1"/>
  <c r="BK93" i="1"/>
  <c r="BK94" i="1"/>
  <c r="BM97" i="1"/>
  <c r="BQ93" i="1"/>
  <c r="BQ95" i="1"/>
  <c r="BU78" i="1"/>
  <c r="BO97" i="1"/>
  <c r="BS95" i="1"/>
  <c r="BS93" i="1"/>
  <c r="BS94" i="1"/>
  <c r="BR95" i="1"/>
  <c r="BN97" i="1"/>
  <c r="BR94" i="1"/>
  <c r="BR93" i="1"/>
  <c r="BG97" i="1"/>
  <c r="BK95" i="1"/>
  <c r="BJ93" i="1"/>
  <c r="BJ94" i="1"/>
  <c r="BJ95" i="1"/>
  <c r="BF97" i="1"/>
  <c r="BS78" i="1"/>
  <c r="BU97" i="1"/>
  <c r="BY78" i="1"/>
  <c r="BX78" i="1"/>
  <c r="BH103" i="1"/>
  <c r="BH104" i="1"/>
  <c r="BH102" i="1"/>
  <c r="BP97" i="1"/>
  <c r="BT95" i="1"/>
  <c r="BT94" i="1"/>
  <c r="BV93" i="1"/>
  <c r="BV78" i="1"/>
  <c r="BB103" i="1"/>
  <c r="BB102" i="1"/>
  <c r="BB104" i="1"/>
  <c r="AV97" i="1"/>
  <c r="BD78" i="1"/>
  <c r="BP94" i="1"/>
  <c r="BL97" i="1"/>
  <c r="AP94" i="1"/>
  <c r="AP93" i="1"/>
  <c r="BT78" i="1"/>
  <c r="AZ95" i="1"/>
  <c r="AW78" i="1"/>
  <c r="CC78" i="1"/>
  <c r="BY95" i="1"/>
  <c r="BW94" i="1"/>
  <c r="BS97" i="1"/>
  <c r="BW95" i="1"/>
  <c r="CA78" i="1"/>
  <c r="BW93" i="1"/>
  <c r="AM95" i="1"/>
  <c r="AQ78" i="1"/>
  <c r="AM94" i="1"/>
  <c r="AM93" i="1"/>
  <c r="BN93" i="1"/>
  <c r="BJ97" i="1"/>
  <c r="BN94" i="1"/>
  <c r="BN78" i="1"/>
  <c r="BN95" i="1"/>
  <c r="AO97" i="1"/>
  <c r="BZ78" i="1"/>
  <c r="BR97" i="1"/>
  <c r="BV95" i="1"/>
  <c r="BD95" i="1"/>
  <c r="BD93" i="1"/>
  <c r="AT78" i="1"/>
  <c r="AP78" i="1"/>
  <c r="AP95" i="1"/>
  <c r="BP93" i="1"/>
  <c r="BP78" i="1"/>
  <c r="BP95" i="1"/>
  <c r="AV93" i="1"/>
  <c r="AV94" i="1"/>
  <c r="AR97" i="1"/>
  <c r="AZ78" i="1"/>
  <c r="AV95" i="1"/>
  <c r="AU97" i="1"/>
  <c r="AY95" i="1"/>
  <c r="AY94" i="1"/>
  <c r="BC78" i="1"/>
  <c r="AY93" i="1"/>
  <c r="AY97" i="1"/>
  <c r="BC93" i="1"/>
  <c r="BC95" i="1"/>
  <c r="BC94" i="1"/>
  <c r="AX95" i="1"/>
  <c r="AT97" i="1"/>
  <c r="BB78" i="1"/>
  <c r="AX78" i="1"/>
  <c r="AS94" i="1"/>
  <c r="BV94" i="1"/>
  <c r="AL97" i="1"/>
  <c r="BR78" i="1"/>
  <c r="BB95" i="1"/>
  <c r="AX97" i="1"/>
  <c r="BB94" i="1"/>
  <c r="BB93" i="1"/>
  <c r="AN95" i="1"/>
  <c r="AN93" i="1"/>
  <c r="AR78" i="1"/>
  <c r="AN94" i="1"/>
  <c r="BO78" i="1"/>
  <c r="BK97" i="1"/>
  <c r="BO94" i="1"/>
  <c r="BO95" i="1"/>
  <c r="BO93" i="1"/>
  <c r="AR94" i="1"/>
  <c r="AN97" i="1"/>
  <c r="AR95" i="1"/>
  <c r="AR93" i="1"/>
  <c r="AV78" i="1"/>
  <c r="AU94" i="1"/>
  <c r="AU93" i="1"/>
  <c r="AY78" i="1"/>
  <c r="AU95" i="1"/>
  <c r="AQ97" i="1"/>
  <c r="AZ93" i="1"/>
  <c r="AZ94" i="1"/>
  <c r="AS95" i="1"/>
  <c r="AS93" i="1"/>
  <c r="AX93" i="1"/>
  <c r="BY94" i="1"/>
  <c r="CB98" i="1" s="1"/>
  <c r="AZ97" i="1"/>
  <c r="BY93" i="1"/>
  <c r="CB78" i="1"/>
  <c r="BX95" i="1"/>
  <c r="BT97" i="1"/>
  <c r="BX94" i="1"/>
  <c r="CA98" i="1" s="1"/>
  <c r="BX93" i="1"/>
  <c r="AW97" i="1"/>
  <c r="BE78" i="1"/>
  <c r="BA95" i="1"/>
  <c r="BA94" i="1"/>
  <c r="BA93" i="1"/>
  <c r="AS78" i="1"/>
  <c r="AO95" i="1"/>
  <c r="AO78" i="1"/>
  <c r="AK97" i="1"/>
  <c r="AO94" i="1"/>
  <c r="AO93" i="1"/>
  <c r="BQ78" i="1"/>
  <c r="BI97" i="1"/>
  <c r="BM95" i="1"/>
  <c r="BM93" i="1"/>
  <c r="BM94" i="1"/>
  <c r="AM97" i="1"/>
  <c r="AQ95" i="1"/>
  <c r="AQ94" i="1"/>
  <c r="AQ93" i="1"/>
  <c r="AU78" i="1"/>
  <c r="AW94" i="1"/>
  <c r="BA78" i="1"/>
  <c r="AW93" i="1"/>
  <c r="AS97" i="1"/>
  <c r="AW95" i="1"/>
  <c r="BW78" i="1"/>
  <c r="BV102" i="1"/>
  <c r="BV104" i="1"/>
  <c r="BV103" i="1"/>
  <c r="BF102" i="1"/>
  <c r="BF104" i="1"/>
  <c r="BF103" i="1"/>
  <c r="AP103" i="1"/>
  <c r="AP104" i="1"/>
  <c r="AP102" i="1"/>
  <c r="AC140" i="1"/>
  <c r="AD133" i="1"/>
  <c r="AD136" i="1" s="1"/>
  <c r="AD257" i="1" s="1"/>
  <c r="AA211" i="1"/>
  <c r="AA209" i="1" s="1"/>
  <c r="BH78" i="1" l="1"/>
  <c r="BG95" i="1"/>
  <c r="BG93" i="1"/>
  <c r="BC97" i="1"/>
  <c r="BK78" i="1"/>
  <c r="BG94" i="1"/>
  <c r="BF78" i="1"/>
  <c r="BL78" i="1"/>
  <c r="BH95" i="1"/>
  <c r="BH93" i="1"/>
  <c r="BH94" i="1"/>
  <c r="BD97" i="1"/>
  <c r="BM78" i="1"/>
  <c r="BI78" i="1"/>
  <c r="BG78" i="1"/>
  <c r="BB97" i="1"/>
  <c r="BF93" i="1"/>
  <c r="BF94" i="1"/>
  <c r="BF95" i="1"/>
  <c r="BJ78" i="1"/>
  <c r="BI94" i="1"/>
  <c r="BI93" i="1"/>
  <c r="BI95" i="1"/>
  <c r="AC142" i="1"/>
  <c r="BS98" i="1"/>
  <c r="BF98" i="1"/>
  <c r="BM98" i="1"/>
  <c r="BA98" i="1"/>
  <c r="AV98" i="1"/>
  <c r="BX98" i="1"/>
  <c r="AY98" i="1"/>
  <c r="AQ98" i="1"/>
  <c r="AU98" i="1"/>
  <c r="BI98" i="1"/>
  <c r="BD98" i="1"/>
  <c r="AR98" i="1"/>
  <c r="AT98" i="1"/>
  <c r="AZ98" i="1"/>
  <c r="AS98" i="1"/>
  <c r="AP98" i="1"/>
  <c r="AO98" i="1"/>
  <c r="AN98" i="1"/>
  <c r="BO98" i="1"/>
  <c r="BN98" i="1"/>
  <c r="AX98" i="1"/>
  <c r="AW98" i="1"/>
  <c r="BZ98" i="1"/>
  <c r="BQ98" i="1"/>
  <c r="BB98" i="1"/>
  <c r="BY98" i="1"/>
  <c r="BE98" i="1"/>
  <c r="BR98" i="1"/>
  <c r="BC98" i="1"/>
  <c r="BP98" i="1"/>
  <c r="BW98" i="1"/>
  <c r="BV98" i="1"/>
  <c r="BU98" i="1"/>
  <c r="BT98" i="1"/>
  <c r="CT40" i="1"/>
  <c r="CS146" i="1"/>
  <c r="AD214" i="1"/>
  <c r="AB146" i="1"/>
  <c r="BZ235" i="1"/>
  <c r="CA235" i="1"/>
  <c r="W201" i="1"/>
  <c r="W203" i="1" s="1"/>
  <c r="BT235" i="1"/>
  <c r="BG98" i="1" l="1"/>
  <c r="BL98" i="1"/>
  <c r="BH98" i="1"/>
  <c r="BK98" i="1"/>
  <c r="BJ98" i="1"/>
  <c r="CS211" i="1"/>
  <c r="CS209" i="1" s="1"/>
  <c r="CT202" i="1"/>
  <c r="CT140" i="1"/>
  <c r="CT142" i="1" s="1"/>
  <c r="AB211" i="1"/>
  <c r="AB209" i="1" s="1"/>
  <c r="BZ97" i="1"/>
  <c r="CE97" i="1" l="1"/>
  <c r="W97" i="1"/>
  <c r="W77" i="1"/>
  <c r="W76" i="1"/>
  <c r="CT146" i="1" l="1"/>
  <c r="CU40" i="1"/>
  <c r="W78" i="1"/>
  <c r="X78" i="1"/>
  <c r="X97" i="1"/>
  <c r="W95" i="1"/>
  <c r="V97" i="1"/>
  <c r="W93" i="1"/>
  <c r="W94" i="1"/>
  <c r="CU202" i="1" l="1"/>
  <c r="CU140" i="1"/>
  <c r="CU142" i="1" s="1"/>
  <c r="CT211" i="1"/>
  <c r="CT209" i="1" s="1"/>
  <c r="AC146" i="1"/>
  <c r="W128" i="1"/>
  <c r="W62" i="1" l="1"/>
  <c r="W100" i="1"/>
  <c r="X215" i="1"/>
  <c r="X213" i="1" s="1"/>
  <c r="W215" i="1"/>
  <c r="W213" i="1" s="1"/>
  <c r="W137" i="1"/>
  <c r="W63" i="1" s="1"/>
  <c r="W183" i="1"/>
  <c r="CV40" i="1" l="1"/>
  <c r="AC40" i="1" s="1"/>
  <c r="AC41" i="1" s="1"/>
  <c r="CU146" i="1"/>
  <c r="W103" i="1"/>
  <c r="W102" i="1"/>
  <c r="W104" i="1"/>
  <c r="AC211" i="1" l="1"/>
  <c r="AC209" i="1" s="1"/>
  <c r="AC202" i="1"/>
  <c r="CU211" i="1"/>
  <c r="CU209" i="1" s="1"/>
  <c r="CV202" i="1"/>
  <c r="CV140" i="1"/>
  <c r="CV142" i="1" s="1"/>
  <c r="CV146" i="1" l="1"/>
  <c r="CW40" i="1"/>
  <c r="CW202" i="1" l="1"/>
  <c r="CW140" i="1"/>
  <c r="CV211" i="1"/>
  <c r="CV209" i="1" s="1"/>
  <c r="AD139" i="1" l="1"/>
  <c r="CW142" i="1"/>
  <c r="AD140" i="1"/>
  <c r="AD142" i="1" l="1"/>
  <c r="CW146" i="1"/>
  <c r="CX40" i="1"/>
  <c r="AD146" i="1" l="1"/>
  <c r="CX202" i="1"/>
  <c r="CX140" i="1"/>
  <c r="CX142" i="1" s="1"/>
  <c r="CW211" i="1"/>
  <c r="CW209" i="1" s="1"/>
  <c r="W188" i="1" l="1"/>
  <c r="CX146" i="1" l="1"/>
  <c r="CY40" i="1"/>
  <c r="W191" i="1"/>
  <c r="W164" i="1"/>
  <c r="X205" i="1" s="1"/>
  <c r="CY202" i="1" l="1"/>
  <c r="CY140" i="1"/>
  <c r="CY142" i="1" s="1"/>
  <c r="CX211" i="1"/>
  <c r="CX209" i="1" s="1"/>
  <c r="W193" i="1"/>
  <c r="W192" i="1" s="1"/>
  <c r="W205" i="1"/>
  <c r="W156" i="1"/>
  <c r="X204" i="1" s="1"/>
  <c r="X206" i="1" s="1"/>
  <c r="X207" i="1" s="1"/>
  <c r="X221" i="1" s="1"/>
  <c r="W187" i="1"/>
  <c r="W190" i="1" l="1"/>
  <c r="W165" i="1"/>
  <c r="W204" i="1"/>
  <c r="W206" i="1" s="1"/>
  <c r="W207" i="1" s="1"/>
  <c r="CY146" i="1" l="1"/>
  <c r="CY211" i="1" s="1"/>
  <c r="CY209" i="1" s="1"/>
  <c r="CZ40" i="1"/>
  <c r="AD40" i="1" s="1"/>
  <c r="AD41" i="1" s="1"/>
  <c r="W189" i="1"/>
  <c r="W194" i="1"/>
  <c r="W218" i="1"/>
  <c r="W221" i="1"/>
  <c r="AD211" i="1" l="1"/>
  <c r="AD209" i="1" s="1"/>
  <c r="AD202" i="1"/>
  <c r="CZ202" i="1"/>
  <c r="CZ140" i="1"/>
  <c r="W197" i="1"/>
  <c r="W198" i="1" s="1"/>
  <c r="X197" i="1"/>
  <c r="X198" i="1" s="1"/>
  <c r="CZ142" i="1" l="1"/>
  <c r="W169" i="1"/>
  <c r="X217" i="1" l="1"/>
  <c r="X218" i="1" s="1"/>
  <c r="X219" i="1" s="1"/>
  <c r="W254" i="1"/>
  <c r="W256" i="1"/>
  <c r="W252" i="1"/>
  <c r="CZ146" i="1"/>
  <c r="W176" i="1"/>
  <c r="W117" i="1" s="1"/>
  <c r="W173" i="1"/>
  <c r="W219" i="1"/>
  <c r="CZ211" i="1" l="1"/>
  <c r="CZ209" i="1" s="1"/>
  <c r="W119" i="1"/>
  <c r="W122" i="1" s="1"/>
  <c r="W118" i="1"/>
  <c r="W121" i="1" s="1"/>
  <c r="W174" i="1"/>
  <c r="C113" i="2" l="1"/>
  <c r="C111" i="2"/>
  <c r="C112" i="2"/>
  <c r="B81" i="1" l="1"/>
  <c r="B82" i="1"/>
  <c r="AK217" i="1" l="1"/>
  <c r="AN197" i="1"/>
  <c r="AJ176" i="1"/>
  <c r="AK45" i="1" s="1"/>
  <c r="AM217" i="1" l="1"/>
  <c r="AL256" i="1"/>
  <c r="AL254" i="1"/>
  <c r="AL252" i="1"/>
  <c r="AL176" i="1"/>
  <c r="AN254" i="1" l="1"/>
  <c r="AN256" i="1"/>
  <c r="AN252" i="1"/>
  <c r="AL117" i="1"/>
  <c r="AL118" i="1" s="1"/>
  <c r="AL121" i="1" s="1"/>
  <c r="AM45" i="1"/>
  <c r="AP197" i="1"/>
  <c r="AO217" i="1"/>
  <c r="AN176" i="1"/>
  <c r="AL119" i="1" l="1"/>
  <c r="AL122" i="1" s="1"/>
  <c r="AN117" i="1"/>
  <c r="AN119" i="1" s="1"/>
  <c r="AN122" i="1" s="1"/>
  <c r="AO45" i="1"/>
  <c r="AP254" i="1" l="1"/>
  <c r="AP256" i="1"/>
  <c r="AP252" i="1"/>
  <c r="AN118" i="1"/>
  <c r="AN121" i="1" s="1"/>
  <c r="AR197" i="1"/>
  <c r="AQ217" i="1"/>
  <c r="AP176" i="1"/>
  <c r="AP117" i="1" l="1"/>
  <c r="AP118" i="1" s="1"/>
  <c r="AP121" i="1" s="1"/>
  <c r="AQ45" i="1"/>
  <c r="AR256" i="1" l="1"/>
  <c r="AR254" i="1"/>
  <c r="AR252" i="1"/>
  <c r="AP119" i="1"/>
  <c r="AP122" i="1" s="1"/>
  <c r="AT197" i="1"/>
  <c r="AS217" i="1"/>
  <c r="AR176" i="1"/>
  <c r="AR117" i="1" l="1"/>
  <c r="AR118" i="1" s="1"/>
  <c r="AR121" i="1" s="1"/>
  <c r="AS45" i="1"/>
  <c r="AV197" i="1"/>
  <c r="AT256" i="1" l="1"/>
  <c r="AT254" i="1"/>
  <c r="AT252" i="1"/>
  <c r="AR119" i="1"/>
  <c r="AR122" i="1" s="1"/>
  <c r="AU217" i="1"/>
  <c r="AT176" i="1"/>
  <c r="AT117" i="1" l="1"/>
  <c r="AT119" i="1" s="1"/>
  <c r="AT122" i="1" s="1"/>
  <c r="AU45" i="1"/>
  <c r="AV254" i="1" l="1"/>
  <c r="AV256" i="1"/>
  <c r="AV252" i="1"/>
  <c r="AT118" i="1"/>
  <c r="AT121" i="1" s="1"/>
  <c r="AX197" i="1"/>
  <c r="AW217" i="1"/>
  <c r="AV176" i="1"/>
  <c r="AV117" i="1" l="1"/>
  <c r="AV119" i="1" s="1"/>
  <c r="AV122" i="1" s="1"/>
  <c r="AW45" i="1"/>
  <c r="AX254" i="1" l="1"/>
  <c r="AX256" i="1"/>
  <c r="AX252" i="1"/>
  <c r="AV118" i="1"/>
  <c r="AV121" i="1" s="1"/>
  <c r="AZ197" i="1"/>
  <c r="AY217" i="1"/>
  <c r="AX176" i="1"/>
  <c r="AX117" i="1" l="1"/>
  <c r="AX119" i="1" s="1"/>
  <c r="AX122" i="1" s="1"/>
  <c r="AY45" i="1"/>
  <c r="AZ256" i="1" l="1"/>
  <c r="AZ254" i="1"/>
  <c r="AZ252" i="1"/>
  <c r="AX118" i="1"/>
  <c r="AX121" i="1" s="1"/>
  <c r="BB197" i="1"/>
  <c r="BA217" i="1"/>
  <c r="AZ176" i="1"/>
  <c r="AZ117" i="1" l="1"/>
  <c r="AZ118" i="1" s="1"/>
  <c r="AZ121" i="1" s="1"/>
  <c r="BA45" i="1"/>
  <c r="BB256" i="1" l="1"/>
  <c r="BB254" i="1"/>
  <c r="BB252" i="1"/>
  <c r="AZ119" i="1"/>
  <c r="AZ122" i="1" s="1"/>
  <c r="BD197" i="1"/>
  <c r="BC217" i="1"/>
  <c r="BB176" i="1"/>
  <c r="BB117" i="1" l="1"/>
  <c r="BB118" i="1" s="1"/>
  <c r="BB121" i="1" s="1"/>
  <c r="BC45" i="1"/>
  <c r="BF197" i="1"/>
  <c r="BD254" i="1" l="1"/>
  <c r="BD256" i="1"/>
  <c r="BD252" i="1"/>
  <c r="BB119" i="1"/>
  <c r="BB122" i="1" s="1"/>
  <c r="BE217" i="1"/>
  <c r="BD176" i="1"/>
  <c r="BD117" i="1" l="1"/>
  <c r="BD118" i="1" s="1"/>
  <c r="BD121" i="1" s="1"/>
  <c r="BE45" i="1"/>
  <c r="BF254" i="1" l="1"/>
  <c r="BF256" i="1"/>
  <c r="BF252" i="1"/>
  <c r="BD119" i="1"/>
  <c r="BD122" i="1" s="1"/>
  <c r="BH197" i="1"/>
  <c r="BG217" i="1"/>
  <c r="BF176" i="1"/>
  <c r="BF117" i="1" l="1"/>
  <c r="BF118" i="1" s="1"/>
  <c r="BF121" i="1" s="1"/>
  <c r="BG45" i="1"/>
  <c r="BH256" i="1" l="1"/>
  <c r="BH254" i="1"/>
  <c r="BH252" i="1"/>
  <c r="BF119" i="1"/>
  <c r="BF122" i="1" s="1"/>
  <c r="BJ197" i="1"/>
  <c r="BI217" i="1"/>
  <c r="BH176" i="1"/>
  <c r="BH117" i="1" l="1"/>
  <c r="BH119" i="1" s="1"/>
  <c r="BH122" i="1" s="1"/>
  <c r="BI45" i="1"/>
  <c r="BJ256" i="1" l="1"/>
  <c r="BJ254" i="1"/>
  <c r="BJ252" i="1"/>
  <c r="BH118" i="1"/>
  <c r="BH121" i="1" s="1"/>
  <c r="BL197" i="1"/>
  <c r="BK217" i="1"/>
  <c r="BJ176" i="1"/>
  <c r="BJ117" i="1" l="1"/>
  <c r="BJ119" i="1" s="1"/>
  <c r="BJ122" i="1" s="1"/>
  <c r="BK45" i="1"/>
  <c r="BL254" i="1" l="1"/>
  <c r="BL256" i="1"/>
  <c r="BL252" i="1"/>
  <c r="BJ118" i="1"/>
  <c r="BJ121" i="1" s="1"/>
  <c r="BN197" i="1"/>
  <c r="BM217" i="1"/>
  <c r="BL176" i="1"/>
  <c r="BL117" i="1" l="1"/>
  <c r="BL118" i="1" s="1"/>
  <c r="BL121" i="1" s="1"/>
  <c r="BM45" i="1"/>
  <c r="BN254" i="1" l="1"/>
  <c r="BN256" i="1"/>
  <c r="BN252" i="1"/>
  <c r="BL119" i="1"/>
  <c r="BL122" i="1" s="1"/>
  <c r="BP197" i="1"/>
  <c r="BO217" i="1"/>
  <c r="BN176" i="1"/>
  <c r="BN117" i="1" l="1"/>
  <c r="BN118" i="1" s="1"/>
  <c r="BN121" i="1" s="1"/>
  <c r="BO45" i="1"/>
  <c r="BP256" i="1" l="1"/>
  <c r="BP254" i="1"/>
  <c r="BP252" i="1"/>
  <c r="BN119" i="1"/>
  <c r="BN122" i="1" s="1"/>
  <c r="BR197" i="1"/>
  <c r="BQ217" i="1"/>
  <c r="BP176" i="1"/>
  <c r="BP117" i="1" l="1"/>
  <c r="BP118" i="1" s="1"/>
  <c r="BP121" i="1" s="1"/>
  <c r="BQ45" i="1"/>
  <c r="BR256" i="1" l="1"/>
  <c r="BR254" i="1"/>
  <c r="BR252" i="1"/>
  <c r="BP119" i="1"/>
  <c r="BP122" i="1" s="1"/>
  <c r="BT197" i="1"/>
  <c r="BS217" i="1"/>
  <c r="BR176" i="1"/>
  <c r="BR117" i="1" l="1"/>
  <c r="BR119" i="1" s="1"/>
  <c r="BR122" i="1" s="1"/>
  <c r="BS45" i="1"/>
  <c r="BT254" i="1" l="1"/>
  <c r="BT256" i="1"/>
  <c r="BT252" i="1"/>
  <c r="BR118" i="1"/>
  <c r="BR121" i="1" s="1"/>
  <c r="BV197" i="1"/>
  <c r="BU217" i="1"/>
  <c r="BT176" i="1"/>
  <c r="BT117" i="1" l="1"/>
  <c r="BT119" i="1" s="1"/>
  <c r="BT122" i="1" s="1"/>
  <c r="BU45" i="1"/>
  <c r="BV254" i="1" l="1"/>
  <c r="BV256" i="1"/>
  <c r="BV252" i="1"/>
  <c r="BT118" i="1"/>
  <c r="BT121" i="1" s="1"/>
  <c r="BX197" i="1"/>
  <c r="BW217" i="1"/>
  <c r="BV176" i="1"/>
  <c r="BV117" i="1" l="1"/>
  <c r="BV119" i="1" s="1"/>
  <c r="BV122" i="1" s="1"/>
  <c r="BW45" i="1"/>
  <c r="BX256" i="1" l="1"/>
  <c r="BX254" i="1"/>
  <c r="BX252" i="1"/>
  <c r="BV118" i="1"/>
  <c r="BV121" i="1" s="1"/>
  <c r="BY217" i="1"/>
  <c r="BX176" i="1"/>
  <c r="BX117" i="1" l="1"/>
  <c r="BX118" i="1" s="1"/>
  <c r="BX121" i="1" s="1"/>
  <c r="BY45" i="1"/>
  <c r="BX119" i="1" l="1"/>
  <c r="BX122" i="1" s="1"/>
  <c r="BZ197" i="1" l="1"/>
  <c r="CD197" i="1"/>
  <c r="BZ256" i="1" l="1"/>
  <c r="BZ254" i="1"/>
  <c r="BZ252" i="1"/>
  <c r="CB197" i="1"/>
  <c r="CF197" i="1"/>
  <c r="CA217" i="1"/>
  <c r="BZ176" i="1"/>
  <c r="CB254" i="1" l="1"/>
  <c r="CB256" i="1"/>
  <c r="CB252" i="1"/>
  <c r="BZ117" i="1"/>
  <c r="BZ118" i="1" s="1"/>
  <c r="BZ121" i="1" s="1"/>
  <c r="CA45" i="1"/>
  <c r="CC217" i="1"/>
  <c r="CB176" i="1"/>
  <c r="BZ119" i="1" l="1"/>
  <c r="BZ122" i="1" s="1"/>
  <c r="CB117" i="1"/>
  <c r="CB118" i="1" s="1"/>
  <c r="CB121" i="1" s="1"/>
  <c r="CC45" i="1"/>
  <c r="CB119" i="1" l="1"/>
  <c r="CB122" i="1" s="1"/>
  <c r="CD97" i="1"/>
  <c r="CC97" i="1"/>
  <c r="CB97" i="1"/>
  <c r="CA97" i="1"/>
  <c r="AA217" i="1" l="1"/>
  <c r="CG152" i="1" l="1"/>
  <c r="CG161" i="1"/>
  <c r="CG153" i="1"/>
  <c r="CG160" i="1"/>
  <c r="CG154" i="1"/>
  <c r="CG164" i="1" l="1"/>
  <c r="CG205" i="1" s="1"/>
  <c r="CG156" i="1"/>
  <c r="CG165" i="1" l="1"/>
  <c r="CG204" i="1"/>
  <c r="CG206" i="1" s="1"/>
  <c r="CG207" i="1" s="1"/>
  <c r="CG221" i="1" s="1"/>
  <c r="CG218" i="1" l="1"/>
  <c r="CG168" i="1" l="1"/>
  <c r="CG169" i="1" s="1"/>
  <c r="CG219" i="1" s="1"/>
  <c r="CG254" i="1" l="1"/>
  <c r="CG256" i="1"/>
  <c r="CG176" i="1"/>
  <c r="CG173" i="1"/>
  <c r="CG174" i="1" s="1"/>
  <c r="CG252" i="1"/>
  <c r="CH217" i="1"/>
  <c r="CH45" i="1" l="1"/>
  <c r="CG117" i="1"/>
  <c r="CG118" i="1" l="1"/>
  <c r="CG121" i="1" s="1"/>
  <c r="CG119" i="1"/>
  <c r="CG122" i="1" s="1"/>
  <c r="CE152" i="1"/>
  <c r="CE161" i="1"/>
  <c r="CE153" i="1"/>
  <c r="CE160" i="1"/>
  <c r="CE164" i="1" s="1"/>
  <c r="CE154" i="1"/>
  <c r="CE156" i="1" l="1"/>
  <c r="CE205" i="1"/>
  <c r="CF205" i="1"/>
  <c r="CE165" i="1" l="1"/>
  <c r="CE204" i="1"/>
  <c r="CE206" i="1" s="1"/>
  <c r="CE207" i="1" s="1"/>
  <c r="CF204" i="1"/>
  <c r="CF206" i="1" s="1"/>
  <c r="CF207" i="1" s="1"/>
  <c r="CF221" i="1" s="1"/>
  <c r="CE221" i="1" l="1"/>
  <c r="CE218" i="1"/>
  <c r="CE168" i="1" s="1"/>
  <c r="CE169" i="1" s="1"/>
  <c r="CE219" i="1" s="1"/>
  <c r="CE254" i="1" l="1"/>
  <c r="CE173" i="1"/>
  <c r="CE174" i="1" s="1"/>
  <c r="CF217" i="1"/>
  <c r="CF218" i="1" s="1"/>
  <c r="CF219" i="1" s="1"/>
  <c r="CE256" i="1"/>
  <c r="CE252" i="1"/>
  <c r="CE176" i="1"/>
  <c r="CF45" i="1" l="1"/>
  <c r="CE117" i="1"/>
  <c r="CE119" i="1" l="1"/>
  <c r="CE122" i="1" s="1"/>
  <c r="CE118" i="1"/>
  <c r="CE121" i="1" s="1"/>
  <c r="CC152" i="1"/>
  <c r="CC161" i="1"/>
  <c r="CC153" i="1"/>
  <c r="CC160" i="1"/>
  <c r="CC154" i="1"/>
  <c r="CG197" i="1"/>
  <c r="CC156" i="1" l="1"/>
  <c r="CC164" i="1"/>
  <c r="CC204" i="1" l="1"/>
  <c r="CD204" i="1"/>
  <c r="CD205" i="1"/>
  <c r="CC165" i="1"/>
  <c r="CC205" i="1"/>
  <c r="CC206" i="1" l="1"/>
  <c r="CC207" i="1" s="1"/>
  <c r="CD206" i="1"/>
  <c r="CD207" i="1" s="1"/>
  <c r="CD221" i="1" s="1"/>
  <c r="CC218" i="1" l="1"/>
  <c r="CC168" i="1" s="1"/>
  <c r="CC169" i="1" s="1"/>
  <c r="CC219" i="1" s="1"/>
  <c r="CC221" i="1"/>
  <c r="CC254" i="1" l="1"/>
  <c r="CC252" i="1"/>
  <c r="CC173" i="1"/>
  <c r="CC174" i="1" s="1"/>
  <c r="CC256" i="1"/>
  <c r="CD217" i="1"/>
  <c r="CD218" i="1" s="1"/>
  <c r="CD219" i="1" s="1"/>
  <c r="CC176" i="1"/>
  <c r="CD45" i="1" l="1"/>
  <c r="CC117" i="1"/>
  <c r="CC119" i="1" l="1"/>
  <c r="CC122" i="1" s="1"/>
  <c r="CC118" i="1"/>
  <c r="CC121" i="1" s="1"/>
  <c r="CA152" i="1"/>
  <c r="CA161" i="1"/>
  <c r="CA154" i="1"/>
  <c r="CA160" i="1"/>
  <c r="CA153" i="1"/>
  <c r="CE197" i="1"/>
  <c r="CA156" i="1" l="1"/>
  <c r="CA164" i="1"/>
  <c r="CB204" i="1" l="1"/>
  <c r="CA204" i="1"/>
  <c r="CB205" i="1"/>
  <c r="CA205" i="1"/>
  <c r="CA165" i="1"/>
  <c r="CA206" i="1" l="1"/>
  <c r="CA207" i="1" s="1"/>
  <c r="CB206" i="1"/>
  <c r="CB207" i="1" s="1"/>
  <c r="CB221" i="1" s="1"/>
  <c r="CA221" i="1" l="1"/>
  <c r="CA218" i="1"/>
  <c r="CA168" i="1" s="1"/>
  <c r="CA169" i="1" s="1"/>
  <c r="CA219" i="1" s="1"/>
  <c r="CA256" i="1" l="1"/>
  <c r="CA254" i="1"/>
  <c r="CA173" i="1"/>
  <c r="CA174" i="1" s="1"/>
  <c r="CB217" i="1"/>
  <c r="CB218" i="1" s="1"/>
  <c r="CB219" i="1" s="1"/>
  <c r="CA252" i="1"/>
  <c r="CA176" i="1"/>
  <c r="CA117" i="1"/>
  <c r="CB45" i="1" l="1"/>
  <c r="CA119" i="1"/>
  <c r="CA122" i="1" s="1"/>
  <c r="CA118" i="1"/>
  <c r="CA121" i="1" s="1"/>
  <c r="BY161" i="1"/>
  <c r="BY152" i="1"/>
  <c r="BY154" i="1"/>
  <c r="BY160" i="1"/>
  <c r="BY153" i="1"/>
  <c r="CC197" i="1"/>
  <c r="BY164" i="1" l="1"/>
  <c r="BY156" i="1"/>
  <c r="BY205" i="1" l="1"/>
  <c r="BZ205" i="1"/>
  <c r="BY165" i="1"/>
  <c r="BZ204" i="1"/>
  <c r="BY204" i="1"/>
  <c r="BY206" i="1" l="1"/>
  <c r="BY207" i="1" s="1"/>
  <c r="BZ206" i="1"/>
  <c r="BZ207" i="1" s="1"/>
  <c r="BZ221" i="1" s="1"/>
  <c r="BY221" i="1" l="1"/>
  <c r="BY218" i="1"/>
  <c r="BY168" i="1" s="1"/>
  <c r="BY169" i="1" s="1"/>
  <c r="BY219" i="1" l="1"/>
  <c r="BY254" i="1"/>
  <c r="BY256" i="1"/>
  <c r="BY252" i="1"/>
  <c r="BZ217" i="1"/>
  <c r="BZ218" i="1" s="1"/>
  <c r="BZ219" i="1" s="1"/>
  <c r="BY176" i="1"/>
  <c r="BY173" i="1"/>
  <c r="BY174" i="1" s="1"/>
  <c r="BY117" i="1" l="1"/>
  <c r="BZ45" i="1"/>
  <c r="BW152" i="1"/>
  <c r="BW154" i="1"/>
  <c r="BW160" i="1"/>
  <c r="BW161" i="1"/>
  <c r="BW153" i="1"/>
  <c r="CA197" i="1"/>
  <c r="BY118" i="1" l="1"/>
  <c r="BY121" i="1" s="1"/>
  <c r="BY119" i="1"/>
  <c r="BY122" i="1" s="1"/>
  <c r="BW156" i="1"/>
  <c r="BW164" i="1"/>
  <c r="BX204" i="1" l="1"/>
  <c r="BW204" i="1"/>
  <c r="BW165" i="1"/>
  <c r="BW205" i="1"/>
  <c r="BX205" i="1"/>
  <c r="BX206" i="1" l="1"/>
  <c r="BX207" i="1" s="1"/>
  <c r="BX221" i="1" s="1"/>
  <c r="BW206" i="1"/>
  <c r="BW207" i="1" s="1"/>
  <c r="BW218" i="1" l="1"/>
  <c r="BW168" i="1" s="1"/>
  <c r="BW169" i="1" s="1"/>
  <c r="BW221" i="1"/>
  <c r="BW173" i="1" l="1"/>
  <c r="BW174" i="1" s="1"/>
  <c r="BX217" i="1"/>
  <c r="BX218" i="1" s="1"/>
  <c r="BX219" i="1" s="1"/>
  <c r="BW256" i="1"/>
  <c r="BW252" i="1"/>
  <c r="BW219" i="1"/>
  <c r="BW254" i="1"/>
  <c r="BW176" i="1"/>
  <c r="BX45" i="1" l="1"/>
  <c r="BW117" i="1"/>
  <c r="BW119" i="1" s="1"/>
  <c r="BW122" i="1" s="1"/>
  <c r="BU152" i="1"/>
  <c r="BU161" i="1"/>
  <c r="BU154" i="1"/>
  <c r="BU153" i="1"/>
  <c r="BU160" i="1"/>
  <c r="BY197" i="1"/>
  <c r="BU164" i="1" l="1"/>
  <c r="BW118" i="1"/>
  <c r="BW121" i="1" s="1"/>
  <c r="BU156" i="1"/>
  <c r="BU205" i="1" l="1"/>
  <c r="BV205" i="1"/>
  <c r="BU165" i="1"/>
  <c r="BU204" i="1"/>
  <c r="BV204" i="1"/>
  <c r="BU206" i="1" l="1"/>
  <c r="BU207" i="1" s="1"/>
  <c r="BV206" i="1"/>
  <c r="BV207" i="1" s="1"/>
  <c r="BV221" i="1" s="1"/>
  <c r="BU218" i="1"/>
  <c r="BU168" i="1" s="1"/>
  <c r="BU169" i="1" s="1"/>
  <c r="BU219" i="1" s="1"/>
  <c r="BU221" i="1" l="1"/>
  <c r="BU176" i="1"/>
  <c r="BU256" i="1"/>
  <c r="BU173" i="1"/>
  <c r="BU174" i="1" s="1"/>
  <c r="BU254" i="1"/>
  <c r="BV217" i="1"/>
  <c r="BV218" i="1" s="1"/>
  <c r="BV219" i="1" s="1"/>
  <c r="BU252" i="1"/>
  <c r="BV45" i="1" l="1"/>
  <c r="BU117" i="1"/>
  <c r="BU118" i="1" l="1"/>
  <c r="BU121" i="1" s="1"/>
  <c r="BU119" i="1"/>
  <c r="BU122" i="1" s="1"/>
  <c r="BS152" i="1"/>
  <c r="BS153" i="1"/>
  <c r="BS161" i="1"/>
  <c r="BS160" i="1"/>
  <c r="BS154" i="1"/>
  <c r="BW197" i="1"/>
  <c r="BS164" i="1" l="1"/>
  <c r="BS156" i="1"/>
  <c r="BS205" i="1" l="1"/>
  <c r="BT205" i="1"/>
  <c r="BS165" i="1"/>
  <c r="BS204" i="1"/>
  <c r="BS206" i="1" s="1"/>
  <c r="BS207" i="1" s="1"/>
  <c r="BT204" i="1"/>
  <c r="BT206" i="1" s="1"/>
  <c r="BT207" i="1" s="1"/>
  <c r="BT221" i="1" s="1"/>
  <c r="BS218" i="1" l="1"/>
  <c r="BS221" i="1"/>
  <c r="BS168" i="1" l="1"/>
  <c r="BS169" i="1" s="1"/>
  <c r="BS219" i="1" s="1"/>
  <c r="BS252" i="1" l="1"/>
  <c r="BS256" i="1"/>
  <c r="BS173" i="1"/>
  <c r="BS174" i="1" s="1"/>
  <c r="BT217" i="1"/>
  <c r="BT218" i="1" s="1"/>
  <c r="BT219" i="1" s="1"/>
  <c r="BS254" i="1"/>
  <c r="BS176" i="1"/>
  <c r="BT45" i="1" l="1"/>
  <c r="BS117" i="1"/>
  <c r="BS119" i="1" l="1"/>
  <c r="BS122" i="1" s="1"/>
  <c r="BS118" i="1"/>
  <c r="BS121" i="1" s="1"/>
  <c r="BQ153" i="1"/>
  <c r="BQ152" i="1"/>
  <c r="BQ160" i="1"/>
  <c r="BQ161" i="1"/>
  <c r="BU197" i="1"/>
  <c r="BQ154" i="1"/>
  <c r="BQ164" i="1" l="1"/>
  <c r="BQ156" i="1"/>
  <c r="BQ205" i="1" l="1"/>
  <c r="BR205" i="1"/>
  <c r="BQ204" i="1"/>
  <c r="BQ165" i="1"/>
  <c r="BR204" i="1"/>
  <c r="BQ206" i="1" l="1"/>
  <c r="BQ207" i="1" s="1"/>
  <c r="BQ218" i="1" s="1"/>
  <c r="BR206" i="1"/>
  <c r="BR207" i="1" s="1"/>
  <c r="BR221" i="1" s="1"/>
  <c r="BQ221" i="1" l="1"/>
  <c r="BQ168" i="1"/>
  <c r="BQ169" i="1" s="1"/>
  <c r="BQ219" i="1" s="1"/>
  <c r="BQ256" i="1" l="1"/>
  <c r="BR217" i="1"/>
  <c r="BR218" i="1" s="1"/>
  <c r="BR219" i="1" s="1"/>
  <c r="BQ254" i="1"/>
  <c r="BQ252" i="1"/>
  <c r="BQ173" i="1"/>
  <c r="BQ174" i="1" s="1"/>
  <c r="BQ176" i="1"/>
  <c r="BR45" i="1" l="1"/>
  <c r="BQ117" i="1"/>
  <c r="BQ119" i="1" l="1"/>
  <c r="BQ122" i="1" s="1"/>
  <c r="BQ118" i="1"/>
  <c r="BQ121" i="1" s="1"/>
  <c r="BO161" i="1"/>
  <c r="BO152" i="1"/>
  <c r="BO153" i="1"/>
  <c r="BO160" i="1"/>
  <c r="BS197" i="1"/>
  <c r="BO154" i="1"/>
  <c r="BO156" i="1" l="1"/>
  <c r="BO164" i="1"/>
  <c r="BO205" i="1" s="1"/>
  <c r="BO204" i="1" l="1"/>
  <c r="BP204" i="1"/>
  <c r="BP205" i="1"/>
  <c r="BO165" i="1"/>
  <c r="BO206" i="1" l="1"/>
  <c r="BO207" i="1" s="1"/>
  <c r="BP206" i="1"/>
  <c r="BP207" i="1" s="1"/>
  <c r="BP221" i="1" s="1"/>
  <c r="BO221" i="1" l="1"/>
  <c r="BO218" i="1"/>
  <c r="BO168" i="1" s="1"/>
  <c r="BO169" i="1" s="1"/>
  <c r="BO219" i="1" s="1"/>
  <c r="BO252" i="1" l="1"/>
  <c r="BO254" i="1"/>
  <c r="BO173" i="1"/>
  <c r="BO174" i="1" s="1"/>
  <c r="BP217" i="1"/>
  <c r="BP218" i="1" s="1"/>
  <c r="BP219" i="1" s="1"/>
  <c r="BO256" i="1"/>
  <c r="BO176" i="1"/>
  <c r="BP45" i="1" l="1"/>
  <c r="BO117" i="1"/>
  <c r="BO118" i="1"/>
  <c r="BO121" i="1" s="1"/>
  <c r="BM152" i="1"/>
  <c r="BM160" i="1"/>
  <c r="BM154" i="1"/>
  <c r="BM153" i="1"/>
  <c r="BM161" i="1"/>
  <c r="BQ197" i="1"/>
  <c r="BO119" i="1" l="1"/>
  <c r="BO122" i="1" s="1"/>
  <c r="BM156" i="1"/>
  <c r="BM204" i="1" s="1"/>
  <c r="BM164" i="1"/>
  <c r="BM165" i="1" l="1"/>
  <c r="BM205" i="1"/>
  <c r="BM206" i="1" s="1"/>
  <c r="BM207" i="1" s="1"/>
  <c r="BN205" i="1"/>
  <c r="BN204" i="1"/>
  <c r="BN206" i="1" s="1"/>
  <c r="BN207" i="1" s="1"/>
  <c r="BN221" i="1" s="1"/>
  <c r="BM218" i="1" l="1"/>
  <c r="BM221" i="1"/>
  <c r="BM168" i="1" l="1"/>
  <c r="BM169" i="1" s="1"/>
  <c r="BM219" i="1" s="1"/>
  <c r="BM252" i="1" l="1"/>
  <c r="BM256" i="1"/>
  <c r="BM173" i="1"/>
  <c r="BM174" i="1" s="1"/>
  <c r="BN217" i="1"/>
  <c r="BN218" i="1" s="1"/>
  <c r="BN219" i="1" s="1"/>
  <c r="BM254" i="1"/>
  <c r="BM176" i="1"/>
  <c r="BN45" i="1" l="1"/>
  <c r="BM117" i="1"/>
  <c r="BM119" i="1" l="1"/>
  <c r="BM122" i="1" s="1"/>
  <c r="BM118" i="1"/>
  <c r="BM121" i="1" s="1"/>
  <c r="BK152" i="1"/>
  <c r="BK153" i="1"/>
  <c r="BO197" i="1"/>
  <c r="BK161" i="1"/>
  <c r="BK154" i="1"/>
  <c r="BK160" i="1"/>
  <c r="BK156" i="1" l="1"/>
  <c r="BK164" i="1"/>
  <c r="BK204" i="1" l="1"/>
  <c r="BL204" i="1"/>
  <c r="BK165" i="1"/>
  <c r="BL205" i="1"/>
  <c r="BK205" i="1"/>
  <c r="BK206" i="1" l="1"/>
  <c r="BK207" i="1" s="1"/>
  <c r="BL206" i="1"/>
  <c r="BL207" i="1" s="1"/>
  <c r="BL221" i="1" s="1"/>
  <c r="BK221" i="1" l="1"/>
  <c r="BK218" i="1"/>
  <c r="BK168" i="1" s="1"/>
  <c r="BK169" i="1" s="1"/>
  <c r="BK219" i="1" l="1"/>
  <c r="BK256" i="1"/>
  <c r="BL217" i="1"/>
  <c r="BL218" i="1" s="1"/>
  <c r="BL219" i="1" s="1"/>
  <c r="BK173" i="1"/>
  <c r="BK174" i="1" s="1"/>
  <c r="BK252" i="1"/>
  <c r="BK254" i="1"/>
  <c r="BK176" i="1"/>
  <c r="BL45" i="1" l="1"/>
  <c r="BK117" i="1"/>
  <c r="BK119" i="1" s="1"/>
  <c r="BK122" i="1" s="1"/>
  <c r="BI160" i="1"/>
  <c r="BI152" i="1"/>
  <c r="BI161" i="1"/>
  <c r="BI153" i="1"/>
  <c r="BM197" i="1"/>
  <c r="BI154" i="1"/>
  <c r="BK118" i="1" l="1"/>
  <c r="BK121" i="1" s="1"/>
  <c r="BI164" i="1"/>
  <c r="BI156" i="1"/>
  <c r="BJ205" i="1" l="1"/>
  <c r="BI205" i="1"/>
  <c r="BJ204" i="1"/>
  <c r="BI204" i="1"/>
  <c r="BI165" i="1"/>
  <c r="BI206" i="1" l="1"/>
  <c r="BI207" i="1" s="1"/>
  <c r="BJ206" i="1"/>
  <c r="BJ207" i="1" s="1"/>
  <c r="BJ221" i="1" s="1"/>
  <c r="BI221" i="1" l="1"/>
  <c r="BI218" i="1"/>
  <c r="BI168" i="1" s="1"/>
  <c r="BI169" i="1" s="1"/>
  <c r="BI219" i="1" s="1"/>
  <c r="BI254" i="1" l="1"/>
  <c r="BI252" i="1"/>
  <c r="BJ217" i="1"/>
  <c r="BJ218" i="1" s="1"/>
  <c r="BJ219" i="1" s="1"/>
  <c r="BI256" i="1"/>
  <c r="BI173" i="1"/>
  <c r="BI174" i="1" s="1"/>
  <c r="BI176" i="1"/>
  <c r="BJ45" i="1" l="1"/>
  <c r="BI117" i="1"/>
  <c r="BI119" i="1" l="1"/>
  <c r="BI122" i="1" s="1"/>
  <c r="BI118" i="1"/>
  <c r="BI121" i="1" s="1"/>
  <c r="BG152" i="1"/>
  <c r="BG161" i="1"/>
  <c r="BG160" i="1"/>
  <c r="BG154" i="1"/>
  <c r="BK197" i="1"/>
  <c r="BG153" i="1"/>
  <c r="BG164" i="1" l="1"/>
  <c r="BG156" i="1"/>
  <c r="BH205" i="1" l="1"/>
  <c r="BG205" i="1"/>
  <c r="BG165" i="1"/>
  <c r="BH204" i="1"/>
  <c r="BH206" i="1" s="1"/>
  <c r="BH207" i="1" s="1"/>
  <c r="BH221" i="1" s="1"/>
  <c r="BG204" i="1"/>
  <c r="BG206" i="1" l="1"/>
  <c r="BG207" i="1" s="1"/>
  <c r="BG221" i="1" l="1"/>
  <c r="BG218" i="1"/>
  <c r="BG168" i="1" s="1"/>
  <c r="BG169" i="1" s="1"/>
  <c r="BG173" i="1" l="1"/>
  <c r="BG174" i="1" s="1"/>
  <c r="BG252" i="1"/>
  <c r="BG256" i="1"/>
  <c r="BG176" i="1"/>
  <c r="BG254" i="1"/>
  <c r="BG219" i="1"/>
  <c r="BH217" i="1"/>
  <c r="BH218" i="1" s="1"/>
  <c r="BH219" i="1" s="1"/>
  <c r="BH45" i="1" l="1"/>
  <c r="BG117" i="1"/>
  <c r="BG119" i="1"/>
  <c r="BG122" i="1" s="1"/>
  <c r="BE152" i="1"/>
  <c r="BI197" i="1"/>
  <c r="BE153" i="1"/>
  <c r="BE161" i="1"/>
  <c r="BE154" i="1"/>
  <c r="BE160" i="1"/>
  <c r="BE164" i="1" s="1"/>
  <c r="BG118" i="1" l="1"/>
  <c r="BG121" i="1" s="1"/>
  <c r="BF205" i="1"/>
  <c r="BE205" i="1"/>
  <c r="BE156" i="1"/>
  <c r="BF204" i="1" l="1"/>
  <c r="BF206" i="1" s="1"/>
  <c r="BF207" i="1" s="1"/>
  <c r="BF221" i="1" s="1"/>
  <c r="BE165" i="1"/>
  <c r="BE204" i="1"/>
  <c r="BE206" i="1" s="1"/>
  <c r="BE207" i="1" s="1"/>
  <c r="BE218" i="1" s="1"/>
  <c r="BE221" i="1" l="1"/>
  <c r="BE168" i="1"/>
  <c r="BE169" i="1" s="1"/>
  <c r="BE219" i="1" s="1"/>
  <c r="BE176" i="1" l="1"/>
  <c r="BE252" i="1"/>
  <c r="BE254" i="1"/>
  <c r="BE256" i="1"/>
  <c r="BE173" i="1"/>
  <c r="BE174" i="1" s="1"/>
  <c r="BF217" i="1"/>
  <c r="BF218" i="1" s="1"/>
  <c r="BF219" i="1" s="1"/>
  <c r="BF45" i="1" l="1"/>
  <c r="BE117" i="1"/>
  <c r="BE118" i="1" l="1"/>
  <c r="BE121" i="1" s="1"/>
  <c r="BE119" i="1"/>
  <c r="BE122" i="1" s="1"/>
  <c r="BC152" i="1"/>
  <c r="BC160" i="1"/>
  <c r="BC161" i="1"/>
  <c r="BC154" i="1"/>
  <c r="BG197" i="1"/>
  <c r="BC153" i="1"/>
  <c r="BC164" i="1" l="1"/>
  <c r="BC156" i="1"/>
  <c r="BD205" i="1" l="1"/>
  <c r="BC205" i="1"/>
  <c r="BC165" i="1"/>
  <c r="BD204" i="1"/>
  <c r="BC204" i="1"/>
  <c r="BC206" i="1" l="1"/>
  <c r="BC207" i="1" s="1"/>
  <c r="BD206" i="1"/>
  <c r="BD207" i="1" s="1"/>
  <c r="BD221" i="1" s="1"/>
  <c r="BC218" i="1" l="1"/>
  <c r="BC221" i="1"/>
  <c r="BC168" i="1" l="1"/>
  <c r="BC169" i="1" s="1"/>
  <c r="BC219" i="1" s="1"/>
  <c r="BC256" i="1" l="1"/>
  <c r="BC176" i="1"/>
  <c r="BC252" i="1"/>
  <c r="BC173" i="1"/>
  <c r="BC174" i="1" s="1"/>
  <c r="BC254" i="1"/>
  <c r="BD217" i="1"/>
  <c r="BD218" i="1" s="1"/>
  <c r="BD219" i="1" s="1"/>
  <c r="BD45" i="1" l="1"/>
  <c r="BC117" i="1"/>
  <c r="BA152" i="1"/>
  <c r="BA153" i="1"/>
  <c r="BA160" i="1"/>
  <c r="BA161" i="1"/>
  <c r="BE197" i="1"/>
  <c r="BA154" i="1"/>
  <c r="BC118" i="1" l="1"/>
  <c r="BC121" i="1" s="1"/>
  <c r="BC119" i="1"/>
  <c r="BC122" i="1" s="1"/>
  <c r="BA156" i="1"/>
  <c r="BA164" i="1"/>
  <c r="BB204" i="1" l="1"/>
  <c r="BA204" i="1"/>
  <c r="BA165" i="1"/>
  <c r="BA205" i="1"/>
  <c r="BB205" i="1"/>
  <c r="BB206" i="1" l="1"/>
  <c r="BB207" i="1" s="1"/>
  <c r="BB221" i="1" s="1"/>
  <c r="BA206" i="1"/>
  <c r="BA207" i="1" s="1"/>
  <c r="BA218" i="1" l="1"/>
  <c r="BA168" i="1" s="1"/>
  <c r="BA169" i="1" s="1"/>
  <c r="BA221" i="1"/>
  <c r="BA256" i="1" l="1"/>
  <c r="BA252" i="1"/>
  <c r="BA254" i="1"/>
  <c r="BA176" i="1"/>
  <c r="BA219" i="1"/>
  <c r="BB217" i="1"/>
  <c r="BB218" i="1" s="1"/>
  <c r="BB219" i="1" s="1"/>
  <c r="BA173" i="1"/>
  <c r="BA174" i="1" s="1"/>
  <c r="BB45" i="1" l="1"/>
  <c r="BA117" i="1"/>
  <c r="AY152" i="1"/>
  <c r="AY161" i="1"/>
  <c r="AY153" i="1"/>
  <c r="BC197" i="1"/>
  <c r="AY160" i="1"/>
  <c r="AY154" i="1"/>
  <c r="BA119" i="1" l="1"/>
  <c r="BA122" i="1" s="1"/>
  <c r="BA118" i="1"/>
  <c r="BA121" i="1" s="1"/>
  <c r="AY156" i="1"/>
  <c r="AY164" i="1"/>
  <c r="AY204" i="1" l="1"/>
  <c r="AZ204" i="1"/>
  <c r="AZ205" i="1"/>
  <c r="AY165" i="1"/>
  <c r="AY205" i="1"/>
  <c r="AY206" i="1" l="1"/>
  <c r="AY207" i="1" s="1"/>
  <c r="AZ206" i="1"/>
  <c r="AZ207" i="1" s="1"/>
  <c r="AZ221" i="1" s="1"/>
  <c r="AY221" i="1" l="1"/>
  <c r="AY218" i="1"/>
  <c r="AY168" i="1" s="1"/>
  <c r="AY169" i="1" s="1"/>
  <c r="AZ217" i="1" l="1"/>
  <c r="AZ218" i="1" s="1"/>
  <c r="AZ219" i="1" s="1"/>
  <c r="AY252" i="1"/>
  <c r="AY173" i="1"/>
  <c r="AY174" i="1" s="1"/>
  <c r="AY219" i="1"/>
  <c r="AY254" i="1"/>
  <c r="AY176" i="1"/>
  <c r="AY256" i="1"/>
  <c r="AZ45" i="1" l="1"/>
  <c r="AY117" i="1"/>
  <c r="AW152" i="1"/>
  <c r="BA197" i="1"/>
  <c r="AW161" i="1"/>
  <c r="AW153" i="1"/>
  <c r="AW154" i="1"/>
  <c r="AW160" i="1"/>
  <c r="AY119" i="1" l="1"/>
  <c r="AY122" i="1" s="1"/>
  <c r="AY118" i="1"/>
  <c r="AY121" i="1" s="1"/>
  <c r="AW156" i="1"/>
  <c r="AW164" i="1"/>
  <c r="AW165" i="1" l="1"/>
  <c r="AX204" i="1"/>
  <c r="AW204" i="1"/>
  <c r="AX205" i="1"/>
  <c r="AW205" i="1"/>
  <c r="AX206" i="1" l="1"/>
  <c r="AX207" i="1" s="1"/>
  <c r="AX221" i="1" s="1"/>
  <c r="AW206" i="1"/>
  <c r="AW207" i="1" s="1"/>
  <c r="AW221" i="1" l="1"/>
  <c r="AW218" i="1"/>
  <c r="AW168" i="1" s="1"/>
  <c r="AW169" i="1" s="1"/>
  <c r="AW219" i="1" l="1"/>
  <c r="AW252" i="1"/>
  <c r="AX217" i="1"/>
  <c r="AX218" i="1" s="1"/>
  <c r="AX219" i="1" s="1"/>
  <c r="AW256" i="1"/>
  <c r="AW173" i="1"/>
  <c r="AW174" i="1" s="1"/>
  <c r="AW254" i="1"/>
  <c r="AW176" i="1"/>
  <c r="AW117" i="1" l="1"/>
  <c r="AX45" i="1"/>
  <c r="AW119" i="1"/>
  <c r="AW122" i="1" s="1"/>
  <c r="AU160" i="1"/>
  <c r="AU152" i="1"/>
  <c r="AU154" i="1"/>
  <c r="AU161" i="1"/>
  <c r="AU153" i="1"/>
  <c r="AY197" i="1"/>
  <c r="AW118" i="1" l="1"/>
  <c r="AW121" i="1" s="1"/>
  <c r="AU156" i="1"/>
  <c r="AU164" i="1"/>
  <c r="AU204" i="1" l="1"/>
  <c r="AV204" i="1"/>
  <c r="AV205" i="1"/>
  <c r="AU205" i="1"/>
  <c r="AU165" i="1"/>
  <c r="AV206" i="1" l="1"/>
  <c r="AV207" i="1" s="1"/>
  <c r="AV221" i="1" s="1"/>
  <c r="AU206" i="1"/>
  <c r="AU207" i="1" s="1"/>
  <c r="AU221" i="1" l="1"/>
  <c r="AU218" i="1"/>
  <c r="AU168" i="1" s="1"/>
  <c r="AU169" i="1" s="1"/>
  <c r="AU219" i="1" l="1"/>
  <c r="AU254" i="1"/>
  <c r="AU252" i="1"/>
  <c r="AU173" i="1"/>
  <c r="AU174" i="1" s="1"/>
  <c r="AV217" i="1"/>
  <c r="AV218" i="1" s="1"/>
  <c r="AV219" i="1" s="1"/>
  <c r="AU256" i="1"/>
  <c r="AU176" i="1"/>
  <c r="AU117" i="1" l="1"/>
  <c r="AV45" i="1"/>
  <c r="AS152" i="1"/>
  <c r="AS154" i="1"/>
  <c r="AW197" i="1"/>
  <c r="AS161" i="1"/>
  <c r="AS160" i="1"/>
  <c r="AS153" i="1"/>
  <c r="AS164" i="1" l="1"/>
  <c r="AU119" i="1"/>
  <c r="AU122" i="1" s="1"/>
  <c r="AU118" i="1"/>
  <c r="AU121" i="1" s="1"/>
  <c r="AS156" i="1"/>
  <c r="AS204" i="1" s="1"/>
  <c r="AT205" i="1" l="1"/>
  <c r="AS205" i="1"/>
  <c r="AS206" i="1"/>
  <c r="AS207" i="1" s="1"/>
  <c r="AS221" i="1" s="1"/>
  <c r="AS165" i="1"/>
  <c r="AT204" i="1"/>
  <c r="AT206" i="1" l="1"/>
  <c r="AT207" i="1" s="1"/>
  <c r="AT221" i="1" s="1"/>
  <c r="AS218" i="1"/>
  <c r="AS168" i="1" s="1"/>
  <c r="AS169" i="1" s="1"/>
  <c r="AS219" i="1" s="1"/>
  <c r="AS252" i="1" l="1"/>
  <c r="AS256" i="1"/>
  <c r="AS176" i="1"/>
  <c r="AS254" i="1"/>
  <c r="AT217" i="1"/>
  <c r="AT218" i="1" s="1"/>
  <c r="AT219" i="1" s="1"/>
  <c r="AS173" i="1"/>
  <c r="AS174" i="1" s="1"/>
  <c r="AS117" i="1" l="1"/>
  <c r="AT45" i="1"/>
  <c r="AS118" i="1" l="1"/>
  <c r="AS121" i="1" s="1"/>
  <c r="AS119" i="1"/>
  <c r="AS122" i="1" s="1"/>
  <c r="AQ160" i="1"/>
  <c r="AQ152" i="1"/>
  <c r="AQ153" i="1"/>
  <c r="AU197" i="1"/>
  <c r="AQ154" i="1"/>
  <c r="AQ161" i="1"/>
  <c r="AQ156" i="1" l="1"/>
  <c r="AQ164" i="1"/>
  <c r="AQ165" i="1" l="1"/>
  <c r="AR204" i="1"/>
  <c r="AQ204" i="1"/>
  <c r="AR205" i="1"/>
  <c r="AQ205" i="1"/>
  <c r="AR206" i="1" l="1"/>
  <c r="AR207" i="1" s="1"/>
  <c r="AR221" i="1" s="1"/>
  <c r="AQ206" i="1"/>
  <c r="AQ207" i="1" s="1"/>
  <c r="AQ218" i="1" l="1"/>
  <c r="AQ221" i="1"/>
  <c r="AQ168" i="1" l="1"/>
  <c r="AQ169" i="1" s="1"/>
  <c r="AQ219" i="1" s="1"/>
  <c r="AQ254" i="1" l="1"/>
  <c r="AQ173" i="1"/>
  <c r="AQ174" i="1" s="1"/>
  <c r="AR217" i="1"/>
  <c r="AR218" i="1" s="1"/>
  <c r="AR219" i="1" s="1"/>
  <c r="AQ176" i="1"/>
  <c r="AQ252" i="1"/>
  <c r="AQ256" i="1"/>
  <c r="AR45" i="1" l="1"/>
  <c r="AQ117" i="1"/>
  <c r="AQ119" i="1"/>
  <c r="AQ122" i="1" s="1"/>
  <c r="AO152" i="1"/>
  <c r="AO153" i="1"/>
  <c r="AO154" i="1"/>
  <c r="AO160" i="1"/>
  <c r="AO161" i="1"/>
  <c r="AS197" i="1"/>
  <c r="AQ118" i="1" l="1"/>
  <c r="AQ121" i="1" s="1"/>
  <c r="AO156" i="1"/>
  <c r="AO204" i="1" s="1"/>
  <c r="AO164" i="1"/>
  <c r="AP205" i="1" l="1"/>
  <c r="AO205" i="1"/>
  <c r="AO206" i="1" s="1"/>
  <c r="AO207" i="1" s="1"/>
  <c r="AO165" i="1"/>
  <c r="AP204" i="1"/>
  <c r="AP206" i="1" l="1"/>
  <c r="AP207" i="1" s="1"/>
  <c r="AP221" i="1" s="1"/>
  <c r="AO221" i="1"/>
  <c r="AO218" i="1"/>
  <c r="AO168" i="1" s="1"/>
  <c r="AO169" i="1" s="1"/>
  <c r="AO219" i="1" s="1"/>
  <c r="AO256" i="1" l="1"/>
  <c r="AO252" i="1"/>
  <c r="AO173" i="1"/>
  <c r="AO174" i="1" s="1"/>
  <c r="AP217" i="1"/>
  <c r="AP218" i="1" s="1"/>
  <c r="AP219" i="1" s="1"/>
  <c r="AO254" i="1"/>
  <c r="AO176" i="1"/>
  <c r="AO117" i="1" l="1"/>
  <c r="AP45" i="1"/>
  <c r="AO118" i="1" l="1"/>
  <c r="AO121" i="1" s="1"/>
  <c r="AO119" i="1"/>
  <c r="AO122" i="1" s="1"/>
  <c r="AM161" i="1"/>
  <c r="AM152" i="1"/>
  <c r="AM153" i="1"/>
  <c r="AQ197" i="1"/>
  <c r="AM160" i="1"/>
  <c r="AM154" i="1"/>
  <c r="AM156" i="1" l="1"/>
  <c r="AM164" i="1"/>
  <c r="AN205" i="1" s="1"/>
  <c r="AN204" i="1" l="1"/>
  <c r="AN206" i="1" s="1"/>
  <c r="AN207" i="1" s="1"/>
  <c r="AN221" i="1" s="1"/>
  <c r="AM204" i="1"/>
  <c r="AM165" i="1"/>
  <c r="AM205" i="1"/>
  <c r="AM206" i="1" l="1"/>
  <c r="AM207" i="1" s="1"/>
  <c r="AM221" i="1" s="1"/>
  <c r="AM218" i="1" l="1"/>
  <c r="AM168" i="1" s="1"/>
  <c r="AM169" i="1" s="1"/>
  <c r="AM219" i="1" s="1"/>
  <c r="AM176" i="1" l="1"/>
  <c r="AM252" i="1"/>
  <c r="AM254" i="1"/>
  <c r="AM256" i="1"/>
  <c r="AM173" i="1"/>
  <c r="AM174" i="1" s="1"/>
  <c r="AN217" i="1"/>
  <c r="AN218" i="1" s="1"/>
  <c r="AN219" i="1" s="1"/>
  <c r="AM117" i="1" l="1"/>
  <c r="AN45" i="1"/>
  <c r="AK152" i="1"/>
  <c r="AK161" i="1"/>
  <c r="AK153" i="1"/>
  <c r="AK160" i="1"/>
  <c r="AO197" i="1"/>
  <c r="AK154" i="1"/>
  <c r="AM118" i="1" l="1"/>
  <c r="AM121" i="1" s="1"/>
  <c r="AM119" i="1"/>
  <c r="AM122" i="1" s="1"/>
  <c r="AK164" i="1"/>
  <c r="AK156" i="1"/>
  <c r="AL204" i="1" s="1"/>
  <c r="AK205" i="1" l="1"/>
  <c r="AL205" i="1"/>
  <c r="AK204" i="1"/>
  <c r="AK165" i="1"/>
  <c r="AL206" i="1" l="1"/>
  <c r="AL207" i="1" s="1"/>
  <c r="AL221" i="1" s="1"/>
  <c r="AK206" i="1"/>
  <c r="AK207" i="1" s="1"/>
  <c r="AK221" i="1" l="1"/>
  <c r="AK218" i="1"/>
  <c r="AK168" i="1" s="1"/>
  <c r="AK169" i="1" s="1"/>
  <c r="AK219" i="1" s="1"/>
  <c r="AK252" i="1" l="1"/>
  <c r="AK256" i="1"/>
  <c r="AK254" i="1"/>
  <c r="AK176" i="1"/>
  <c r="AK173" i="1"/>
  <c r="AK174" i="1" s="1"/>
  <c r="AL217" i="1"/>
  <c r="AL218" i="1" s="1"/>
  <c r="AL219" i="1" s="1"/>
  <c r="AK117" i="1" l="1"/>
  <c r="AL45" i="1"/>
  <c r="AI191" i="1"/>
  <c r="AI161" i="1" s="1"/>
  <c r="AI187" i="1"/>
  <c r="AI188" i="1"/>
  <c r="AI153" i="1" s="1"/>
  <c r="AI192" i="1"/>
  <c r="AI189" i="1"/>
  <c r="AI154" i="1" s="1"/>
  <c r="AK119" i="1" l="1"/>
  <c r="AK122" i="1" s="1"/>
  <c r="AK118" i="1"/>
  <c r="AK121" i="1" s="1"/>
  <c r="AI193" i="1"/>
  <c r="AI160" i="1"/>
  <c r="AI164" i="1" s="1"/>
  <c r="AI152" i="1"/>
  <c r="AI156" i="1" s="1"/>
  <c r="AI190" i="1"/>
  <c r="AI194" i="1" l="1"/>
  <c r="AM197" i="1" s="1"/>
  <c r="AJ205" i="1"/>
  <c r="AI205" i="1"/>
  <c r="AI204" i="1"/>
  <c r="AI165" i="1"/>
  <c r="AJ204" i="1"/>
  <c r="AI206" i="1" l="1"/>
  <c r="AI207" i="1" s="1"/>
  <c r="AJ206" i="1"/>
  <c r="AJ207" i="1" s="1"/>
  <c r="AJ221" i="1" s="1"/>
  <c r="AI221" i="1" l="1"/>
  <c r="AI218" i="1"/>
  <c r="AI168" i="1" l="1"/>
  <c r="AI169" i="1" s="1"/>
  <c r="AI219" i="1" s="1"/>
  <c r="CI192" i="1"/>
  <c r="CJ192" i="1" s="1"/>
  <c r="CK192" i="1" s="1"/>
  <c r="CK160" i="1" s="1"/>
  <c r="CI187" i="1"/>
  <c r="CI189" i="1"/>
  <c r="CI154" i="1" s="1"/>
  <c r="CI191" i="1"/>
  <c r="CI188" i="1"/>
  <c r="CI153" i="1" s="1"/>
  <c r="CH197" i="1"/>
  <c r="AI176" i="1" l="1"/>
  <c r="AJ45" i="1" s="1"/>
  <c r="AI173" i="1"/>
  <c r="AI174" i="1" s="1"/>
  <c r="AJ217" i="1"/>
  <c r="AJ218" i="1" s="1"/>
  <c r="AJ219" i="1" s="1"/>
  <c r="CJ187" i="1"/>
  <c r="CK187" i="1" s="1"/>
  <c r="CL187" i="1" s="1"/>
  <c r="CI152" i="1"/>
  <c r="CI156" i="1" s="1"/>
  <c r="CI204" i="1" s="1"/>
  <c r="CI161" i="1"/>
  <c r="CJ191" i="1"/>
  <c r="CJ189" i="1"/>
  <c r="CK189" i="1" s="1"/>
  <c r="CI160" i="1"/>
  <c r="CJ188" i="1"/>
  <c r="CI193" i="1"/>
  <c r="CI190" i="1"/>
  <c r="CH205" i="1"/>
  <c r="CH204" i="1"/>
  <c r="CJ193" i="1" l="1"/>
  <c r="CI164" i="1"/>
  <c r="CH206" i="1"/>
  <c r="CH207" i="1" s="1"/>
  <c r="CK152" i="1"/>
  <c r="CK191" i="1"/>
  <c r="CL191" i="1" s="1"/>
  <c r="CM191" i="1" s="1"/>
  <c r="CN191" i="1" s="1"/>
  <c r="CL189" i="1"/>
  <c r="CM189" i="1" s="1"/>
  <c r="CK154" i="1"/>
  <c r="CJ190" i="1"/>
  <c r="CK188" i="1"/>
  <c r="CI194" i="1"/>
  <c r="CI197" i="1" s="1"/>
  <c r="CL192" i="1"/>
  <c r="CM187" i="1"/>
  <c r="CJ194" i="1" l="1"/>
  <c r="CI165" i="1"/>
  <c r="CI205" i="1"/>
  <c r="CI206" i="1" s="1"/>
  <c r="CI207" i="1" s="1"/>
  <c r="CI221" i="1" s="1"/>
  <c r="CH218" i="1"/>
  <c r="CH221" i="1"/>
  <c r="CK161" i="1"/>
  <c r="CK164" i="1" s="1"/>
  <c r="CK193" i="1"/>
  <c r="CK153" i="1"/>
  <c r="CK156" i="1" s="1"/>
  <c r="CK190" i="1"/>
  <c r="CL188" i="1"/>
  <c r="CO191" i="1"/>
  <c r="CM192" i="1"/>
  <c r="CL193" i="1"/>
  <c r="CN189" i="1"/>
  <c r="CN187" i="1"/>
  <c r="CH219" i="1" l="1"/>
  <c r="CK165" i="1"/>
  <c r="CK194" i="1"/>
  <c r="CK197" i="1" s="1"/>
  <c r="CL190" i="1"/>
  <c r="CL194" i="1" s="1"/>
  <c r="CM188" i="1"/>
  <c r="CM190" i="1" s="1"/>
  <c r="CP191" i="1"/>
  <c r="CM193" i="1"/>
  <c r="CN192" i="1"/>
  <c r="CO189" i="1"/>
  <c r="CO187" i="1"/>
  <c r="CI217" i="1"/>
  <c r="CI218" i="1" s="1"/>
  <c r="CH254" i="1"/>
  <c r="CH176" i="1"/>
  <c r="CH252" i="1"/>
  <c r="CH256" i="1"/>
  <c r="CN188" i="1" l="1"/>
  <c r="CN190" i="1" s="1"/>
  <c r="CM194" i="1"/>
  <c r="CQ191" i="1"/>
  <c r="CO192" i="1"/>
  <c r="CN193" i="1"/>
  <c r="CP189" i="1"/>
  <c r="CP187" i="1"/>
  <c r="CI168" i="1"/>
  <c r="CI169" i="1" s="1"/>
  <c r="CI219" i="1" s="1"/>
  <c r="CH117" i="1"/>
  <c r="CI45" i="1"/>
  <c r="CO188" i="1" l="1"/>
  <c r="CO190" i="1" s="1"/>
  <c r="CN194" i="1"/>
  <c r="CR191" i="1"/>
  <c r="CP192" i="1"/>
  <c r="CO193" i="1"/>
  <c r="CQ189" i="1"/>
  <c r="CQ187" i="1"/>
  <c r="CI176" i="1"/>
  <c r="CJ45" i="1" s="1"/>
  <c r="CI173" i="1"/>
  <c r="CI174" i="1" s="1"/>
  <c r="CJ217" i="1"/>
  <c r="CI252" i="1"/>
  <c r="CI256" i="1"/>
  <c r="CI254" i="1"/>
  <c r="CH119" i="1"/>
  <c r="CH122" i="1" s="1"/>
  <c r="CH118" i="1"/>
  <c r="CH121" i="1" s="1"/>
  <c r="CP188" i="1" l="1"/>
  <c r="CP190" i="1" s="1"/>
  <c r="CO194" i="1"/>
  <c r="CS191" i="1"/>
  <c r="CI117" i="1"/>
  <c r="CI119" i="1" s="1"/>
  <c r="CI122" i="1" s="1"/>
  <c r="CP193" i="1"/>
  <c r="CQ192" i="1"/>
  <c r="CR189" i="1"/>
  <c r="CR187" i="1"/>
  <c r="CQ188" i="1" l="1"/>
  <c r="CQ190" i="1" s="1"/>
  <c r="CP194" i="1"/>
  <c r="CI118" i="1"/>
  <c r="CI121" i="1" s="1"/>
  <c r="CT191" i="1"/>
  <c r="CR192" i="1"/>
  <c r="CQ193" i="1"/>
  <c r="CS189" i="1"/>
  <c r="CS187" i="1"/>
  <c r="CR188" i="1" l="1"/>
  <c r="CR190" i="1" s="1"/>
  <c r="CQ194" i="1"/>
  <c r="CU191" i="1"/>
  <c r="CS192" i="1"/>
  <c r="CR193" i="1"/>
  <c r="CT189" i="1"/>
  <c r="CT187" i="1"/>
  <c r="CS188" i="1" l="1"/>
  <c r="CS190" i="1" s="1"/>
  <c r="CR194" i="1"/>
  <c r="CV191" i="1"/>
  <c r="CT192" i="1"/>
  <c r="CS193" i="1"/>
  <c r="CU189" i="1"/>
  <c r="CU187" i="1"/>
  <c r="CT188" i="1" l="1"/>
  <c r="CT190" i="1" s="1"/>
  <c r="CS194" i="1"/>
  <c r="CW191" i="1"/>
  <c r="CU192" i="1"/>
  <c r="CT193" i="1"/>
  <c r="CV189" i="1"/>
  <c r="CV187" i="1"/>
  <c r="CU188" i="1" l="1"/>
  <c r="CU190" i="1" s="1"/>
  <c r="CT194" i="1"/>
  <c r="CX191" i="1"/>
  <c r="CV188" i="1"/>
  <c r="CV190" i="1" s="1"/>
  <c r="CV192" i="1"/>
  <c r="CU193" i="1"/>
  <c r="CW189" i="1"/>
  <c r="CW187" i="1"/>
  <c r="CU194" i="1" l="1"/>
  <c r="CY191" i="1"/>
  <c r="CW188" i="1"/>
  <c r="CW190" i="1" s="1"/>
  <c r="CW192" i="1"/>
  <c r="CV193" i="1"/>
  <c r="CV194" i="1" s="1"/>
  <c r="CX189" i="1"/>
  <c r="CX187" i="1"/>
  <c r="CZ191" i="1" l="1"/>
  <c r="CX188" i="1"/>
  <c r="CX190" i="1" s="1"/>
  <c r="CX192" i="1"/>
  <c r="CW193" i="1"/>
  <c r="CW194" i="1" s="1"/>
  <c r="CY189" i="1"/>
  <c r="CY187" i="1"/>
  <c r="CY188" i="1" l="1"/>
  <c r="CY190" i="1" s="1"/>
  <c r="CY192" i="1"/>
  <c r="CX193" i="1"/>
  <c r="CX194" i="1" s="1"/>
  <c r="CZ189" i="1"/>
  <c r="CZ187" i="1"/>
  <c r="CZ188" i="1" l="1"/>
  <c r="CZ192" i="1"/>
  <c r="CY193" i="1"/>
  <c r="CY194" i="1" s="1"/>
  <c r="CZ190" i="1" l="1"/>
  <c r="CZ193" i="1"/>
  <c r="CZ194" i="1" l="1"/>
  <c r="CJ239" i="1" l="1"/>
  <c r="CJ261" i="1"/>
  <c r="CJ260" i="1"/>
  <c r="CJ153" i="1" l="1"/>
  <c r="CJ233" i="1"/>
  <c r="CJ160" i="1"/>
  <c r="CJ154" i="1"/>
  <c r="CJ161" i="1"/>
  <c r="CJ152" i="1"/>
  <c r="Z7" i="1" l="1"/>
  <c r="CJ156" i="1"/>
  <c r="CJ164" i="1"/>
  <c r="CK205" i="1" s="1"/>
  <c r="Z10" i="1" l="1"/>
  <c r="Z6" i="1"/>
  <c r="Z11" i="1" s="1"/>
  <c r="CJ204" i="1"/>
  <c r="CK204" i="1"/>
  <c r="CK206" i="1" s="1"/>
  <c r="CK207" i="1" s="1"/>
  <c r="CK221" i="1" s="1"/>
  <c r="CJ165" i="1"/>
  <c r="CJ205" i="1"/>
  <c r="CJ206" i="1" l="1"/>
  <c r="Y97" i="1" l="1"/>
  <c r="AA152" i="1" l="1"/>
  <c r="AA153" i="1"/>
  <c r="AA160" i="1"/>
  <c r="AA161" i="1" l="1"/>
  <c r="AA154" i="1"/>
  <c r="AA156" i="1" s="1"/>
  <c r="AA164" i="1" l="1"/>
  <c r="AA165" i="1" s="1"/>
  <c r="AA204" i="1"/>
  <c r="AA205" i="1" l="1"/>
  <c r="AA206" i="1" s="1"/>
  <c r="CJ35" i="1" l="1"/>
  <c r="CJ36" i="1"/>
  <c r="CL35" i="1" l="1"/>
  <c r="CK39" i="1"/>
  <c r="CK258" i="1"/>
  <c r="CK259" i="1" s="1"/>
  <c r="CK120" i="1"/>
  <c r="CK234" i="1"/>
  <c r="CJ39" i="1"/>
  <c r="CJ42" i="1"/>
  <c r="CJ46" i="1" s="1"/>
  <c r="CJ38" i="1"/>
  <c r="CJ234" i="1"/>
  <c r="CJ120" i="1"/>
  <c r="CJ258" i="1"/>
  <c r="CJ259" i="1" s="1"/>
  <c r="CJ37" i="1"/>
  <c r="CJ240" i="1"/>
  <c r="CJ241" i="1" s="1"/>
  <c r="CM35" i="1" l="1"/>
  <c r="CN35" i="1" l="1"/>
  <c r="CO35" i="1" s="1"/>
  <c r="CP35" i="1"/>
  <c r="CJ48" i="1"/>
  <c r="CJ49" i="1"/>
  <c r="CQ35" i="1" l="1"/>
  <c r="CL48" i="1"/>
  <c r="CK52" i="1"/>
  <c r="CK235" i="1"/>
  <c r="CJ235" i="1"/>
  <c r="CJ242" i="1"/>
  <c r="CJ56" i="1"/>
  <c r="CJ50" i="1"/>
  <c r="CJ253" i="1" s="1"/>
  <c r="CJ52" i="1"/>
  <c r="CJ51" i="1"/>
  <c r="CM48" i="1" l="1"/>
  <c r="CN48" i="1" s="1"/>
  <c r="CR35" i="1"/>
  <c r="CO48" i="1"/>
  <c r="CJ127" i="1"/>
  <c r="CJ60" i="1"/>
  <c r="CJ74" i="1"/>
  <c r="CJ201" i="1"/>
  <c r="CJ203" i="1" s="1"/>
  <c r="CJ207" i="1" s="1"/>
  <c r="CJ221" i="1" s="1"/>
  <c r="CP48" i="1" l="1"/>
  <c r="CS35" i="1"/>
  <c r="CQ48" i="1"/>
  <c r="CR48" i="1"/>
  <c r="CS48" i="1"/>
  <c r="CT48" i="1"/>
  <c r="CK127" i="1"/>
  <c r="CK128" i="1" s="1"/>
  <c r="CJ128" i="1"/>
  <c r="CJ77" i="1"/>
  <c r="CF97" i="1" s="1"/>
  <c r="CK77" i="1"/>
  <c r="CT35" i="1" l="1"/>
  <c r="CU48" i="1"/>
  <c r="CK137" i="1"/>
  <c r="CK63" i="1" s="1"/>
  <c r="CJ94" i="1"/>
  <c r="CJ98" i="1" s="1"/>
  <c r="CJ93" i="1"/>
  <c r="CJ95" i="1"/>
  <c r="CK62" i="1"/>
  <c r="CK100" i="1"/>
  <c r="CJ137" i="1"/>
  <c r="CJ63" i="1" s="1"/>
  <c r="CJ215" i="1"/>
  <c r="CJ213" i="1" s="1"/>
  <c r="CJ218" i="1" s="1"/>
  <c r="CJ100" i="1"/>
  <c r="CJ78" i="1"/>
  <c r="CK78" i="1"/>
  <c r="CK95" i="1"/>
  <c r="CK94" i="1"/>
  <c r="CK93" i="1"/>
  <c r="CJ62" i="1"/>
  <c r="CK215" i="1"/>
  <c r="CK213" i="1" s="1"/>
  <c r="CU35" i="1" l="1"/>
  <c r="CJ103" i="1"/>
  <c r="CV48" i="1"/>
  <c r="CJ104" i="1"/>
  <c r="CJ102" i="1"/>
  <c r="CJ168" i="1"/>
  <c r="CJ169" i="1" s="1"/>
  <c r="CK104" i="1"/>
  <c r="CK103" i="1"/>
  <c r="CK102" i="1"/>
  <c r="CK98" i="1"/>
  <c r="CL94" i="1"/>
  <c r="CV35" i="1" l="1"/>
  <c r="CW48" i="1"/>
  <c r="CJ219" i="1"/>
  <c r="CK217" i="1"/>
  <c r="CK218" i="1" s="1"/>
  <c r="CK168" i="1" s="1"/>
  <c r="CK169" i="1" s="1"/>
  <c r="CJ176" i="1"/>
  <c r="CK45" i="1" s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CJ173" i="1"/>
  <c r="CJ174" i="1" s="1"/>
  <c r="CJ252" i="1"/>
  <c r="CJ254" i="1"/>
  <c r="CJ256" i="1"/>
  <c r="CW35" i="1" l="1"/>
  <c r="CX48" i="1"/>
  <c r="CY48" i="1"/>
  <c r="CK219" i="1"/>
  <c r="CK256" i="1"/>
  <c r="CK254" i="1"/>
  <c r="CK173" i="1"/>
  <c r="CK174" i="1" s="1"/>
  <c r="CK252" i="1"/>
  <c r="CK176" i="1"/>
  <c r="CK117" i="1" s="1"/>
  <c r="CJ117" i="1"/>
  <c r="CJ118" i="1"/>
  <c r="CJ121" i="1" s="1"/>
  <c r="CX35" i="1" l="1"/>
  <c r="CY35" i="1" s="1"/>
  <c r="CJ119" i="1"/>
  <c r="CJ122" i="1" s="1"/>
  <c r="CZ48" i="1"/>
  <c r="CK119" i="1"/>
  <c r="CK122" i="1" s="1"/>
  <c r="CK118" i="1"/>
  <c r="CK121" i="1" s="1"/>
  <c r="AA127" i="1"/>
  <c r="AA128" i="1" s="1"/>
  <c r="CZ35" i="1" l="1"/>
  <c r="CM95" i="1"/>
  <c r="CN95" i="1" s="1"/>
  <c r="CO95" i="1" s="1"/>
  <c r="CP95" i="1" s="1"/>
  <c r="CQ95" i="1" s="1"/>
  <c r="CR95" i="1" s="1"/>
  <c r="CS95" i="1" s="1"/>
  <c r="CT95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AA137" i="1"/>
  <c r="AA100" i="1"/>
  <c r="AA102" i="1" s="1"/>
  <c r="AA183" i="1"/>
  <c r="CG97" i="1"/>
  <c r="CM94" i="1" l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AA86" i="1"/>
  <c r="CU95" i="1"/>
  <c r="AA87" i="1"/>
  <c r="CV95" i="1" l="1"/>
  <c r="AA104" i="1"/>
  <c r="AA90" i="1"/>
  <c r="AA116" i="1"/>
  <c r="AA103" i="1"/>
  <c r="AA115" i="1"/>
  <c r="AA89" i="1"/>
  <c r="AA168" i="1"/>
  <c r="AA169" i="1" s="1"/>
  <c r="AA254" i="1" l="1"/>
  <c r="AA176" i="1"/>
  <c r="AA117" i="1" s="1"/>
  <c r="AA119" i="1" s="1"/>
  <c r="AA256" i="1"/>
  <c r="AB217" i="1"/>
  <c r="AA173" i="1"/>
  <c r="AA174" i="1" s="1"/>
  <c r="CL217" i="1"/>
  <c r="CW95" i="1"/>
  <c r="CX95" i="1" l="1"/>
  <c r="CL44" i="1"/>
  <c r="AA118" i="1"/>
  <c r="CY95" i="1" l="1"/>
  <c r="CZ95" i="1" l="1"/>
  <c r="CK10" i="1" l="1"/>
  <c r="CL10" i="1" s="1"/>
  <c r="CK6" i="1"/>
  <c r="CL7" i="1" l="1"/>
  <c r="CM10" i="1"/>
  <c r="CK11" i="1"/>
  <c r="CO11" i="1" s="1"/>
  <c r="CO6" i="1" s="1"/>
  <c r="CP11" i="1" l="1"/>
  <c r="CN10" i="1"/>
  <c r="CL8" i="1"/>
  <c r="CL16" i="1"/>
  <c r="CO10" i="1" l="1"/>
  <c r="CL18" i="1"/>
  <c r="CL261" i="1"/>
  <c r="CL260" i="1"/>
  <c r="CL239" i="1"/>
  <c r="CL106" i="1"/>
  <c r="CL107" i="1" s="1"/>
  <c r="CL110" i="1" s="1"/>
  <c r="CQ11" i="1"/>
  <c r="CM7" i="1"/>
  <c r="CM16" i="1" s="1"/>
  <c r="CM5" i="1"/>
  <c r="CP6" i="1"/>
  <c r="CP10" i="1" l="1"/>
  <c r="CM8" i="1"/>
  <c r="CQ10" i="1"/>
  <c r="CR10" i="1" s="1"/>
  <c r="CL34" i="1"/>
  <c r="CL31" i="1" s="1"/>
  <c r="CL152" i="1"/>
  <c r="CL19" i="1"/>
  <c r="CL161" i="1"/>
  <c r="CL233" i="1"/>
  <c r="CL20" i="1"/>
  <c r="CL160" i="1"/>
  <c r="CL24" i="1"/>
  <c r="CL154" i="1"/>
  <c r="CL153" i="1"/>
  <c r="CN5" i="1"/>
  <c r="CM18" i="1"/>
  <c r="CM239" i="1"/>
  <c r="CM261" i="1"/>
  <c r="CQ6" i="1"/>
  <c r="CR11" i="1"/>
  <c r="CS11" i="1" s="1"/>
  <c r="CM106" i="1"/>
  <c r="CM107" i="1" s="1"/>
  <c r="CM110" i="1" s="1"/>
  <c r="CN7" i="1" l="1"/>
  <c r="CN16" i="1" s="1"/>
  <c r="AA16" i="1" s="1"/>
  <c r="CS10" i="1"/>
  <c r="CL36" i="1"/>
  <c r="CL27" i="1"/>
  <c r="CL26" i="1"/>
  <c r="CN8" i="1"/>
  <c r="CL164" i="1"/>
  <c r="CL23" i="1"/>
  <c r="CL156" i="1"/>
  <c r="CM152" i="1"/>
  <c r="CM161" i="1"/>
  <c r="CM153" i="1"/>
  <c r="CM20" i="1"/>
  <c r="CM160" i="1"/>
  <c r="CM154" i="1"/>
  <c r="CM34" i="1"/>
  <c r="CM31" i="1" s="1"/>
  <c r="CM24" i="1"/>
  <c r="CM23" i="1" s="1"/>
  <c r="CM19" i="1"/>
  <c r="CM233" i="1"/>
  <c r="CS6" i="1"/>
  <c r="CR6" i="1"/>
  <c r="CT11" i="1"/>
  <c r="AA190" i="1" l="1"/>
  <c r="CN261" i="1"/>
  <c r="AA18" i="1"/>
  <c r="CN18" i="1"/>
  <c r="CN233" i="1" s="1"/>
  <c r="AA193" i="1"/>
  <c r="AA188" i="1"/>
  <c r="AA191" i="1"/>
  <c r="AA261" i="1"/>
  <c r="AA187" i="1"/>
  <c r="CN239" i="1"/>
  <c r="CN106" i="1"/>
  <c r="CN107" i="1" s="1"/>
  <c r="CN110" i="1" s="1"/>
  <c r="CT10" i="1"/>
  <c r="CM156" i="1"/>
  <c r="AA8" i="1"/>
  <c r="CO5" i="1"/>
  <c r="CO7" i="1"/>
  <c r="CO16" i="1" s="1"/>
  <c r="CM36" i="1"/>
  <c r="CM26" i="1"/>
  <c r="CM27" i="1"/>
  <c r="CM164" i="1"/>
  <c r="CL204" i="1"/>
  <c r="CL165" i="1"/>
  <c r="CL42" i="1"/>
  <c r="CL39" i="1"/>
  <c r="CL240" i="1"/>
  <c r="CL241" i="1" s="1"/>
  <c r="CL38" i="1"/>
  <c r="CL234" i="1"/>
  <c r="CL258" i="1"/>
  <c r="CL259" i="1" s="1"/>
  <c r="CL120" i="1"/>
  <c r="CL37" i="1"/>
  <c r="CT6" i="1"/>
  <c r="CU11" i="1"/>
  <c r="CV11" i="1" s="1"/>
  <c r="AA106" i="1"/>
  <c r="AA107" i="1" s="1"/>
  <c r="CU10" i="1"/>
  <c r="CL205" i="1"/>
  <c r="CM234" i="1" l="1"/>
  <c r="CN161" i="1"/>
  <c r="CN153" i="1"/>
  <c r="CN24" i="1"/>
  <c r="CN23" i="1" s="1"/>
  <c r="AA23" i="1" s="1"/>
  <c r="AA24" i="1" s="1"/>
  <c r="CN19" i="1"/>
  <c r="CN34" i="1"/>
  <c r="CN31" i="1" s="1"/>
  <c r="AA31" i="1" s="1"/>
  <c r="AA34" i="1" s="1"/>
  <c r="AA35" i="1" s="1"/>
  <c r="CN160" i="1"/>
  <c r="CN152" i="1"/>
  <c r="CN154" i="1"/>
  <c r="CN20" i="1"/>
  <c r="AA7" i="1"/>
  <c r="AA10" i="1" s="1"/>
  <c r="AA66" i="1"/>
  <c r="AA252" i="1"/>
  <c r="AA19" i="1"/>
  <c r="AA196" i="1"/>
  <c r="AA194" i="1"/>
  <c r="AA197" i="1" s="1"/>
  <c r="AA198" i="1" s="1"/>
  <c r="AA189" i="1"/>
  <c r="AA192" i="1"/>
  <c r="CM204" i="1"/>
  <c r="CM120" i="1"/>
  <c r="CM205" i="1"/>
  <c r="CN156" i="1"/>
  <c r="CN204" i="1" s="1"/>
  <c r="AA36" i="1"/>
  <c r="AA67" i="1"/>
  <c r="CV6" i="1"/>
  <c r="CL46" i="1"/>
  <c r="AB5" i="1"/>
  <c r="CM165" i="1"/>
  <c r="CU6" i="1"/>
  <c r="CO261" i="1"/>
  <c r="CO18" i="1"/>
  <c r="CO239" i="1"/>
  <c r="CO106" i="1"/>
  <c r="CO107" i="1" s="1"/>
  <c r="CO110" i="1" s="1"/>
  <c r="CV10" i="1"/>
  <c r="AA111" i="1"/>
  <c r="AA110" i="1"/>
  <c r="AA112" i="1"/>
  <c r="CL206" i="1"/>
  <c r="CM42" i="1"/>
  <c r="CM37" i="1"/>
  <c r="CM240" i="1"/>
  <c r="CM241" i="1" s="1"/>
  <c r="CM39" i="1"/>
  <c r="CM258" i="1"/>
  <c r="CM259" i="1" s="1"/>
  <c r="CM38" i="1"/>
  <c r="CO8" i="1"/>
  <c r="CW11" i="1"/>
  <c r="CW6" i="1" s="1"/>
  <c r="AA25" i="1" l="1"/>
  <c r="AA26" i="1"/>
  <c r="AA6" i="1"/>
  <c r="AA11" i="1" s="1"/>
  <c r="CN164" i="1"/>
  <c r="CN36" i="1"/>
  <c r="CN26" i="1"/>
  <c r="CN27" i="1"/>
  <c r="CM206" i="1"/>
  <c r="CX11" i="1"/>
  <c r="CX6" i="1" s="1"/>
  <c r="CL47" i="1"/>
  <c r="CL49" i="1" s="1"/>
  <c r="CP7" i="1"/>
  <c r="CP16" i="1" s="1"/>
  <c r="CP5" i="1"/>
  <c r="CO34" i="1"/>
  <c r="CO31" i="1" s="1"/>
  <c r="CO160" i="1"/>
  <c r="CO24" i="1"/>
  <c r="CO152" i="1"/>
  <c r="CO161" i="1"/>
  <c r="AB161" i="1" s="1"/>
  <c r="CO153" i="1"/>
  <c r="AB153" i="1" s="1"/>
  <c r="CO154" i="1"/>
  <c r="AB154" i="1" s="1"/>
  <c r="CO19" i="1"/>
  <c r="CO20" i="1"/>
  <c r="CO233" i="1"/>
  <c r="CN42" i="1"/>
  <c r="CN37" i="1"/>
  <c r="CN240" i="1"/>
  <c r="CN241" i="1" s="1"/>
  <c r="CN38" i="1"/>
  <c r="CN39" i="1"/>
  <c r="CN234" i="1"/>
  <c r="CN120" i="1"/>
  <c r="CW10" i="1"/>
  <c r="CX10" i="1" s="1"/>
  <c r="AA120" i="1"/>
  <c r="AA37" i="1"/>
  <c r="AA38" i="1"/>
  <c r="AA42" i="1"/>
  <c r="AA258" i="1"/>
  <c r="AA259" i="1" s="1"/>
  <c r="CN258" i="1" l="1"/>
  <c r="CN259" i="1" s="1"/>
  <c r="CN165" i="1"/>
  <c r="CN205" i="1"/>
  <c r="CN206" i="1" s="1"/>
  <c r="AA68" i="1"/>
  <c r="CY11" i="1"/>
  <c r="CY6" i="1" s="1"/>
  <c r="CP8" i="1"/>
  <c r="CL56" i="1"/>
  <c r="CL242" i="1"/>
  <c r="CL50" i="1"/>
  <c r="CL253" i="1" s="1"/>
  <c r="CL235" i="1"/>
  <c r="CL52" i="1"/>
  <c r="CL51" i="1"/>
  <c r="AB160" i="1"/>
  <c r="AB164" i="1" s="1"/>
  <c r="CO164" i="1"/>
  <c r="AA63" i="1"/>
  <c r="AA122" i="1"/>
  <c r="AA121" i="1"/>
  <c r="CO26" i="1"/>
  <c r="CO27" i="1"/>
  <c r="CO36" i="1"/>
  <c r="CY10" i="1"/>
  <c r="CZ10" i="1" s="1"/>
  <c r="AB152" i="1"/>
  <c r="CO156" i="1"/>
  <c r="CO23" i="1"/>
  <c r="CP18" i="1"/>
  <c r="CP239" i="1"/>
  <c r="CP261" i="1"/>
  <c r="CP106" i="1"/>
  <c r="CP107" i="1" s="1"/>
  <c r="CP110" i="1" s="1"/>
  <c r="CZ11" i="1" l="1"/>
  <c r="CZ6" i="1" s="1"/>
  <c r="CQ7" i="1"/>
  <c r="CQ16" i="1" s="1"/>
  <c r="CQ106" i="1" s="1"/>
  <c r="CQ107" i="1" s="1"/>
  <c r="CQ110" i="1" s="1"/>
  <c r="CQ5" i="1"/>
  <c r="CO42" i="1"/>
  <c r="CO38" i="1"/>
  <c r="CO240" i="1"/>
  <c r="CO241" i="1" s="1"/>
  <c r="CO37" i="1"/>
  <c r="CO258" i="1"/>
  <c r="CO259" i="1" s="1"/>
  <c r="CO39" i="1"/>
  <c r="CO120" i="1"/>
  <c r="CO234" i="1"/>
  <c r="CO205" i="1"/>
  <c r="AB205" i="1"/>
  <c r="CO165" i="1"/>
  <c r="CO204" i="1"/>
  <c r="CL74" i="1"/>
  <c r="CL201" i="1"/>
  <c r="CL203" i="1" s="1"/>
  <c r="CL207" i="1" s="1"/>
  <c r="CL221" i="1" s="1"/>
  <c r="CL127" i="1"/>
  <c r="CP160" i="1"/>
  <c r="CP153" i="1"/>
  <c r="CP152" i="1"/>
  <c r="CP20" i="1"/>
  <c r="CP34" i="1"/>
  <c r="CP31" i="1" s="1"/>
  <c r="CP24" i="1"/>
  <c r="CP23" i="1" s="1"/>
  <c r="CP161" i="1"/>
  <c r="CP154" i="1"/>
  <c r="CP19" i="1"/>
  <c r="CP233" i="1"/>
  <c r="AB156" i="1"/>
  <c r="CQ8" i="1" l="1"/>
  <c r="CR7" i="1" s="1"/>
  <c r="CR16" i="1" s="1"/>
  <c r="CQ18" i="1"/>
  <c r="CQ233" i="1" s="1"/>
  <c r="CQ239" i="1"/>
  <c r="CQ261" i="1"/>
  <c r="CL128" i="1"/>
  <c r="CL77" i="1"/>
  <c r="CO206" i="1"/>
  <c r="AB165" i="1"/>
  <c r="AB204" i="1"/>
  <c r="AB206" i="1" s="1"/>
  <c r="CP36" i="1"/>
  <c r="CP27" i="1"/>
  <c r="CP26" i="1"/>
  <c r="CP156" i="1"/>
  <c r="CP164" i="1"/>
  <c r="CR5" i="1" l="1"/>
  <c r="CR8" i="1" s="1"/>
  <c r="CR261" i="1"/>
  <c r="CR239" i="1"/>
  <c r="AB16" i="1"/>
  <c r="AB190" i="1" s="1"/>
  <c r="CR18" i="1"/>
  <c r="CR106" i="1"/>
  <c r="CR107" i="1" s="1"/>
  <c r="CR110" i="1" s="1"/>
  <c r="CQ161" i="1"/>
  <c r="CQ153" i="1"/>
  <c r="CQ24" i="1"/>
  <c r="CQ23" i="1" s="1"/>
  <c r="CQ154" i="1"/>
  <c r="CQ160" i="1"/>
  <c r="CQ34" i="1"/>
  <c r="CQ31" i="1" s="1"/>
  <c r="CQ152" i="1"/>
  <c r="CQ20" i="1"/>
  <c r="CQ19" i="1"/>
  <c r="AB8" i="1"/>
  <c r="CS7" i="1"/>
  <c r="CS16" i="1" s="1"/>
  <c r="CS106" i="1" s="1"/>
  <c r="CS107" i="1" s="1"/>
  <c r="CS110" i="1" s="1"/>
  <c r="CP205" i="1"/>
  <c r="CL215" i="1"/>
  <c r="CL213" i="1" s="1"/>
  <c r="CL218" i="1" s="1"/>
  <c r="CL137" i="1"/>
  <c r="CL63" i="1" s="1"/>
  <c r="CL100" i="1"/>
  <c r="CL102" i="1" s="1"/>
  <c r="CL62" i="1"/>
  <c r="CL87" i="1"/>
  <c r="CH97" i="1"/>
  <c r="CL86" i="1"/>
  <c r="CL78" i="1"/>
  <c r="CL93" i="1"/>
  <c r="CP42" i="1"/>
  <c r="CP37" i="1"/>
  <c r="CP38" i="1"/>
  <c r="CP240" i="1"/>
  <c r="CP241" i="1" s="1"/>
  <c r="CP39" i="1"/>
  <c r="CP258" i="1"/>
  <c r="CP259" i="1" s="1"/>
  <c r="CP234" i="1"/>
  <c r="CP120" i="1"/>
  <c r="CP165" i="1"/>
  <c r="CP204" i="1"/>
  <c r="CS5" i="1" l="1"/>
  <c r="CQ156" i="1"/>
  <c r="CQ164" i="1"/>
  <c r="CQ205" i="1" s="1"/>
  <c r="AB187" i="1"/>
  <c r="CR152" i="1"/>
  <c r="CR161" i="1"/>
  <c r="CR24" i="1"/>
  <c r="CR154" i="1"/>
  <c r="CR233" i="1"/>
  <c r="AB18" i="1"/>
  <c r="AB261" i="1"/>
  <c r="AB191" i="1"/>
  <c r="AB188" i="1"/>
  <c r="AB193" i="1"/>
  <c r="CR160" i="1"/>
  <c r="CR153" i="1"/>
  <c r="CR34" i="1"/>
  <c r="CR31" i="1" s="1"/>
  <c r="CR20" i="1"/>
  <c r="CR19" i="1"/>
  <c r="CQ26" i="1"/>
  <c r="CQ27" i="1"/>
  <c r="CQ36" i="1"/>
  <c r="AB31" i="1"/>
  <c r="AB34" i="1" s="1"/>
  <c r="CQ120" i="1"/>
  <c r="AB189" i="1"/>
  <c r="CS8" i="1"/>
  <c r="CQ165" i="1"/>
  <c r="CQ204" i="1"/>
  <c r="CS18" i="1"/>
  <c r="CS239" i="1"/>
  <c r="CS261" i="1"/>
  <c r="AC5" i="1"/>
  <c r="CP206" i="1"/>
  <c r="AB35" i="1"/>
  <c r="CR164" i="1"/>
  <c r="CR36" i="1"/>
  <c r="CR26" i="1"/>
  <c r="CR27" i="1"/>
  <c r="AB192" i="1"/>
  <c r="CL115" i="1"/>
  <c r="CL89" i="1"/>
  <c r="CQ42" i="1"/>
  <c r="CQ38" i="1"/>
  <c r="CL168" i="1"/>
  <c r="CL169" i="1" s="1"/>
  <c r="CL219" i="1" s="1"/>
  <c r="CL116" i="1"/>
  <c r="CL90" i="1"/>
  <c r="CQ240" i="1" l="1"/>
  <c r="CQ241" i="1" s="1"/>
  <c r="CQ258" i="1"/>
  <c r="CQ259" i="1" s="1"/>
  <c r="CQ39" i="1"/>
  <c r="CQ37" i="1"/>
  <c r="AB194" i="1"/>
  <c r="AB197" i="1" s="1"/>
  <c r="CR23" i="1"/>
  <c r="AB23" i="1" s="1"/>
  <c r="AB7" i="1"/>
  <c r="AB19" i="1"/>
  <c r="AB106" i="1"/>
  <c r="AB107" i="1" s="1"/>
  <c r="AB110" i="1" s="1"/>
  <c r="AB66" i="1"/>
  <c r="AB196" i="1"/>
  <c r="CR156" i="1"/>
  <c r="CQ234" i="1"/>
  <c r="CR120" i="1"/>
  <c r="CQ206" i="1"/>
  <c r="CR205" i="1"/>
  <c r="CT7" i="1"/>
  <c r="CT16" i="1" s="1"/>
  <c r="CT5" i="1"/>
  <c r="CS34" i="1"/>
  <c r="CS31" i="1" s="1"/>
  <c r="CS153" i="1"/>
  <c r="AC153" i="1" s="1"/>
  <c r="CS161" i="1"/>
  <c r="AC161" i="1" s="1"/>
  <c r="CS152" i="1"/>
  <c r="CS154" i="1"/>
  <c r="AC154" i="1" s="1"/>
  <c r="CS20" i="1"/>
  <c r="CS160" i="1"/>
  <c r="CS24" i="1"/>
  <c r="CS23" i="1" s="1"/>
  <c r="CS19" i="1"/>
  <c r="CS233" i="1"/>
  <c r="AB24" i="1"/>
  <c r="AB198" i="1"/>
  <c r="CR42" i="1"/>
  <c r="CR37" i="1"/>
  <c r="CR258" i="1"/>
  <c r="CR259" i="1" s="1"/>
  <c r="CR240" i="1"/>
  <c r="CR241" i="1" s="1"/>
  <c r="CR38" i="1"/>
  <c r="CR39" i="1"/>
  <c r="CR234" i="1"/>
  <c r="CL173" i="1"/>
  <c r="CL174" i="1" s="1"/>
  <c r="CM217" i="1"/>
  <c r="CL176" i="1"/>
  <c r="CL254" i="1"/>
  <c r="CL256" i="1"/>
  <c r="CL252" i="1"/>
  <c r="AB10" i="1" l="1"/>
  <c r="AB6" i="1"/>
  <c r="AB11" i="1" s="1"/>
  <c r="CR165" i="1"/>
  <c r="CR204" i="1"/>
  <c r="CR206" i="1"/>
  <c r="AB36" i="1"/>
  <c r="AB25" i="1"/>
  <c r="AC160" i="1"/>
  <c r="AC164" i="1" s="1"/>
  <c r="CS164" i="1"/>
  <c r="CS27" i="1"/>
  <c r="CS26" i="1"/>
  <c r="AB67" i="1"/>
  <c r="AB26" i="1"/>
  <c r="CT8" i="1"/>
  <c r="CS156" i="1"/>
  <c r="CS204" i="1" s="1"/>
  <c r="CT239" i="1"/>
  <c r="CS36" i="1"/>
  <c r="AC152" i="1"/>
  <c r="CT18" i="1"/>
  <c r="CT261" i="1"/>
  <c r="CT106" i="1"/>
  <c r="CT107" i="1" s="1"/>
  <c r="CT110" i="1" s="1"/>
  <c r="CM44" i="1"/>
  <c r="CL117" i="1"/>
  <c r="AB42" i="1" l="1"/>
  <c r="AB37" i="1"/>
  <c r="AB120" i="1"/>
  <c r="AB38" i="1"/>
  <c r="CS120" i="1"/>
  <c r="CT160" i="1"/>
  <c r="CT152" i="1"/>
  <c r="CT24" i="1"/>
  <c r="CT20" i="1"/>
  <c r="CT153" i="1"/>
  <c r="CT161" i="1"/>
  <c r="AB68" i="1"/>
  <c r="AB258" i="1"/>
  <c r="AB259" i="1" s="1"/>
  <c r="AC205" i="1"/>
  <c r="CS205" i="1"/>
  <c r="CS234" i="1"/>
  <c r="CT34" i="1"/>
  <c r="CT31" i="1" s="1"/>
  <c r="CU7" i="1"/>
  <c r="CU16" i="1" s="1"/>
  <c r="CU5" i="1"/>
  <c r="CS42" i="1"/>
  <c r="CS39" i="1"/>
  <c r="CS240" i="1"/>
  <c r="CS241" i="1" s="1"/>
  <c r="CS38" i="1"/>
  <c r="CS258" i="1"/>
  <c r="CS259" i="1" s="1"/>
  <c r="CS37" i="1"/>
  <c r="CT154" i="1"/>
  <c r="CT19" i="1"/>
  <c r="CT233" i="1"/>
  <c r="CS165" i="1"/>
  <c r="AC156" i="1"/>
  <c r="CL119" i="1"/>
  <c r="CL122" i="1" s="1"/>
  <c r="CL118" i="1"/>
  <c r="CL121" i="1" s="1"/>
  <c r="CM260" i="1"/>
  <c r="CM46" i="1"/>
  <c r="CT27" i="1" l="1"/>
  <c r="CT26" i="1"/>
  <c r="CT23" i="1"/>
  <c r="CT164" i="1"/>
  <c r="CS206" i="1"/>
  <c r="CU8" i="1"/>
  <c r="CT156" i="1"/>
  <c r="CT204" i="1" s="1"/>
  <c r="CT36" i="1"/>
  <c r="CU106" i="1"/>
  <c r="CU107" i="1" s="1"/>
  <c r="CU110" i="1" s="1"/>
  <c r="CU239" i="1"/>
  <c r="CU18" i="1"/>
  <c r="CU261" i="1"/>
  <c r="AC165" i="1"/>
  <c r="AC204" i="1"/>
  <c r="AC206" i="1" s="1"/>
  <c r="CM47" i="1"/>
  <c r="CT205" i="1" l="1"/>
  <c r="CT42" i="1"/>
  <c r="CT258" i="1"/>
  <c r="CT259" i="1" s="1"/>
  <c r="CT234" i="1"/>
  <c r="CT120" i="1"/>
  <c r="CV5" i="1"/>
  <c r="CV7" i="1"/>
  <c r="CV16" i="1" s="1"/>
  <c r="CT240" i="1"/>
  <c r="CT241" i="1" s="1"/>
  <c r="CT37" i="1"/>
  <c r="CT39" i="1"/>
  <c r="CT165" i="1"/>
  <c r="CT206" i="1"/>
  <c r="CV8" i="1"/>
  <c r="CT38" i="1"/>
  <c r="CU19" i="1"/>
  <c r="CU154" i="1"/>
  <c r="CU153" i="1"/>
  <c r="CU24" i="1"/>
  <c r="CU152" i="1"/>
  <c r="CU161" i="1"/>
  <c r="CU160" i="1"/>
  <c r="CU164" i="1" s="1"/>
  <c r="CU20" i="1"/>
  <c r="CU34" i="1"/>
  <c r="CU31" i="1" s="1"/>
  <c r="CU233" i="1"/>
  <c r="CM49" i="1"/>
  <c r="CU156" i="1" l="1"/>
  <c r="CV106" i="1"/>
  <c r="CV107" i="1" s="1"/>
  <c r="CV110" i="1" s="1"/>
  <c r="CV261" i="1"/>
  <c r="CV18" i="1"/>
  <c r="CV233" i="1" s="1"/>
  <c r="CV239" i="1"/>
  <c r="AC16" i="1"/>
  <c r="CW7" i="1"/>
  <c r="CW16" i="1" s="1"/>
  <c r="CW5" i="1"/>
  <c r="CW8" i="1" s="1"/>
  <c r="AC8" i="1"/>
  <c r="AD5" i="1" s="1"/>
  <c r="CW106" i="1"/>
  <c r="CW107" i="1" s="1"/>
  <c r="CW110" i="1" s="1"/>
  <c r="CX7" i="1"/>
  <c r="CX16" i="1" s="1"/>
  <c r="CX5" i="1"/>
  <c r="CX8" i="1" s="1"/>
  <c r="CU36" i="1"/>
  <c r="CU234" i="1" s="1"/>
  <c r="CU27" i="1"/>
  <c r="CU26" i="1"/>
  <c r="CU23" i="1"/>
  <c r="CU205" i="1"/>
  <c r="CM51" i="1"/>
  <c r="CM52" i="1"/>
  <c r="CM50" i="1"/>
  <c r="CM253" i="1" s="1"/>
  <c r="CM56" i="1"/>
  <c r="CM242" i="1"/>
  <c r="CM235" i="1"/>
  <c r="CW239" i="1" l="1"/>
  <c r="CV19" i="1"/>
  <c r="CV161" i="1"/>
  <c r="CV153" i="1"/>
  <c r="CV154" i="1"/>
  <c r="CV20" i="1"/>
  <c r="CV24" i="1"/>
  <c r="CV152" i="1"/>
  <c r="CV156" i="1" s="1"/>
  <c r="CV160" i="1"/>
  <c r="CV164" i="1" s="1"/>
  <c r="CV34" i="1"/>
  <c r="CV31" i="1" s="1"/>
  <c r="AC31" i="1" s="1"/>
  <c r="AC34" i="1" s="1"/>
  <c r="AC190" i="1"/>
  <c r="AC188" i="1"/>
  <c r="AC193" i="1"/>
  <c r="AC187" i="1"/>
  <c r="AC191" i="1"/>
  <c r="AC261" i="1"/>
  <c r="AC18" i="1"/>
  <c r="CU165" i="1"/>
  <c r="CU204" i="1"/>
  <c r="CW261" i="1"/>
  <c r="CW18" i="1"/>
  <c r="CW233" i="1" s="1"/>
  <c r="CX18" i="1"/>
  <c r="CX239" i="1"/>
  <c r="CX261" i="1"/>
  <c r="CX106" i="1"/>
  <c r="CX107" i="1" s="1"/>
  <c r="CX110" i="1" s="1"/>
  <c r="CY5" i="1"/>
  <c r="CY7" i="1"/>
  <c r="CY16" i="1" s="1"/>
  <c r="CY106" i="1" s="1"/>
  <c r="CY107" i="1" s="1"/>
  <c r="CY110" i="1" s="1"/>
  <c r="CU240" i="1"/>
  <c r="CU241" i="1" s="1"/>
  <c r="CU37" i="1"/>
  <c r="CU39" i="1"/>
  <c r="CU258" i="1"/>
  <c r="CU259" i="1" s="1"/>
  <c r="CU38" i="1"/>
  <c r="CU42" i="1"/>
  <c r="CU120" i="1"/>
  <c r="CW20" i="1"/>
  <c r="CW161" i="1"/>
  <c r="AD161" i="1" s="1"/>
  <c r="CW34" i="1"/>
  <c r="CW31" i="1" s="1"/>
  <c r="CW152" i="1"/>
  <c r="CW24" i="1"/>
  <c r="CW19" i="1"/>
  <c r="CW153" i="1"/>
  <c r="AD153" i="1" s="1"/>
  <c r="CW160" i="1"/>
  <c r="CW154" i="1"/>
  <c r="AD154" i="1" s="1"/>
  <c r="CM74" i="1"/>
  <c r="CM201" i="1"/>
  <c r="CM203" i="1" s="1"/>
  <c r="CM207" i="1" s="1"/>
  <c r="CM221" i="1" s="1"/>
  <c r="CM127" i="1"/>
  <c r="CV26" i="1" l="1"/>
  <c r="CV27" i="1"/>
  <c r="CV36" i="1"/>
  <c r="CV120" i="1" s="1"/>
  <c r="CV23" i="1"/>
  <c r="AC23" i="1" s="1"/>
  <c r="AC194" i="1"/>
  <c r="AC197" i="1" s="1"/>
  <c r="AC189" i="1"/>
  <c r="AC196" i="1"/>
  <c r="AC106" i="1"/>
  <c r="AC107" i="1" s="1"/>
  <c r="AC110" i="1" s="1"/>
  <c r="AC19" i="1"/>
  <c r="AC66" i="1"/>
  <c r="AC7" i="1"/>
  <c r="CV165" i="1"/>
  <c r="CU206" i="1"/>
  <c r="CV205" i="1"/>
  <c r="CV204" i="1"/>
  <c r="AC192" i="1"/>
  <c r="CX19" i="1"/>
  <c r="CX233" i="1"/>
  <c r="CY8" i="1"/>
  <c r="AC35" i="1"/>
  <c r="CX152" i="1"/>
  <c r="CX24" i="1"/>
  <c r="CX34" i="1"/>
  <c r="CX31" i="1" s="1"/>
  <c r="CX160" i="1"/>
  <c r="CX161" i="1"/>
  <c r="CX153" i="1"/>
  <c r="CX154" i="1"/>
  <c r="CX20" i="1"/>
  <c r="CY18" i="1"/>
  <c r="CY233" i="1" s="1"/>
  <c r="CY239" i="1"/>
  <c r="CY261" i="1"/>
  <c r="CW23" i="1"/>
  <c r="AC24" i="1"/>
  <c r="AC26" i="1" s="1"/>
  <c r="CV206" i="1"/>
  <c r="AD152" i="1"/>
  <c r="AD156" i="1" s="1"/>
  <c r="CW156" i="1"/>
  <c r="CW26" i="1"/>
  <c r="CW27" i="1"/>
  <c r="CW36" i="1"/>
  <c r="AD160" i="1"/>
  <c r="AD164" i="1" s="1"/>
  <c r="AD205" i="1" s="1"/>
  <c r="CW164" i="1"/>
  <c r="CW205" i="1" s="1"/>
  <c r="CV37" i="1"/>
  <c r="CV240" i="1"/>
  <c r="CV241" i="1" s="1"/>
  <c r="CV39" i="1"/>
  <c r="CV38" i="1"/>
  <c r="CV258" i="1"/>
  <c r="CV259" i="1" s="1"/>
  <c r="CV42" i="1"/>
  <c r="CV234" i="1"/>
  <c r="AC6" i="1"/>
  <c r="AC11" i="1" s="1"/>
  <c r="AC10" i="1"/>
  <c r="AC198" i="1"/>
  <c r="CY152" i="1"/>
  <c r="CY160" i="1"/>
  <c r="CY34" i="1"/>
  <c r="CY31" i="1" s="1"/>
  <c r="CM128" i="1"/>
  <c r="CM77" i="1"/>
  <c r="CY24" i="1" l="1"/>
  <c r="CY154" i="1"/>
  <c r="CY161" i="1"/>
  <c r="CY20" i="1"/>
  <c r="CY153" i="1"/>
  <c r="CY19" i="1"/>
  <c r="CZ5" i="1"/>
  <c r="CZ7" i="1"/>
  <c r="CZ16" i="1" s="1"/>
  <c r="CX27" i="1"/>
  <c r="CX36" i="1"/>
  <c r="CX26" i="1"/>
  <c r="CX156" i="1"/>
  <c r="CX23" i="1"/>
  <c r="CX164" i="1"/>
  <c r="CX165" i="1" s="1"/>
  <c r="AC25" i="1"/>
  <c r="AC36" i="1"/>
  <c r="AC38" i="1" s="1"/>
  <c r="AC67" i="1"/>
  <c r="CW234" i="1"/>
  <c r="CW120" i="1"/>
  <c r="CW165" i="1"/>
  <c r="CW204" i="1"/>
  <c r="CW206" i="1" s="1"/>
  <c r="CW37" i="1"/>
  <c r="CW38" i="1"/>
  <c r="CW240" i="1"/>
  <c r="CW241" i="1" s="1"/>
  <c r="CW39" i="1"/>
  <c r="CW258" i="1"/>
  <c r="CW259" i="1" s="1"/>
  <c r="CW42" i="1"/>
  <c r="AD165" i="1"/>
  <c r="AD204" i="1"/>
  <c r="AD206" i="1" s="1"/>
  <c r="CZ8" i="1"/>
  <c r="AD8" i="1" s="1"/>
  <c r="CM137" i="1"/>
  <c r="CM63" i="1" s="1"/>
  <c r="CM100" i="1"/>
  <c r="CM102" i="1" s="1"/>
  <c r="CM215" i="1"/>
  <c r="CM213" i="1" s="1"/>
  <c r="CM218" i="1" s="1"/>
  <c r="CM62" i="1"/>
  <c r="CY164" i="1"/>
  <c r="CX205" i="1"/>
  <c r="CM87" i="1"/>
  <c r="CM78" i="1"/>
  <c r="CM93" i="1"/>
  <c r="CM86" i="1"/>
  <c r="CI97" i="1"/>
  <c r="CY27" i="1"/>
  <c r="CY36" i="1"/>
  <c r="CY26" i="1"/>
  <c r="CX42" i="1"/>
  <c r="CX39" i="1"/>
  <c r="CX258" i="1"/>
  <c r="CX259" i="1" s="1"/>
  <c r="CX37" i="1"/>
  <c r="CX240" i="1"/>
  <c r="CX241" i="1" s="1"/>
  <c r="CX38" i="1" l="1"/>
  <c r="CY120" i="1"/>
  <c r="CX120" i="1"/>
  <c r="CX234" i="1"/>
  <c r="CZ18" i="1"/>
  <c r="CZ239" i="1"/>
  <c r="CZ261" i="1"/>
  <c r="CZ106" i="1"/>
  <c r="CZ107" i="1" s="1"/>
  <c r="CZ110" i="1" s="1"/>
  <c r="AD16" i="1"/>
  <c r="CY23" i="1"/>
  <c r="CY156" i="1"/>
  <c r="CX204" i="1"/>
  <c r="AC258" i="1"/>
  <c r="AC259" i="1" s="1"/>
  <c r="AC42" i="1"/>
  <c r="AC68" i="1"/>
  <c r="AC120" i="1"/>
  <c r="AC37" i="1"/>
  <c r="CY205" i="1"/>
  <c r="CX206" i="1"/>
  <c r="CM168" i="1"/>
  <c r="CM169" i="1" s="1"/>
  <c r="CM219" i="1" s="1"/>
  <c r="CZ24" i="1"/>
  <c r="CZ23" i="1" s="1"/>
  <c r="AD23" i="1" s="1"/>
  <c r="CZ34" i="1"/>
  <c r="CZ31" i="1" s="1"/>
  <c r="AD31" i="1" s="1"/>
  <c r="AD34" i="1" s="1"/>
  <c r="CZ160" i="1"/>
  <c r="CZ161" i="1"/>
  <c r="CZ154" i="1"/>
  <c r="CZ152" i="1"/>
  <c r="CZ20" i="1"/>
  <c r="CZ153" i="1"/>
  <c r="CZ19" i="1"/>
  <c r="CZ233" i="1"/>
  <c r="CY165" i="1"/>
  <c r="CY204" i="1"/>
  <c r="CY42" i="1"/>
  <c r="CY37" i="1"/>
  <c r="CY38" i="1"/>
  <c r="CY39" i="1"/>
  <c r="CY240" i="1"/>
  <c r="CY241" i="1" s="1"/>
  <c r="CY258" i="1"/>
  <c r="CY259" i="1" s="1"/>
  <c r="AD18" i="1"/>
  <c r="CY234" i="1"/>
  <c r="CM115" i="1"/>
  <c r="CM89" i="1"/>
  <c r="CM116" i="1"/>
  <c r="CM90" i="1"/>
  <c r="AD261" i="1" l="1"/>
  <c r="AD188" i="1"/>
  <c r="AD191" i="1"/>
  <c r="AD187" i="1"/>
  <c r="AD193" i="1"/>
  <c r="AD190" i="1"/>
  <c r="CY206" i="1"/>
  <c r="AD192" i="1"/>
  <c r="AD24" i="1"/>
  <c r="AD7" i="1"/>
  <c r="AD19" i="1"/>
  <c r="AD106" i="1"/>
  <c r="AD107" i="1" s="1"/>
  <c r="AD110" i="1" s="1"/>
  <c r="AD196" i="1"/>
  <c r="AD66" i="1"/>
  <c r="CZ26" i="1"/>
  <c r="CZ36" i="1"/>
  <c r="CZ27" i="1"/>
  <c r="CZ164" i="1"/>
  <c r="CZ205" i="1" s="1"/>
  <c r="AD189" i="1"/>
  <c r="AD194" i="1"/>
  <c r="AD197" i="1" s="1"/>
  <c r="CZ156" i="1"/>
  <c r="AD35" i="1"/>
  <c r="CM173" i="1"/>
  <c r="CM174" i="1" s="1"/>
  <c r="CM256" i="1"/>
  <c r="CN217" i="1"/>
  <c r="CM176" i="1"/>
  <c r="CM254" i="1"/>
  <c r="CM252" i="1"/>
  <c r="AD198" i="1" l="1"/>
  <c r="CZ165" i="1"/>
  <c r="CZ204" i="1"/>
  <c r="CZ206" i="1" s="1"/>
  <c r="CZ42" i="1"/>
  <c r="CZ39" i="1"/>
  <c r="CZ240" i="1"/>
  <c r="CZ241" i="1" s="1"/>
  <c r="CZ38" i="1"/>
  <c r="CZ258" i="1"/>
  <c r="CZ259" i="1" s="1"/>
  <c r="CZ37" i="1"/>
  <c r="CZ120" i="1"/>
  <c r="CZ234" i="1"/>
  <c r="AD10" i="1"/>
  <c r="AD6" i="1"/>
  <c r="AD11" i="1" s="1"/>
  <c r="CN44" i="1"/>
  <c r="CM117" i="1"/>
  <c r="AD36" i="1"/>
  <c r="AD67" i="1"/>
  <c r="AD25" i="1"/>
  <c r="AD26" i="1"/>
  <c r="AD42" i="1" l="1"/>
  <c r="AD37" i="1"/>
  <c r="AD120" i="1"/>
  <c r="AD68" i="1"/>
  <c r="AD258" i="1"/>
  <c r="AD259" i="1" s="1"/>
  <c r="AD38" i="1"/>
  <c r="CN260" i="1"/>
  <c r="CN46" i="1"/>
  <c r="AA44" i="1"/>
  <c r="CM119" i="1"/>
  <c r="CM122" i="1" s="1"/>
  <c r="CM118" i="1"/>
  <c r="CM121" i="1" s="1"/>
  <c r="CN47" i="1" l="1"/>
  <c r="AA47" i="1" s="1"/>
  <c r="AA45" i="1"/>
  <c r="AA260" i="1"/>
  <c r="AA46" i="1"/>
  <c r="AA49" i="1" l="1"/>
  <c r="AA50" i="1" s="1"/>
  <c r="AA253" i="1" s="1"/>
  <c r="CN49" i="1"/>
  <c r="CN51" i="1" s="1"/>
  <c r="AA48" i="1"/>
  <c r="CN235" i="1" l="1"/>
  <c r="AA56" i="1"/>
  <c r="AA51" i="1"/>
  <c r="AA69" i="1"/>
  <c r="CN50" i="1"/>
  <c r="CN253" i="1" s="1"/>
  <c r="CN56" i="1"/>
  <c r="CN127" i="1" s="1"/>
  <c r="CN242" i="1"/>
  <c r="CN52" i="1"/>
  <c r="CN74" i="1" l="1"/>
  <c r="CN201" i="1"/>
  <c r="CN203" i="1" s="1"/>
  <c r="CN207" i="1" s="1"/>
  <c r="CN221" i="1" s="1"/>
  <c r="AA201" i="1"/>
  <c r="AA203" i="1" s="1"/>
  <c r="AA207" i="1" s="1"/>
  <c r="AA221" i="1" s="1"/>
  <c r="AA62" i="1"/>
  <c r="AA74" i="1"/>
  <c r="AA215" i="1"/>
  <c r="AA213" i="1" s="1"/>
  <c r="AA59" i="1"/>
  <c r="AA60" i="1" s="1"/>
  <c r="CN128" i="1"/>
  <c r="CN77" i="1" l="1"/>
  <c r="AA218" i="1"/>
  <c r="AA219" i="1" s="1"/>
  <c r="AA77" i="1"/>
  <c r="Z97" i="1" s="1"/>
  <c r="AA76" i="1"/>
  <c r="CN100" i="1"/>
  <c r="CN102" i="1" s="1"/>
  <c r="CN215" i="1"/>
  <c r="CN213" i="1" s="1"/>
  <c r="CN218" i="1" s="1"/>
  <c r="CN137" i="1"/>
  <c r="CN63" i="1" s="1"/>
  <c r="CN62" i="1"/>
  <c r="CN87" i="1" l="1"/>
  <c r="CJ97" i="1"/>
  <c r="CN78" i="1"/>
  <c r="CN86" i="1"/>
  <c r="CN93" i="1"/>
  <c r="CN80" i="1"/>
  <c r="AA93" i="1"/>
  <c r="AA78" i="1"/>
  <c r="AA95" i="1"/>
  <c r="AA94" i="1"/>
  <c r="CN168" i="1"/>
  <c r="CN169" i="1" s="1"/>
  <c r="CN219" i="1" s="1"/>
  <c r="CN116" i="1" l="1"/>
  <c r="CN90" i="1"/>
  <c r="CN115" i="1"/>
  <c r="CN89" i="1"/>
  <c r="CN254" i="1"/>
  <c r="CO217" i="1"/>
  <c r="CN256" i="1"/>
  <c r="CN173" i="1"/>
  <c r="CN174" i="1" s="1"/>
  <c r="CN176" i="1"/>
  <c r="CN252" i="1"/>
  <c r="CN117" i="1" l="1"/>
  <c r="CO44" i="1"/>
  <c r="CO260" i="1" l="1"/>
  <c r="CO46" i="1"/>
  <c r="CN119" i="1"/>
  <c r="CN122" i="1" s="1"/>
  <c r="CN118" i="1"/>
  <c r="CN121" i="1" s="1"/>
  <c r="CO47" i="1" l="1"/>
  <c r="CO49" i="1" s="1"/>
  <c r="CO56" i="1" l="1"/>
  <c r="CO50" i="1"/>
  <c r="CO253" i="1" s="1"/>
  <c r="CO51" i="1"/>
  <c r="CO52" i="1"/>
  <c r="CO242" i="1"/>
  <c r="CO235" i="1"/>
  <c r="CO74" i="1" l="1"/>
  <c r="CO201" i="1"/>
  <c r="CO203" i="1" s="1"/>
  <c r="CO207" i="1" s="1"/>
  <c r="CO221" i="1" s="1"/>
  <c r="CO127" i="1"/>
  <c r="CO128" i="1" l="1"/>
  <c r="AB127" i="1"/>
  <c r="AB128" i="1" s="1"/>
  <c r="CO77" i="1"/>
  <c r="CO87" i="1" l="1"/>
  <c r="CO93" i="1"/>
  <c r="CO86" i="1"/>
  <c r="CO78" i="1"/>
  <c r="CK97" i="1"/>
  <c r="AB137" i="1"/>
  <c r="AB63" i="1" s="1"/>
  <c r="AB183" i="1"/>
  <c r="AB100" i="1"/>
  <c r="AB102" i="1" s="1"/>
  <c r="CO100" i="1"/>
  <c r="CO102" i="1" s="1"/>
  <c r="CO215" i="1"/>
  <c r="CO213" i="1" s="1"/>
  <c r="CO218" i="1" s="1"/>
  <c r="CO137" i="1"/>
  <c r="CO63" i="1" s="1"/>
  <c r="CO62" i="1"/>
  <c r="CO115" i="1" l="1"/>
  <c r="CO89" i="1"/>
  <c r="AB86" i="1"/>
  <c r="CO168" i="1"/>
  <c r="CO116" i="1"/>
  <c r="CO90" i="1"/>
  <c r="AB87" i="1"/>
  <c r="AB103" i="1" l="1"/>
  <c r="AB111" i="1"/>
  <c r="AB115" i="1"/>
  <c r="AB89" i="1"/>
  <c r="AB90" i="1"/>
  <c r="AB104" i="1"/>
  <c r="AB116" i="1"/>
  <c r="AB112" i="1"/>
  <c r="AB168" i="1"/>
  <c r="AB169" i="1" s="1"/>
  <c r="CO169" i="1"/>
  <c r="AC217" i="1" l="1"/>
  <c r="AB173" i="1"/>
  <c r="AB174" i="1" s="1"/>
  <c r="AB254" i="1"/>
  <c r="AB176" i="1"/>
  <c r="AB117" i="1" s="1"/>
  <c r="AB119" i="1" s="1"/>
  <c r="AB122" i="1" s="1"/>
  <c r="AB256" i="1"/>
  <c r="AB252" i="1"/>
  <c r="CP217" i="1"/>
  <c r="CO256" i="1"/>
  <c r="CO173" i="1"/>
  <c r="CO174" i="1" s="1"/>
  <c r="CO254" i="1"/>
  <c r="CO176" i="1"/>
  <c r="CO252" i="1"/>
  <c r="CO219" i="1"/>
  <c r="CO117" i="1" l="1"/>
  <c r="CP44" i="1"/>
  <c r="AB118" i="1"/>
  <c r="AB121" i="1" s="1"/>
  <c r="CP260" i="1" l="1"/>
  <c r="CP46" i="1"/>
  <c r="CO119" i="1"/>
  <c r="CO122" i="1" s="1"/>
  <c r="CO118" i="1"/>
  <c r="CO121" i="1" s="1"/>
  <c r="CP47" i="1" l="1"/>
  <c r="CP49" i="1" l="1"/>
  <c r="CP56" i="1" l="1"/>
  <c r="CP50" i="1"/>
  <c r="CP253" i="1" s="1"/>
  <c r="CP52" i="1"/>
  <c r="CP242" i="1"/>
  <c r="CP51" i="1"/>
  <c r="CP235" i="1"/>
  <c r="CP74" i="1" l="1"/>
  <c r="CP201" i="1"/>
  <c r="CP203" i="1" s="1"/>
  <c r="CP207" i="1" s="1"/>
  <c r="CP221" i="1" s="1"/>
  <c r="CP127" i="1"/>
  <c r="CP128" i="1" l="1"/>
  <c r="CP77" i="1"/>
  <c r="CP87" i="1" l="1"/>
  <c r="CP86" i="1"/>
  <c r="CP93" i="1"/>
  <c r="CP78" i="1"/>
  <c r="CP137" i="1"/>
  <c r="CP63" i="1" s="1"/>
  <c r="CP215" i="1"/>
  <c r="CP213" i="1" s="1"/>
  <c r="CP218" i="1" s="1"/>
  <c r="CP100" i="1"/>
  <c r="CP102" i="1" s="1"/>
  <c r="CP62" i="1"/>
  <c r="CP168" i="1" l="1"/>
  <c r="CP169" i="1" s="1"/>
  <c r="CP219" i="1" s="1"/>
  <c r="CP115" i="1"/>
  <c r="CP89" i="1"/>
  <c r="CP116" i="1"/>
  <c r="CP90" i="1"/>
  <c r="CQ217" i="1" l="1"/>
  <c r="CP173" i="1"/>
  <c r="CP174" i="1" s="1"/>
  <c r="CP256" i="1"/>
  <c r="CP176" i="1"/>
  <c r="CP254" i="1"/>
  <c r="CP252" i="1"/>
  <c r="CP117" i="1" l="1"/>
  <c r="CQ44" i="1"/>
  <c r="CQ260" i="1" l="1"/>
  <c r="CQ46" i="1"/>
  <c r="CP118" i="1"/>
  <c r="CP121" i="1" s="1"/>
  <c r="CP119" i="1"/>
  <c r="CP122" i="1" s="1"/>
  <c r="CQ47" i="1" l="1"/>
  <c r="CQ49" i="1" s="1"/>
  <c r="CQ56" i="1" l="1"/>
  <c r="CQ50" i="1"/>
  <c r="CQ253" i="1" s="1"/>
  <c r="CQ52" i="1"/>
  <c r="CQ242" i="1"/>
  <c r="CQ51" i="1"/>
  <c r="CQ235" i="1"/>
  <c r="CQ201" i="1" l="1"/>
  <c r="CQ203" i="1" s="1"/>
  <c r="CQ207" i="1" s="1"/>
  <c r="CQ221" i="1" s="1"/>
  <c r="CQ74" i="1"/>
  <c r="CQ127" i="1"/>
  <c r="CQ77" i="1" l="1"/>
  <c r="CQ128" i="1"/>
  <c r="CQ215" i="1" l="1"/>
  <c r="CQ213" i="1" s="1"/>
  <c r="CQ218" i="1" s="1"/>
  <c r="CQ137" i="1"/>
  <c r="CQ63" i="1" s="1"/>
  <c r="CQ100" i="1"/>
  <c r="CQ102" i="1" s="1"/>
  <c r="CQ62" i="1"/>
  <c r="CQ86" i="1"/>
  <c r="CQ93" i="1"/>
  <c r="CQ87" i="1"/>
  <c r="CQ78" i="1"/>
  <c r="CQ116" i="1" l="1"/>
  <c r="CQ90" i="1"/>
  <c r="CQ115" i="1"/>
  <c r="CQ89" i="1"/>
  <c r="CQ168" i="1"/>
  <c r="CQ169" i="1" s="1"/>
  <c r="CQ219" i="1" s="1"/>
  <c r="CQ176" i="1" l="1"/>
  <c r="CQ254" i="1"/>
  <c r="CR217" i="1"/>
  <c r="CQ173" i="1"/>
  <c r="CQ174" i="1" s="1"/>
  <c r="CQ256" i="1"/>
  <c r="CQ252" i="1"/>
  <c r="CQ117" i="1" l="1"/>
  <c r="CR44" i="1"/>
  <c r="CQ118" i="1" l="1"/>
  <c r="CQ121" i="1" s="1"/>
  <c r="CQ119" i="1"/>
  <c r="CQ122" i="1" s="1"/>
  <c r="CR260" i="1"/>
  <c r="CR46" i="1"/>
  <c r="AB44" i="1"/>
  <c r="CR47" i="1" l="1"/>
  <c r="AB47" i="1" s="1"/>
  <c r="AB260" i="1"/>
  <c r="AB45" i="1"/>
  <c r="AB46" i="1"/>
  <c r="AB49" i="1" l="1"/>
  <c r="AB51" i="1" s="1"/>
  <c r="CR49" i="1"/>
  <c r="CR50" i="1" s="1"/>
  <c r="CR253" i="1" s="1"/>
  <c r="AB48" i="1"/>
  <c r="CR235" i="1" l="1"/>
  <c r="CR52" i="1"/>
  <c r="AB69" i="1"/>
  <c r="AB50" i="1"/>
  <c r="AB253" i="1" s="1"/>
  <c r="CR56" i="1"/>
  <c r="CR51" i="1"/>
  <c r="AB56" i="1"/>
  <c r="AB62" i="1" s="1"/>
  <c r="CR242" i="1"/>
  <c r="CR201" i="1" l="1"/>
  <c r="CR203" i="1" s="1"/>
  <c r="CR207" i="1" s="1"/>
  <c r="CR221" i="1" s="1"/>
  <c r="CR74" i="1"/>
  <c r="CR127" i="1"/>
  <c r="AB201" i="1"/>
  <c r="AB203" i="1" s="1"/>
  <c r="AB207" i="1" s="1"/>
  <c r="AB221" i="1" s="1"/>
  <c r="AB74" i="1"/>
  <c r="AB59" i="1"/>
  <c r="AB60" i="1" s="1"/>
  <c r="AB215" i="1"/>
  <c r="AB213" i="1" s="1"/>
  <c r="CR77" i="1" l="1"/>
  <c r="AB76" i="1"/>
  <c r="AB77" i="1"/>
  <c r="AB218" i="1"/>
  <c r="AB219" i="1" s="1"/>
  <c r="CR128" i="1"/>
  <c r="AB93" i="1" l="1"/>
  <c r="AB78" i="1"/>
  <c r="AA97" i="1"/>
  <c r="AB95" i="1"/>
  <c r="CR78" i="1"/>
  <c r="AB94" i="1"/>
  <c r="CR87" i="1"/>
  <c r="CR80" i="1"/>
  <c r="CR93" i="1"/>
  <c r="CR86" i="1"/>
  <c r="CR215" i="1"/>
  <c r="CR213" i="1" s="1"/>
  <c r="CR218" i="1" s="1"/>
  <c r="CR137" i="1"/>
  <c r="CR63" i="1" s="1"/>
  <c r="CR100" i="1"/>
  <c r="CR102" i="1" s="1"/>
  <c r="CR62" i="1"/>
  <c r="CR116" i="1" l="1"/>
  <c r="CR90" i="1"/>
  <c r="CR89" i="1"/>
  <c r="CR115" i="1"/>
  <c r="CR168" i="1"/>
  <c r="CR169" i="1" s="1"/>
  <c r="CR173" i="1" l="1"/>
  <c r="CR174" i="1" s="1"/>
  <c r="CR254" i="1"/>
  <c r="CR176" i="1"/>
  <c r="CR252" i="1"/>
  <c r="CS217" i="1"/>
  <c r="CR256" i="1"/>
  <c r="CR219" i="1"/>
  <c r="CS44" i="1" l="1"/>
  <c r="CR117" i="1"/>
  <c r="CR118" i="1" l="1"/>
  <c r="CR121" i="1" s="1"/>
  <c r="CR119" i="1"/>
  <c r="CR122" i="1" s="1"/>
  <c r="CS260" i="1"/>
  <c r="CS46" i="1"/>
  <c r="CS47" i="1" l="1"/>
  <c r="CS49" i="1" s="1"/>
  <c r="CS51" i="1" l="1"/>
  <c r="CS50" i="1"/>
  <c r="CS253" i="1" s="1"/>
  <c r="CS242" i="1"/>
  <c r="CS52" i="1"/>
  <c r="CS235" i="1"/>
  <c r="CS56" i="1"/>
  <c r="CS201" i="1" l="1"/>
  <c r="CS203" i="1" s="1"/>
  <c r="CS207" i="1" s="1"/>
  <c r="CS221" i="1" s="1"/>
  <c r="CS74" i="1"/>
  <c r="CS127" i="1"/>
  <c r="CS77" i="1" l="1"/>
  <c r="CS128" i="1"/>
  <c r="AC127" i="1"/>
  <c r="AC128" i="1" s="1"/>
  <c r="CS86" i="1" l="1"/>
  <c r="CS87" i="1"/>
  <c r="CS93" i="1"/>
  <c r="CS78" i="1"/>
  <c r="CS137" i="1"/>
  <c r="CS63" i="1" s="1"/>
  <c r="CS215" i="1"/>
  <c r="CS213" i="1" s="1"/>
  <c r="CS218" i="1" s="1"/>
  <c r="CS100" i="1"/>
  <c r="CS102" i="1" s="1"/>
  <c r="CS62" i="1"/>
  <c r="AC137" i="1"/>
  <c r="AC63" i="1" s="1"/>
  <c r="AC183" i="1"/>
  <c r="AC100" i="1"/>
  <c r="AC102" i="1" s="1"/>
  <c r="CS116" i="1" l="1"/>
  <c r="CS90" i="1"/>
  <c r="AC87" i="1"/>
  <c r="CS89" i="1"/>
  <c r="AC86" i="1"/>
  <c r="CS115" i="1"/>
  <c r="CS168" i="1"/>
  <c r="AC90" i="1" l="1"/>
  <c r="AC112" i="1"/>
  <c r="AC104" i="1"/>
  <c r="AC89" i="1"/>
  <c r="AC115" i="1"/>
  <c r="AC103" i="1"/>
  <c r="AC116" i="1"/>
  <c r="AC111" i="1"/>
  <c r="AC168" i="1"/>
  <c r="AC169" i="1" s="1"/>
  <c r="CS169" i="1"/>
  <c r="CT217" i="1"/>
  <c r="CS254" i="1"/>
  <c r="CS173" i="1"/>
  <c r="CS174" i="1" s="1"/>
  <c r="CS252" i="1"/>
  <c r="CS219" i="1"/>
  <c r="AC176" i="1" l="1"/>
  <c r="AC117" i="1" s="1"/>
  <c r="AC118" i="1" s="1"/>
  <c r="AC121" i="1" s="1"/>
  <c r="CS176" i="1"/>
  <c r="AD217" i="1"/>
  <c r="CS256" i="1"/>
  <c r="AC173" i="1"/>
  <c r="AC174" i="1" s="1"/>
  <c r="AC254" i="1"/>
  <c r="AC256" i="1"/>
  <c r="AC252" i="1"/>
  <c r="AC119" i="1" l="1"/>
  <c r="AC122" i="1" s="1"/>
  <c r="CT44" i="1"/>
  <c r="CS117" i="1"/>
  <c r="CS119" i="1" l="1"/>
  <c r="CS122" i="1" s="1"/>
  <c r="CT260" i="1"/>
  <c r="CT46" i="1"/>
  <c r="CS118" i="1"/>
  <c r="CS121" i="1" s="1"/>
  <c r="CT47" i="1"/>
  <c r="CT49" i="1" l="1"/>
  <c r="CT50" i="1" l="1"/>
  <c r="CT253" i="1" s="1"/>
  <c r="CT242" i="1"/>
  <c r="CT56" i="1"/>
  <c r="CT51" i="1"/>
  <c r="CT52" i="1"/>
  <c r="CT235" i="1"/>
  <c r="CT74" i="1" l="1"/>
  <c r="CT201" i="1"/>
  <c r="CT203" i="1" s="1"/>
  <c r="CT207" i="1" s="1"/>
  <c r="CT221" i="1" s="1"/>
  <c r="CT127" i="1"/>
  <c r="CT128" i="1" l="1"/>
  <c r="CT77" i="1"/>
  <c r="CT137" i="1" l="1"/>
  <c r="CT63" i="1" s="1"/>
  <c r="CT215" i="1"/>
  <c r="CT213" i="1" s="1"/>
  <c r="CT218" i="1" s="1"/>
  <c r="CT100" i="1"/>
  <c r="CT102" i="1" s="1"/>
  <c r="CT62" i="1"/>
  <c r="CT93" i="1"/>
  <c r="CT86" i="1"/>
  <c r="CT87" i="1"/>
  <c r="CT78" i="1"/>
  <c r="CT90" i="1" l="1"/>
  <c r="CT116" i="1"/>
  <c r="CT168" i="1"/>
  <c r="CT169" i="1" s="1"/>
  <c r="CT219" i="1" s="1"/>
  <c r="CT115" i="1"/>
  <c r="CT89" i="1"/>
  <c r="CT256" i="1" l="1"/>
  <c r="CT254" i="1"/>
  <c r="CT176" i="1"/>
  <c r="CT173" i="1"/>
  <c r="CT174" i="1" s="1"/>
  <c r="CU217" i="1"/>
  <c r="CT252" i="1"/>
  <c r="CU44" i="1" l="1"/>
  <c r="CT117" i="1"/>
  <c r="CT118" i="1" l="1"/>
  <c r="CT121" i="1" s="1"/>
  <c r="CT119" i="1"/>
  <c r="CT122" i="1" s="1"/>
  <c r="CU260" i="1"/>
  <c r="CU46" i="1"/>
  <c r="CU47" i="1" l="1"/>
  <c r="CU49" i="1" l="1"/>
  <c r="CU242" i="1" l="1"/>
  <c r="CU52" i="1"/>
  <c r="CU50" i="1"/>
  <c r="CU253" i="1" s="1"/>
  <c r="CU56" i="1"/>
  <c r="CU51" i="1"/>
  <c r="CU235" i="1"/>
  <c r="CU74" i="1" l="1"/>
  <c r="CU201" i="1"/>
  <c r="CU203" i="1" s="1"/>
  <c r="CU207" i="1" s="1"/>
  <c r="CU221" i="1" s="1"/>
  <c r="CU127" i="1"/>
  <c r="CU128" i="1" l="1"/>
  <c r="CU77" i="1"/>
  <c r="CU137" i="1" l="1"/>
  <c r="CU63" i="1" s="1"/>
  <c r="CU100" i="1"/>
  <c r="CU102" i="1" s="1"/>
  <c r="CU215" i="1"/>
  <c r="CU213" i="1" s="1"/>
  <c r="CU218" i="1" s="1"/>
  <c r="CU62" i="1"/>
  <c r="CU87" i="1"/>
  <c r="CU93" i="1"/>
  <c r="CU86" i="1"/>
  <c r="CU78" i="1"/>
  <c r="CU115" i="1" l="1"/>
  <c r="CU89" i="1"/>
  <c r="CU168" i="1"/>
  <c r="CU169" i="1" s="1"/>
  <c r="CU116" i="1"/>
  <c r="CU90" i="1"/>
  <c r="CV217" i="1" l="1"/>
  <c r="CU256" i="1"/>
  <c r="CU254" i="1"/>
  <c r="CU176" i="1"/>
  <c r="CU173" i="1"/>
  <c r="CU174" i="1" s="1"/>
  <c r="CU252" i="1"/>
  <c r="CU219" i="1"/>
  <c r="CV44" i="1" l="1"/>
  <c r="CU117" i="1"/>
  <c r="CU118" i="1" l="1"/>
  <c r="CU121" i="1" s="1"/>
  <c r="CU119" i="1"/>
  <c r="CU122" i="1" s="1"/>
  <c r="CV260" i="1"/>
  <c r="CV46" i="1"/>
  <c r="AC44" i="1"/>
  <c r="CV47" i="1" l="1"/>
  <c r="AC47" i="1" s="1"/>
  <c r="AC260" i="1"/>
  <c r="AC45" i="1"/>
  <c r="AC46" i="1"/>
  <c r="AC48" i="1" l="1"/>
  <c r="AC49" i="1"/>
  <c r="CV49" i="1"/>
  <c r="CV56" i="1" l="1"/>
  <c r="CV50" i="1"/>
  <c r="CV253" i="1" s="1"/>
  <c r="CV51" i="1"/>
  <c r="CV242" i="1"/>
  <c r="CV52" i="1"/>
  <c r="CV235" i="1"/>
  <c r="AC56" i="1"/>
  <c r="AC69" i="1"/>
  <c r="AC50" i="1"/>
  <c r="AC253" i="1" s="1"/>
  <c r="AC51" i="1"/>
  <c r="AC59" i="1" l="1"/>
  <c r="AC60" i="1" s="1"/>
  <c r="AC74" i="1"/>
  <c r="AC201" i="1"/>
  <c r="AC203" i="1" s="1"/>
  <c r="AC207" i="1" s="1"/>
  <c r="AC221" i="1" s="1"/>
  <c r="AC62" i="1"/>
  <c r="AC215" i="1"/>
  <c r="AC213" i="1" s="1"/>
  <c r="CV74" i="1"/>
  <c r="CV201" i="1"/>
  <c r="CV203" i="1" s="1"/>
  <c r="CV207" i="1" s="1"/>
  <c r="CV221" i="1" s="1"/>
  <c r="CV127" i="1"/>
  <c r="CV77" i="1" l="1"/>
  <c r="CV128" i="1"/>
  <c r="AC77" i="1"/>
  <c r="AC76" i="1"/>
  <c r="AC218" i="1"/>
  <c r="AC219" i="1" s="1"/>
  <c r="CV93" i="1" l="1"/>
  <c r="CV87" i="1"/>
  <c r="CV86" i="1"/>
  <c r="CV80" i="1"/>
  <c r="CV78" i="1"/>
  <c r="AC93" i="1"/>
  <c r="AC78" i="1"/>
  <c r="AB97" i="1"/>
  <c r="AC95" i="1"/>
  <c r="AC94" i="1"/>
  <c r="CV215" i="1"/>
  <c r="CV213" i="1" s="1"/>
  <c r="CV218" i="1" s="1"/>
  <c r="CV100" i="1"/>
  <c r="CV102" i="1" s="1"/>
  <c r="CV137" i="1"/>
  <c r="CV63" i="1" s="1"/>
  <c r="CV62" i="1"/>
  <c r="CV89" i="1" l="1"/>
  <c r="CV115" i="1"/>
  <c r="CV168" i="1"/>
  <c r="CV169" i="1" s="1"/>
  <c r="CV90" i="1"/>
  <c r="CV116" i="1"/>
  <c r="CW217" i="1" l="1"/>
  <c r="CV254" i="1"/>
  <c r="CV256" i="1"/>
  <c r="CV173" i="1"/>
  <c r="CV174" i="1" s="1"/>
  <c r="CV176" i="1"/>
  <c r="CV252" i="1"/>
  <c r="CV219" i="1"/>
  <c r="CV117" i="1" l="1"/>
  <c r="CW44" i="1"/>
  <c r="CW260" i="1" l="1"/>
  <c r="CW46" i="1"/>
  <c r="CV119" i="1"/>
  <c r="CV122" i="1" s="1"/>
  <c r="CV118" i="1"/>
  <c r="CV121" i="1" s="1"/>
  <c r="CW47" i="1" l="1"/>
  <c r="CW49" i="1" s="1"/>
  <c r="CW56" i="1" l="1"/>
  <c r="CW50" i="1"/>
  <c r="CW253" i="1" s="1"/>
  <c r="CW52" i="1"/>
  <c r="CW242" i="1"/>
  <c r="CW51" i="1"/>
  <c r="CW235" i="1"/>
  <c r="CW74" i="1" l="1"/>
  <c r="CW201" i="1"/>
  <c r="CW203" i="1" s="1"/>
  <c r="CW207" i="1" s="1"/>
  <c r="CW221" i="1" s="1"/>
  <c r="CW127" i="1"/>
  <c r="CW128" i="1" l="1"/>
  <c r="AD127" i="1"/>
  <c r="AD128" i="1" s="1"/>
  <c r="CW77" i="1"/>
  <c r="AD137" i="1" l="1"/>
  <c r="AD63" i="1" s="1"/>
  <c r="AD100" i="1"/>
  <c r="AD102" i="1" s="1"/>
  <c r="AD183" i="1"/>
  <c r="CW93" i="1"/>
  <c r="CW86" i="1"/>
  <c r="CW87" i="1"/>
  <c r="CW78" i="1"/>
  <c r="CW215" i="1"/>
  <c r="CW213" i="1" s="1"/>
  <c r="CW218" i="1" s="1"/>
  <c r="CW137" i="1"/>
  <c r="CW63" i="1" s="1"/>
  <c r="CW100" i="1"/>
  <c r="CW102" i="1" s="1"/>
  <c r="CW62" i="1"/>
  <c r="CW90" i="1" l="1"/>
  <c r="CW116" i="1"/>
  <c r="AD87" i="1"/>
  <c r="CW115" i="1"/>
  <c r="CW89" i="1"/>
  <c r="AD86" i="1"/>
  <c r="CW168" i="1"/>
  <c r="AD115" i="1" l="1"/>
  <c r="AD97" i="1"/>
  <c r="AD89" i="1"/>
  <c r="AD103" i="1"/>
  <c r="AD111" i="1"/>
  <c r="CW169" i="1"/>
  <c r="AD168" i="1"/>
  <c r="AD169" i="1" s="1"/>
  <c r="AD90" i="1"/>
  <c r="AD112" i="1"/>
  <c r="AD116" i="1"/>
  <c r="AD104" i="1"/>
  <c r="CW176" i="1" l="1"/>
  <c r="CW254" i="1"/>
  <c r="CW256" i="1"/>
  <c r="CX217" i="1"/>
  <c r="CW173" i="1"/>
  <c r="CW174" i="1" s="1"/>
  <c r="CW252" i="1"/>
  <c r="CW219" i="1"/>
  <c r="AD254" i="1"/>
  <c r="AD256" i="1"/>
  <c r="AD176" i="1"/>
  <c r="AD117" i="1" s="1"/>
  <c r="AD118" i="1" s="1"/>
  <c r="AD121" i="1" s="1"/>
  <c r="AD173" i="1"/>
  <c r="AD174" i="1" s="1"/>
  <c r="AD252" i="1"/>
  <c r="AD119" i="1" l="1"/>
  <c r="AD122" i="1" s="1"/>
  <c r="CW117" i="1"/>
  <c r="CX44" i="1"/>
  <c r="CX260" i="1" l="1"/>
  <c r="CX46" i="1"/>
  <c r="CW118" i="1"/>
  <c r="CW121" i="1" s="1"/>
  <c r="CW119" i="1"/>
  <c r="CW122" i="1" s="1"/>
  <c r="CX47" i="1" l="1"/>
  <c r="CX49" i="1" l="1"/>
  <c r="CX52" i="1" l="1"/>
  <c r="CX242" i="1"/>
  <c r="CX56" i="1"/>
  <c r="CX50" i="1"/>
  <c r="CX253" i="1" s="1"/>
  <c r="CX51" i="1"/>
  <c r="CX235" i="1"/>
  <c r="CX201" i="1" l="1"/>
  <c r="CX203" i="1" s="1"/>
  <c r="CX207" i="1" s="1"/>
  <c r="CX221" i="1" s="1"/>
  <c r="CX74" i="1"/>
  <c r="CX127" i="1"/>
  <c r="CX77" i="1" l="1"/>
  <c r="CX128" i="1"/>
  <c r="CX100" i="1" l="1"/>
  <c r="CX102" i="1" s="1"/>
  <c r="CX215" i="1"/>
  <c r="CX213" i="1" s="1"/>
  <c r="CX218" i="1" s="1"/>
  <c r="CX137" i="1"/>
  <c r="CX63" i="1" s="1"/>
  <c r="CX62" i="1"/>
  <c r="CX93" i="1"/>
  <c r="CX86" i="1"/>
  <c r="CX87" i="1"/>
  <c r="CX78" i="1"/>
  <c r="CX90" i="1" l="1"/>
  <c r="CX116" i="1"/>
  <c r="CX115" i="1"/>
  <c r="CX89" i="1"/>
  <c r="CX168" i="1"/>
  <c r="CX169" i="1" s="1"/>
  <c r="CX219" i="1" s="1"/>
  <c r="CX256" i="1" l="1"/>
  <c r="CY217" i="1"/>
  <c r="CX254" i="1"/>
  <c r="CX173" i="1"/>
  <c r="CX174" i="1" s="1"/>
  <c r="CX176" i="1"/>
  <c r="CX252" i="1"/>
  <c r="CY44" i="1" l="1"/>
  <c r="CX117" i="1"/>
  <c r="CY260" i="1" l="1"/>
  <c r="CY46" i="1"/>
  <c r="CX118" i="1"/>
  <c r="CX121" i="1" s="1"/>
  <c r="CX119" i="1"/>
  <c r="CX122" i="1" s="1"/>
  <c r="CY47" i="1" l="1"/>
  <c r="CY49" i="1" l="1"/>
  <c r="CY242" i="1" l="1"/>
  <c r="CY56" i="1"/>
  <c r="CY51" i="1"/>
  <c r="CY52" i="1"/>
  <c r="CY50" i="1"/>
  <c r="CY253" i="1" s="1"/>
  <c r="CY235" i="1"/>
  <c r="CY74" i="1" l="1"/>
  <c r="CY201" i="1"/>
  <c r="CY203" i="1" s="1"/>
  <c r="CY207" i="1" s="1"/>
  <c r="CY221" i="1" s="1"/>
  <c r="CY127" i="1"/>
  <c r="CY128" i="1" l="1"/>
  <c r="CY77" i="1"/>
  <c r="CY86" i="1" l="1"/>
  <c r="CY87" i="1"/>
  <c r="CY93" i="1"/>
  <c r="CY78" i="1"/>
  <c r="CY100" i="1"/>
  <c r="CY102" i="1" s="1"/>
  <c r="CY137" i="1"/>
  <c r="CY63" i="1" s="1"/>
  <c r="CY215" i="1"/>
  <c r="CY213" i="1" s="1"/>
  <c r="CY218" i="1" s="1"/>
  <c r="CY62" i="1"/>
  <c r="CY168" i="1" l="1"/>
  <c r="CY169" i="1" s="1"/>
  <c r="CY90" i="1"/>
  <c r="CY116" i="1"/>
  <c r="CY115" i="1"/>
  <c r="CY89" i="1"/>
  <c r="CY256" i="1" l="1"/>
  <c r="CY254" i="1"/>
  <c r="CY173" i="1"/>
  <c r="CY174" i="1" s="1"/>
  <c r="CY176" i="1"/>
  <c r="CZ217" i="1"/>
  <c r="CY252" i="1"/>
  <c r="CY219" i="1"/>
  <c r="CZ44" i="1" l="1"/>
  <c r="CY117" i="1"/>
  <c r="CY119" i="1" l="1"/>
  <c r="CY122" i="1" s="1"/>
  <c r="CY118" i="1"/>
  <c r="CY121" i="1" s="1"/>
  <c r="CZ260" i="1"/>
  <c r="CZ46" i="1"/>
  <c r="AD44" i="1"/>
  <c r="CZ47" i="1" l="1"/>
  <c r="AD47" i="1" s="1"/>
  <c r="AD45" i="1"/>
  <c r="AD260" i="1"/>
  <c r="AD46" i="1"/>
  <c r="AD48" i="1" l="1"/>
  <c r="AD49" i="1"/>
  <c r="CZ49" i="1"/>
  <c r="CZ52" i="1" l="1"/>
  <c r="CZ56" i="1"/>
  <c r="CZ51" i="1"/>
  <c r="CZ242" i="1"/>
  <c r="CZ50" i="1"/>
  <c r="CZ253" i="1" s="1"/>
  <c r="CZ235" i="1"/>
  <c r="AD56" i="1"/>
  <c r="AD69" i="1"/>
  <c r="AD50" i="1"/>
  <c r="AD253" i="1" s="1"/>
  <c r="AD51" i="1"/>
  <c r="AD62" i="1" l="1"/>
  <c r="AD74" i="1"/>
  <c r="AD201" i="1"/>
  <c r="AD203" i="1" s="1"/>
  <c r="AD207" i="1" s="1"/>
  <c r="AD221" i="1" s="1"/>
  <c r="AD59" i="1"/>
  <c r="AD60" i="1" s="1"/>
  <c r="AD215" i="1"/>
  <c r="AD213" i="1" s="1"/>
  <c r="CZ74" i="1"/>
  <c r="CZ77" i="1" s="1"/>
  <c r="CZ201" i="1"/>
  <c r="CZ203" i="1" s="1"/>
  <c r="CZ207" i="1" s="1"/>
  <c r="CZ221" i="1" s="1"/>
  <c r="CZ127" i="1"/>
  <c r="CZ128" i="1" s="1"/>
  <c r="CZ62" i="1" s="1"/>
  <c r="CZ93" i="1" l="1"/>
  <c r="CZ87" i="1"/>
  <c r="CZ86" i="1"/>
  <c r="CZ78" i="1"/>
  <c r="AD76" i="1"/>
  <c r="AD77" i="1"/>
  <c r="CZ137" i="1"/>
  <c r="CZ63" i="1" s="1"/>
  <c r="CZ100" i="1"/>
  <c r="CZ102" i="1" s="1"/>
  <c r="CZ215" i="1"/>
  <c r="CZ213" i="1" s="1"/>
  <c r="CZ218" i="1" s="1"/>
  <c r="AD218" i="1"/>
  <c r="AD219" i="1" s="1"/>
  <c r="CZ115" i="1" l="1"/>
  <c r="CZ89" i="1"/>
  <c r="AD93" i="1"/>
  <c r="AD78" i="1"/>
  <c r="AC97" i="1"/>
  <c r="AD94" i="1"/>
  <c r="AD95" i="1"/>
  <c r="CZ116" i="1"/>
  <c r="CZ90" i="1"/>
  <c r="CZ168" i="1"/>
  <c r="CZ169" i="1" s="1"/>
  <c r="CZ256" i="1" l="1"/>
  <c r="CZ173" i="1"/>
  <c r="CZ174" i="1" s="1"/>
  <c r="CZ176" i="1"/>
  <c r="CZ117" i="1" s="1"/>
  <c r="CZ119" i="1" s="1"/>
  <c r="CZ122" i="1" s="1"/>
  <c r="CZ254" i="1"/>
  <c r="CZ252" i="1"/>
  <c r="CZ219" i="1"/>
  <c r="CZ118" i="1" l="1"/>
  <c r="CZ1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<sst xmlns="http://schemas.openxmlformats.org/spreadsheetml/2006/main" count="668" uniqueCount="529">
  <si>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</si>
  <si>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</si>
  <si>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</si>
  <si>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</si>
  <si>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</si>
  <si>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</si>
  <si>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</si>
  <si>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</si>
  <si>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</si>
  <si>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</si>
  <si>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</si>
  <si>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</si>
  <si>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</si>
  <si>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</si>
  <si>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</si>
  <si>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</si>
  <si>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</si>
  <si>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</si>
  <si>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</si>
  <si>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</si>
  <si>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</si>
  <si>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</si>
  <si>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</si>
  <si>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</si>
  <si>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</si>
  <si>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</si>
  <si>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</si>
  <si>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</si>
  <si>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</si>
  <si>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</si>
  <si>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</si>
  <si>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</si>
  <si>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</si>
  <si>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</si>
  <si>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</si>
  <si>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</si>
  <si>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</si>
  <si>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</si>
  <si>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</si>
  <si>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</si>
  <si>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</si>
  <si>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</si>
  <si>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</si>
  <si>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</si>
  <si>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</si>
  <si>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</si>
  <si>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</si>
  <si>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</si>
  <si>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</si>
  <si>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</si>
  <si>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</si>
  <si>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</si>
  <si>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</si>
  <si>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</si>
  <si>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</si>
  <si>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</si>
  <si>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</si>
  <si>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</si>
  <si>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</si>
  <si>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</si>
  <si>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</si>
  <si>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</si>
  <si>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</si>
  <si>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</si>
  <si>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</si>
  <si>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</si>
  <si>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</si>
  <si>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</si>
  <si>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</si>
  <si>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</si>
  <si>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</si>
  <si>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</si>
  <si>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</si>
  <si>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</si>
  <si>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</si>
  <si>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</si>
  <si>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</si>
  <si>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</si>
  <si>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</si>
  <si>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</si>
  <si>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</si>
  <si>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</si>
  <si>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</si>
  <si>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</si>
  <si>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</si>
  <si>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</si>
  <si>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</si>
  <si>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</si>
  <si>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</si>
  <si>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</si>
  <si>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</si>
  <si>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</si>
  <si>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</si>
  <si>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</si>
  <si>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</si>
  <si>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</si>
  <si>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</si>
  <si>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</si>
  <si>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</si>
  <si>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</si>
  <si>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</si>
  <si>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</si>
  <si>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</si>
  <si>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</si>
  <si>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</si>
  <si>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</si>
  <si>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</si>
  <si>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</si>
  <si>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</si>
  <si>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</si>
  <si>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</si>
  <si>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</si>
  <si>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</si>
  <si>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</si>
  <si>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</si>
  <si>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</si>
  <si>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</si>
  <si>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</si>
  <si>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</si>
  <si>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</si>
  <si>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</si>
  <si>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</si>
  <si>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</si>
  <si>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</si>
  <si>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</si>
  <si>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</si>
  <si>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</si>
  <si>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</si>
  <si>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</si>
  <si>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</si>
  <si>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</si>
  <si>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</si>
  <si>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</si>
  <si>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</si>
  <si>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</si>
  <si>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</si>
  <si>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</si>
  <si>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</si>
  <si>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</si>
  <si>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</si>
  <si>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</si>
  <si>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</si>
  <si>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</si>
  <si>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</si>
  <si>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</si>
  <si>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</si>
  <si>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</si>
  <si>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</si>
  <si>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</si>
  <si>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</si>
  <si>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</si>
  <si>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</si>
  <si>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</si>
  <si>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</si>
  <si>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</si>
  <si>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</si>
  <si>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</si>
  <si>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</si>
  <si>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</si>
  <si>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</si>
  <si>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</si>
  <si>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</si>
  <si>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</si>
  <si>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</si>
  <si>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</si>
  <si>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</si>
  <si>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</si>
  <si>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</si>
  <si>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</si>
  <si>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</si>
  <si>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</si>
  <si>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</si>
  <si>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</si>
  <si>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</si>
  <si>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</si>
  <si>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</si>
  <si>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</si>
  <si>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</si>
  <si>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</si>
  <si>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</si>
  <si>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</si>
  <si>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</si>
  <si>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</si>
  <si>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</si>
  <si>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</si>
  <si>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</si>
  <si>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</si>
  <si>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</si>
  <si>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</si>
  <si>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</si>
  <si>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</si>
  <si>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</si>
  <si>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</si>
  <si>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</si>
  <si>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</si>
  <si>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</si>
  <si>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</si>
  <si>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</si>
  <si>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</si>
  <si>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</si>
  <si>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</si>
  <si>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</si>
  <si>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</si>
  <si>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</si>
  <si>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</si>
  <si>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</si>
  <si>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</si>
  <si>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</si>
  <si>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</si>
  <si>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</si>
  <si>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</si>
  <si>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</si>
  <si>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</si>
  <si>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</si>
  <si>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</si>
  <si>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</si>
  <si>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</si>
  <si>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</si>
  <si>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</si>
  <si>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</si>
  <si>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</si>
  <si>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</si>
  <si>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</si>
  <si>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</si>
  <si>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</si>
  <si>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</si>
  <si>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</si>
  <si>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</si>
  <si>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</si>
  <si>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</si>
  <si>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</si>
  <si>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</si>
  <si>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</si>
  <si>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</si>
  <si>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</si>
  <si>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</si>
  <si>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</si>
  <si>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</si>
  <si>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</si>
  <si>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</si>
  <si>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</si>
  <si>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</si>
  <si>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</si>
  <si>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</si>
  <si>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</si>
  <si>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</si>
  <si>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</si>
  <si>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</si>
  <si>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</si>
  <si>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</si>
  <si>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</si>
  <si>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</si>
  <si>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</si>
  <si>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</si>
  <si>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</si>
  <si>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</si>
  <si>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</si>
  <si>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</si>
  <si>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</si>
  <si>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</si>
  <si>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</si>
  <si>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</si>
  <si>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</si>
  <si>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</si>
  <si>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</si>
  <si>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</si>
  <si>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</si>
  <si>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</si>
  <si>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</si>
  <si>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</si>
  <si>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</si>
  <si>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</si>
  <si>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</si>
  <si>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</si>
  <si>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</si>
  <si>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</si>
  <si>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</si>
  <si>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</si>
  <si>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</si>
  <si>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</si>
  <si>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</si>
  <si>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</si>
  <si>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</si>
  <si>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</si>
  <si>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</si>
  <si>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</si>
  <si>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</si>
  <si>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</si>
  <si>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</si>
  <si>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</si>
  <si>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</si>
  <si>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</si>
  <si>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</si>
  <si>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</si>
  <si>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</si>
  <si>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</si>
  <si>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</si>
  <si>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</si>
  <si>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</si>
  <si>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</si>
  <si>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</si>
  <si>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</si>
  <si>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</si>
  <si>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</si>
  <si>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</si>
  <si>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</si>
  <si>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</si>
  <si>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</si>
  <si>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</si>
  <si>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</si>
  <si>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</si>
  <si>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</si>
  <si>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</si>
  <si>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</si>
  <si>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</si>
  <si>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</si>
  <si>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</si>
  <si>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</si>
  <si>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</si>
  <si>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</si>
  <si>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</si>
  <si>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</si>
  <si>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</si>
  <si>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</si>
  <si>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</si>
  <si>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</si>
  <si>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</si>
  <si>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</si>
  <si>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</si>
  <si>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</si>
  <si>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</si>
  <si>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</si>
  <si>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</si>
  <si>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</si>
  <si>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</si>
  <si>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</si>
  <si>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</si>
  <si>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</si>
  <si>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</si>
  <si>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</si>
  <si>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</si>
  <si>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</si>
  <si>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</si>
  <si>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</si>
  <si>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</si>
  <si>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</si>
  <si>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</si>
  <si>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</si>
  <si>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</si>
  <si>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</si>
  <si>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</si>
  <si>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</si>
  <si>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</si>
  <si>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</si>
  <si>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</si>
  <si>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</si>
  <si>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</si>
  <si>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</si>
  <si>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</si>
  <si>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</si>
  <si>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</si>
  <si>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</si>
  <si>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</si>
  <si>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</si>
  <si>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</si>
  <si>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</si>
  <si>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</si>
  <si>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</si>
  <si>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</si>
  <si>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</si>
  <si>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</si>
  <si>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</si>
  <si>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</si>
  <si>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</si>
  <si>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</si>
  <si>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</si>
  <si>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</si>
  <si>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</si>
  <si>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</si>
  <si>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</si>
  <si>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</si>
  <si>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</si>
  <si>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</si>
  <si>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</si>
  <si>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</si>
  <si>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</si>
  <si>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</si>
  <si>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</si>
  <si>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</si>
  <si>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</si>
  <si>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</si>
  <si>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</si>
  <si>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</si>
  <si>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</si>
  <si>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</si>
  <si>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</si>
  <si>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</si>
  <si>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</si>
  <si>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</si>
  <si>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</si>
  <si>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</si>
  <si>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</si>
  <si>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</si>
  <si>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</si>
  <si>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</si>
  <si>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</si>
  <si>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</si>
  <si>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</si>
  <si>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</si>
  <si>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</si>
  <si>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</si>
  <si>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</si>
  <si>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</si>
  <si>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</si>
  <si>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</si>
  <si>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</si>
  <si>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</si>
  <si>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</si>
  <si>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</si>
  <si>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</si>
  <si>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</si>
  <si>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</si>
  <si>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</si>
  <si>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</si>
  <si>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</si>
  <si>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</si>
  <si>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</si>
  <si>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</si>
  <si>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</si>
  <si>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</si>
  <si>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</si>
  <si>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</si>
  <si>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</si>
  <si>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</si>
  <si>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</si>
  <si>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</si>
  <si>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</si>
  <si>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</si>
  <si>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</si>
  <si>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</si>
  <si>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</si>
  <si>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</si>
  <si>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</si>
  <si>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</si>
  <si>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</si>
  <si>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</si>
  <si>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</si>
  <si>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</si>
  <si>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</si>
  <si>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</si>
  <si>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</si>
  <si>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</si>
  <si>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</si>
  <si>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</si>
  <si>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</si>
  <si>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</si>
  <si>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</si>
  <si>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</si>
  <si>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</si>
  <si>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</si>
  <si>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</si>
  <si>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</si>
  <si>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</si>
  <si>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</si>
  <si>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</si>
  <si>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</si>
  <si>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</si>
  <si>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</si>
  <si>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</si>
  <si>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</si>
  <si>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</si>
  <si>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</si>
  <si>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</si>
  <si>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</si>
  <si>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</si>
  <si>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</si>
  <si>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</si>
  <si>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</si>
  <si>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</si>
  <si>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</si>
  <si>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</si>
  <si>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</si>
  <si>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</si>
  <si>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</si>
  <si>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</si>
  <si>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</si>
  <si>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</si>
  <si>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</si>
  <si>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</si>
  <si>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</si>
  <si>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</si>
  <si>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</si>
  <si>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</si>
  <si>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</si>
  <si>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</si>
  <si>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</si>
  <si>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</si>
  <si>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</si>
  <si>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</si>
  <si>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</si>
  <si>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</si>
  <si>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</si>
  <si>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</si>
  <si>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</si>
  <si>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</si>
  <si>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</si>
  <si>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</si>
  <si>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</si>
  <si>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</si>
  <si>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</si>
  <si>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</si>
  <si>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</si>
  <si>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</si>
  <si>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</si>
  <si>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</si>
  <si>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ABB India Ltd.</t>
  </si>
  <si>
    <t>DATE</t>
  </si>
  <si>
    <t>ADJCLOSE</t>
  </si>
  <si>
    <t>ADJHIGH</t>
  </si>
  <si>
    <t>ADJLOW</t>
  </si>
  <si>
    <t>ADJOPEN</t>
  </si>
  <si>
    <t>CLOSE</t>
  </si>
  <si>
    <t>VOLUME</t>
  </si>
  <si>
    <t>Order Book - Opening</t>
  </si>
  <si>
    <t>Order Book - Addition</t>
  </si>
  <si>
    <t>Order Book - Executed</t>
  </si>
  <si>
    <t>Order Book - Closing</t>
  </si>
  <si>
    <t>Execution % Opening order book</t>
  </si>
  <si>
    <t>Additions YOY%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</si>
</sst>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43" fontId="1" fillId="0" borderId="0" applyFont="0" applyFill="0" applyBorder="0" applyAlignment="0" applyProtection="0"/>
  </cellStyleXfs>
  <cellXfs count="19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2" borderId="0" xfId="2" applyFont="1" applyFill="1" applyAlignment="1">
      <alignment horizontal="lef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6">
    <cellStyle name="Comma" xfId="2" builtinId="3"/>
    <cellStyle name="Comma 2" xfId="5" xr:uid="{1C46CDE1-7082-49B9-85EE-4B4987DDCDEE}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62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C15" sqref="DC15:DC262"/>
    </sheetView>
  </sheetViews>
  <sheetFormatPr defaultColWidth="11.140625" defaultRowHeight="12" outlineLevelRow="1" x14ac:dyDescent="0.2"/>
  <cols>
    <col min="1" max="1" width="35.85546875" style="2" customWidth="1"/>
    <col min="2" max="25" width="11.140625" style="2"/>
    <col min="26" max="29" width="11.140625" style="19"/>
    <col min="30" max="30" width="12.140625" style="19" bestFit="1" customWidth="1"/>
    <col min="31" max="89" width="11.140625" style="2"/>
    <col min="90" max="104" width="11.140625" style="24"/>
    <col min="105" max="105" width="11.140625" style="2"/>
    <col min="106" max="106" width="11.140625" style="123"/>
    <col min="107" max="16384" width="11.140625" style="2"/>
  </cols>
  <sheetData>
    <row r="1" spans="1:107" s="81" customFormat="1" x14ac:dyDescent="0.2">
      <c r="A1" s="78" t="str">
        <f>+'Annual Raw'!C4</f>
        <v>ABB India Ltd.</v>
      </c>
      <c r="B1" s="79">
        <v>37226</v>
      </c>
      <c r="C1" s="79">
        <f>EOMONTH(B1,12)</f>
        <v>37621</v>
      </c>
      <c r="D1" s="79">
        <f t="shared" ref="D1:AA1" si="0">EOMONTH(C1,12)</f>
        <v>37986</v>
      </c>
      <c r="E1" s="79">
        <f t="shared" si="0"/>
        <v>38352</v>
      </c>
      <c r="F1" s="79">
        <f t="shared" si="0"/>
        <v>38717</v>
      </c>
      <c r="G1" s="79">
        <f t="shared" si="0"/>
        <v>39082</v>
      </c>
      <c r="H1" s="79">
        <f t="shared" si="0"/>
        <v>39447</v>
      </c>
      <c r="I1" s="79">
        <f t="shared" si="0"/>
        <v>39813</v>
      </c>
      <c r="J1" s="79">
        <f t="shared" si="0"/>
        <v>40178</v>
      </c>
      <c r="K1" s="79">
        <f t="shared" si="0"/>
        <v>40543</v>
      </c>
      <c r="L1" s="79">
        <f t="shared" si="0"/>
        <v>40908</v>
      </c>
      <c r="M1" s="79">
        <f t="shared" si="0"/>
        <v>41274</v>
      </c>
      <c r="N1" s="79">
        <f t="shared" si="0"/>
        <v>41639</v>
      </c>
      <c r="O1" s="79">
        <f t="shared" si="0"/>
        <v>42004</v>
      </c>
      <c r="P1" s="79">
        <f t="shared" si="0"/>
        <v>42369</v>
      </c>
      <c r="Q1" s="79">
        <f t="shared" si="0"/>
        <v>42735</v>
      </c>
      <c r="R1" s="79">
        <f t="shared" si="0"/>
        <v>43100</v>
      </c>
      <c r="S1" s="79">
        <f t="shared" si="0"/>
        <v>43465</v>
      </c>
      <c r="T1" s="79">
        <f t="shared" si="0"/>
        <v>43830</v>
      </c>
      <c r="U1" s="79">
        <f t="shared" si="0"/>
        <v>44196</v>
      </c>
      <c r="V1" s="79">
        <f t="shared" si="0"/>
        <v>44561</v>
      </c>
      <c r="W1" s="79">
        <f t="shared" si="0"/>
        <v>44926</v>
      </c>
      <c r="X1" s="79">
        <f t="shared" si="0"/>
        <v>45291</v>
      </c>
      <c r="Y1" s="79">
        <f t="shared" si="0"/>
        <v>45657</v>
      </c>
      <c r="Z1" s="80">
        <f>EOMONTH(Y1,12)</f>
        <v>46022</v>
      </c>
      <c r="AA1" s="80">
        <f t="shared" si="0"/>
        <v>46387</v>
      </c>
      <c r="AB1" s="80">
        <f t="shared" ref="AB1" si="1">EOMONTH(AA1,12)</f>
        <v>46752</v>
      </c>
      <c r="AC1" s="80">
        <f t="shared" ref="AC1" si="2">EOMONTH(AB1,12)</f>
        <v>47118</v>
      </c>
      <c r="AD1" s="80">
        <f t="shared" ref="AD1" si="3">EOMONTH(AC1,12)</f>
        <v>47483</v>
      </c>
      <c r="AG1" s="81" t="s">
        <v>0</v>
      </c>
      <c r="AH1" s="79">
        <v>41061</v>
      </c>
      <c r="AI1" s="79">
        <v>41153</v>
      </c>
      <c r="AJ1" s="79">
        <v>41244</v>
      </c>
      <c r="AK1" s="79">
        <v>41334</v>
      </c>
      <c r="AL1" s="79">
        <v>41426</v>
      </c>
      <c r="AM1" s="79">
        <v>41518</v>
      </c>
      <c r="AN1" s="79">
        <v>41609</v>
      </c>
      <c r="AO1" s="79">
        <v>41699</v>
      </c>
      <c r="AP1" s="79">
        <v>41791</v>
      </c>
      <c r="AQ1" s="79">
        <v>41883</v>
      </c>
      <c r="AR1" s="79">
        <v>41974</v>
      </c>
      <c r="AS1" s="79">
        <v>42064</v>
      </c>
      <c r="AT1" s="79">
        <v>42156</v>
      </c>
      <c r="AU1" s="79">
        <v>42248</v>
      </c>
      <c r="AV1" s="79">
        <v>42339</v>
      </c>
      <c r="AW1" s="79">
        <v>42430</v>
      </c>
      <c r="AX1" s="79">
        <v>42522</v>
      </c>
      <c r="AY1" s="79">
        <v>42614</v>
      </c>
      <c r="AZ1" s="79">
        <v>42705</v>
      </c>
      <c r="BA1" s="79">
        <v>42795</v>
      </c>
      <c r="BB1" s="79">
        <v>42887</v>
      </c>
      <c r="BC1" s="79">
        <v>42979</v>
      </c>
      <c r="BD1" s="79">
        <v>43070</v>
      </c>
      <c r="BE1" s="79">
        <v>43160</v>
      </c>
      <c r="BF1" s="79">
        <v>43252</v>
      </c>
      <c r="BG1" s="79">
        <v>43344</v>
      </c>
      <c r="BH1" s="79">
        <v>43435</v>
      </c>
      <c r="BI1" s="79">
        <v>43525</v>
      </c>
      <c r="BJ1" s="79">
        <v>43617</v>
      </c>
      <c r="BK1" s="79">
        <v>43709</v>
      </c>
      <c r="BL1" s="79">
        <v>43800</v>
      </c>
      <c r="BM1" s="79">
        <v>43891</v>
      </c>
      <c r="BN1" s="79">
        <v>43983</v>
      </c>
      <c r="BO1" s="79">
        <v>44075</v>
      </c>
      <c r="BP1" s="79">
        <f>EOMONTH(BO1,3)</f>
        <v>44196</v>
      </c>
      <c r="BQ1" s="79">
        <f t="shared" ref="BQ1:BR1" si="4">EOMONTH(BP1,3)</f>
        <v>44286</v>
      </c>
      <c r="BR1" s="79">
        <f t="shared" si="4"/>
        <v>44377</v>
      </c>
      <c r="BS1" s="79">
        <f>EOMONTH(BR1,3)</f>
        <v>44469</v>
      </c>
      <c r="BT1" s="79">
        <f>EOMONTH(BS1,3)</f>
        <v>44561</v>
      </c>
      <c r="BU1" s="79">
        <f t="shared" ref="BU1:BW1" si="5">EOMONTH(BT1,3)</f>
        <v>44651</v>
      </c>
      <c r="BV1" s="79">
        <f t="shared" si="5"/>
        <v>44742</v>
      </c>
      <c r="BW1" s="79">
        <f t="shared" si="5"/>
        <v>44834</v>
      </c>
      <c r="BX1" s="79">
        <f t="shared" ref="BX1" si="6">EOMONTH(BW1,3)</f>
        <v>44926</v>
      </c>
      <c r="BY1" s="79">
        <f t="shared" ref="BY1" si="7">EOMONTH(BX1,3)</f>
        <v>45016</v>
      </c>
      <c r="BZ1" s="79">
        <f t="shared" ref="BZ1" si="8">EOMONTH(BY1,3)</f>
        <v>45107</v>
      </c>
      <c r="CA1" s="79">
        <f t="shared" ref="CA1" si="9">EOMONTH(BZ1,3)</f>
        <v>45199</v>
      </c>
      <c r="CB1" s="79">
        <f t="shared" ref="CB1:CC1" si="10">EOMONTH(CA1,3)</f>
        <v>45291</v>
      </c>
      <c r="CC1" s="79">
        <f t="shared" si="10"/>
        <v>45382</v>
      </c>
      <c r="CD1" s="79">
        <f t="shared" ref="CD1" si="11">EOMONTH(CC1,3)</f>
        <v>45473</v>
      </c>
      <c r="CE1" s="79">
        <f t="shared" ref="CE1" si="12">EOMONTH(CD1,3)</f>
        <v>45565</v>
      </c>
      <c r="CF1" s="79">
        <f t="shared" ref="CF1" si="13">EOMONTH(CE1,3)</f>
        <v>45657</v>
      </c>
      <c r="CG1" s="79">
        <f t="shared" ref="CG1:CI1" si="14">EOMONTH(CF1,3)</f>
        <v>45747</v>
      </c>
      <c r="CH1" s="79">
        <f t="shared" si="14"/>
        <v>45838</v>
      </c>
      <c r="CI1" s="79">
        <f t="shared" si="14"/>
        <v>45930</v>
      </c>
      <c r="CJ1" s="79">
        <f t="shared" ref="CJ1" si="15">EOMONTH(CI1,3)</f>
        <v>46022</v>
      </c>
      <c r="CK1" s="79">
        <f t="shared" ref="CK1" si="16">EOMONTH(CJ1,3)</f>
        <v>46112</v>
      </c>
      <c r="CL1" s="80">
        <f t="shared" ref="CL1" si="17">EOMONTH(CK1,3)</f>
        <v>46203</v>
      </c>
      <c r="CM1" s="80">
        <f t="shared" ref="CM1" si="18">EOMONTH(CL1,3)</f>
        <v>46295</v>
      </c>
      <c r="CN1" s="80">
        <f t="shared" ref="CN1" si="19">EOMONTH(CM1,3)</f>
        <v>46387</v>
      </c>
      <c r="CO1" s="80">
        <f t="shared" ref="CO1" si="20">EOMONTH(CN1,3)</f>
        <v>46477</v>
      </c>
      <c r="CP1" s="80">
        <f t="shared" ref="CP1" si="21">EOMONTH(CO1,3)</f>
        <v>46568</v>
      </c>
      <c r="CQ1" s="80">
        <f t="shared" ref="CQ1" si="22">EOMONTH(CP1,3)</f>
        <v>46660</v>
      </c>
      <c r="CR1" s="80">
        <f t="shared" ref="CR1" si="23">EOMONTH(CQ1,3)</f>
        <v>46752</v>
      </c>
      <c r="CS1" s="80">
        <f t="shared" ref="CS1" si="24">EOMONTH(CR1,3)</f>
        <v>46843</v>
      </c>
      <c r="CT1" s="80">
        <f t="shared" ref="CT1" si="25">EOMONTH(CS1,3)</f>
        <v>46934</v>
      </c>
      <c r="CU1" s="80">
        <f t="shared" ref="CU1" si="26">EOMONTH(CT1,3)</f>
        <v>47026</v>
      </c>
      <c r="CV1" s="80">
        <f t="shared" ref="CV1" si="27">EOMONTH(CU1,3)</f>
        <v>47118</v>
      </c>
      <c r="CW1" s="80">
        <f t="shared" ref="CW1" si="28">EOMONTH(CV1,3)</f>
        <v>47208</v>
      </c>
      <c r="CX1" s="80">
        <f t="shared" ref="CX1" si="29">EOMONTH(CW1,3)</f>
        <v>47299</v>
      </c>
      <c r="CY1" s="80">
        <f t="shared" ref="CY1" si="30">EOMONTH(CX1,3)</f>
        <v>47391</v>
      </c>
      <c r="CZ1" s="80">
        <f t="shared" ref="CZ1" si="31">EOMONTH(CY1,3)</f>
        <v>47483</v>
      </c>
      <c r="DB1" s="148" t="s">
        <v>445</v>
      </c>
      <c r="DC1" s="189">
        <v>46022</v>
      </c>
    </row>
    <row r="2" spans="1:107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8"/>
      <c r="AA2" s="108"/>
      <c r="AB2" s="108"/>
      <c r="AC2" s="108"/>
      <c r="AD2" s="108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B2" s="117"/>
    </row>
    <row r="3" spans="1:107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7"/>
      <c r="AA3" s="157"/>
      <c r="AB3" s="157"/>
      <c r="AC3" s="157"/>
      <c r="AD3" s="157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B3" s="159"/>
    </row>
    <row r="4" spans="1:107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7"/>
      <c r="AA4" s="157"/>
      <c r="AB4" s="157"/>
      <c r="AC4" s="157"/>
      <c r="AD4" s="157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B4" s="159"/>
    </row>
    <row r="5" spans="1:107" s="109" customFormat="1" x14ac:dyDescent="0.2">
      <c r="A5" s="185" t="s">
        <v>523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>
        <f t="shared" ref="U5" si="32">+T8</f>
        <v>0</v>
      </c>
      <c r="V5" s="107">
        <f t="shared" ref="V5" si="33">+U8</f>
        <v>4114</v>
      </c>
      <c r="W5" s="107">
        <f t="shared" ref="W5" si="34">+V8</f>
        <v>4912</v>
      </c>
      <c r="X5" s="107">
        <f t="shared" ref="X5" si="35">+W8</f>
        <v>6468</v>
      </c>
      <c r="Y5" s="107">
        <f t="shared" ref="Y5" si="36">+X8</f>
        <v>8404</v>
      </c>
      <c r="Z5" s="108">
        <f t="shared" ref="Z5" si="37">+Y8</f>
        <v>9380</v>
      </c>
      <c r="AA5" s="108">
        <f t="shared" ref="AA5" si="38">+Z8</f>
        <v>9709</v>
      </c>
      <c r="AB5" s="108">
        <f t="shared" ref="AB5" si="39">+AA8</f>
        <v>12360.320443554652</v>
      </c>
      <c r="AC5" s="108">
        <f t="shared" ref="AC5" si="40">+AB8</f>
        <v>14811.098652309989</v>
      </c>
      <c r="AD5" s="108">
        <f t="shared" ref="AD5" si="41">+AC8</f>
        <v>17770.986807701753</v>
      </c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107"/>
      <c r="BI5" s="107"/>
      <c r="BJ5" s="107"/>
      <c r="BK5" s="107"/>
      <c r="BL5" s="107"/>
      <c r="BM5" s="107"/>
      <c r="BN5" s="107"/>
      <c r="BO5" s="107"/>
      <c r="BP5" s="107">
        <f>+BO8</f>
        <v>4390</v>
      </c>
      <c r="BQ5" s="107">
        <f t="shared" ref="BQ5:CK5" si="42">+BP8</f>
        <v>4114</v>
      </c>
      <c r="BR5" s="107">
        <f t="shared" si="42"/>
        <v>4328</v>
      </c>
      <c r="BS5" s="107">
        <f t="shared" si="42"/>
        <v>4583</v>
      </c>
      <c r="BT5" s="107">
        <f t="shared" si="42"/>
        <v>4765</v>
      </c>
      <c r="BU5" s="107">
        <f t="shared" si="42"/>
        <v>4912</v>
      </c>
      <c r="BV5" s="107">
        <f t="shared" si="42"/>
        <v>5229</v>
      </c>
      <c r="BW5" s="107">
        <f t="shared" si="42"/>
        <v>5995</v>
      </c>
      <c r="BX5" s="107">
        <f t="shared" si="42"/>
        <v>6519</v>
      </c>
      <c r="BY5" s="107">
        <f t="shared" si="42"/>
        <v>6468</v>
      </c>
      <c r="BZ5" s="107">
        <f t="shared" si="42"/>
        <v>7170</v>
      </c>
      <c r="CA5" s="107">
        <f t="shared" si="42"/>
        <v>7727</v>
      </c>
      <c r="CB5" s="107">
        <f t="shared" si="42"/>
        <v>8008</v>
      </c>
      <c r="CC5" s="107">
        <f t="shared" si="42"/>
        <v>8404</v>
      </c>
      <c r="CD5" s="107">
        <f t="shared" si="42"/>
        <v>8935</v>
      </c>
      <c r="CE5" s="107">
        <f t="shared" si="42"/>
        <v>9517</v>
      </c>
      <c r="CF5" s="107">
        <f t="shared" si="42"/>
        <v>9995</v>
      </c>
      <c r="CG5" s="107">
        <f t="shared" si="42"/>
        <v>9380</v>
      </c>
      <c r="CH5" s="107">
        <f t="shared" si="42"/>
        <v>9958</v>
      </c>
      <c r="CI5" s="107">
        <f t="shared" si="42"/>
        <v>10064</v>
      </c>
      <c r="CJ5" s="107">
        <f t="shared" si="42"/>
        <v>9895</v>
      </c>
      <c r="CK5" s="107">
        <f t="shared" si="42"/>
        <v>9709</v>
      </c>
      <c r="CL5" s="108">
        <f t="shared" ref="CL5:CZ5" si="43">+CK8</f>
        <v>11094</v>
      </c>
      <c r="CM5" s="108">
        <f t="shared" si="43"/>
        <v>11164.271504129785</v>
      </c>
      <c r="CN5" s="108">
        <f t="shared" si="43"/>
        <v>11275.34342034879</v>
      </c>
      <c r="CO5" s="108">
        <f t="shared" si="43"/>
        <v>12360.320443554652</v>
      </c>
      <c r="CP5" s="108">
        <f t="shared" si="43"/>
        <v>13621.726684356323</v>
      </c>
      <c r="CQ5" s="108">
        <f t="shared" si="43"/>
        <v>13514.638060326397</v>
      </c>
      <c r="CR5" s="108">
        <f t="shared" si="43"/>
        <v>13588.465193556822</v>
      </c>
      <c r="CS5" s="108">
        <f t="shared" si="43"/>
        <v>14811.098652309989</v>
      </c>
      <c r="CT5" s="108">
        <f t="shared" si="43"/>
        <v>16233.80699786219</v>
      </c>
      <c r="CU5" s="108">
        <f t="shared" si="43"/>
        <v>16168.601948640897</v>
      </c>
      <c r="CV5" s="108">
        <f t="shared" si="43"/>
        <v>16319.503466779144</v>
      </c>
      <c r="CW5" s="108">
        <f t="shared" si="43"/>
        <v>17770.986807701753</v>
      </c>
      <c r="CX5" s="108">
        <f t="shared" si="43"/>
        <v>19264.269127580417</v>
      </c>
      <c r="CY5" s="108">
        <f t="shared" si="43"/>
        <v>19074.946399311357</v>
      </c>
      <c r="CZ5" s="108">
        <f t="shared" si="43"/>
        <v>19118.97418428427</v>
      </c>
      <c r="DB5" s="117"/>
    </row>
    <row r="6" spans="1:107" s="158" customFormat="1" x14ac:dyDescent="0.2">
      <c r="A6" s="155" t="s">
        <v>524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>
        <f t="shared" ref="U6:AD6" si="44">+U8+U7-U5</f>
        <v>9934.9500000000007</v>
      </c>
      <c r="V6" s="156">
        <f t="shared" si="44"/>
        <v>7732</v>
      </c>
      <c r="W6" s="156">
        <f t="shared" si="44"/>
        <v>10123.530000000001</v>
      </c>
      <c r="X6" s="156">
        <f t="shared" si="44"/>
        <v>12382.52</v>
      </c>
      <c r="Y6" s="156">
        <f t="shared" si="44"/>
        <v>13164.310000000001</v>
      </c>
      <c r="Z6" s="157">
        <f t="shared" si="44"/>
        <v>13531.73</v>
      </c>
      <c r="AA6" s="157">
        <f t="shared" si="44"/>
        <v>17137.516</v>
      </c>
      <c r="AB6" s="157">
        <f t="shared" si="44"/>
        <v>19538.393928030819</v>
      </c>
      <c r="AC6" s="157">
        <f t="shared" si="44"/>
        <v>22187.434716396889</v>
      </c>
      <c r="AD6" s="157">
        <f t="shared" si="44"/>
        <v>25507.536856701619</v>
      </c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>
        <v>1308</v>
      </c>
      <c r="BQ6" s="156">
        <v>1308</v>
      </c>
      <c r="BR6" s="156">
        <v>1689</v>
      </c>
      <c r="BS6" s="156">
        <v>1960.3900000000003</v>
      </c>
      <c r="BT6" s="156">
        <v>2248.5</v>
      </c>
      <c r="BU6" s="156">
        <v>2285.37</v>
      </c>
      <c r="BV6" s="156">
        <v>2818.51</v>
      </c>
      <c r="BW6" s="156">
        <v>2643.74</v>
      </c>
      <c r="BX6" s="156">
        <v>2375.91</v>
      </c>
      <c r="BY6" s="156">
        <v>3113.2099999999991</v>
      </c>
      <c r="BZ6" s="156">
        <v>3065.630000000001</v>
      </c>
      <c r="CA6" s="156">
        <v>3050.1900000000005</v>
      </c>
      <c r="CB6" s="156">
        <v>3153.49</v>
      </c>
      <c r="CC6" s="156">
        <v>3611.3600000000006</v>
      </c>
      <c r="CD6" s="156">
        <v>3412.8600000000006</v>
      </c>
      <c r="CE6" s="156">
        <v>3390.16</v>
      </c>
      <c r="CF6" s="156">
        <v>2749.9300000000003</v>
      </c>
      <c r="CG6" s="156">
        <v>3737.5599999999995</v>
      </c>
      <c r="CH6" s="156">
        <v>3281.4400000000005</v>
      </c>
      <c r="CI6" s="156">
        <v>3233</v>
      </c>
      <c r="CJ6" s="156">
        <v>4096</v>
      </c>
      <c r="CK6" s="156">
        <f>+CK8+CK7-CK5</f>
        <v>4569.0599999999995</v>
      </c>
      <c r="CL6" s="157">
        <f t="shared" ref="CL6:CZ6" si="45">+CH6*(1+CL11)</f>
        <v>3773.6560000000004</v>
      </c>
      <c r="CM6" s="157">
        <f t="shared" si="45"/>
        <v>3879.6</v>
      </c>
      <c r="CN6" s="157">
        <f t="shared" si="45"/>
        <v>4915.2</v>
      </c>
      <c r="CO6" s="157">
        <f t="shared" si="45"/>
        <v>5274.9535846637909</v>
      </c>
      <c r="CP6" s="157">
        <f t="shared" si="45"/>
        <v>4305.359805026681</v>
      </c>
      <c r="CQ6" s="157">
        <f t="shared" si="45"/>
        <v>4419.1694318321042</v>
      </c>
      <c r="CR6" s="157">
        <f t="shared" si="45"/>
        <v>5538.9111065082452</v>
      </c>
      <c r="CS6" s="157">
        <f t="shared" si="45"/>
        <v>6000.4427103119224</v>
      </c>
      <c r="CT6" s="157">
        <f t="shared" si="45"/>
        <v>4891.3262938874386</v>
      </c>
      <c r="CU6" s="157">
        <f t="shared" si="45"/>
        <v>5015.3256606895884</v>
      </c>
      <c r="CV6" s="157">
        <f t="shared" si="45"/>
        <v>6280.3400515079356</v>
      </c>
      <c r="CW6" s="157">
        <f t="shared" si="45"/>
        <v>6874.1025158352968</v>
      </c>
      <c r="CX6" s="157">
        <f t="shared" si="45"/>
        <v>5613.3611721682064</v>
      </c>
      <c r="CY6" s="157">
        <f t="shared" si="45"/>
        <v>5770.1010222429295</v>
      </c>
      <c r="CZ6" s="157">
        <f t="shared" si="45"/>
        <v>7249.9721464551858</v>
      </c>
      <c r="DB6" s="159"/>
    </row>
    <row r="7" spans="1:107" s="158" customFormat="1" x14ac:dyDescent="0.2">
      <c r="A7" s="155" t="s">
        <v>525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>
        <f t="shared" ref="U7:AD7" si="46">+U18</f>
        <v>5820.95</v>
      </c>
      <c r="V7" s="156">
        <f t="shared" si="46"/>
        <v>6934</v>
      </c>
      <c r="W7" s="156">
        <f t="shared" si="46"/>
        <v>8567.5300000000007</v>
      </c>
      <c r="X7" s="156">
        <f t="shared" si="46"/>
        <v>10446.52</v>
      </c>
      <c r="Y7" s="156">
        <f t="shared" si="46"/>
        <v>12188.310000000001</v>
      </c>
      <c r="Z7" s="157">
        <f t="shared" si="46"/>
        <v>13202.73</v>
      </c>
      <c r="AA7" s="157">
        <f t="shared" si="46"/>
        <v>14486.195556445347</v>
      </c>
      <c r="AB7" s="157">
        <f t="shared" si="46"/>
        <v>17087.61571927548</v>
      </c>
      <c r="AC7" s="157">
        <f t="shared" si="46"/>
        <v>19227.546561005125</v>
      </c>
      <c r="AD7" s="157">
        <f t="shared" si="46"/>
        <v>22645.674174925422</v>
      </c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>
        <f>+BP18</f>
        <v>1700.76</v>
      </c>
      <c r="BQ7" s="156">
        <f t="shared" ref="BQ7:CI7" si="47">+BQ18</f>
        <v>1629.15</v>
      </c>
      <c r="BR7" s="156">
        <f t="shared" si="47"/>
        <v>1424.96</v>
      </c>
      <c r="BS7" s="156">
        <f t="shared" si="47"/>
        <v>1778.39</v>
      </c>
      <c r="BT7" s="156">
        <f t="shared" si="47"/>
        <v>2101.5</v>
      </c>
      <c r="BU7" s="156">
        <f t="shared" si="47"/>
        <v>1974.8600000000001</v>
      </c>
      <c r="BV7" s="156">
        <f t="shared" si="47"/>
        <v>2097.85</v>
      </c>
      <c r="BW7" s="156">
        <f t="shared" si="47"/>
        <v>2119.7399999999998</v>
      </c>
      <c r="BX7" s="156">
        <f t="shared" si="47"/>
        <v>2426.9100000000003</v>
      </c>
      <c r="BY7" s="156">
        <f t="shared" si="47"/>
        <v>2411.21</v>
      </c>
      <c r="BZ7" s="156">
        <f t="shared" si="47"/>
        <v>2508.63</v>
      </c>
      <c r="CA7" s="156">
        <f t="shared" si="47"/>
        <v>2769.19</v>
      </c>
      <c r="CB7" s="156">
        <f t="shared" si="47"/>
        <v>2757.49</v>
      </c>
      <c r="CC7" s="156">
        <f t="shared" si="47"/>
        <v>3080.3599999999997</v>
      </c>
      <c r="CD7" s="156">
        <f t="shared" si="47"/>
        <v>2830.86</v>
      </c>
      <c r="CE7" s="156">
        <f t="shared" si="47"/>
        <v>2912.1600000000003</v>
      </c>
      <c r="CF7" s="156">
        <f t="shared" si="47"/>
        <v>3364.9300000000003</v>
      </c>
      <c r="CG7" s="156">
        <f t="shared" si="47"/>
        <v>3010.07</v>
      </c>
      <c r="CH7" s="156">
        <f t="shared" si="47"/>
        <v>3175.44</v>
      </c>
      <c r="CI7" s="156">
        <f t="shared" si="47"/>
        <v>3310.72</v>
      </c>
      <c r="CJ7" s="156">
        <f t="shared" ref="CJ7:CK7" si="48">+CJ18</f>
        <v>3557.01</v>
      </c>
      <c r="CK7" s="156">
        <f t="shared" si="48"/>
        <v>3184.06</v>
      </c>
      <c r="CL7" s="157">
        <f t="shared" ref="CL7:CZ7" si="49">+CK8*CL10</f>
        <v>3703.3844958702148</v>
      </c>
      <c r="CM7" s="157">
        <f t="shared" si="49"/>
        <v>3768.5280837809951</v>
      </c>
      <c r="CN7" s="157">
        <f t="shared" si="49"/>
        <v>3830.2229767941376</v>
      </c>
      <c r="CO7" s="157">
        <f t="shared" si="49"/>
        <v>4013.5473438621184</v>
      </c>
      <c r="CP7" s="157">
        <f t="shared" si="49"/>
        <v>4412.448429056607</v>
      </c>
      <c r="CQ7" s="157">
        <f t="shared" si="49"/>
        <v>4345.3422986016785</v>
      </c>
      <c r="CR7" s="157">
        <f t="shared" si="49"/>
        <v>4316.277647755076</v>
      </c>
      <c r="CS7" s="157">
        <f t="shared" si="49"/>
        <v>4577.7343647597218</v>
      </c>
      <c r="CT7" s="157">
        <f t="shared" si="49"/>
        <v>4956.5313431087325</v>
      </c>
      <c r="CU7" s="157">
        <f t="shared" si="49"/>
        <v>4864.4241425513419</v>
      </c>
      <c r="CV7" s="157">
        <f t="shared" si="49"/>
        <v>4828.8567105853272</v>
      </c>
      <c r="CW7" s="157">
        <f t="shared" si="49"/>
        <v>5380.8201959566304</v>
      </c>
      <c r="CX7" s="157">
        <f t="shared" si="49"/>
        <v>5802.6839004372678</v>
      </c>
      <c r="CY7" s="157">
        <f t="shared" si="49"/>
        <v>5726.0732372700159</v>
      </c>
      <c r="CZ7" s="157">
        <f t="shared" si="49"/>
        <v>5736.0968412615084</v>
      </c>
      <c r="DB7" s="159"/>
    </row>
    <row r="8" spans="1:107" s="109" customFormat="1" x14ac:dyDescent="0.2">
      <c r="A8" s="185" t="s">
        <v>526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>
        <f>+BP8</f>
        <v>4114</v>
      </c>
      <c r="V8" s="107">
        <f>+BT8</f>
        <v>4912</v>
      </c>
      <c r="W8" s="107">
        <f>+BX8</f>
        <v>6468</v>
      </c>
      <c r="X8" s="107">
        <f>+CB8</f>
        <v>8404</v>
      </c>
      <c r="Y8" s="107">
        <f>+CF8</f>
        <v>9380</v>
      </c>
      <c r="Z8" s="108">
        <f>+CJ8</f>
        <v>9709</v>
      </c>
      <c r="AA8" s="108">
        <f>+CN8</f>
        <v>12360.320443554652</v>
      </c>
      <c r="AB8" s="108">
        <f>+CR8</f>
        <v>14811.098652309989</v>
      </c>
      <c r="AC8" s="108">
        <f>+CV8</f>
        <v>17770.986807701753</v>
      </c>
      <c r="AD8" s="108">
        <f>+CZ8</f>
        <v>20632.849489477947</v>
      </c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>
        <v>4390</v>
      </c>
      <c r="BP8" s="107">
        <v>4114</v>
      </c>
      <c r="BQ8" s="107">
        <v>4328</v>
      </c>
      <c r="BR8" s="107">
        <v>4583</v>
      </c>
      <c r="BS8" s="107">
        <v>4765</v>
      </c>
      <c r="BT8" s="107">
        <v>4912</v>
      </c>
      <c r="BU8" s="107">
        <v>5229</v>
      </c>
      <c r="BV8" s="107">
        <v>5995</v>
      </c>
      <c r="BW8" s="107">
        <v>6519</v>
      </c>
      <c r="BX8" s="107">
        <v>6468</v>
      </c>
      <c r="BY8" s="107">
        <v>7170</v>
      </c>
      <c r="BZ8" s="107">
        <v>7727</v>
      </c>
      <c r="CA8" s="107">
        <v>8008</v>
      </c>
      <c r="CB8" s="107">
        <v>8404</v>
      </c>
      <c r="CC8" s="107">
        <v>8935</v>
      </c>
      <c r="CD8" s="107">
        <v>9517</v>
      </c>
      <c r="CE8" s="107">
        <v>9995</v>
      </c>
      <c r="CF8" s="107">
        <v>9380</v>
      </c>
      <c r="CG8" s="107">
        <v>9958</v>
      </c>
      <c r="CH8" s="107">
        <v>10064</v>
      </c>
      <c r="CI8" s="107">
        <v>9895</v>
      </c>
      <c r="CJ8" s="107">
        <v>9709</v>
      </c>
      <c r="CK8" s="107">
        <v>11094</v>
      </c>
      <c r="CL8" s="108">
        <f t="shared" ref="CL8:CZ8" si="50">+CL5+CL6-CL7</f>
        <v>11164.271504129785</v>
      </c>
      <c r="CM8" s="108">
        <f t="shared" si="50"/>
        <v>11275.34342034879</v>
      </c>
      <c r="CN8" s="108">
        <f t="shared" si="50"/>
        <v>12360.320443554652</v>
      </c>
      <c r="CO8" s="108">
        <f t="shared" si="50"/>
        <v>13621.726684356323</v>
      </c>
      <c r="CP8" s="108">
        <f t="shared" si="50"/>
        <v>13514.638060326397</v>
      </c>
      <c r="CQ8" s="108">
        <f t="shared" si="50"/>
        <v>13588.465193556822</v>
      </c>
      <c r="CR8" s="108">
        <f t="shared" si="50"/>
        <v>14811.098652309989</v>
      </c>
      <c r="CS8" s="108">
        <f t="shared" si="50"/>
        <v>16233.80699786219</v>
      </c>
      <c r="CT8" s="108">
        <f t="shared" si="50"/>
        <v>16168.601948640897</v>
      </c>
      <c r="CU8" s="108">
        <f t="shared" si="50"/>
        <v>16319.503466779144</v>
      </c>
      <c r="CV8" s="108">
        <f t="shared" si="50"/>
        <v>17770.986807701753</v>
      </c>
      <c r="CW8" s="108">
        <f t="shared" si="50"/>
        <v>19264.269127580417</v>
      </c>
      <c r="CX8" s="108">
        <f t="shared" si="50"/>
        <v>19074.946399311357</v>
      </c>
      <c r="CY8" s="108">
        <f t="shared" si="50"/>
        <v>19118.97418428427</v>
      </c>
      <c r="CZ8" s="108">
        <f t="shared" si="50"/>
        <v>20632.849489477947</v>
      </c>
      <c r="DB8" s="117"/>
    </row>
    <row r="9" spans="1:107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7"/>
      <c r="AA9" s="157"/>
      <c r="AB9" s="157"/>
      <c r="AC9" s="157"/>
      <c r="AD9" s="157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6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B9" s="159"/>
    </row>
    <row r="10" spans="1:107" s="158" customFormat="1" x14ac:dyDescent="0.2">
      <c r="A10" s="155" t="s">
        <v>527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86"/>
      <c r="V10" s="186">
        <f t="shared" ref="V10:X10" si="51">+V7/U8</f>
        <v>1.6854642683519689</v>
      </c>
      <c r="W10" s="186">
        <f t="shared" si="51"/>
        <v>1.7442039902280131</v>
      </c>
      <c r="X10" s="186">
        <f t="shared" si="51"/>
        <v>1.6151082251082252</v>
      </c>
      <c r="Y10" s="186">
        <f>+Y7/X8</f>
        <v>1.4502986673012852</v>
      </c>
      <c r="Z10" s="187">
        <f t="shared" ref="Z10:AD10" si="52">+Z7/Y8</f>
        <v>1.4075405117270789</v>
      </c>
      <c r="AA10" s="187">
        <f t="shared" si="52"/>
        <v>1.4920378572917239</v>
      </c>
      <c r="AB10" s="187">
        <f t="shared" si="52"/>
        <v>1.3824573397840909</v>
      </c>
      <c r="AC10" s="187">
        <f t="shared" si="52"/>
        <v>1.2981850308590261</v>
      </c>
      <c r="AD10" s="187">
        <f t="shared" si="52"/>
        <v>1.274305947101994</v>
      </c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86">
        <f>+BP7/BO8</f>
        <v>0.38741685649202734</v>
      </c>
      <c r="BQ10" s="186">
        <f t="shared" ref="BQ10:CK10" si="53">+BQ7/BP8</f>
        <v>0.39600145843461354</v>
      </c>
      <c r="BR10" s="186">
        <f t="shared" si="53"/>
        <v>0.32924214417744918</v>
      </c>
      <c r="BS10" s="186">
        <f t="shared" si="53"/>
        <v>0.38804058476980147</v>
      </c>
      <c r="BT10" s="186">
        <f t="shared" si="53"/>
        <v>0.44102833158447008</v>
      </c>
      <c r="BU10" s="186">
        <f t="shared" si="53"/>
        <v>0.40204804560260587</v>
      </c>
      <c r="BV10" s="186">
        <f t="shared" si="53"/>
        <v>0.40119525721935356</v>
      </c>
      <c r="BW10" s="186">
        <f t="shared" si="53"/>
        <v>0.35358465387823185</v>
      </c>
      <c r="BX10" s="186">
        <f t="shared" si="53"/>
        <v>0.37228255867464338</v>
      </c>
      <c r="BY10" s="186">
        <f t="shared" si="53"/>
        <v>0.37279066171923314</v>
      </c>
      <c r="BZ10" s="186">
        <f t="shared" si="53"/>
        <v>0.34987866108786614</v>
      </c>
      <c r="CA10" s="186">
        <f t="shared" si="53"/>
        <v>0.35837841335576548</v>
      </c>
      <c r="CB10" s="186">
        <f t="shared" si="53"/>
        <v>0.34434190809190807</v>
      </c>
      <c r="CC10" s="186">
        <f t="shared" si="53"/>
        <v>0.36653498334126605</v>
      </c>
      <c r="CD10" s="186">
        <f t="shared" si="53"/>
        <v>0.3168282036933408</v>
      </c>
      <c r="CE10" s="186">
        <f t="shared" si="53"/>
        <v>0.30599558684459394</v>
      </c>
      <c r="CF10" s="186">
        <f t="shared" si="53"/>
        <v>0.33666133066533271</v>
      </c>
      <c r="CG10" s="186">
        <f t="shared" si="53"/>
        <v>0.32090298507462689</v>
      </c>
      <c r="CH10" s="186">
        <f t="shared" si="53"/>
        <v>0.31888330990158664</v>
      </c>
      <c r="CI10" s="186">
        <f t="shared" si="53"/>
        <v>0.32896661367249602</v>
      </c>
      <c r="CJ10" s="186">
        <f t="shared" si="53"/>
        <v>0.35947549267306722</v>
      </c>
      <c r="CK10" s="186">
        <f t="shared" si="53"/>
        <v>0.32794932536821503</v>
      </c>
      <c r="CL10" s="188">
        <f t="shared" ref="CL10:CN10" si="54">+AVERAGE(CH10:CK10)</f>
        <v>0.33381868540384124</v>
      </c>
      <c r="CM10" s="188">
        <f t="shared" si="54"/>
        <v>0.33755252927940488</v>
      </c>
      <c r="CN10" s="188">
        <f t="shared" si="54"/>
        <v>0.33969900818113208</v>
      </c>
      <c r="CO10" s="188">
        <f>+AVERAGE(CK10:CN10)*0.97</f>
        <v>0.32471224044640379</v>
      </c>
      <c r="CP10" s="188">
        <f t="shared" ref="CP10:CR10" si="55">+AVERAGE(CL10:CO10)*0.97</f>
        <v>0.3239272473528646</v>
      </c>
      <c r="CQ10" s="188">
        <f t="shared" si="55"/>
        <v>0.3215285736255028</v>
      </c>
      <c r="CR10" s="188">
        <f t="shared" si="55"/>
        <v>0.31764276437943156</v>
      </c>
      <c r="CS10" s="188">
        <f>+AVERAGE(CO10:CR10)*0.96</f>
        <v>0.30907459819300864</v>
      </c>
      <c r="CT10" s="188">
        <f t="shared" ref="CT10:CV10" si="56">+AVERAGE(CP10:CS10)*0.96</f>
        <v>0.30532156405219379</v>
      </c>
      <c r="CU10" s="188">
        <f t="shared" si="56"/>
        <v>0.30085620006003283</v>
      </c>
      <c r="CV10" s="188">
        <f t="shared" si="56"/>
        <v>0.29589483040432002</v>
      </c>
      <c r="CW10" s="188">
        <f t="shared" ref="CW10:CZ10" si="57">+AVERAGE(CS10:CV10)</f>
        <v>0.30278679817738885</v>
      </c>
      <c r="CX10" s="188">
        <f t="shared" si="57"/>
        <v>0.30121484817348387</v>
      </c>
      <c r="CY10" s="188">
        <f t="shared" si="57"/>
        <v>0.30018816920380642</v>
      </c>
      <c r="CZ10" s="188">
        <f t="shared" si="57"/>
        <v>0.30002116148974978</v>
      </c>
      <c r="DB10" s="159"/>
    </row>
    <row r="11" spans="1:107" s="158" customFormat="1" x14ac:dyDescent="0.2">
      <c r="A11" s="155" t="s">
        <v>528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86"/>
      <c r="V11" s="186">
        <f>+V6/U6-1</f>
        <v>-0.22173740179870061</v>
      </c>
      <c r="W11" s="186">
        <f t="shared" ref="W11:AD11" si="58">+W6/V6-1</f>
        <v>0.30930289705121572</v>
      </c>
      <c r="X11" s="186">
        <f t="shared" si="58"/>
        <v>0.22314252044494354</v>
      </c>
      <c r="Y11" s="186">
        <f t="shared" si="58"/>
        <v>6.3136582860354729E-2</v>
      </c>
      <c r="Z11" s="187">
        <f t="shared" si="58"/>
        <v>2.7910312048257557E-2</v>
      </c>
      <c r="AA11" s="187">
        <f t="shared" si="58"/>
        <v>0.26646895851454322</v>
      </c>
      <c r="AB11" s="187">
        <f t="shared" si="58"/>
        <v>0.14009486135743465</v>
      </c>
      <c r="AC11" s="187">
        <f t="shared" si="58"/>
        <v>0.13558129691333609</v>
      </c>
      <c r="AD11" s="187">
        <f t="shared" si="58"/>
        <v>0.1496388466148868</v>
      </c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86"/>
      <c r="BQ11" s="186"/>
      <c r="BR11" s="186"/>
      <c r="BS11" s="186"/>
      <c r="BT11" s="186">
        <f t="shared" ref="BT11:CI11" si="59">+BT6/BP6-1</f>
        <v>0.71903669724770647</v>
      </c>
      <c r="BU11" s="186">
        <f t="shared" si="59"/>
        <v>0.74722477064220172</v>
      </c>
      <c r="BV11" s="186">
        <f t="shared" si="59"/>
        <v>0.66874481941977515</v>
      </c>
      <c r="BW11" s="186">
        <f t="shared" si="59"/>
        <v>0.34857859915628997</v>
      </c>
      <c r="BX11" s="186">
        <f t="shared" si="59"/>
        <v>5.6664442961974482E-2</v>
      </c>
      <c r="BY11" s="186">
        <f t="shared" si="59"/>
        <v>0.36223456158083778</v>
      </c>
      <c r="BZ11" s="186">
        <f t="shared" si="59"/>
        <v>8.7677531745496973E-2</v>
      </c>
      <c r="CA11" s="186">
        <f t="shared" si="59"/>
        <v>0.15374053424315592</v>
      </c>
      <c r="CB11" s="186">
        <f t="shared" si="59"/>
        <v>0.32727670660925701</v>
      </c>
      <c r="CC11" s="186">
        <f t="shared" si="59"/>
        <v>0.16001169211200073</v>
      </c>
      <c r="CD11" s="186">
        <f t="shared" si="59"/>
        <v>0.11326546256397529</v>
      </c>
      <c r="CE11" s="186">
        <f t="shared" si="59"/>
        <v>0.11145863044597193</v>
      </c>
      <c r="CF11" s="186">
        <f t="shared" si="59"/>
        <v>-0.12797250030918106</v>
      </c>
      <c r="CG11" s="186">
        <f t="shared" si="59"/>
        <v>3.4945283771210534E-2</v>
      </c>
      <c r="CH11" s="186">
        <f t="shared" si="59"/>
        <v>-3.8507293003521958E-2</v>
      </c>
      <c r="CI11" s="186">
        <f t="shared" si="59"/>
        <v>-4.6357694032140073E-2</v>
      </c>
      <c r="CJ11" s="186">
        <f>+CJ6/CF6-1</f>
        <v>0.48949245980806766</v>
      </c>
      <c r="CK11" s="186">
        <f>+CK6/CG6-1</f>
        <v>0.2224713449416198</v>
      </c>
      <c r="CL11" s="188">
        <v>0.15</v>
      </c>
      <c r="CM11" s="188">
        <v>0.2</v>
      </c>
      <c r="CN11" s="188">
        <v>0.2</v>
      </c>
      <c r="CO11" s="188">
        <f>+AVERAGE(CK11:CN11)*0.8</f>
        <v>0.15449426898832397</v>
      </c>
      <c r="CP11" s="188">
        <f t="shared" ref="CP11:CR11" si="60">+AVERAGE(CL11:CO11)*0.8</f>
        <v>0.14089885379766481</v>
      </c>
      <c r="CQ11" s="188">
        <f t="shared" si="60"/>
        <v>0.13907862455719777</v>
      </c>
      <c r="CR11" s="188">
        <f t="shared" si="60"/>
        <v>0.12689434946863731</v>
      </c>
      <c r="CS11" s="188">
        <f t="shared" ref="CS11" si="61">+AVERAGE(CO11:CR11)*0.98</f>
        <v>0.13753469371889687</v>
      </c>
      <c r="CT11" s="188">
        <f>+AVERAGE(CP11:CS11)</f>
        <v>0.13610163038559919</v>
      </c>
      <c r="CU11" s="188">
        <f t="shared" ref="CU11:CV11" si="62">+AVERAGE(CQ11:CT11)</f>
        <v>0.13490232453258277</v>
      </c>
      <c r="CV11" s="188">
        <f t="shared" si="62"/>
        <v>0.13385824952642905</v>
      </c>
      <c r="CW11" s="188">
        <f>+AVERAGE(CS11:CV11)+1%</f>
        <v>0.14559922454087698</v>
      </c>
      <c r="CX11" s="188">
        <f t="shared" ref="CX11:CZ11" si="63">+AVERAGE(CT11:CW11)+1%</f>
        <v>0.14761535724637201</v>
      </c>
      <c r="CY11" s="188">
        <f t="shared" si="63"/>
        <v>0.15049378896156521</v>
      </c>
      <c r="CZ11" s="188">
        <f t="shared" si="63"/>
        <v>0.15439165506881081</v>
      </c>
      <c r="DB11" s="159"/>
    </row>
    <row r="12" spans="1:107" s="158" customFormat="1" x14ac:dyDescent="0.2">
      <c r="A12" s="155"/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7"/>
      <c r="AA12" s="157"/>
      <c r="AB12" s="157"/>
      <c r="AC12" s="157"/>
      <c r="AD12" s="157"/>
      <c r="AH12" s="156"/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56"/>
      <c r="BX12" s="156"/>
      <c r="BY12" s="156"/>
      <c r="BZ12" s="156"/>
      <c r="CA12" s="156"/>
      <c r="CB12" s="156"/>
      <c r="CC12" s="156"/>
      <c r="CD12" s="156"/>
      <c r="CE12" s="156"/>
      <c r="CF12" s="156"/>
      <c r="CG12" s="156"/>
      <c r="CH12" s="156"/>
      <c r="CI12" s="156"/>
      <c r="CJ12" s="156"/>
      <c r="CK12" s="156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B12" s="159"/>
    </row>
    <row r="13" spans="1:107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7"/>
      <c r="AA13" s="157"/>
      <c r="AB13" s="157"/>
      <c r="AC13" s="157"/>
      <c r="AD13" s="157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B13" s="159"/>
    </row>
    <row r="14" spans="1:107" s="106" customFormat="1" x14ac:dyDescent="0.2">
      <c r="A14" s="151" t="s">
        <v>500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57"/>
      <c r="AA14" s="157"/>
      <c r="AB14" s="157"/>
      <c r="AC14" s="105"/>
      <c r="AD14" s="105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5"/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B14" s="118"/>
    </row>
    <row r="15" spans="1:107" s="106" customFormat="1" x14ac:dyDescent="0.2">
      <c r="A15" s="151" t="s">
        <v>485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57"/>
      <c r="AB15" s="157"/>
      <c r="AC15" s="105"/>
      <c r="AD15" s="105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60"/>
      <c r="CJ15" s="160"/>
      <c r="CK15" s="160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B15" s="118"/>
    </row>
    <row r="16" spans="1:107" s="25" customFormat="1" outlineLevel="1" x14ac:dyDescent="0.2">
      <c r="A16" s="25" t="s">
        <v>430</v>
      </c>
      <c r="B16" s="25">
        <f>'Annual Raw'!C6</f>
        <v>1041.5989999999999</v>
      </c>
      <c r="C16" s="25">
        <f>'Annual Raw'!D6</f>
        <v>1175.7575999999999</v>
      </c>
      <c r="D16" s="25">
        <f>'Annual Raw'!E6</f>
        <v>1576.73</v>
      </c>
      <c r="E16" s="25">
        <f>'Annual Raw'!F6</f>
        <v>2445.7977000000001</v>
      </c>
      <c r="F16" s="25">
        <f>'Annual Raw'!G6</f>
        <v>3199.9328</v>
      </c>
      <c r="G16" s="25">
        <f>'Annual Raw'!H6</f>
        <v>4604.5614999999998</v>
      </c>
      <c r="H16" s="25">
        <f>'Annual Raw'!I6</f>
        <v>6383.2682000000004</v>
      </c>
      <c r="I16" s="25">
        <f>'Annual Raw'!J6</f>
        <v>7340.2390999999998</v>
      </c>
      <c r="J16" s="25">
        <f>'Annual Raw'!K6</f>
        <v>6494.5709999999999</v>
      </c>
      <c r="K16" s="25">
        <f>'Annual Raw'!L6</f>
        <v>6609.3153000000002</v>
      </c>
      <c r="L16" s="25">
        <f>'Annual Raw'!M6</f>
        <v>7451.79</v>
      </c>
      <c r="M16" s="25">
        <f>'Annual Raw'!N6</f>
        <v>7610.48</v>
      </c>
      <c r="N16" s="25">
        <f>'Annual Raw'!O6</f>
        <v>8196.77</v>
      </c>
      <c r="O16" s="25">
        <f>'Annual Raw'!P6</f>
        <v>8156.91</v>
      </c>
      <c r="P16" s="25">
        <f>'Annual Raw'!Q6</f>
        <v>8670.7000000000007</v>
      </c>
      <c r="Q16" s="25">
        <f>'Annual Raw'!R6</f>
        <v>9183.52</v>
      </c>
      <c r="R16" s="25">
        <f>'Annual Raw'!S6</f>
        <v>6287.49</v>
      </c>
      <c r="S16" s="25">
        <f>'Annual Raw'!T6</f>
        <v>6690.12</v>
      </c>
      <c r="T16" s="25">
        <f>'Annual Raw'!U6</f>
        <v>7315.06</v>
      </c>
      <c r="U16" s="25">
        <f>'Annual Raw'!V6</f>
        <v>5820.95</v>
      </c>
      <c r="V16" s="25">
        <f>'Annual Raw'!W6</f>
        <v>6934</v>
      </c>
      <c r="W16" s="25">
        <f>'Annual Raw'!X6</f>
        <v>8567.5300000000007</v>
      </c>
      <c r="X16" s="25">
        <f>'Annual Raw'!Y6</f>
        <v>10555.11</v>
      </c>
      <c r="Y16" s="25">
        <f>'Annual Raw'!Z6</f>
        <v>12279.78</v>
      </c>
      <c r="Z16" s="25">
        <f>'Annual Raw'!AA6</f>
        <v>13280.31</v>
      </c>
      <c r="AA16" s="17">
        <f>+SUM(CK16:CN16)</f>
        <v>14486.195556445347</v>
      </c>
      <c r="AB16" s="17">
        <f>+SUM(CO16:CR16)</f>
        <v>17087.61571927548</v>
      </c>
      <c r="AC16" s="17">
        <f>+SUM(CS16:CV16)</f>
        <v>19227.546561005125</v>
      </c>
      <c r="AD16" s="17">
        <f>SUM(CW16:CZ16)</f>
        <v>22645.674174925422</v>
      </c>
      <c r="AH16" s="25">
        <f>'QTR Raw'!C6+'QTR Raw'!C8</f>
        <v>1883.79</v>
      </c>
      <c r="AI16" s="25">
        <f>'QTR Raw'!D6+'QTR Raw'!D8</f>
        <v>1808.61</v>
      </c>
      <c r="AJ16" s="25">
        <f>'QTR Raw'!E6+'QTR Raw'!E8</f>
        <v>2082.2800000000002</v>
      </c>
      <c r="AK16" s="25">
        <f>'QTR Raw'!F6+'QTR Raw'!F8</f>
        <v>1981.07</v>
      </c>
      <c r="AL16" s="25">
        <f>'QTR Raw'!G6+'QTR Raw'!G8</f>
        <v>1751.15</v>
      </c>
      <c r="AM16" s="25">
        <f>'QTR Raw'!H6+'QTR Raw'!H8</f>
        <v>1785.9</v>
      </c>
      <c r="AN16" s="25">
        <f>'QTR Raw'!I6+'QTR Raw'!I8</f>
        <v>2203.87</v>
      </c>
      <c r="AO16" s="25">
        <f>'QTR Raw'!J6+'QTR Raw'!J8</f>
        <v>1827.71</v>
      </c>
      <c r="AP16" s="25">
        <f>'QTR Raw'!K6+'QTR Raw'!K8</f>
        <v>1822.18</v>
      </c>
      <c r="AQ16" s="25">
        <f>'QTR Raw'!L6+'QTR Raw'!L8</f>
        <v>1844.97</v>
      </c>
      <c r="AR16" s="25">
        <f>'QTR Raw'!M6+'QTR Raw'!M8</f>
        <v>2238.41</v>
      </c>
      <c r="AS16" s="25">
        <f>'QTR Raw'!N6+'QTR Raw'!N8</f>
        <v>1814.57</v>
      </c>
      <c r="AT16" s="25">
        <f>'QTR Raw'!O6+'QTR Raw'!O8</f>
        <v>1931.6200000000001</v>
      </c>
      <c r="AU16" s="25">
        <f>'QTR Raw'!P6+'QTR Raw'!P8</f>
        <v>1968.97</v>
      </c>
      <c r="AV16" s="25">
        <f>'QTR Raw'!Q6+'QTR Raw'!Q8</f>
        <v>2586.98</v>
      </c>
      <c r="AW16" s="25">
        <f>'QTR Raw'!R6+'QTR Raw'!R8</f>
        <v>2123.61</v>
      </c>
      <c r="AX16" s="25">
        <f>'QTR Raw'!S6+'QTR Raw'!S8</f>
        <v>2226.2399999999998</v>
      </c>
      <c r="AY16" s="25">
        <f>'QTR Raw'!T6+'QTR Raw'!T8</f>
        <v>2197.64</v>
      </c>
      <c r="AZ16" s="25">
        <f>'QTR Raw'!U6+'QTR Raw'!U8</f>
        <v>2654.78</v>
      </c>
      <c r="BA16" s="25">
        <f>'QTR Raw'!V6+'QTR Raw'!V8</f>
        <v>2301.1800000000003</v>
      </c>
      <c r="BB16" s="25">
        <f>'QTR Raw'!W6+'QTR Raw'!W8</f>
        <v>2371.1299999999997</v>
      </c>
      <c r="BC16" s="25">
        <f>'QTR Raw'!X6+'QTR Raw'!X8</f>
        <v>1923.3999999999999</v>
      </c>
      <c r="BD16" s="25">
        <f>'QTR Raw'!Y6+'QTR Raw'!Y8</f>
        <v>1708.75</v>
      </c>
      <c r="BE16" s="25">
        <f>'QTR Raw'!Z6+'QTR Raw'!Z8</f>
        <v>1566.46</v>
      </c>
      <c r="BF16" s="25">
        <f>'QTR Raw'!AA6+'QTR Raw'!AA8</f>
        <v>1665.7199999999998</v>
      </c>
      <c r="BG16" s="25">
        <f>'QTR Raw'!AB6+'QTR Raw'!AB8</f>
        <v>1491.6200000000001</v>
      </c>
      <c r="BH16" s="25">
        <f>'QTR Raw'!AC6+'QTR Raw'!AC8</f>
        <v>1966.32</v>
      </c>
      <c r="BI16" s="25">
        <f>'QTR Raw'!AD6+'QTR Raw'!AD8</f>
        <v>1850.25</v>
      </c>
      <c r="BJ16" s="25">
        <f>'QTR Raw'!AE6+'QTR Raw'!AE8</f>
        <v>1725.75</v>
      </c>
      <c r="BK16" s="25">
        <f>'QTR Raw'!AF6+'QTR Raw'!AF8</f>
        <v>1745.62</v>
      </c>
      <c r="BL16" s="25">
        <f>'QTR Raw'!AG6+'QTR Raw'!AG8</f>
        <v>1953.33</v>
      </c>
      <c r="BM16" s="25">
        <f>'QTR Raw'!AH6+'QTR Raw'!AH8</f>
        <v>1522.24</v>
      </c>
      <c r="BN16" s="25">
        <f>'QTR Raw'!AI6+'QTR Raw'!AI8</f>
        <v>985.78</v>
      </c>
      <c r="BO16" s="25">
        <f>'QTR Raw'!AJ6+'QTR Raw'!AJ8</f>
        <v>1612.1699999999998</v>
      </c>
      <c r="BP16" s="25">
        <f>'QTR Raw'!AK6+'QTR Raw'!AK8</f>
        <v>1700.76</v>
      </c>
      <c r="BQ16" s="25">
        <f>'QTR Raw'!AL6+'QTR Raw'!AL8</f>
        <v>1629.15</v>
      </c>
      <c r="BR16" s="25">
        <f>'QTR Raw'!AM6+'QTR Raw'!AM8</f>
        <v>1424.96</v>
      </c>
      <c r="BS16" s="25">
        <f>'QTR Raw'!AN6+'QTR Raw'!AN8</f>
        <v>1778.39</v>
      </c>
      <c r="BT16" s="25">
        <f>'QTR Raw'!AO6+'QTR Raw'!AO8</f>
        <v>2101.5</v>
      </c>
      <c r="BU16" s="25">
        <f>'QTR Raw'!AP6+'QTR Raw'!AP8</f>
        <v>1974.8600000000001</v>
      </c>
      <c r="BV16" s="25">
        <f>'QTR Raw'!AQ6+'QTR Raw'!AQ8</f>
        <v>2097.85</v>
      </c>
      <c r="BW16" s="25">
        <f>'QTR Raw'!AR6+'QTR Raw'!AR8</f>
        <v>2119.7399999999998</v>
      </c>
      <c r="BX16" s="25">
        <f>'QTR Raw'!AS6+'QTR Raw'!AS8</f>
        <v>2426.9100000000003</v>
      </c>
      <c r="BY16" s="25">
        <f>'QTR Raw'!AT6+'QTR Raw'!AT8</f>
        <v>2411.21</v>
      </c>
      <c r="BZ16" s="25">
        <f>'QTR Raw'!AU6+'QTR Raw'!AU8</f>
        <v>2508.63</v>
      </c>
      <c r="CA16" s="25">
        <f>'QTR Raw'!AV6+'QTR Raw'!AV8</f>
        <v>2769.19</v>
      </c>
      <c r="CB16" s="25">
        <f>'QTR Raw'!AW6+'QTR Raw'!AW8</f>
        <v>2757.49</v>
      </c>
      <c r="CC16" s="25">
        <f>'QTR Raw'!AX6+'QTR Raw'!AX8</f>
        <v>3080.3599999999997</v>
      </c>
      <c r="CD16" s="25">
        <f>'QTR Raw'!AY6+'QTR Raw'!AY8</f>
        <v>2830.86</v>
      </c>
      <c r="CE16" s="25">
        <f>'QTR Raw'!AZ6+'QTR Raw'!AZ8</f>
        <v>2912.1600000000003</v>
      </c>
      <c r="CF16" s="25">
        <f>'QTR Raw'!BA6+'QTR Raw'!BA8</f>
        <v>3364.9300000000003</v>
      </c>
      <c r="CG16" s="25">
        <f>'QTR Raw'!BB6+'QTR Raw'!BB8</f>
        <v>3010.07</v>
      </c>
      <c r="CH16" s="25">
        <f>'QTR Raw'!BC6+'QTR Raw'!BC8</f>
        <v>3175.44</v>
      </c>
      <c r="CI16" s="25">
        <f>'QTR Raw'!BD6+'QTR Raw'!BD8</f>
        <v>3310.72</v>
      </c>
      <c r="CJ16" s="25">
        <v>3557.01</v>
      </c>
      <c r="CK16" s="25">
        <f>'QTR Raw'!BF6+'QTR Raw'!BF8</f>
        <v>3184.06</v>
      </c>
      <c r="CL16" s="17">
        <f t="shared" ref="CL16:CZ16" si="64">+CL7</f>
        <v>3703.3844958702148</v>
      </c>
      <c r="CM16" s="17">
        <f t="shared" si="64"/>
        <v>3768.5280837809951</v>
      </c>
      <c r="CN16" s="17">
        <f t="shared" si="64"/>
        <v>3830.2229767941376</v>
      </c>
      <c r="CO16" s="17">
        <f t="shared" si="64"/>
        <v>4013.5473438621184</v>
      </c>
      <c r="CP16" s="17">
        <f t="shared" si="64"/>
        <v>4412.448429056607</v>
      </c>
      <c r="CQ16" s="17">
        <f t="shared" si="64"/>
        <v>4345.3422986016785</v>
      </c>
      <c r="CR16" s="17">
        <f t="shared" si="64"/>
        <v>4316.277647755076</v>
      </c>
      <c r="CS16" s="17">
        <f t="shared" si="64"/>
        <v>4577.7343647597218</v>
      </c>
      <c r="CT16" s="17">
        <f t="shared" si="64"/>
        <v>4956.5313431087325</v>
      </c>
      <c r="CU16" s="17">
        <f t="shared" si="64"/>
        <v>4864.4241425513419</v>
      </c>
      <c r="CV16" s="17">
        <f t="shared" si="64"/>
        <v>4828.8567105853272</v>
      </c>
      <c r="CW16" s="17">
        <f t="shared" si="64"/>
        <v>5380.8201959566304</v>
      </c>
      <c r="CX16" s="17">
        <f t="shared" si="64"/>
        <v>5802.6839004372678</v>
      </c>
      <c r="CY16" s="17">
        <f t="shared" si="64"/>
        <v>5726.0732372700159</v>
      </c>
      <c r="CZ16" s="17">
        <f t="shared" si="64"/>
        <v>5736.0968412615084</v>
      </c>
      <c r="DB16" s="119"/>
      <c r="DC16" s="25">
        <v>0</v>
      </c>
    </row>
    <row r="17" spans="1:107" s="92" customFormat="1" outlineLevel="1" x14ac:dyDescent="0.2">
      <c r="A17" s="92" t="s">
        <v>109</v>
      </c>
      <c r="B17" s="92">
        <f>'Annual Raw'!C7+'Annual Raw'!C8+'Annual Raw'!C9</f>
        <v>0</v>
      </c>
      <c r="C17" s="92">
        <f>'Annual Raw'!D7+'Annual Raw'!D8+'Annual Raw'!D9</f>
        <v>0</v>
      </c>
      <c r="D17" s="92">
        <f>'Annual Raw'!E7+'Annual Raw'!E8+'Annual Raw'!E9</f>
        <v>108.3725</v>
      </c>
      <c r="E17" s="92">
        <f>'Annual Raw'!F7+'Annual Raw'!F8+'Annual Raw'!F9</f>
        <v>185.57509999999999</v>
      </c>
      <c r="F17" s="92">
        <f>'Annual Raw'!G7+'Annual Raw'!G8+'Annual Raw'!G9</f>
        <v>236.8802</v>
      </c>
      <c r="G17" s="92">
        <f>'Annual Raw'!H7+'Annual Raw'!H8+'Annual Raw'!H9</f>
        <v>330.55220000000003</v>
      </c>
      <c r="H17" s="92">
        <f>'Annual Raw'!I7+'Annual Raw'!I8+'Annual Raw'!I9</f>
        <v>452.95679999999999</v>
      </c>
      <c r="I17" s="92">
        <f>'Annual Raw'!J7+'Annual Raw'!J8+'Annual Raw'!J9</f>
        <v>503.20760000000001</v>
      </c>
      <c r="J17" s="92">
        <f>'Annual Raw'!K7+'Annual Raw'!K8+'Annual Raw'!K9</f>
        <v>257.36959999999999</v>
      </c>
      <c r="K17" s="92">
        <f>'Annual Raw'!L7+'Annual Raw'!L8+'Annual Raw'!L9</f>
        <v>322.20350000000002</v>
      </c>
      <c r="L17" s="92">
        <f>'Annual Raw'!M7+'Annual Raw'!M8+'Annual Raw'!M9</f>
        <v>0</v>
      </c>
      <c r="M17" s="92">
        <f>'Annual Raw'!N7+'Annual Raw'!N8+'Annual Raw'!N9</f>
        <v>0</v>
      </c>
      <c r="N17" s="92">
        <f>'Annual Raw'!O7+'Annual Raw'!O8+'Annual Raw'!O9</f>
        <v>474.78</v>
      </c>
      <c r="O17" s="92">
        <f>'Annual Raw'!P7+'Annual Raw'!P8+'Annual Raw'!P9</f>
        <v>423.64</v>
      </c>
      <c r="P17" s="92">
        <f>'Annual Raw'!Q7+'Annual Raw'!Q8+'Annual Raw'!Q9</f>
        <v>530.42999999999995</v>
      </c>
      <c r="Q17" s="92">
        <f>'Annual Raw'!R7+'Annual Raw'!R8+'Annual Raw'!R9</f>
        <v>541.30999999999995</v>
      </c>
      <c r="R17" s="92">
        <f>'Annual Raw'!S7+'Annual Raw'!S8+'Annual Raw'!S9</f>
        <v>193.76</v>
      </c>
      <c r="S17" s="92">
        <f>'Annual Raw'!T7+'Annual Raw'!T8+'Annual Raw'!T9</f>
        <v>0</v>
      </c>
      <c r="T17" s="92">
        <f>'Annual Raw'!U7+'Annual Raw'!U8+'Annual Raw'!U9</f>
        <v>0</v>
      </c>
      <c r="U17" s="92">
        <f>'Annual Raw'!V7+'Annual Raw'!V8+'Annual Raw'!V9</f>
        <v>0</v>
      </c>
      <c r="V17" s="92">
        <f>'Annual Raw'!W7+'Annual Raw'!W8+'Annual Raw'!W9</f>
        <v>0</v>
      </c>
      <c r="W17" s="92">
        <f>'Annual Raw'!X7+'Annual Raw'!X8+'Annual Raw'!X9</f>
        <v>0</v>
      </c>
      <c r="X17" s="92">
        <f>'Annual Raw'!Y7+'Annual Raw'!Y8+'Annual Raw'!Y9</f>
        <v>108.59</v>
      </c>
      <c r="Y17" s="92">
        <f>'Annual Raw'!Z7+'Annual Raw'!Z8+'Annual Raw'!Z9</f>
        <v>91.47</v>
      </c>
      <c r="Z17" s="92">
        <f>'Annual Raw'!AA7+'Annual Raw'!AA8+'Annual Raw'!AA9</f>
        <v>77.58</v>
      </c>
      <c r="AA17" s="76">
        <f>+SUM(CK17:CN17)</f>
        <v>0</v>
      </c>
      <c r="AB17" s="76">
        <f>+SUM(CO17:CR17)</f>
        <v>0</v>
      </c>
      <c r="AC17" s="76">
        <f>+SUM(CS17:CV17)</f>
        <v>0</v>
      </c>
      <c r="AD17" s="76">
        <f>SUM(CW17:CZ17)</f>
        <v>0</v>
      </c>
      <c r="AH17" s="92">
        <f>+'QTR Raw'!C20+'QTR Raw'!C19+'QTR Raw'!C13+'QTR Raw'!C7</f>
        <v>0</v>
      </c>
      <c r="AI17" s="92">
        <f>+'QTR Raw'!D20+'QTR Raw'!D19+'QTR Raw'!D13+'QTR Raw'!D7</f>
        <v>0</v>
      </c>
      <c r="AJ17" s="92">
        <f>+'QTR Raw'!E20+'QTR Raw'!E19+'QTR Raw'!E13+'QTR Raw'!E7</f>
        <v>0</v>
      </c>
      <c r="AK17" s="92">
        <f>+'QTR Raw'!F20+'QTR Raw'!F19+'QTR Raw'!F13+'QTR Raw'!F7</f>
        <v>0</v>
      </c>
      <c r="AL17" s="92">
        <f>+'QTR Raw'!G20+'QTR Raw'!G19+'QTR Raw'!G13+'QTR Raw'!G7</f>
        <v>0</v>
      </c>
      <c r="AM17" s="92">
        <f>+'QTR Raw'!H20+'QTR Raw'!H19+'QTR Raw'!H13+'QTR Raw'!H7</f>
        <v>0</v>
      </c>
      <c r="AN17" s="92">
        <f>+'QTR Raw'!I20+'QTR Raw'!I19+'QTR Raw'!I13+'QTR Raw'!I7</f>
        <v>0</v>
      </c>
      <c r="AO17" s="92">
        <f>+'QTR Raw'!J20+'QTR Raw'!J19+'QTR Raw'!J13+'QTR Raw'!J7</f>
        <v>0</v>
      </c>
      <c r="AP17" s="92">
        <f>+'QTR Raw'!K20+'QTR Raw'!K19+'QTR Raw'!K13+'QTR Raw'!K7</f>
        <v>0</v>
      </c>
      <c r="AQ17" s="92">
        <f>+'QTR Raw'!L20+'QTR Raw'!L19+'QTR Raw'!L13+'QTR Raw'!L7</f>
        <v>0</v>
      </c>
      <c r="AR17" s="92">
        <f>+'QTR Raw'!M20+'QTR Raw'!M19+'QTR Raw'!M13+'QTR Raw'!M7</f>
        <v>0</v>
      </c>
      <c r="AS17" s="92">
        <f>+'QTR Raw'!N20+'QTR Raw'!N19+'QTR Raw'!N13+'QTR Raw'!N7</f>
        <v>0</v>
      </c>
      <c r="AT17" s="92">
        <f>+'QTR Raw'!O20+'QTR Raw'!O19+'QTR Raw'!O13+'QTR Raw'!O7</f>
        <v>0</v>
      </c>
      <c r="AU17" s="92">
        <f>+'QTR Raw'!P20+'QTR Raw'!P19+'QTR Raw'!P13+'QTR Raw'!P7</f>
        <v>0</v>
      </c>
      <c r="AV17" s="92">
        <f>+'QTR Raw'!Q20+'QTR Raw'!Q19+'QTR Raw'!Q13+'QTR Raw'!Q7</f>
        <v>161.87</v>
      </c>
      <c r="AW17" s="92">
        <f>+'QTR Raw'!R20+'QTR Raw'!R19+'QTR Raw'!R13+'QTR Raw'!R7</f>
        <v>120.09</v>
      </c>
      <c r="AX17" s="92">
        <f>+'QTR Raw'!S20+'QTR Raw'!S19+'QTR Raw'!S13+'QTR Raw'!S7</f>
        <v>131.59</v>
      </c>
      <c r="AY17" s="92">
        <f>+'QTR Raw'!T20+'QTR Raw'!T19+'QTR Raw'!T13+'QTR Raw'!T7</f>
        <v>142.63</v>
      </c>
      <c r="AZ17" s="92">
        <f>+'QTR Raw'!U20+'QTR Raw'!U19+'QTR Raw'!U13+'QTR Raw'!U7</f>
        <v>147</v>
      </c>
      <c r="BA17" s="92">
        <f>+'QTR Raw'!V20+'QTR Raw'!V19+'QTR Raw'!V13+'QTR Raw'!V7</f>
        <v>149.99</v>
      </c>
      <c r="BB17" s="92">
        <f>+'QTR Raw'!W20+'QTR Raw'!W19+'QTR Raw'!W13+'QTR Raw'!W7</f>
        <v>137.79</v>
      </c>
      <c r="BC17" s="92">
        <f>+'QTR Raw'!X20+'QTR Raw'!X19+'QTR Raw'!X13+'QTR Raw'!X7</f>
        <v>0</v>
      </c>
      <c r="BD17" s="92">
        <f>+'QTR Raw'!Y20+'QTR Raw'!Y19+'QTR Raw'!Y13+'QTR Raw'!Y7</f>
        <v>0</v>
      </c>
      <c r="BE17" s="92">
        <f>+'QTR Raw'!Z20+'QTR Raw'!Z19+'QTR Raw'!Z13+'QTR Raw'!Z7</f>
        <v>0</v>
      </c>
      <c r="BF17" s="92">
        <f>+'QTR Raw'!AA20+'QTR Raw'!AA19+'QTR Raw'!AA13+'QTR Raw'!AA7</f>
        <v>0</v>
      </c>
      <c r="BG17" s="92">
        <f>+'QTR Raw'!AB20+'QTR Raw'!AB19+'QTR Raw'!AB13+'QTR Raw'!AB7</f>
        <v>0</v>
      </c>
      <c r="BH17" s="92">
        <f>+'QTR Raw'!AC20+'QTR Raw'!AC19+'QTR Raw'!AC13+'QTR Raw'!AC7</f>
        <v>0</v>
      </c>
      <c r="BI17" s="92">
        <f>+'QTR Raw'!AD20+'QTR Raw'!AD19+'QTR Raw'!AD13+'QTR Raw'!AD7</f>
        <v>0</v>
      </c>
      <c r="BJ17" s="92">
        <f>+'QTR Raw'!AE20+'QTR Raw'!AE19+'QTR Raw'!AE13+'QTR Raw'!AE7</f>
        <v>0</v>
      </c>
      <c r="BK17" s="92">
        <f>+'QTR Raw'!AF20+'QTR Raw'!AF19+'QTR Raw'!AF13+'QTR Raw'!AF7</f>
        <v>0</v>
      </c>
      <c r="BL17" s="92">
        <f>+'QTR Raw'!AG20+'QTR Raw'!AG19+'QTR Raw'!AG13+'QTR Raw'!AG7</f>
        <v>0</v>
      </c>
      <c r="BM17" s="92">
        <f>+'QTR Raw'!AH20+'QTR Raw'!AH19+'QTR Raw'!AH13+'QTR Raw'!AH7</f>
        <v>0</v>
      </c>
      <c r="BN17" s="92">
        <f>+'QTR Raw'!AI20+'QTR Raw'!AI19+'QTR Raw'!AI13+'QTR Raw'!AI7</f>
        <v>0</v>
      </c>
      <c r="BO17" s="92">
        <f>+'QTR Raw'!AJ20+'QTR Raw'!AJ19+'QTR Raw'!AJ13+'QTR Raw'!AJ7</f>
        <v>0</v>
      </c>
      <c r="BP17" s="92">
        <f>+'QTR Raw'!AK20+'QTR Raw'!AK19+'QTR Raw'!AK13+'QTR Raw'!AK7</f>
        <v>0</v>
      </c>
      <c r="BQ17" s="92">
        <f>+'QTR Raw'!AL20+'QTR Raw'!AL19+'QTR Raw'!AL13+'QTR Raw'!AL7</f>
        <v>0</v>
      </c>
      <c r="BR17" s="92">
        <f>+'QTR Raw'!AM20+'QTR Raw'!AM19+'QTR Raw'!AM13+'QTR Raw'!AM7</f>
        <v>0</v>
      </c>
      <c r="BS17" s="92">
        <f>+'QTR Raw'!AN20+'QTR Raw'!AN19+'QTR Raw'!AN13+'QTR Raw'!AN7</f>
        <v>0</v>
      </c>
      <c r="BT17" s="92">
        <f>+'QTR Raw'!AO20+'QTR Raw'!AO19+'QTR Raw'!AO13+'QTR Raw'!AO7</f>
        <v>0</v>
      </c>
      <c r="BU17" s="92">
        <f>+'QTR Raw'!AP20+'QTR Raw'!AP19+'QTR Raw'!AP13+'QTR Raw'!AP7</f>
        <v>0</v>
      </c>
      <c r="BV17" s="92">
        <f>+'QTR Raw'!AQ20+'QTR Raw'!AQ19+'QTR Raw'!AQ13+'QTR Raw'!AQ7</f>
        <v>0</v>
      </c>
      <c r="BW17" s="92">
        <f>+'QTR Raw'!AR20+'QTR Raw'!AR19+'QTR Raw'!AR13+'QTR Raw'!AR7</f>
        <v>0</v>
      </c>
      <c r="BX17" s="92">
        <f>+'QTR Raw'!AS20+'QTR Raw'!AS19+'QTR Raw'!AS13+'QTR Raw'!AS7</f>
        <v>0</v>
      </c>
      <c r="BY17" s="92">
        <f>+'QTR Raw'!AT20+'QTR Raw'!AT19+'QTR Raw'!AT13+'QTR Raw'!AT7</f>
        <v>0</v>
      </c>
      <c r="BZ17" s="92">
        <f>+'QTR Raw'!AU20+'QTR Raw'!AU19+'QTR Raw'!AU13+'QTR Raw'!AU7</f>
        <v>0</v>
      </c>
      <c r="CA17" s="92">
        <f>+'QTR Raw'!AV20+'QTR Raw'!AV19+'QTR Raw'!AV13+'QTR Raw'!AV7</f>
        <v>0</v>
      </c>
      <c r="CB17" s="92">
        <f>+'QTR Raw'!AW20+'QTR Raw'!AW19+'QTR Raw'!AW13+'QTR Raw'!AW7</f>
        <v>0</v>
      </c>
      <c r="CC17" s="92">
        <f>+'QTR Raw'!AX20+'QTR Raw'!AX19+'QTR Raw'!AX13+'QTR Raw'!AX7</f>
        <v>0</v>
      </c>
      <c r="CD17" s="92">
        <f>+'QTR Raw'!AY20+'QTR Raw'!AY19+'QTR Raw'!AY13+'QTR Raw'!AY7</f>
        <v>0</v>
      </c>
      <c r="CE17" s="92">
        <f>+'QTR Raw'!AZ20+'QTR Raw'!AZ19+'QTR Raw'!AZ13+'QTR Raw'!AZ7</f>
        <v>0</v>
      </c>
      <c r="CF17" s="92">
        <f>+'QTR Raw'!BA20+'QTR Raw'!BA19+'QTR Raw'!BA13+'QTR Raw'!BA7</f>
        <v>0</v>
      </c>
      <c r="CG17" s="92">
        <f>+'QTR Raw'!BB20+'QTR Raw'!BB19+'QTR Raw'!BB13+'QTR Raw'!BB7</f>
        <v>0</v>
      </c>
      <c r="CH17" s="92">
        <f>+'QTR Raw'!BC20+'QTR Raw'!BC19+'QTR Raw'!BC13+'QTR Raw'!BC7</f>
        <v>0</v>
      </c>
      <c r="CI17" s="92">
        <f>+'QTR Raw'!BD20+'QTR Raw'!BD19+'QTR Raw'!BD13+'QTR Raw'!BD7</f>
        <v>0</v>
      </c>
      <c r="CK17" s="92">
        <f>+'QTR Raw'!BF20+'QTR Raw'!BF19+'QTR Raw'!BF13+'QTR Raw'!BF7</f>
        <v>0</v>
      </c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B17" s="120"/>
      <c r="DC17" s="92">
        <v>0</v>
      </c>
    </row>
    <row r="18" spans="1:107" s="26" customFormat="1" x14ac:dyDescent="0.2">
      <c r="A18" s="26" t="s">
        <v>431</v>
      </c>
      <c r="B18" s="26">
        <f>+B16-B17</f>
        <v>1041.5989999999999</v>
      </c>
      <c r="C18" s="26">
        <f>+C16-C17</f>
        <v>1175.7575999999999</v>
      </c>
      <c r="D18" s="26">
        <f t="shared" ref="D18:U18" si="65">+D16-D17</f>
        <v>1468.3575000000001</v>
      </c>
      <c r="E18" s="26">
        <f t="shared" si="65"/>
        <v>2260.2226000000001</v>
      </c>
      <c r="F18" s="26">
        <f t="shared" si="65"/>
        <v>2963.0526</v>
      </c>
      <c r="G18" s="26">
        <f t="shared" si="65"/>
        <v>4274.0092999999997</v>
      </c>
      <c r="H18" s="26">
        <f t="shared" si="65"/>
        <v>5930.3114000000005</v>
      </c>
      <c r="I18" s="26">
        <f t="shared" si="65"/>
        <v>6837.0315000000001</v>
      </c>
      <c r="J18" s="26">
        <f t="shared" si="65"/>
        <v>6237.2013999999999</v>
      </c>
      <c r="K18" s="26">
        <f t="shared" si="65"/>
        <v>6287.1118000000006</v>
      </c>
      <c r="L18" s="26">
        <f t="shared" si="65"/>
        <v>7451.79</v>
      </c>
      <c r="M18" s="26">
        <f t="shared" si="65"/>
        <v>7610.48</v>
      </c>
      <c r="N18" s="26">
        <f t="shared" si="65"/>
        <v>7721.9900000000007</v>
      </c>
      <c r="O18" s="26">
        <f t="shared" si="65"/>
        <v>7733.2699999999995</v>
      </c>
      <c r="P18" s="26">
        <f t="shared" si="65"/>
        <v>8140.27</v>
      </c>
      <c r="Q18" s="26">
        <f t="shared" si="65"/>
        <v>8642.2100000000009</v>
      </c>
      <c r="R18" s="26">
        <f t="shared" si="65"/>
        <v>6093.73</v>
      </c>
      <c r="S18" s="26">
        <f t="shared" si="65"/>
        <v>6690.12</v>
      </c>
      <c r="T18" s="26">
        <f t="shared" si="65"/>
        <v>7315.06</v>
      </c>
      <c r="U18" s="26">
        <f t="shared" si="65"/>
        <v>5820.95</v>
      </c>
      <c r="V18" s="26">
        <f>+V16-V17</f>
        <v>6934</v>
      </c>
      <c r="W18" s="26">
        <f>+W16-W17</f>
        <v>8567.5300000000007</v>
      </c>
      <c r="X18" s="26">
        <f>+X16-X17</f>
        <v>10446.52</v>
      </c>
      <c r="Y18" s="26">
        <f>+Y16-Y17</f>
        <v>12188.310000000001</v>
      </c>
      <c r="Z18" s="26">
        <f>+Z16-Z17</f>
        <v>13202.73</v>
      </c>
      <c r="AA18" s="27">
        <f t="shared" ref="AA18" si="66">+AA16-AA17</f>
        <v>14486.195556445347</v>
      </c>
      <c r="AB18" s="27">
        <f t="shared" ref="AB18:AD18" si="67">+AB16-AB17</f>
        <v>17087.61571927548</v>
      </c>
      <c r="AC18" s="27">
        <f t="shared" si="67"/>
        <v>19227.546561005125</v>
      </c>
      <c r="AD18" s="27">
        <f t="shared" si="67"/>
        <v>22645.674174925422</v>
      </c>
      <c r="AH18" s="26">
        <f t="shared" ref="AH18" si="68">+AH16-AH17</f>
        <v>1883.79</v>
      </c>
      <c r="AI18" s="26">
        <f t="shared" ref="AI18" si="69">+AI16-AI17</f>
        <v>1808.61</v>
      </c>
      <c r="AJ18" s="26">
        <f t="shared" ref="AJ18:AL18" si="70">+AJ16-AJ17</f>
        <v>2082.2800000000002</v>
      </c>
      <c r="AK18" s="26">
        <f t="shared" si="70"/>
        <v>1981.07</v>
      </c>
      <c r="AL18" s="26">
        <f t="shared" si="70"/>
        <v>1751.15</v>
      </c>
      <c r="AM18" s="26">
        <f t="shared" ref="AM18:AN18" si="71">+AM16-AM17</f>
        <v>1785.9</v>
      </c>
      <c r="AN18" s="26">
        <f t="shared" si="71"/>
        <v>2203.87</v>
      </c>
      <c r="AO18" s="26">
        <f t="shared" ref="AO18:AV18" si="72">+AO16-AO17</f>
        <v>1827.71</v>
      </c>
      <c r="AP18" s="26">
        <f t="shared" si="72"/>
        <v>1822.18</v>
      </c>
      <c r="AQ18" s="26">
        <f t="shared" si="72"/>
        <v>1844.97</v>
      </c>
      <c r="AR18" s="26">
        <f t="shared" si="72"/>
        <v>2238.41</v>
      </c>
      <c r="AS18" s="26">
        <f t="shared" si="72"/>
        <v>1814.57</v>
      </c>
      <c r="AT18" s="26">
        <f t="shared" si="72"/>
        <v>1931.6200000000001</v>
      </c>
      <c r="AU18" s="26">
        <f t="shared" si="72"/>
        <v>1968.97</v>
      </c>
      <c r="AV18" s="26">
        <f t="shared" si="72"/>
        <v>2425.11</v>
      </c>
      <c r="AW18" s="26">
        <f t="shared" ref="AW18:CE18" si="73">+AW16-AW17</f>
        <v>2003.5200000000002</v>
      </c>
      <c r="AX18" s="26">
        <f t="shared" si="73"/>
        <v>2094.6499999999996</v>
      </c>
      <c r="AY18" s="26">
        <f t="shared" si="73"/>
        <v>2055.0099999999998</v>
      </c>
      <c r="AZ18" s="26">
        <f t="shared" si="73"/>
        <v>2507.7800000000002</v>
      </c>
      <c r="BA18" s="26">
        <f t="shared" si="73"/>
        <v>2151.1900000000005</v>
      </c>
      <c r="BB18" s="26">
        <f t="shared" si="73"/>
        <v>2233.3399999999997</v>
      </c>
      <c r="BC18" s="26">
        <f t="shared" si="73"/>
        <v>1923.3999999999999</v>
      </c>
      <c r="BD18" s="26">
        <f t="shared" si="73"/>
        <v>1708.75</v>
      </c>
      <c r="BE18" s="26">
        <f t="shared" si="73"/>
        <v>1566.46</v>
      </c>
      <c r="BF18" s="26">
        <f t="shared" si="73"/>
        <v>1665.7199999999998</v>
      </c>
      <c r="BG18" s="26">
        <f t="shared" si="73"/>
        <v>1491.6200000000001</v>
      </c>
      <c r="BH18" s="26">
        <f t="shared" si="73"/>
        <v>1966.32</v>
      </c>
      <c r="BI18" s="26">
        <f t="shared" si="73"/>
        <v>1850.25</v>
      </c>
      <c r="BJ18" s="26">
        <f t="shared" si="73"/>
        <v>1725.75</v>
      </c>
      <c r="BK18" s="26">
        <f t="shared" si="73"/>
        <v>1745.62</v>
      </c>
      <c r="BL18" s="26">
        <f t="shared" si="73"/>
        <v>1953.33</v>
      </c>
      <c r="BM18" s="26">
        <f t="shared" si="73"/>
        <v>1522.24</v>
      </c>
      <c r="BN18" s="26">
        <f t="shared" si="73"/>
        <v>985.78</v>
      </c>
      <c r="BO18" s="26">
        <f t="shared" si="73"/>
        <v>1612.1699999999998</v>
      </c>
      <c r="BP18" s="26">
        <f t="shared" si="73"/>
        <v>1700.76</v>
      </c>
      <c r="BQ18" s="26">
        <f t="shared" si="73"/>
        <v>1629.15</v>
      </c>
      <c r="BR18" s="26">
        <f t="shared" si="73"/>
        <v>1424.96</v>
      </c>
      <c r="BS18" s="26">
        <f t="shared" si="73"/>
        <v>1778.39</v>
      </c>
      <c r="BT18" s="26">
        <f t="shared" si="73"/>
        <v>2101.5</v>
      </c>
      <c r="BU18" s="26">
        <f t="shared" si="73"/>
        <v>1974.8600000000001</v>
      </c>
      <c r="BV18" s="26">
        <f t="shared" si="73"/>
        <v>2097.85</v>
      </c>
      <c r="BW18" s="26">
        <f t="shared" si="73"/>
        <v>2119.7399999999998</v>
      </c>
      <c r="BX18" s="26">
        <f t="shared" si="73"/>
        <v>2426.9100000000003</v>
      </c>
      <c r="BY18" s="26">
        <f t="shared" si="73"/>
        <v>2411.21</v>
      </c>
      <c r="BZ18" s="26">
        <f t="shared" si="73"/>
        <v>2508.63</v>
      </c>
      <c r="CA18" s="26">
        <f t="shared" si="73"/>
        <v>2769.19</v>
      </c>
      <c r="CB18" s="26">
        <f t="shared" si="73"/>
        <v>2757.49</v>
      </c>
      <c r="CC18" s="26">
        <f t="shared" si="73"/>
        <v>3080.3599999999997</v>
      </c>
      <c r="CD18" s="26">
        <f t="shared" si="73"/>
        <v>2830.86</v>
      </c>
      <c r="CE18" s="26">
        <f t="shared" si="73"/>
        <v>2912.1600000000003</v>
      </c>
      <c r="CF18" s="26">
        <f t="shared" ref="CF18:CG18" si="74">+CF16-CF17</f>
        <v>3364.9300000000003</v>
      </c>
      <c r="CG18" s="26">
        <f t="shared" si="74"/>
        <v>3010.07</v>
      </c>
      <c r="CH18" s="26">
        <f t="shared" ref="CH18:CI18" si="75">+CH16-CH17</f>
        <v>3175.44</v>
      </c>
      <c r="CI18" s="26">
        <f t="shared" si="75"/>
        <v>3310.72</v>
      </c>
      <c r="CJ18" s="26">
        <f t="shared" ref="CJ18:CK18" si="76">+CJ16-CJ17</f>
        <v>3557.01</v>
      </c>
      <c r="CK18" s="26">
        <f t="shared" si="76"/>
        <v>3184.06</v>
      </c>
      <c r="CL18" s="27">
        <f t="shared" ref="CL18:CZ18" si="77">+CL16-CL17</f>
        <v>3703.3844958702148</v>
      </c>
      <c r="CM18" s="27">
        <f t="shared" si="77"/>
        <v>3768.5280837809951</v>
      </c>
      <c r="CN18" s="27">
        <f t="shared" si="77"/>
        <v>3830.2229767941376</v>
      </c>
      <c r="CO18" s="27">
        <f t="shared" si="77"/>
        <v>4013.5473438621184</v>
      </c>
      <c r="CP18" s="27">
        <f t="shared" si="77"/>
        <v>4412.448429056607</v>
      </c>
      <c r="CQ18" s="27">
        <f t="shared" si="77"/>
        <v>4345.3422986016785</v>
      </c>
      <c r="CR18" s="27">
        <f t="shared" si="77"/>
        <v>4316.277647755076</v>
      </c>
      <c r="CS18" s="27">
        <f t="shared" si="77"/>
        <v>4577.7343647597218</v>
      </c>
      <c r="CT18" s="27">
        <f t="shared" si="77"/>
        <v>4956.5313431087325</v>
      </c>
      <c r="CU18" s="27">
        <f t="shared" si="77"/>
        <v>4864.4241425513419</v>
      </c>
      <c r="CV18" s="27">
        <f t="shared" si="77"/>
        <v>4828.8567105853272</v>
      </c>
      <c r="CW18" s="27">
        <f t="shared" si="77"/>
        <v>5380.8201959566304</v>
      </c>
      <c r="CX18" s="27">
        <f t="shared" si="77"/>
        <v>5802.6839004372678</v>
      </c>
      <c r="CY18" s="27">
        <f t="shared" si="77"/>
        <v>5726.0732372700159</v>
      </c>
      <c r="CZ18" s="27">
        <f t="shared" si="77"/>
        <v>5736.0968412615084</v>
      </c>
      <c r="DB18" s="121"/>
      <c r="DC18" s="26">
        <v>0</v>
      </c>
    </row>
    <row r="19" spans="1:107" s="39" customFormat="1" x14ac:dyDescent="0.2">
      <c r="A19" s="39" t="s">
        <v>484</v>
      </c>
      <c r="C19" s="39">
        <f t="shared" ref="C19" si="78">C18/B18-1</f>
        <v>0.12880062288846283</v>
      </c>
      <c r="D19" s="39">
        <f t="shared" ref="D19" si="79">D18/C18-1</f>
        <v>0.24886073455957258</v>
      </c>
      <c r="E19" s="39">
        <f t="shared" ref="E19" si="80">E18/D18-1</f>
        <v>0.53928631140577132</v>
      </c>
      <c r="F19" s="39">
        <f t="shared" ref="F19:R19" si="81">F18/E18-1</f>
        <v>0.31095609786398914</v>
      </c>
      <c r="G19" s="39">
        <f t="shared" si="81"/>
        <v>0.44243450150024333</v>
      </c>
      <c r="H19" s="39">
        <f t="shared" si="81"/>
        <v>0.38752889470783347</v>
      </c>
      <c r="I19" s="39">
        <f t="shared" si="81"/>
        <v>0.1528958664801312</v>
      </c>
      <c r="J19" s="39">
        <f t="shared" si="81"/>
        <v>-8.7732534214593039E-2</v>
      </c>
      <c r="K19" s="39">
        <f>K18/J18-1</f>
        <v>8.0020504067739306E-3</v>
      </c>
      <c r="L19" s="39">
        <f t="shared" si="81"/>
        <v>0.18524852699454142</v>
      </c>
      <c r="M19" s="39">
        <f t="shared" si="81"/>
        <v>2.1295554490934343E-2</v>
      </c>
      <c r="N19" s="39">
        <f t="shared" si="81"/>
        <v>1.4652163858258849E-2</v>
      </c>
      <c r="O19" s="39">
        <f t="shared" si="81"/>
        <v>1.4607633524517105E-3</v>
      </c>
      <c r="P19" s="39">
        <f t="shared" si="81"/>
        <v>5.2629741364261351E-2</v>
      </c>
      <c r="Q19" s="39">
        <f t="shared" si="81"/>
        <v>6.166134538534962E-2</v>
      </c>
      <c r="R19" s="39">
        <f t="shared" si="81"/>
        <v>-0.29488753455424033</v>
      </c>
      <c r="S19" s="39">
        <f t="shared" ref="S19:Z19" si="82">S18/R18-1</f>
        <v>9.7869449417680165E-2</v>
      </c>
      <c r="T19" s="39">
        <f t="shared" si="82"/>
        <v>9.3412375263821845E-2</v>
      </c>
      <c r="U19" s="39">
        <f t="shared" si="82"/>
        <v>-0.20425122965498577</v>
      </c>
      <c r="V19" s="39">
        <f t="shared" si="82"/>
        <v>0.19121449247974986</v>
      </c>
      <c r="W19" s="39">
        <f t="shared" si="82"/>
        <v>0.23558263628497267</v>
      </c>
      <c r="X19" s="39">
        <f t="shared" si="82"/>
        <v>0.21931525188706669</v>
      </c>
      <c r="Y19" s="39">
        <f t="shared" si="82"/>
        <v>0.16673399371273878</v>
      </c>
      <c r="Z19" s="39">
        <f t="shared" si="82"/>
        <v>8.3228930015728064E-2</v>
      </c>
      <c r="AA19" s="40">
        <f t="shared" ref="AA19" si="83">AA18/Z18-1</f>
        <v>9.7212133887866203E-2</v>
      </c>
      <c r="AB19" s="40">
        <f t="shared" ref="AB19" si="84">AB18/AA18-1</f>
        <v>0.17957925203299374</v>
      </c>
      <c r="AC19" s="40">
        <f t="shared" ref="AC19" si="85">AC18/AB18-1</f>
        <v>0.12523285149230756</v>
      </c>
      <c r="AD19" s="40">
        <f t="shared" ref="AD19" si="86">AD18/AC18-1</f>
        <v>0.17777242681874506</v>
      </c>
      <c r="AL19" s="39">
        <f t="shared" ref="AL19:CH19" si="87">+IF(AH18&lt;0,1-AL18/AH18,AL18/AH18-1)</f>
        <v>-7.0411245414828572E-2</v>
      </c>
      <c r="AM19" s="39">
        <f t="shared" si="87"/>
        <v>-1.2556604243037395E-2</v>
      </c>
      <c r="AN19" s="39">
        <f t="shared" si="87"/>
        <v>5.8392723360931154E-2</v>
      </c>
      <c r="AO19" s="39">
        <f t="shared" si="87"/>
        <v>-7.7412711312573435E-2</v>
      </c>
      <c r="AP19" s="39">
        <f t="shared" si="87"/>
        <v>4.0561916454901148E-2</v>
      </c>
      <c r="AQ19" s="39">
        <f t="shared" si="87"/>
        <v>3.3075760120947484E-2</v>
      </c>
      <c r="AR19" s="39">
        <f t="shared" si="87"/>
        <v>1.5672430769509971E-2</v>
      </c>
      <c r="AS19" s="39">
        <f t="shared" si="87"/>
        <v>-7.1893243457660239E-3</v>
      </c>
      <c r="AT19" s="39">
        <f t="shared" si="87"/>
        <v>6.005992821784889E-2</v>
      </c>
      <c r="AU19" s="39">
        <f t="shared" si="87"/>
        <v>6.7209764928427118E-2</v>
      </c>
      <c r="AV19" s="39">
        <f t="shared" si="87"/>
        <v>8.3407418658780319E-2</v>
      </c>
      <c r="AW19" s="39">
        <f t="shared" si="87"/>
        <v>0.10412935295965453</v>
      </c>
      <c r="AX19" s="39">
        <f t="shared" si="87"/>
        <v>8.4400658514614424E-2</v>
      </c>
      <c r="AY19" s="39">
        <f t="shared" si="87"/>
        <v>4.3697974067659517E-2</v>
      </c>
      <c r="AZ19" s="39">
        <f t="shared" si="87"/>
        <v>3.4089175336376565E-2</v>
      </c>
      <c r="BA19" s="39">
        <f t="shared" si="87"/>
        <v>7.3705278709471411E-2</v>
      </c>
      <c r="BB19" s="39">
        <f t="shared" si="87"/>
        <v>6.6211538920583513E-2</v>
      </c>
      <c r="BC19" s="39">
        <f t="shared" si="87"/>
        <v>-6.4043483973313942E-2</v>
      </c>
      <c r="BD19" s="39">
        <f t="shared" si="87"/>
        <v>-0.31862045314979792</v>
      </c>
      <c r="BE19" s="39">
        <f t="shared" si="87"/>
        <v>-0.2718169943147748</v>
      </c>
      <c r="BF19" s="39">
        <f t="shared" si="87"/>
        <v>-0.25415745027626779</v>
      </c>
      <c r="BG19" s="39">
        <f t="shared" si="87"/>
        <v>-0.22448788603514602</v>
      </c>
      <c r="BH19" s="39">
        <f t="shared" si="87"/>
        <v>0.15073591806876374</v>
      </c>
      <c r="BI19" s="39">
        <f t="shared" si="87"/>
        <v>0.18116645174469825</v>
      </c>
      <c r="BJ19" s="39">
        <f t="shared" si="87"/>
        <v>3.6038469850875332E-2</v>
      </c>
      <c r="BK19" s="39">
        <f t="shared" si="87"/>
        <v>0.17028465695016148</v>
      </c>
      <c r="BL19" s="39">
        <f t="shared" si="87"/>
        <v>-6.6062492371536941E-3</v>
      </c>
      <c r="BM19" s="39">
        <f t="shared" si="87"/>
        <v>-0.17727874611538985</v>
      </c>
      <c r="BN19" s="39">
        <f t="shared" si="87"/>
        <v>-0.42878168912067216</v>
      </c>
      <c r="BO19" s="39">
        <f t="shared" si="87"/>
        <v>-7.6448482487597613E-2</v>
      </c>
      <c r="BP19" s="39">
        <f t="shared" si="87"/>
        <v>-0.12930226843390513</v>
      </c>
      <c r="BQ19" s="39">
        <f t="shared" si="87"/>
        <v>7.0232026487281995E-2</v>
      </c>
      <c r="BR19" s="39">
        <f t="shared" si="87"/>
        <v>0.44551522652113063</v>
      </c>
      <c r="BS19" s="39">
        <f t="shared" si="87"/>
        <v>0.10310327074688175</v>
      </c>
      <c r="BT19" s="39">
        <f t="shared" si="87"/>
        <v>0.23562407394341345</v>
      </c>
      <c r="BU19" s="39">
        <f t="shared" si="87"/>
        <v>0.21220268238038242</v>
      </c>
      <c r="BV19" s="39">
        <f t="shared" si="87"/>
        <v>0.47221676397933976</v>
      </c>
      <c r="BW19" s="39">
        <f t="shared" si="87"/>
        <v>0.19194327453483195</v>
      </c>
      <c r="BX19" s="39">
        <f t="shared" si="87"/>
        <v>0.15484653818700944</v>
      </c>
      <c r="BY19" s="39">
        <f t="shared" si="87"/>
        <v>0.22095237130733314</v>
      </c>
      <c r="BZ19" s="39">
        <f t="shared" si="87"/>
        <v>0.1958099959482329</v>
      </c>
      <c r="CA19" s="39">
        <f t="shared" si="87"/>
        <v>0.30638191476313148</v>
      </c>
      <c r="CB19" s="39">
        <f t="shared" si="87"/>
        <v>0.13621436312018131</v>
      </c>
      <c r="CC19" s="39">
        <f t="shared" si="87"/>
        <v>0.27751626776597615</v>
      </c>
      <c r="CD19" s="39">
        <f t="shared" si="87"/>
        <v>0.12844859544851173</v>
      </c>
      <c r="CE19" s="39">
        <f t="shared" si="87"/>
        <v>5.1628815646452608E-2</v>
      </c>
      <c r="CF19" s="39">
        <f t="shared" si="87"/>
        <v>0.22028729025309279</v>
      </c>
      <c r="CG19" s="39">
        <f t="shared" si="87"/>
        <v>-2.2818761443467506E-2</v>
      </c>
      <c r="CH19" s="39">
        <f t="shared" si="87"/>
        <v>0.12172272736906797</v>
      </c>
      <c r="CI19" s="39">
        <f>+IF(CE18&lt;0,1-CI18/CE18,CI18/CE18-1)</f>
        <v>0.13686061205428257</v>
      </c>
      <c r="CJ19" s="39">
        <f>+IF(CF18&lt;0,1-CJ18/CF18,CJ18/CF18-1)</f>
        <v>5.7082911085817534E-2</v>
      </c>
      <c r="CK19" s="39">
        <f>+IF(CG18&lt;0,1-CK18/CG18,CK18/CG18-1)</f>
        <v>5.7802642463464338E-2</v>
      </c>
      <c r="CL19" s="40">
        <f t="shared" ref="CL19:CZ19" si="88">+IF(CH18&lt;0,1-CL18/CH18,CL18/CH18-1)</f>
        <v>0.16625869040832608</v>
      </c>
      <c r="CM19" s="40">
        <f t="shared" si="88"/>
        <v>0.13828052018322157</v>
      </c>
      <c r="CN19" s="40">
        <f t="shared" si="88"/>
        <v>7.6809729743277932E-2</v>
      </c>
      <c r="CO19" s="40">
        <f t="shared" si="88"/>
        <v>0.2605124727116066</v>
      </c>
      <c r="CP19" s="40">
        <f t="shared" si="88"/>
        <v>0.19146376347827143</v>
      </c>
      <c r="CQ19" s="40">
        <f t="shared" si="88"/>
        <v>0.15306087734974794</v>
      </c>
      <c r="CR19" s="40">
        <f t="shared" si="88"/>
        <v>0.12689983687784201</v>
      </c>
      <c r="CS19" s="40">
        <f t="shared" si="88"/>
        <v>0.14057066543899355</v>
      </c>
      <c r="CT19" s="40">
        <f t="shared" si="88"/>
        <v>0.12330635083897223</v>
      </c>
      <c r="CU19" s="40">
        <f t="shared" si="88"/>
        <v>0.1194570665046808</v>
      </c>
      <c r="CV19" s="40">
        <f t="shared" si="88"/>
        <v>0.11875488665490441</v>
      </c>
      <c r="CW19" s="40">
        <f t="shared" si="88"/>
        <v>0.17543303459877824</v>
      </c>
      <c r="CX19" s="40">
        <f t="shared" si="88"/>
        <v>0.17071465885209736</v>
      </c>
      <c r="CY19" s="40">
        <f t="shared" si="88"/>
        <v>0.17713280533690212</v>
      </c>
      <c r="CZ19" s="40">
        <f t="shared" si="88"/>
        <v>0.18787886761837891</v>
      </c>
      <c r="DB19" s="122"/>
      <c r="DC19" s="39" t="e">
        <v>#DIV/0!</v>
      </c>
    </row>
    <row r="20" spans="1:107" s="39" customFormat="1" x14ac:dyDescent="0.2">
      <c r="A20" s="39" t="s">
        <v>446</v>
      </c>
      <c r="AA20" s="40"/>
      <c r="AB20" s="40"/>
      <c r="AC20" s="40"/>
      <c r="AD20" s="40"/>
      <c r="AI20" s="39">
        <f t="shared" ref="AI20:AK20" si="89">+IF(AH18&lt;0,1-AI18/AH18,AI18/AH18-1)</f>
        <v>-3.9908907043778807E-2</v>
      </c>
      <c r="AJ20" s="39">
        <f t="shared" si="89"/>
        <v>0.15131509833518586</v>
      </c>
      <c r="AK20" s="39">
        <f t="shared" si="89"/>
        <v>-4.8605374877538243E-2</v>
      </c>
      <c r="AL20" s="39">
        <f t="shared" ref="AL20:CH20" si="90">+IF(AK18&lt;0,1-AL18/AK18,AL18/AK18-1)</f>
        <v>-0.11605849364232457</v>
      </c>
      <c r="AM20" s="39">
        <f t="shared" si="90"/>
        <v>1.984410244696333E-2</v>
      </c>
      <c r="AN20" s="39">
        <f t="shared" si="90"/>
        <v>0.2340388599585641</v>
      </c>
      <c r="AO20" s="39">
        <f t="shared" si="90"/>
        <v>-0.17068157377703763</v>
      </c>
      <c r="AP20" s="39">
        <f t="shared" si="90"/>
        <v>-3.0256441120308786E-3</v>
      </c>
      <c r="AQ20" s="39">
        <f t="shared" si="90"/>
        <v>1.2506997113347795E-2</v>
      </c>
      <c r="AR20" s="39">
        <f t="shared" si="90"/>
        <v>0.21325007994709932</v>
      </c>
      <c r="AS20" s="39">
        <f t="shared" si="90"/>
        <v>-0.18934868947154448</v>
      </c>
      <c r="AT20" s="39">
        <f t="shared" si="90"/>
        <v>6.450564045476348E-2</v>
      </c>
      <c r="AU20" s="39">
        <f t="shared" si="90"/>
        <v>1.9336101303568887E-2</v>
      </c>
      <c r="AV20" s="39">
        <f t="shared" si="90"/>
        <v>0.2316642711671586</v>
      </c>
      <c r="AW20" s="39">
        <f t="shared" si="90"/>
        <v>-0.17384366069992696</v>
      </c>
      <c r="AX20" s="39">
        <f t="shared" si="90"/>
        <v>4.5484946494170009E-2</v>
      </c>
      <c r="AY20" s="39">
        <f t="shared" si="90"/>
        <v>-1.8924402644833194E-2</v>
      </c>
      <c r="AZ20" s="39">
        <f t="shared" si="90"/>
        <v>0.22032496192232665</v>
      </c>
      <c r="BA20" s="39">
        <f t="shared" si="90"/>
        <v>-0.14219349384714752</v>
      </c>
      <c r="BB20" s="39">
        <f t="shared" si="90"/>
        <v>3.8188165619958747E-2</v>
      </c>
      <c r="BC20" s="39">
        <f t="shared" si="90"/>
        <v>-0.13877869021286493</v>
      </c>
      <c r="BD20" s="39">
        <f t="shared" si="90"/>
        <v>-0.11159925132577719</v>
      </c>
      <c r="BE20" s="39">
        <f t="shared" si="90"/>
        <v>-8.3271397220190169E-2</v>
      </c>
      <c r="BF20" s="39">
        <f t="shared" si="90"/>
        <v>6.3365805702028544E-2</v>
      </c>
      <c r="BG20" s="39">
        <f t="shared" si="90"/>
        <v>-0.10451936700045605</v>
      </c>
      <c r="BH20" s="39">
        <f t="shared" si="90"/>
        <v>0.31824459312693576</v>
      </c>
      <c r="BI20" s="39">
        <f t="shared" si="90"/>
        <v>-5.9029049188331517E-2</v>
      </c>
      <c r="BJ20" s="39">
        <f t="shared" si="90"/>
        <v>-6.7288204296716669E-2</v>
      </c>
      <c r="BK20" s="39">
        <f t="shared" si="90"/>
        <v>1.1513834564681913E-2</v>
      </c>
      <c r="BL20" s="39">
        <f t="shared" si="90"/>
        <v>0.1189892416448024</v>
      </c>
      <c r="BM20" s="39">
        <f t="shared" si="90"/>
        <v>-0.22069491586163115</v>
      </c>
      <c r="BN20" s="39">
        <f t="shared" si="90"/>
        <v>-0.35241486230817742</v>
      </c>
      <c r="BO20" s="39">
        <f t="shared" si="90"/>
        <v>0.63542575422508052</v>
      </c>
      <c r="BP20" s="39">
        <f t="shared" si="90"/>
        <v>5.4950780624872131E-2</v>
      </c>
      <c r="BQ20" s="39">
        <f t="shared" si="90"/>
        <v>-4.2104706131376513E-2</v>
      </c>
      <c r="BR20" s="39">
        <f t="shared" si="90"/>
        <v>-0.12533529754780104</v>
      </c>
      <c r="BS20" s="39">
        <f t="shared" si="90"/>
        <v>0.24802801482146863</v>
      </c>
      <c r="BT20" s="39">
        <f t="shared" si="90"/>
        <v>0.18168680660597492</v>
      </c>
      <c r="BU20" s="39">
        <f t="shared" si="90"/>
        <v>-6.0261717820604299E-2</v>
      </c>
      <c r="BV20" s="39">
        <f t="shared" si="90"/>
        <v>6.2277832352672924E-2</v>
      </c>
      <c r="BW20" s="39">
        <f t="shared" si="90"/>
        <v>1.0434492456562694E-2</v>
      </c>
      <c r="BX20" s="39">
        <f t="shared" si="90"/>
        <v>0.14490928132695546</v>
      </c>
      <c r="BY20" s="39">
        <f t="shared" si="90"/>
        <v>-6.4691315293934348E-3</v>
      </c>
      <c r="BZ20" s="39">
        <f t="shared" si="90"/>
        <v>4.0402951215364968E-2</v>
      </c>
      <c r="CA20" s="39">
        <f t="shared" si="90"/>
        <v>0.10386545644435397</v>
      </c>
      <c r="CB20" s="39">
        <f t="shared" si="90"/>
        <v>-4.2250622023047857E-3</v>
      </c>
      <c r="CC20" s="39">
        <f t="shared" si="90"/>
        <v>0.1170883665942577</v>
      </c>
      <c r="CD20" s="39">
        <f t="shared" si="90"/>
        <v>-8.0997026321598664E-2</v>
      </c>
      <c r="CE20" s="39">
        <f t="shared" si="90"/>
        <v>2.8719187808651903E-2</v>
      </c>
      <c r="CF20" s="39">
        <f t="shared" si="90"/>
        <v>0.15547566067798479</v>
      </c>
      <c r="CG20" s="39">
        <f t="shared" si="90"/>
        <v>-0.10545836020362986</v>
      </c>
      <c r="CH20" s="39">
        <f t="shared" si="90"/>
        <v>5.4938921686206621E-2</v>
      </c>
      <c r="CI20" s="39">
        <f>+IF(CH18&lt;0,1-CI18/CH18,CI18/CH18-1)</f>
        <v>4.2601970120676125E-2</v>
      </c>
      <c r="CJ20" s="39">
        <f>+IF(CI18&lt;0,1-CJ18/CI18,CJ18/CI18-1)</f>
        <v>7.4391673110380863E-2</v>
      </c>
      <c r="CK20" s="39">
        <f>+IF(CJ18&lt;0,1-CK18/CJ18,CK18/CJ18-1)</f>
        <v>-0.10484929758420702</v>
      </c>
      <c r="CL20" s="40">
        <f t="shared" ref="CL20" si="91">+CL18/CK18-1</f>
        <v>0.16310135357694722</v>
      </c>
      <c r="CM20" s="40">
        <f t="shared" ref="CM20" si="92">+CM18/CL18-1</f>
        <v>1.7590284774217757E-2</v>
      </c>
      <c r="CN20" s="40">
        <f t="shared" ref="CN20" si="93">+CN18/CM18-1</f>
        <v>1.6371084848396222E-2</v>
      </c>
      <c r="CO20" s="40">
        <f t="shared" ref="CO20" si="94">+CO18/CN18-1</f>
        <v>4.7862583504582723E-2</v>
      </c>
      <c r="CP20" s="40">
        <f t="shared" ref="CP20" si="95">+CP18/CO18-1</f>
        <v>9.9388658216409187E-2</v>
      </c>
      <c r="CQ20" s="40">
        <f t="shared" ref="CQ20" si="96">+CQ18/CP18-1</f>
        <v>-1.5208365952341762E-2</v>
      </c>
      <c r="CR20" s="40">
        <f t="shared" ref="CR20" si="97">+CR18/CQ18-1</f>
        <v>-6.6886907519242422E-3</v>
      </c>
      <c r="CS20" s="40">
        <f t="shared" ref="CS20" si="98">+CS18/CR18-1</f>
        <v>6.0574582624598028E-2</v>
      </c>
      <c r="CT20" s="40">
        <f t="shared" ref="CT20" si="99">+CT18/CS18-1</f>
        <v>8.2747697477831617E-2</v>
      </c>
      <c r="CU20" s="40">
        <f t="shared" ref="CU20" si="100">+CU18/CT18-1</f>
        <v>-1.8582995684159442E-2</v>
      </c>
      <c r="CV20" s="40">
        <f t="shared" ref="CV20" si="101">+CV18/CU18-1</f>
        <v>-7.3117456298454897E-3</v>
      </c>
      <c r="CW20" s="40">
        <f t="shared" ref="CW20" si="102">+CW18/CV18-1</f>
        <v>0.11430521103708569</v>
      </c>
      <c r="CX20" s="40">
        <f t="shared" ref="CX20" si="103">+CX18/CW18-1</f>
        <v>7.8401375462730183E-2</v>
      </c>
      <c r="CY20" s="40">
        <f t="shared" ref="CY20" si="104">+CY18/CX18-1</f>
        <v>-1.3202625626648201E-2</v>
      </c>
      <c r="CZ20" s="40">
        <f t="shared" ref="CZ20" si="105">+CZ18/CY18-1</f>
        <v>1.750519697556463E-3</v>
      </c>
      <c r="DB20" s="122"/>
    </row>
    <row r="21" spans="1:107" s="23" customFormat="1" outlineLevel="1" x14ac:dyDescent="0.2">
      <c r="A21" s="23" t="s">
        <v>2</v>
      </c>
      <c r="B21" s="23">
        <f>'Annual Raw'!C11</f>
        <v>0.91390000000000005</v>
      </c>
      <c r="C21" s="23">
        <f>'Annual Raw'!D11</f>
        <v>5.4547999999999996</v>
      </c>
      <c r="D21" s="23">
        <f>'Annual Raw'!E11</f>
        <v>9.3256999999999994</v>
      </c>
      <c r="E21" s="23">
        <f>'Annual Raw'!F11</f>
        <v>-23.581299999999999</v>
      </c>
      <c r="F21" s="23">
        <f>'Annual Raw'!G11</f>
        <v>-7.7979000000000003</v>
      </c>
      <c r="G21" s="23">
        <f>'Annual Raw'!H11</f>
        <v>-53.016599999999997</v>
      </c>
      <c r="H21" s="23">
        <f>'Annual Raw'!I11</f>
        <v>-52.072800000000001</v>
      </c>
      <c r="I21" s="23">
        <f>'Annual Raw'!J11</f>
        <v>-73.786900000000003</v>
      </c>
      <c r="J21" s="23">
        <f>'Annual Raw'!K11</f>
        <v>-43.482999999999997</v>
      </c>
      <c r="K21" s="23">
        <f>'Annual Raw'!L11</f>
        <v>-9.9293999999999993</v>
      </c>
      <c r="L21" s="23">
        <f>'Annual Raw'!M11</f>
        <v>-85.01</v>
      </c>
      <c r="M21" s="23">
        <f>'Annual Raw'!N11</f>
        <v>-0.06</v>
      </c>
      <c r="N21" s="23">
        <f>'Annual Raw'!O11</f>
        <v>-12.98</v>
      </c>
      <c r="O21" s="23">
        <f>'Annual Raw'!P11</f>
        <v>43.98</v>
      </c>
      <c r="P21" s="23">
        <f>'Annual Raw'!Q11</f>
        <v>-48.56</v>
      </c>
      <c r="Q21" s="23">
        <f>'Annual Raw'!R11</f>
        <v>66.64</v>
      </c>
      <c r="R21" s="23">
        <f>'Annual Raw'!S11</f>
        <v>-42.51</v>
      </c>
      <c r="S21" s="23">
        <f>'Annual Raw'!T11</f>
        <v>-50.38</v>
      </c>
      <c r="T21" s="23">
        <f>'Annual Raw'!U11</f>
        <v>-26.73</v>
      </c>
      <c r="U21" s="23">
        <f>'Annual Raw'!V11</f>
        <v>21.28</v>
      </c>
      <c r="V21" s="23">
        <f>'Annual Raw'!W11</f>
        <v>-33.36</v>
      </c>
      <c r="W21" s="23">
        <f>'Annual Raw'!X11</f>
        <v>-101.53</v>
      </c>
      <c r="X21" s="23">
        <f>'Annual Raw'!Y11</f>
        <v>-26.69</v>
      </c>
      <c r="Y21" s="23">
        <f>'Annual Raw'!Z11</f>
        <v>-165.98</v>
      </c>
      <c r="Z21" s="23">
        <f>'Annual Raw'!AA11</f>
        <v>-130.88999999999999</v>
      </c>
      <c r="AA21" s="76">
        <f>+SUM(CK21:CN21)</f>
        <v>-51.54</v>
      </c>
      <c r="AB21" s="76">
        <f>+SUM(CO21:CR21)</f>
        <v>0</v>
      </c>
      <c r="AC21" s="76">
        <f>+SUM(CS21:CV21)</f>
        <v>0</v>
      </c>
      <c r="AD21" s="76">
        <f>SUM(CW21:CZ21)</f>
        <v>0</v>
      </c>
      <c r="AH21" s="23">
        <f>'QTR Raw'!C10</f>
        <v>-6.98</v>
      </c>
      <c r="AI21" s="23">
        <f>'QTR Raw'!D10</f>
        <v>-28.04</v>
      </c>
      <c r="AJ21" s="23">
        <f>'QTR Raw'!E10</f>
        <v>42.06</v>
      </c>
      <c r="AK21" s="23">
        <f>'QTR Raw'!F10</f>
        <v>-24.13</v>
      </c>
      <c r="AL21" s="23">
        <f>'QTR Raw'!G10</f>
        <v>3.8</v>
      </c>
      <c r="AM21" s="23">
        <f>'QTR Raw'!H10</f>
        <v>-17.940000000000001</v>
      </c>
      <c r="AN21" s="23">
        <f>'QTR Raw'!I10</f>
        <v>25.29</v>
      </c>
      <c r="AO21" s="23">
        <f>'QTR Raw'!J10</f>
        <v>10.39</v>
      </c>
      <c r="AP21" s="23">
        <f>'QTR Raw'!K10</f>
        <v>-17.57</v>
      </c>
      <c r="AQ21" s="23">
        <f>'QTR Raw'!L10</f>
        <v>-1.34</v>
      </c>
      <c r="AR21" s="23">
        <f>'QTR Raw'!M10</f>
        <v>52.5</v>
      </c>
      <c r="AS21" s="23">
        <f>'QTR Raw'!N10</f>
        <v>-2.81</v>
      </c>
      <c r="AT21" s="23">
        <f>'QTR Raw'!O10</f>
        <v>-50.66</v>
      </c>
      <c r="AU21" s="23">
        <f>'QTR Raw'!P10</f>
        <v>-32.93</v>
      </c>
      <c r="AV21" s="23">
        <f>'QTR Raw'!Q10</f>
        <v>37.840000000000003</v>
      </c>
      <c r="AW21" s="23">
        <f>'QTR Raw'!R10</f>
        <v>-64.73</v>
      </c>
      <c r="AX21" s="23">
        <f>'QTR Raw'!S10</f>
        <v>75.75</v>
      </c>
      <c r="AY21" s="23">
        <f>'QTR Raw'!T10</f>
        <v>-18.66</v>
      </c>
      <c r="AZ21" s="23">
        <f>'QTR Raw'!U10</f>
        <v>74.28</v>
      </c>
      <c r="BA21" s="23">
        <f>'QTR Raw'!V10</f>
        <v>-51.66</v>
      </c>
      <c r="BB21" s="23">
        <f>'QTR Raw'!W10</f>
        <v>0.55000000000000004</v>
      </c>
      <c r="BC21" s="23">
        <f>'QTR Raw'!X10</f>
        <v>-116.35</v>
      </c>
      <c r="BD21" s="23">
        <f>'QTR Raw'!Y10</f>
        <v>-8.74</v>
      </c>
      <c r="BE21" s="23">
        <f>'QTR Raw'!Z10</f>
        <v>-1.59</v>
      </c>
      <c r="BF21" s="23">
        <f>'QTR Raw'!AA10</f>
        <v>-26.55</v>
      </c>
      <c r="BG21" s="23">
        <f>'QTR Raw'!AB10</f>
        <v>-97.04</v>
      </c>
      <c r="BH21" s="23">
        <f>'QTR Raw'!AC10</f>
        <v>30.01</v>
      </c>
      <c r="BI21" s="23">
        <f>'QTR Raw'!AD10</f>
        <v>-19.02</v>
      </c>
      <c r="BJ21" s="23">
        <f>'QTR Raw'!AE10</f>
        <v>-21.93</v>
      </c>
      <c r="BK21" s="23">
        <f>'QTR Raw'!AF10</f>
        <v>-15.98</v>
      </c>
      <c r="BL21" s="23">
        <f>'QTR Raw'!AG10</f>
        <v>30.2</v>
      </c>
      <c r="BM21" s="23">
        <f>'QTR Raw'!AH10</f>
        <v>-26.98</v>
      </c>
      <c r="BN21" s="23">
        <f>'QTR Raw'!AI10</f>
        <v>-23.72</v>
      </c>
      <c r="BO21" s="23">
        <f>'QTR Raw'!AJ10</f>
        <v>45.06</v>
      </c>
      <c r="BP21" s="23">
        <f>'QTR Raw'!AK10</f>
        <v>26.92</v>
      </c>
      <c r="BQ21" s="23">
        <f>'QTR Raw'!AL10</f>
        <v>1.25</v>
      </c>
      <c r="BR21" s="23">
        <f>'QTR Raw'!AM10</f>
        <v>-57.41</v>
      </c>
      <c r="BS21" s="23">
        <f>'QTR Raw'!AN10</f>
        <v>-33.619999999999997</v>
      </c>
      <c r="BT21" s="23">
        <f>'QTR Raw'!AO10</f>
        <v>56.42</v>
      </c>
      <c r="BU21" s="23">
        <f>'QTR Raw'!AP10</f>
        <v>-28.82</v>
      </c>
      <c r="BV21" s="23">
        <f>'QTR Raw'!AQ10</f>
        <v>-36.46</v>
      </c>
      <c r="BW21" s="23">
        <f>'QTR Raw'!AR10</f>
        <v>-56</v>
      </c>
      <c r="BX21" s="23">
        <f>'QTR Raw'!AS10</f>
        <v>12.97</v>
      </c>
      <c r="BY21" s="23">
        <f>'QTR Raw'!AT10</f>
        <v>46.03</v>
      </c>
      <c r="BZ21" s="23">
        <f>'QTR Raw'!AU10</f>
        <v>-48.09</v>
      </c>
      <c r="CA21" s="23">
        <f>'QTR Raw'!AV10</f>
        <v>-53.54</v>
      </c>
      <c r="CB21" s="23">
        <f>'QTR Raw'!AW10</f>
        <v>28.91</v>
      </c>
      <c r="CC21" s="23">
        <f>'QTR Raw'!AX10</f>
        <v>-41.96</v>
      </c>
      <c r="CD21" s="23">
        <f>'QTR Raw'!AY10</f>
        <v>-34.119999999999997</v>
      </c>
      <c r="CE21" s="23">
        <f>'QTR Raw'!AZ10</f>
        <v>-69.67</v>
      </c>
      <c r="CF21" s="23">
        <f>'QTR Raw'!BA10</f>
        <v>-20.23</v>
      </c>
      <c r="CG21" s="23">
        <f>'QTR Raw'!BB10</f>
        <v>-101.82</v>
      </c>
      <c r="CH21" s="23">
        <f>'QTR Raw'!BC10</f>
        <v>-147.91</v>
      </c>
      <c r="CI21" s="23">
        <f>'QTR Raw'!BD10</f>
        <v>-34.29</v>
      </c>
      <c r="CJ21" s="23">
        <v>151.65</v>
      </c>
      <c r="CK21" s="23">
        <f>'QTR Raw'!BF10</f>
        <v>-51.54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B21" s="123"/>
      <c r="DC21" s="23">
        <v>0</v>
      </c>
    </row>
    <row r="22" spans="1:107" s="23" customFormat="1" outlineLevel="1" x14ac:dyDescent="0.2">
      <c r="A22" s="23" t="s">
        <v>3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76">
        <f>+SUM(CK22:CN22)</f>
        <v>241.3</v>
      </c>
      <c r="AB22" s="76">
        <f>+SUM(CO22:CR22)</f>
        <v>0</v>
      </c>
      <c r="AC22" s="76">
        <f>+SUM(CS22:CV22)</f>
        <v>0</v>
      </c>
      <c r="AD22" s="76">
        <f>SUM(CW22:CZ22)</f>
        <v>0</v>
      </c>
      <c r="AH22" s="23">
        <f>'QTR Raw'!C12</f>
        <v>62.16</v>
      </c>
      <c r="AI22" s="23">
        <f>'QTR Raw'!D12</f>
        <v>65.260000000000005</v>
      </c>
      <c r="AJ22" s="23">
        <f>'QTR Raw'!E12</f>
        <v>70.39</v>
      </c>
      <c r="AK22" s="23">
        <f>'QTR Raw'!F12</f>
        <v>49.09</v>
      </c>
      <c r="AL22" s="23">
        <f>'QTR Raw'!G12</f>
        <v>76.150000000000006</v>
      </c>
      <c r="AM22" s="23">
        <f>'QTR Raw'!H12</f>
        <v>85.97</v>
      </c>
      <c r="AN22" s="23">
        <f>'QTR Raw'!I12</f>
        <v>102.86</v>
      </c>
      <c r="AO22" s="23">
        <f>'QTR Raw'!J12</f>
        <v>82.33</v>
      </c>
      <c r="AP22" s="23">
        <f>'QTR Raw'!K12</f>
        <v>65.7</v>
      </c>
      <c r="AQ22" s="23">
        <f>'QTR Raw'!L12</f>
        <v>81.08</v>
      </c>
      <c r="AR22" s="23">
        <f>'QTR Raw'!M12</f>
        <v>76.77</v>
      </c>
      <c r="AS22" s="23">
        <f>'QTR Raw'!N12</f>
        <v>76.319999999999993</v>
      </c>
      <c r="AT22" s="23">
        <f>'QTR Raw'!O12</f>
        <v>60.06</v>
      </c>
      <c r="AU22" s="23">
        <f>'QTR Raw'!P12</f>
        <v>87.99</v>
      </c>
      <c r="AV22" s="23">
        <f>'QTR Raw'!Q12</f>
        <v>97.27</v>
      </c>
      <c r="AW22" s="23">
        <f>'QTR Raw'!R12</f>
        <v>123.45</v>
      </c>
      <c r="AX22" s="23">
        <f>'QTR Raw'!S12</f>
        <v>87.97</v>
      </c>
      <c r="AY22" s="23">
        <f>'QTR Raw'!T12</f>
        <v>82.18</v>
      </c>
      <c r="AZ22" s="23">
        <f>'QTR Raw'!U12</f>
        <v>107.99</v>
      </c>
      <c r="BA22" s="23">
        <f>'QTR Raw'!V12</f>
        <v>84.52</v>
      </c>
      <c r="BB22" s="23">
        <f>'QTR Raw'!W12</f>
        <v>104.96</v>
      </c>
      <c r="BC22" s="23">
        <f>'QTR Raw'!X12</f>
        <v>69.349999999999994</v>
      </c>
      <c r="BD22" s="23">
        <f>'QTR Raw'!Y12</f>
        <v>101.18</v>
      </c>
      <c r="BE22" s="23">
        <f>'QTR Raw'!Z12</f>
        <v>127.03</v>
      </c>
      <c r="BF22" s="23">
        <f>'QTR Raw'!AA12</f>
        <v>127.08</v>
      </c>
      <c r="BG22" s="23">
        <f>'QTR Raw'!AB12</f>
        <v>157.08000000000001</v>
      </c>
      <c r="BH22" s="23">
        <f>'QTR Raw'!AC12</f>
        <v>170.92</v>
      </c>
      <c r="BI22" s="23">
        <f>'QTR Raw'!AD12</f>
        <v>184.04</v>
      </c>
      <c r="BJ22" s="23">
        <f>'QTR Raw'!AE12</f>
        <v>146.22</v>
      </c>
      <c r="BK22" s="23">
        <f>'QTR Raw'!AF12</f>
        <v>208.89</v>
      </c>
      <c r="BL22" s="23">
        <f>'QTR Raw'!AG12</f>
        <v>52.21</v>
      </c>
      <c r="BM22" s="23">
        <f>'QTR Raw'!AH12</f>
        <v>109.05</v>
      </c>
      <c r="BN22" s="23">
        <f>'QTR Raw'!AI12</f>
        <v>83.01</v>
      </c>
      <c r="BO22" s="23">
        <f>'QTR Raw'!AJ12</f>
        <v>132.11000000000001</v>
      </c>
      <c r="BP22" s="23">
        <f>'QTR Raw'!AK12</f>
        <v>132.49</v>
      </c>
      <c r="BQ22" s="23">
        <f>'QTR Raw'!AL12</f>
        <v>148.46</v>
      </c>
      <c r="BR22" s="23">
        <f>'QTR Raw'!AM12</f>
        <v>181.62</v>
      </c>
      <c r="BS22" s="23">
        <f>'QTR Raw'!AN12</f>
        <v>163.80000000000001</v>
      </c>
      <c r="BT22" s="23">
        <f>'QTR Raw'!AO12</f>
        <v>197.43</v>
      </c>
      <c r="BU22" s="23">
        <f>'QTR Raw'!AP12</f>
        <v>179.75</v>
      </c>
      <c r="BV22" s="23">
        <f>'QTR Raw'!AQ12</f>
        <v>195.89</v>
      </c>
      <c r="BW22" s="23">
        <f>'QTR Raw'!AR12</f>
        <v>162.66999999999999</v>
      </c>
      <c r="BX22" s="23">
        <f>'QTR Raw'!AS12</f>
        <v>182.59</v>
      </c>
      <c r="BY22" s="23">
        <f>'QTR Raw'!AT12</f>
        <v>201</v>
      </c>
      <c r="BZ22" s="23">
        <f>'QTR Raw'!AU12</f>
        <v>195.39</v>
      </c>
      <c r="CA22" s="23">
        <f>'QTR Raw'!AV12</f>
        <v>229.33</v>
      </c>
      <c r="CB22" s="23">
        <f>'QTR Raw'!AW12</f>
        <v>217.05</v>
      </c>
      <c r="CC22" s="23">
        <f>'QTR Raw'!AX12</f>
        <v>259.02999999999997</v>
      </c>
      <c r="CD22" s="23">
        <f>'QTR Raw'!AY12</f>
        <v>242.33</v>
      </c>
      <c r="CE22" s="23">
        <f>'QTR Raw'!AZ12</f>
        <v>237.87</v>
      </c>
      <c r="CF22" s="23">
        <f>'QTR Raw'!BA12</f>
        <v>246.13</v>
      </c>
      <c r="CG22" s="23">
        <f>'QTR Raw'!BB12</f>
        <v>260.57</v>
      </c>
      <c r="CH22" s="23">
        <f>'QTR Raw'!BC12</f>
        <v>334.48</v>
      </c>
      <c r="CI22" s="23">
        <f>'QTR Raw'!BD12</f>
        <v>240.26</v>
      </c>
      <c r="CJ22" s="23">
        <v>271.47000000000003</v>
      </c>
      <c r="CK22" s="23">
        <f>'QTR Raw'!BF12</f>
        <v>241.3</v>
      </c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B22" s="123"/>
      <c r="DC22" s="23">
        <v>0</v>
      </c>
    </row>
    <row r="23" spans="1:107" s="23" customFormat="1" outlineLevel="1" x14ac:dyDescent="0.2">
      <c r="A23" s="23" t="s">
        <v>4</v>
      </c>
      <c r="B23" s="23">
        <f>'Annual Raw'!C12</f>
        <v>419.00080000000003</v>
      </c>
      <c r="C23" s="23">
        <f>'Annual Raw'!D12</f>
        <v>467.21120000000002</v>
      </c>
      <c r="D23" s="23">
        <f>'Annual Raw'!E12</f>
        <v>527.91409999999996</v>
      </c>
      <c r="E23" s="23">
        <f>'Annual Raw'!F12</f>
        <v>719.47760000000005</v>
      </c>
      <c r="F23" s="23">
        <f>'Annual Raw'!G12</f>
        <v>875.91279999999995</v>
      </c>
      <c r="G23" s="23">
        <f>'Annual Raw'!H12</f>
        <v>1265.4949999999999</v>
      </c>
      <c r="H23" s="23">
        <f>'Annual Raw'!I12</f>
        <v>1577.0844999999999</v>
      </c>
      <c r="I23" s="23">
        <f>'Annual Raw'!J12</f>
        <v>2083.5010000000002</v>
      </c>
      <c r="J23" s="23">
        <f>'Annual Raw'!K12</f>
        <v>1866.2478000000001</v>
      </c>
      <c r="K23" s="23">
        <f>'Annual Raw'!L12</f>
        <v>2587.0709000000002</v>
      </c>
      <c r="L23" s="23">
        <f>'Annual Raw'!M12</f>
        <v>5047.26</v>
      </c>
      <c r="M23" s="23">
        <f>'Annual Raw'!N12</f>
        <v>4980.25</v>
      </c>
      <c r="N23" s="23">
        <f>'Annual Raw'!O12</f>
        <v>4943.26</v>
      </c>
      <c r="O23" s="23">
        <f>'Annual Raw'!P12</f>
        <v>4793.07</v>
      </c>
      <c r="P23" s="23">
        <f>'Annual Raw'!Q12</f>
        <v>4882.1499999999996</v>
      </c>
      <c r="Q23" s="23">
        <f>'Annual Raw'!R12</f>
        <v>5038.88</v>
      </c>
      <c r="R23" s="23">
        <f>'Annual Raw'!S12</f>
        <v>3833.22</v>
      </c>
      <c r="S23" s="23">
        <f>'Annual Raw'!T12</f>
        <v>4337.7299999999996</v>
      </c>
      <c r="T23" s="23">
        <f>'Annual Raw'!U12</f>
        <v>4665.99</v>
      </c>
      <c r="U23" s="23">
        <f>'Annual Raw'!V12</f>
        <v>3684.6</v>
      </c>
      <c r="V23" s="23">
        <f>'Annual Raw'!W12</f>
        <v>4448.71</v>
      </c>
      <c r="W23" s="23">
        <f>'Annual Raw'!X12</f>
        <v>5402.71</v>
      </c>
      <c r="X23" s="23">
        <f>'Annual Raw'!Y12</f>
        <v>6355.25</v>
      </c>
      <c r="Y23" s="23">
        <f>'Annual Raw'!Z12</f>
        <v>6914.6</v>
      </c>
      <c r="Z23" s="23">
        <f>'Annual Raw'!AA12</f>
        <v>7755.65</v>
      </c>
      <c r="AA23" s="76">
        <f>+SUM(CK23:CN23)</f>
        <v>8227.2139132855918</v>
      </c>
      <c r="AB23" s="76">
        <f>+SUM(CO23:CR23)</f>
        <v>9937.5201541156221</v>
      </c>
      <c r="AC23" s="76">
        <f>+SUM(CS23:CV23)</f>
        <v>11183.227591313786</v>
      </c>
      <c r="AD23" s="76">
        <f>SUM(CW23:CZ23)</f>
        <v>13171.343086612404</v>
      </c>
      <c r="AH23" s="23">
        <f>'QTR Raw'!C11</f>
        <v>1163.55</v>
      </c>
      <c r="AI23" s="23">
        <f>'QTR Raw'!D11</f>
        <v>1109.6600000000001</v>
      </c>
      <c r="AJ23" s="23">
        <f>'QTR Raw'!E11</f>
        <v>1312.81</v>
      </c>
      <c r="AK23" s="23">
        <f>'QTR Raw'!F11</f>
        <v>1277.21</v>
      </c>
      <c r="AL23" s="23">
        <f>'QTR Raw'!G11</f>
        <v>1004.15</v>
      </c>
      <c r="AM23" s="23">
        <f>'QTR Raw'!H11</f>
        <v>1063.55</v>
      </c>
      <c r="AN23" s="23">
        <f>'QTR Raw'!I11</f>
        <v>1284.28</v>
      </c>
      <c r="AO23" s="23">
        <f>'QTR Raw'!J11</f>
        <v>1033.3499999999999</v>
      </c>
      <c r="AP23" s="23">
        <f>'QTR Raw'!K11</f>
        <v>1092.54</v>
      </c>
      <c r="AQ23" s="23">
        <f>'QTR Raw'!L11</f>
        <v>1061.99</v>
      </c>
      <c r="AR23" s="23">
        <f>'QTR Raw'!M11</f>
        <v>1299.31</v>
      </c>
      <c r="AS23" s="23">
        <f>'QTR Raw'!N11</f>
        <v>1010.06</v>
      </c>
      <c r="AT23" s="23">
        <f>'QTR Raw'!O11</f>
        <v>1137.54</v>
      </c>
      <c r="AU23" s="23">
        <f>'QTR Raw'!P11</f>
        <v>1119.08</v>
      </c>
      <c r="AV23" s="23">
        <f>'QTR Raw'!Q11</f>
        <v>1294.8800000000001</v>
      </c>
      <c r="AW23" s="23">
        <f>'QTR Raw'!R11</f>
        <v>1101.04</v>
      </c>
      <c r="AX23" s="23">
        <f>'QTR Raw'!S11</f>
        <v>1076.6199999999999</v>
      </c>
      <c r="AY23" s="23">
        <f>'QTR Raw'!T11</f>
        <v>1173.97</v>
      </c>
      <c r="AZ23" s="23">
        <f>'QTR Raw'!U11</f>
        <v>1289.6500000000001</v>
      </c>
      <c r="BA23" s="23">
        <f>'QTR Raw'!V11</f>
        <v>1229.27</v>
      </c>
      <c r="BB23" s="23">
        <f>'QTR Raw'!W11</f>
        <v>1179.9000000000001</v>
      </c>
      <c r="BC23" s="23">
        <f>'QTR Raw'!X11</f>
        <v>1147.68</v>
      </c>
      <c r="BD23" s="23">
        <f>'QTR Raw'!Y11</f>
        <v>1006.45</v>
      </c>
      <c r="BE23" s="23">
        <f>'QTR Raw'!Z11</f>
        <v>893.51</v>
      </c>
      <c r="BF23" s="23">
        <f>'QTR Raw'!AA11</f>
        <v>974.41</v>
      </c>
      <c r="BG23" s="23">
        <f>'QTR Raw'!AB11</f>
        <v>860.37</v>
      </c>
      <c r="BH23" s="23">
        <f>'QTR Raw'!AC11</f>
        <v>1072.1199999999999</v>
      </c>
      <c r="BI23" s="23">
        <f>'QTR Raw'!AD11</f>
        <v>1057.8599999999999</v>
      </c>
      <c r="BJ23" s="23">
        <f>'QTR Raw'!AE11</f>
        <v>949.1</v>
      </c>
      <c r="BK23" s="23">
        <f>'QTR Raw'!AF11</f>
        <v>880.33</v>
      </c>
      <c r="BL23" s="23">
        <f>'QTR Raw'!AG11</f>
        <v>1147.23</v>
      </c>
      <c r="BM23" s="23">
        <f>'QTR Raw'!AH11</f>
        <v>857.58</v>
      </c>
      <c r="BN23" s="23">
        <f>'QTR Raw'!AI11</f>
        <v>554.16999999999996</v>
      </c>
      <c r="BO23" s="23">
        <f>'QTR Raw'!AJ11</f>
        <v>872.85</v>
      </c>
      <c r="BP23" s="23">
        <f>'QTR Raw'!AK11</f>
        <v>957.34</v>
      </c>
      <c r="BQ23" s="23">
        <f>'QTR Raw'!AL11</f>
        <v>889.88</v>
      </c>
      <c r="BR23" s="23">
        <f>'QTR Raw'!AM11</f>
        <v>785.72</v>
      </c>
      <c r="BS23" s="23">
        <f>'QTR Raw'!AN11</f>
        <v>973.56</v>
      </c>
      <c r="BT23" s="23">
        <f>'QTR Raw'!AO11</f>
        <v>1108.24</v>
      </c>
      <c r="BU23" s="23">
        <f>'QTR Raw'!AP11</f>
        <v>1096.3900000000001</v>
      </c>
      <c r="BV23" s="23">
        <f>'QTR Raw'!AQ11</f>
        <v>1122.52</v>
      </c>
      <c r="BW23" s="23">
        <f>'QTR Raw'!AR11</f>
        <v>1210.4000000000001</v>
      </c>
      <c r="BX23" s="23">
        <f>'QTR Raw'!AS11</f>
        <v>1292.75</v>
      </c>
      <c r="BY23" s="23">
        <f>'QTR Raw'!AT11</f>
        <v>1223.19</v>
      </c>
      <c r="BZ23" s="23">
        <f>'QTR Raw'!AU11</f>
        <v>1380.69</v>
      </c>
      <c r="CA23" s="23">
        <f>'QTR Raw'!AV11</f>
        <v>1508.43</v>
      </c>
      <c r="CB23" s="23">
        <f>'QTR Raw'!AW11</f>
        <v>1400.17</v>
      </c>
      <c r="CC23" s="23">
        <f>'QTR Raw'!AX11</f>
        <v>1544.16</v>
      </c>
      <c r="CD23" s="23">
        <f>'QTR Raw'!AY11</f>
        <v>1316.83</v>
      </c>
      <c r="CE23" s="23">
        <f>'QTR Raw'!AZ11</f>
        <v>1413.47</v>
      </c>
      <c r="CF23" s="23">
        <f>'QTR Raw'!BA11</f>
        <v>1654.78</v>
      </c>
      <c r="CG23" s="23">
        <f>'QTR Raw'!BB11</f>
        <v>1481.48</v>
      </c>
      <c r="CH23" s="23">
        <f>'QTR Raw'!BC11</f>
        <v>1659.83</v>
      </c>
      <c r="CI23" s="23">
        <f>'QTR Raw'!BD11</f>
        <v>1755.97</v>
      </c>
      <c r="CJ23" s="23">
        <v>1646.63</v>
      </c>
      <c r="CK23" s="23">
        <f>'QTR Raw'!BF11</f>
        <v>1644.22</v>
      </c>
      <c r="CL23" s="24">
        <f t="shared" ref="CL23:CZ23" si="106">+CL18-CL24</f>
        <v>2159.0101962154645</v>
      </c>
      <c r="CM23" s="24">
        <f t="shared" si="106"/>
        <v>2198.4200969452522</v>
      </c>
      <c r="CN23" s="24">
        <f t="shared" si="106"/>
        <v>2225.5636201248753</v>
      </c>
      <c r="CO23" s="24">
        <f t="shared" si="106"/>
        <v>2331.2561640919284</v>
      </c>
      <c r="CP23" s="24">
        <f t="shared" si="106"/>
        <v>2568.3165180111851</v>
      </c>
      <c r="CQ23" s="24">
        <f t="shared" si="106"/>
        <v>2528.2556054915726</v>
      </c>
      <c r="CR23" s="24">
        <f t="shared" si="106"/>
        <v>2509.6918665209364</v>
      </c>
      <c r="CS23" s="24">
        <f t="shared" si="106"/>
        <v>2662.1673640090239</v>
      </c>
      <c r="CT23" s="24">
        <f t="shared" si="106"/>
        <v>2883.3231270510582</v>
      </c>
      <c r="CU23" s="24">
        <f t="shared" si="106"/>
        <v>2829.3293830690031</v>
      </c>
      <c r="CV23" s="24">
        <f t="shared" si="106"/>
        <v>2808.4077171847007</v>
      </c>
      <c r="CW23" s="24">
        <f t="shared" si="106"/>
        <v>3129.6121388726415</v>
      </c>
      <c r="CX23" s="24">
        <f t="shared" si="106"/>
        <v>3375.0892927049194</v>
      </c>
      <c r="CY23" s="24">
        <f t="shared" si="106"/>
        <v>3330.4159289156228</v>
      </c>
      <c r="CZ23" s="24">
        <f t="shared" si="106"/>
        <v>3336.2257261192194</v>
      </c>
      <c r="DB23" s="123"/>
      <c r="DC23" s="23">
        <v>0</v>
      </c>
    </row>
    <row r="24" spans="1:107" s="31" customFormat="1" x14ac:dyDescent="0.2">
      <c r="A24" s="31" t="s">
        <v>5</v>
      </c>
      <c r="B24" s="31">
        <f t="shared" ref="B24:T24" si="107">B18-B21-B23-B22</f>
        <v>621.68429999999989</v>
      </c>
      <c r="C24" s="31">
        <f t="shared" si="107"/>
        <v>703.09159999999997</v>
      </c>
      <c r="D24" s="31">
        <f t="shared" si="107"/>
        <v>931.11770000000001</v>
      </c>
      <c r="E24" s="31">
        <f t="shared" si="107"/>
        <v>1564.3262999999997</v>
      </c>
      <c r="F24" s="31">
        <f t="shared" si="107"/>
        <v>2094.9376999999999</v>
      </c>
      <c r="G24" s="31">
        <f t="shared" si="107"/>
        <v>3061.5308999999997</v>
      </c>
      <c r="H24" s="31">
        <f t="shared" si="107"/>
        <v>4405.2997000000005</v>
      </c>
      <c r="I24" s="31">
        <f t="shared" si="107"/>
        <v>4827.3173999999999</v>
      </c>
      <c r="J24" s="31">
        <f t="shared" si="107"/>
        <v>4414.4366</v>
      </c>
      <c r="K24" s="31">
        <f t="shared" si="107"/>
        <v>3709.9703000000004</v>
      </c>
      <c r="L24" s="31">
        <f t="shared" si="107"/>
        <v>2489.54</v>
      </c>
      <c r="M24" s="31">
        <f t="shared" si="107"/>
        <v>2630.29</v>
      </c>
      <c r="N24" s="31">
        <f t="shared" si="107"/>
        <v>2791.71</v>
      </c>
      <c r="O24" s="31">
        <f t="shared" si="107"/>
        <v>2896.2200000000003</v>
      </c>
      <c r="P24" s="31">
        <f t="shared" si="107"/>
        <v>3306.6800000000012</v>
      </c>
      <c r="Q24" s="31">
        <f t="shared" si="107"/>
        <v>3536.6900000000014</v>
      </c>
      <c r="R24" s="31">
        <f t="shared" si="107"/>
        <v>2303.02</v>
      </c>
      <c r="S24" s="31">
        <f t="shared" si="107"/>
        <v>2402.7700000000004</v>
      </c>
      <c r="T24" s="31">
        <f t="shared" si="107"/>
        <v>2675.8</v>
      </c>
      <c r="U24" s="31">
        <f t="shared" ref="U24:Y24" si="108">U18-U21-U23-U22</f>
        <v>2115.0700000000002</v>
      </c>
      <c r="V24" s="31">
        <f t="shared" si="108"/>
        <v>2518.6499999999996</v>
      </c>
      <c r="W24" s="31">
        <f t="shared" si="108"/>
        <v>3266.3500000000013</v>
      </c>
      <c r="X24" s="31">
        <f t="shared" si="108"/>
        <v>4117.9600000000009</v>
      </c>
      <c r="Y24" s="31">
        <f t="shared" si="108"/>
        <v>5439.6900000000005</v>
      </c>
      <c r="Z24" s="31">
        <f t="shared" ref="Z24" si="109">Z18-Z21-Z23-Z22</f>
        <v>5577.9699999999993</v>
      </c>
      <c r="AA24" s="32">
        <f t="shared" ref="AA24:AD24" si="110">AA18-AA21-AA23-AA22</f>
        <v>6069.2216431597562</v>
      </c>
      <c r="AB24" s="32">
        <f t="shared" si="110"/>
        <v>7150.0955651598579</v>
      </c>
      <c r="AC24" s="32">
        <f t="shared" si="110"/>
        <v>8044.3189696913396</v>
      </c>
      <c r="AD24" s="32">
        <f t="shared" si="110"/>
        <v>9474.331088313018</v>
      </c>
      <c r="AH24" s="31">
        <f t="shared" ref="AH24" si="111">AH18-AH21-AH23-AH22</f>
        <v>665.06000000000006</v>
      </c>
      <c r="AI24" s="31">
        <f t="shared" ref="AI24" si="112">AI18-AI21-AI23-AI22</f>
        <v>661.72999999999979</v>
      </c>
      <c r="AJ24" s="31">
        <f t="shared" ref="AJ24:AL24" si="113">AJ18-AJ21-AJ23-AJ22</f>
        <v>657.02000000000032</v>
      </c>
      <c r="AK24" s="31">
        <f t="shared" si="113"/>
        <v>678.9</v>
      </c>
      <c r="AL24" s="31">
        <f t="shared" si="113"/>
        <v>667.05000000000018</v>
      </c>
      <c r="AM24" s="31">
        <f t="shared" ref="AM24:AN24" si="114">AM18-AM21-AM23-AM22</f>
        <v>654.32000000000016</v>
      </c>
      <c r="AN24" s="31">
        <f t="shared" si="114"/>
        <v>791.43999999999994</v>
      </c>
      <c r="AO24" s="31">
        <f t="shared" ref="AO24:CC24" si="115">AO18-AO21-AO23-AO22</f>
        <v>701.64</v>
      </c>
      <c r="AP24" s="31">
        <f t="shared" si="115"/>
        <v>681.51</v>
      </c>
      <c r="AQ24" s="31">
        <f t="shared" si="115"/>
        <v>703.2399999999999</v>
      </c>
      <c r="AR24" s="31">
        <f t="shared" si="115"/>
        <v>809.82999999999993</v>
      </c>
      <c r="AS24" s="31">
        <f t="shared" si="115"/>
        <v>731</v>
      </c>
      <c r="AT24" s="31">
        <f t="shared" si="115"/>
        <v>784.68000000000029</v>
      </c>
      <c r="AU24" s="31">
        <f t="shared" si="115"/>
        <v>794.83000000000015</v>
      </c>
      <c r="AV24" s="31">
        <f t="shared" si="115"/>
        <v>995.11999999999989</v>
      </c>
      <c r="AW24" s="31">
        <f t="shared" si="115"/>
        <v>843.76</v>
      </c>
      <c r="AX24" s="31">
        <f t="shared" si="115"/>
        <v>854.30999999999972</v>
      </c>
      <c r="AY24" s="31">
        <f t="shared" si="115"/>
        <v>817.51999999999953</v>
      </c>
      <c r="AZ24" s="31">
        <f t="shared" si="115"/>
        <v>1035.8599999999999</v>
      </c>
      <c r="BA24" s="31">
        <f t="shared" si="115"/>
        <v>889.0600000000004</v>
      </c>
      <c r="BB24" s="31">
        <f t="shared" si="115"/>
        <v>947.92999999999938</v>
      </c>
      <c r="BC24" s="31">
        <f t="shared" si="115"/>
        <v>822.71999999999969</v>
      </c>
      <c r="BD24" s="31">
        <f t="shared" si="115"/>
        <v>609.8599999999999</v>
      </c>
      <c r="BE24" s="31">
        <f t="shared" si="115"/>
        <v>547.51</v>
      </c>
      <c r="BF24" s="31">
        <f t="shared" si="115"/>
        <v>590.77999999999975</v>
      </c>
      <c r="BG24" s="31">
        <f t="shared" si="115"/>
        <v>571.21</v>
      </c>
      <c r="BH24" s="31">
        <f t="shared" si="115"/>
        <v>693.2700000000001</v>
      </c>
      <c r="BI24" s="31">
        <f t="shared" si="115"/>
        <v>627.37000000000012</v>
      </c>
      <c r="BJ24" s="31">
        <f t="shared" si="115"/>
        <v>652.36</v>
      </c>
      <c r="BK24" s="31">
        <f t="shared" si="115"/>
        <v>672.37999999999988</v>
      </c>
      <c r="BL24" s="31">
        <f t="shared" si="115"/>
        <v>723.68999999999983</v>
      </c>
      <c r="BM24" s="31">
        <f t="shared" si="115"/>
        <v>582.59</v>
      </c>
      <c r="BN24" s="31">
        <f t="shared" si="115"/>
        <v>372.32000000000005</v>
      </c>
      <c r="BO24" s="31">
        <f t="shared" si="115"/>
        <v>562.14999999999986</v>
      </c>
      <c r="BP24" s="31">
        <f t="shared" si="115"/>
        <v>584.00999999999988</v>
      </c>
      <c r="BQ24" s="31">
        <f t="shared" si="115"/>
        <v>589.56000000000006</v>
      </c>
      <c r="BR24" s="31">
        <f t="shared" si="115"/>
        <v>515.03000000000009</v>
      </c>
      <c r="BS24" s="31">
        <f t="shared" si="115"/>
        <v>674.65000000000009</v>
      </c>
      <c r="BT24" s="31">
        <f t="shared" si="115"/>
        <v>739.40999999999985</v>
      </c>
      <c r="BU24" s="31">
        <f t="shared" si="115"/>
        <v>727.54</v>
      </c>
      <c r="BV24" s="31">
        <f t="shared" si="115"/>
        <v>815.9</v>
      </c>
      <c r="BW24" s="31">
        <f t="shared" si="115"/>
        <v>802.66999999999973</v>
      </c>
      <c r="BX24" s="31">
        <f t="shared" si="115"/>
        <v>938.60000000000048</v>
      </c>
      <c r="BY24" s="31">
        <f t="shared" si="115"/>
        <v>940.98999999999978</v>
      </c>
      <c r="BZ24" s="31">
        <f t="shared" si="115"/>
        <v>980.64000000000021</v>
      </c>
      <c r="CA24" s="31">
        <f t="shared" si="115"/>
        <v>1084.97</v>
      </c>
      <c r="CB24" s="31">
        <f t="shared" si="115"/>
        <v>1111.3599999999999</v>
      </c>
      <c r="CC24" s="31">
        <f t="shared" si="115"/>
        <v>1319.1299999999997</v>
      </c>
      <c r="CD24" s="31">
        <f t="shared" ref="CD24:CE24" si="116">CD18-CD21-CD23-CD22</f>
        <v>1305.8200000000002</v>
      </c>
      <c r="CE24" s="31">
        <f t="shared" si="116"/>
        <v>1330.4900000000002</v>
      </c>
      <c r="CF24" s="31">
        <f t="shared" ref="CF24:CG24" si="117">CF18-CF21-CF23-CF22</f>
        <v>1484.2500000000005</v>
      </c>
      <c r="CG24" s="31">
        <f t="shared" si="117"/>
        <v>1369.8400000000004</v>
      </c>
      <c r="CH24" s="31">
        <f t="shared" ref="CH24:CI24" si="118">CH18-CH21-CH23-CH22</f>
        <v>1329.04</v>
      </c>
      <c r="CI24" s="31">
        <f t="shared" si="118"/>
        <v>1348.7799999999997</v>
      </c>
      <c r="CJ24" s="31">
        <f t="shared" ref="CJ24:CK24" si="119">CJ18-CJ21-CJ23-CJ22</f>
        <v>1487.26</v>
      </c>
      <c r="CK24" s="31">
        <f t="shared" si="119"/>
        <v>1350.08</v>
      </c>
      <c r="CL24" s="32">
        <f t="shared" ref="CL24:CZ24" si="120">+CL25*CL18</f>
        <v>1544.3742996547503</v>
      </c>
      <c r="CM24" s="32">
        <f t="shared" si="120"/>
        <v>1570.1079868357428</v>
      </c>
      <c r="CN24" s="32">
        <f t="shared" si="120"/>
        <v>1604.659356669262</v>
      </c>
      <c r="CO24" s="32">
        <f t="shared" si="120"/>
        <v>1682.2911797701897</v>
      </c>
      <c r="CP24" s="32">
        <f t="shared" si="120"/>
        <v>1844.1319110454219</v>
      </c>
      <c r="CQ24" s="32">
        <f t="shared" si="120"/>
        <v>1817.0866931101059</v>
      </c>
      <c r="CR24" s="32">
        <f t="shared" si="120"/>
        <v>1806.5857812341396</v>
      </c>
      <c r="CS24" s="32">
        <f t="shared" si="120"/>
        <v>1915.5670007506981</v>
      </c>
      <c r="CT24" s="32">
        <f t="shared" si="120"/>
        <v>2073.2082160576742</v>
      </c>
      <c r="CU24" s="32">
        <f t="shared" si="120"/>
        <v>2035.0947594823388</v>
      </c>
      <c r="CV24" s="32">
        <f t="shared" si="120"/>
        <v>2020.4489934006265</v>
      </c>
      <c r="CW24" s="32">
        <f t="shared" si="120"/>
        <v>2251.2080570839889</v>
      </c>
      <c r="CX24" s="32">
        <f t="shared" si="120"/>
        <v>2427.5946077323483</v>
      </c>
      <c r="CY24" s="32">
        <f t="shared" si="120"/>
        <v>2395.6573083543931</v>
      </c>
      <c r="CZ24" s="32">
        <f t="shared" si="120"/>
        <v>2399.871115142289</v>
      </c>
      <c r="DB24" s="124"/>
      <c r="DC24" s="31">
        <v>0</v>
      </c>
    </row>
    <row r="25" spans="1:107" s="41" customFormat="1" x14ac:dyDescent="0.2">
      <c r="A25" s="41" t="s">
        <v>6</v>
      </c>
      <c r="B25" s="41">
        <f>B24/B18</f>
        <v>0.59685569974625541</v>
      </c>
      <c r="C25" s="41">
        <f t="shared" ref="C25:U25" si="121">C24/C18</f>
        <v>0.59799026602081928</v>
      </c>
      <c r="D25" s="41">
        <f t="shared" si="121"/>
        <v>0.63412193556405705</v>
      </c>
      <c r="E25" s="41">
        <f t="shared" si="121"/>
        <v>0.69211160883003275</v>
      </c>
      <c r="F25" s="41">
        <f t="shared" si="121"/>
        <v>0.70702008462488986</v>
      </c>
      <c r="G25" s="41">
        <f t="shared" si="121"/>
        <v>0.71631357938318008</v>
      </c>
      <c r="H25" s="41">
        <f t="shared" si="121"/>
        <v>0.74284458316978097</v>
      </c>
      <c r="I25" s="41">
        <f t="shared" si="121"/>
        <v>0.70605457938873029</v>
      </c>
      <c r="J25" s="41">
        <f t="shared" si="121"/>
        <v>0.70775918827953832</v>
      </c>
      <c r="K25" s="41">
        <f t="shared" si="121"/>
        <v>0.59009135164416837</v>
      </c>
      <c r="L25" s="41">
        <f t="shared" si="121"/>
        <v>0.33408617258403683</v>
      </c>
      <c r="M25" s="41">
        <f t="shared" si="121"/>
        <v>0.34561420567428075</v>
      </c>
      <c r="N25" s="41">
        <f t="shared" si="121"/>
        <v>0.36152727470509544</v>
      </c>
      <c r="O25" s="41">
        <f t="shared" si="121"/>
        <v>0.37451427403931331</v>
      </c>
      <c r="P25" s="41">
        <f t="shared" si="121"/>
        <v>0.40621257034471842</v>
      </c>
      <c r="Q25" s="41">
        <f t="shared" si="121"/>
        <v>0.40923444350461297</v>
      </c>
      <c r="R25" s="41">
        <f t="shared" si="121"/>
        <v>0.37793272757408025</v>
      </c>
      <c r="S25" s="41">
        <f t="shared" si="121"/>
        <v>0.35915200325255758</v>
      </c>
      <c r="T25" s="41">
        <f t="shared" si="121"/>
        <v>0.36579330859897252</v>
      </c>
      <c r="U25" s="41">
        <f t="shared" si="121"/>
        <v>0.36335477885912099</v>
      </c>
      <c r="V25" s="41">
        <f>V24/V18</f>
        <v>0.36323190077877121</v>
      </c>
      <c r="W25" s="41">
        <f>W24/W18</f>
        <v>0.3812475707701054</v>
      </c>
      <c r="X25" s="41">
        <f>X24/X18</f>
        <v>0.39419443029831952</v>
      </c>
      <c r="Y25" s="41">
        <f>Y24/Y18</f>
        <v>0.44630387641929026</v>
      </c>
      <c r="Z25" s="41">
        <f>Z24/Z18</f>
        <v>0.42248610703998335</v>
      </c>
      <c r="AA25" s="42">
        <f t="shared" ref="AA25:AD25" si="122">AA24/AA18</f>
        <v>0.41896587820529424</v>
      </c>
      <c r="AB25" s="42">
        <f t="shared" si="122"/>
        <v>0.41843728713387895</v>
      </c>
      <c r="AC25" s="42">
        <f t="shared" si="122"/>
        <v>0.41837469716525399</v>
      </c>
      <c r="AD25" s="42">
        <f t="shared" si="122"/>
        <v>0.41837266645845927</v>
      </c>
      <c r="AH25" s="41">
        <f t="shared" ref="AH25" si="123">AH24/AH18</f>
        <v>0.35304359827793974</v>
      </c>
      <c r="AI25" s="41">
        <f t="shared" ref="AI25" si="124">AI24/AI18</f>
        <v>0.3658776629566351</v>
      </c>
      <c r="AJ25" s="41">
        <f t="shared" ref="AJ25:AL25" si="125">AJ24/AJ18</f>
        <v>0.31552913152890116</v>
      </c>
      <c r="AK25" s="41">
        <f t="shared" si="125"/>
        <v>0.34269359487549655</v>
      </c>
      <c r="AL25" s="41">
        <f t="shared" si="125"/>
        <v>0.38092110898552389</v>
      </c>
      <c r="AM25" s="41">
        <f t="shared" ref="AM25:AN25" si="126">AM24/AM18</f>
        <v>0.36638109636597799</v>
      </c>
      <c r="AN25" s="41">
        <f t="shared" si="126"/>
        <v>0.35911374082863323</v>
      </c>
      <c r="AO25" s="41">
        <f t="shared" ref="AO25:CC25" si="127">AO24/AO18</f>
        <v>0.3838902232848756</v>
      </c>
      <c r="AP25" s="41">
        <f t="shared" si="127"/>
        <v>0.37400805628423095</v>
      </c>
      <c r="AQ25" s="41">
        <f t="shared" si="127"/>
        <v>0.38116608942150815</v>
      </c>
      <c r="AR25" s="41">
        <f t="shared" si="127"/>
        <v>0.36178805491397908</v>
      </c>
      <c r="AS25" s="41">
        <f t="shared" si="127"/>
        <v>0.40285026204555352</v>
      </c>
      <c r="AT25" s="41">
        <f t="shared" si="127"/>
        <v>0.40622896843064382</v>
      </c>
      <c r="AU25" s="41">
        <f t="shared" si="127"/>
        <v>0.40367806518128774</v>
      </c>
      <c r="AV25" s="41">
        <f t="shared" si="127"/>
        <v>0.41034014951899084</v>
      </c>
      <c r="AW25" s="41">
        <f t="shared" si="127"/>
        <v>0.42113879571953355</v>
      </c>
      <c r="AX25" s="41">
        <f t="shared" si="127"/>
        <v>0.40785334065356976</v>
      </c>
      <c r="AY25" s="41">
        <f t="shared" si="127"/>
        <v>0.39781801548410939</v>
      </c>
      <c r="AZ25" s="41">
        <f t="shared" si="127"/>
        <v>0.41305856175581585</v>
      </c>
      <c r="BA25" s="41">
        <f t="shared" si="127"/>
        <v>0.41328752922800877</v>
      </c>
      <c r="BB25" s="41">
        <f t="shared" si="127"/>
        <v>0.42444500165671123</v>
      </c>
      <c r="BC25" s="41">
        <f t="shared" si="127"/>
        <v>0.42774253925340527</v>
      </c>
      <c r="BD25" s="41">
        <f t="shared" si="127"/>
        <v>0.35690416971470368</v>
      </c>
      <c r="BE25" s="41">
        <f t="shared" si="127"/>
        <v>0.34952057505458167</v>
      </c>
      <c r="BF25" s="41">
        <f t="shared" si="127"/>
        <v>0.35466945224887725</v>
      </c>
      <c r="BG25" s="41">
        <f t="shared" si="127"/>
        <v>0.38294605864764486</v>
      </c>
      <c r="BH25" s="41">
        <f t="shared" si="127"/>
        <v>0.35257231783229592</v>
      </c>
      <c r="BI25" s="41">
        <f t="shared" si="127"/>
        <v>0.33907309822996901</v>
      </c>
      <c r="BJ25" s="41">
        <f t="shared" si="127"/>
        <v>0.37801535564247429</v>
      </c>
      <c r="BK25" s="41">
        <f t="shared" si="127"/>
        <v>0.38518119636576109</v>
      </c>
      <c r="BL25" s="41">
        <f t="shared" si="127"/>
        <v>0.37049039332831618</v>
      </c>
      <c r="BM25" s="41">
        <f t="shared" si="127"/>
        <v>0.38271888795459325</v>
      </c>
      <c r="BN25" s="41">
        <f t="shared" si="127"/>
        <v>0.37769076264480927</v>
      </c>
      <c r="BO25" s="41">
        <f t="shared" si="127"/>
        <v>0.34869151516279295</v>
      </c>
      <c r="BP25" s="41">
        <f t="shared" si="127"/>
        <v>0.34338178226204746</v>
      </c>
      <c r="BQ25" s="41">
        <f t="shared" si="127"/>
        <v>0.36188196298683362</v>
      </c>
      <c r="BR25" s="41">
        <f t="shared" si="127"/>
        <v>0.3614347069391422</v>
      </c>
      <c r="BS25" s="41">
        <f t="shared" si="127"/>
        <v>0.37935998290588679</v>
      </c>
      <c r="BT25" s="41">
        <f t="shared" si="127"/>
        <v>0.35184867951463233</v>
      </c>
      <c r="BU25" s="41">
        <f t="shared" si="127"/>
        <v>0.36840079803125281</v>
      </c>
      <c r="BV25" s="41">
        <f t="shared" si="127"/>
        <v>0.3889219915627905</v>
      </c>
      <c r="BW25" s="41">
        <f t="shared" si="127"/>
        <v>0.3786643644975326</v>
      </c>
      <c r="BX25" s="41">
        <f t="shared" si="127"/>
        <v>0.38674693334322258</v>
      </c>
      <c r="BY25" s="41">
        <f t="shared" si="127"/>
        <v>0.3902563443250483</v>
      </c>
      <c r="BZ25" s="41">
        <f t="shared" si="127"/>
        <v>0.39090659044976744</v>
      </c>
      <c r="CA25" s="41">
        <f t="shared" si="127"/>
        <v>0.39180049039610859</v>
      </c>
      <c r="CB25" s="41">
        <f t="shared" si="127"/>
        <v>0.40303319323007519</v>
      </c>
      <c r="CC25" s="41">
        <f t="shared" si="127"/>
        <v>0.42823890714072377</v>
      </c>
      <c r="CD25" s="41">
        <f t="shared" ref="CD25:CE25" si="128">CD24/CD18</f>
        <v>0.46128031764198868</v>
      </c>
      <c r="CE25" s="41">
        <f t="shared" si="128"/>
        <v>0.45687393549804961</v>
      </c>
      <c r="CF25" s="41">
        <f t="shared" ref="CF25:CG25" si="129">CF24/CF18</f>
        <v>0.44109387119494325</v>
      </c>
      <c r="CG25" s="41">
        <f t="shared" si="129"/>
        <v>0.45508576212513341</v>
      </c>
      <c r="CH25" s="41">
        <f t="shared" ref="CH25:CI25" si="130">CH24/CH18</f>
        <v>0.41853727357468568</v>
      </c>
      <c r="CI25" s="41">
        <f t="shared" si="130"/>
        <v>0.40739778658418707</v>
      </c>
      <c r="CJ25" s="41">
        <f t="shared" ref="CJ25:CK25" si="131">CJ24/CJ18</f>
        <v>0.41812083744493267</v>
      </c>
      <c r="CK25" s="41">
        <f t="shared" si="131"/>
        <v>0.42401211032455416</v>
      </c>
      <c r="CL25" s="42">
        <f>AVERAGE(CH25:CK25)</f>
        <v>0.41701700198208991</v>
      </c>
      <c r="CM25" s="42">
        <f>AVERAGE(CI25:CL25)</f>
        <v>0.41663693408394098</v>
      </c>
      <c r="CN25" s="42">
        <f>AVERAGE(CJ25:CM25)</f>
        <v>0.41894672095887941</v>
      </c>
      <c r="CO25" s="42">
        <f t="shared" ref="CO25:CZ25" si="132">AVERAGE(CK25:CN25)</f>
        <v>0.4191531918373661</v>
      </c>
      <c r="CP25" s="42">
        <f t="shared" si="132"/>
        <v>0.41793846221556907</v>
      </c>
      <c r="CQ25" s="42">
        <f t="shared" si="132"/>
        <v>0.41816882727393889</v>
      </c>
      <c r="CR25" s="42">
        <f t="shared" si="132"/>
        <v>0.41855180057143837</v>
      </c>
      <c r="CS25" s="42">
        <f t="shared" si="132"/>
        <v>0.41845307047457814</v>
      </c>
      <c r="CT25" s="42">
        <f t="shared" si="132"/>
        <v>0.41827804013388115</v>
      </c>
      <c r="CU25" s="42">
        <f t="shared" si="132"/>
        <v>0.41836293461345908</v>
      </c>
      <c r="CV25" s="42">
        <f t="shared" si="132"/>
        <v>0.41841146144833918</v>
      </c>
      <c r="CW25" s="42">
        <f t="shared" si="132"/>
        <v>0.41837637666756439</v>
      </c>
      <c r="CX25" s="42">
        <f t="shared" si="132"/>
        <v>0.41835720321581094</v>
      </c>
      <c r="CY25" s="42">
        <f t="shared" si="132"/>
        <v>0.41837699398629341</v>
      </c>
      <c r="CZ25" s="42">
        <f t="shared" si="132"/>
        <v>0.41838050882950195</v>
      </c>
      <c r="DB25" s="125"/>
      <c r="DC25" s="41" t="e">
        <v>#DIV/0!</v>
      </c>
    </row>
    <row r="26" spans="1:107" s="39" customFormat="1" x14ac:dyDescent="0.2">
      <c r="A26" s="39" t="s">
        <v>447</v>
      </c>
      <c r="C26" s="39">
        <f t="shared" ref="C26:AD26" si="133">+IF(B24&lt;0,1-C24/B24,C24/B24-1)</f>
        <v>0.13094636618618183</v>
      </c>
      <c r="D26" s="39">
        <f t="shared" si="133"/>
        <v>0.32431919254902208</v>
      </c>
      <c r="E26" s="39">
        <f t="shared" si="133"/>
        <v>0.68005215667149255</v>
      </c>
      <c r="F26" s="39">
        <f t="shared" si="133"/>
        <v>0.33919483422352514</v>
      </c>
      <c r="G26" s="39">
        <f t="shared" si="133"/>
        <v>0.46139472309844809</v>
      </c>
      <c r="H26" s="39">
        <f t="shared" si="133"/>
        <v>0.43892054135400072</v>
      </c>
      <c r="I26" s="39">
        <f t="shared" si="133"/>
        <v>9.5797727450869896E-2</v>
      </c>
      <c r="J26" s="39">
        <f t="shared" si="133"/>
        <v>-8.5530071007968056E-2</v>
      </c>
      <c r="K26" s="39">
        <f t="shared" si="133"/>
        <v>-0.15958238022944982</v>
      </c>
      <c r="L26" s="39">
        <f t="shared" si="133"/>
        <v>-0.32895958762796573</v>
      </c>
      <c r="M26" s="39">
        <f t="shared" si="133"/>
        <v>5.653654892068416E-2</v>
      </c>
      <c r="N26" s="39">
        <f t="shared" si="133"/>
        <v>6.1369658858909215E-2</v>
      </c>
      <c r="O26" s="39">
        <f t="shared" si="133"/>
        <v>3.7435836816861467E-2</v>
      </c>
      <c r="P26" s="39">
        <f t="shared" si="133"/>
        <v>0.14172265919025517</v>
      </c>
      <c r="Q26" s="39">
        <f t="shared" si="133"/>
        <v>6.955919532582544E-2</v>
      </c>
      <c r="R26" s="39">
        <f t="shared" si="133"/>
        <v>-0.34882050731050807</v>
      </c>
      <c r="S26" s="39">
        <f t="shared" si="133"/>
        <v>4.3312693767314503E-2</v>
      </c>
      <c r="T26" s="39">
        <f t="shared" si="133"/>
        <v>0.11363135048298401</v>
      </c>
      <c r="U26" s="39">
        <f t="shared" si="133"/>
        <v>-0.20955602062934453</v>
      </c>
      <c r="V26" s="39">
        <f t="shared" si="133"/>
        <v>0.19081165162382296</v>
      </c>
      <c r="W26" s="39">
        <f t="shared" si="133"/>
        <v>0.29686538423361797</v>
      </c>
      <c r="X26" s="39">
        <f t="shared" si="133"/>
        <v>0.26072221286757369</v>
      </c>
      <c r="Y26" s="39">
        <f t="shared" si="133"/>
        <v>0.32096717792304919</v>
      </c>
      <c r="Z26" s="39">
        <f t="shared" si="133"/>
        <v>2.5420566245502707E-2</v>
      </c>
      <c r="AA26" s="40">
        <f t="shared" si="133"/>
        <v>8.8069968673147647E-2</v>
      </c>
      <c r="AB26" s="40">
        <f t="shared" si="133"/>
        <v>0.17809102806754273</v>
      </c>
      <c r="AC26" s="40">
        <f t="shared" si="133"/>
        <v>0.12506453884179503</v>
      </c>
      <c r="AD26" s="40">
        <f t="shared" si="133"/>
        <v>0.17776671014781353</v>
      </c>
      <c r="AL26" s="39">
        <f>+IF(AH24&lt;0,1-AL24/AH24,AL24/AH24-1)</f>
        <v>2.992211229062125E-3</v>
      </c>
      <c r="AM26" s="39">
        <f t="shared" ref="AM26" si="134">+IF(AI24&lt;0,1-AM24/AI24,AM24/AI24-1)</f>
        <v>-1.1197920602057709E-2</v>
      </c>
      <c r="AN26" s="39">
        <f t="shared" ref="AN26" si="135">+IF(AJ24&lt;0,1-AN24/AJ24,AN24/AJ24-1)</f>
        <v>0.20459042342698774</v>
      </c>
      <c r="AO26" s="39">
        <f t="shared" ref="AO26" si="136">+IF(AK24&lt;0,1-AO24/AK24,AO24/AK24-1)</f>
        <v>3.3495360141405195E-2</v>
      </c>
      <c r="AP26" s="39">
        <f t="shared" ref="AP26" si="137">+IF(AL24&lt;0,1-AP24/AL24,AP24/AL24-1)</f>
        <v>2.1677535417134797E-2</v>
      </c>
      <c r="AQ26" s="39">
        <f t="shared" ref="AQ26" si="138">+IF(AM24&lt;0,1-AQ24/AM24,AQ24/AM24-1)</f>
        <v>7.4764641154174916E-2</v>
      </c>
      <c r="AR26" s="39">
        <f t="shared" ref="AR26" si="139">+IF(AN24&lt;0,1-AR24/AN24,AR24/AN24-1)</f>
        <v>2.3236126554129211E-2</v>
      </c>
      <c r="AS26" s="39">
        <f t="shared" ref="AS26" si="140">+IF(AO24&lt;0,1-AS24/AO24,AS24/AO24-1)</f>
        <v>4.184482070577511E-2</v>
      </c>
      <c r="AT26" s="39">
        <f t="shared" ref="AT26" si="141">+IF(AP24&lt;0,1-AT24/AP24,AT24/AP24-1)</f>
        <v>0.1513844257604442</v>
      </c>
      <c r="AU26" s="39">
        <f t="shared" ref="AU26" si="142">+IF(AQ24&lt;0,1-AU24/AQ24,AU24/AQ24-1)</f>
        <v>0.13024003185256849</v>
      </c>
      <c r="AV26" s="39">
        <f t="shared" ref="AV26" si="143">+IF(AR24&lt;0,1-AV24/AR24,AV24/AR24-1)</f>
        <v>0.22880110640504792</v>
      </c>
      <c r="AW26" s="39">
        <f t="shared" ref="AW26" si="144">+IF(AS24&lt;0,1-AW24/AS24,AW24/AS24-1)</f>
        <v>0.15425444596443216</v>
      </c>
      <c r="AX26" s="39">
        <f t="shared" ref="AX26" si="145">+IF(AT24&lt;0,1-AX24/AT24,AX24/AT24-1)</f>
        <v>8.8736809909771397E-2</v>
      </c>
      <c r="AY26" s="39">
        <f t="shared" ref="AY26" si="146">+IF(AU24&lt;0,1-AY24/AU24,AY24/AU24-1)</f>
        <v>2.8546984889849858E-2</v>
      </c>
      <c r="AZ26" s="39">
        <f t="shared" ref="AZ26" si="147">+IF(AV24&lt;0,1-AZ24/AV24,AZ24/AV24-1)</f>
        <v>4.0939786156443558E-2</v>
      </c>
      <c r="BA26" s="39">
        <f t="shared" ref="BA26" si="148">+IF(AW24&lt;0,1-BA24/AW24,BA24/AW24-1)</f>
        <v>5.368825258367349E-2</v>
      </c>
      <c r="BB26" s="39">
        <f t="shared" ref="BB26" si="149">+IF(AX24&lt;0,1-BB24/AX24,BB24/AX24-1)</f>
        <v>0.10958551345530276</v>
      </c>
      <c r="BC26" s="39">
        <f t="shared" ref="BC26" si="150">+IF(AY24&lt;0,1-BC24/AY24,BC24/AY24-1)</f>
        <v>6.360700655641649E-3</v>
      </c>
      <c r="BD26" s="39">
        <f t="shared" ref="BD26" si="151">+IF(AZ24&lt;0,1-BD24/AZ24,BD24/AZ24-1)</f>
        <v>-0.41125248585716223</v>
      </c>
      <c r="BE26" s="39">
        <f t="shared" ref="BE26" si="152">+IF(BA24&lt;0,1-BE24/BA24,BE24/BA24-1)</f>
        <v>-0.38416979731401735</v>
      </c>
      <c r="BF26" s="39">
        <f t="shared" ref="BF26" si="153">+IF(BB24&lt;0,1-BF24/BB24,BF24/BB24-1)</f>
        <v>-0.37676832677518368</v>
      </c>
      <c r="BG26" s="39">
        <f t="shared" ref="BG26" si="154">+IF(BC24&lt;0,1-BG24/BC24,BG24/BC24-1)</f>
        <v>-0.30570546479968852</v>
      </c>
      <c r="BH26" s="39">
        <f t="shared" ref="BH26" si="155">+IF(BD24&lt;0,1-BH24/BD24,BH24/BD24-1)</f>
        <v>0.1367690945462896</v>
      </c>
      <c r="BI26" s="39">
        <f t="shared" ref="BI26" si="156">+IF(BE24&lt;0,1-BI24/BE24,BI24/BE24-1)</f>
        <v>0.14586034958265626</v>
      </c>
      <c r="BJ26" s="39">
        <f t="shared" ref="BJ26" si="157">+IF(BF24&lt;0,1-BJ24/BF24,BJ24/BF24-1)</f>
        <v>0.10423507904803864</v>
      </c>
      <c r="BK26" s="39">
        <f t="shared" ref="BK26" si="158">+IF(BG24&lt;0,1-BK24/BG24,BK24/BG24-1)</f>
        <v>0.17711524658181732</v>
      </c>
      <c r="BL26" s="39">
        <f t="shared" ref="BL26" si="159">+IF(BH24&lt;0,1-BL24/BH24,BL24/BH24-1)</f>
        <v>4.3879008178631329E-2</v>
      </c>
      <c r="BM26" s="39">
        <f t="shared" ref="BM26" si="160">+IF(BI24&lt;0,1-BM24/BI24,BM24/BI24-1)</f>
        <v>-7.1377337137574437E-2</v>
      </c>
      <c r="BN26" s="39">
        <f t="shared" ref="BN26" si="161">+IF(BJ24&lt;0,1-BN24/BJ24,BN24/BJ24-1)</f>
        <v>-0.42927218100435338</v>
      </c>
      <c r="BO26" s="39">
        <f t="shared" ref="BO26" si="162">+IF(BK24&lt;0,1-BO24/BK24,BO24/BK24-1)</f>
        <v>-0.16394003390939649</v>
      </c>
      <c r="BP26" s="39">
        <f t="shared" ref="BP26" si="163">+IF(BL24&lt;0,1-BP24/BL24,BP24/BL24-1)</f>
        <v>-0.19301081954980726</v>
      </c>
      <c r="BQ26" s="39">
        <f t="shared" ref="BQ26" si="164">+IF(BM24&lt;0,1-BQ24/BM24,BQ24/BM24-1)</f>
        <v>1.1963816749343437E-2</v>
      </c>
      <c r="BR26" s="39">
        <f t="shared" ref="BR26" si="165">+IF(BN24&lt;0,1-BR24/BN24,BR24/BN24-1)</f>
        <v>0.38329931241942417</v>
      </c>
      <c r="BS26" s="39">
        <f t="shared" ref="BS26" si="166">+IF(BO24&lt;0,1-BS24/BO24,BS24/BO24-1)</f>
        <v>0.20012452192475361</v>
      </c>
      <c r="BT26" s="39">
        <f t="shared" ref="BT26" si="167">+IF(BP24&lt;0,1-BT24/BP24,BT24/BP24-1)</f>
        <v>0.26609133405249907</v>
      </c>
      <c r="BU26" s="39">
        <f t="shared" ref="BU26" si="168">+IF(BQ24&lt;0,1-BU24/BQ24,BU24/BQ24-1)</f>
        <v>0.23403894429744199</v>
      </c>
      <c r="BV26" s="39">
        <f t="shared" ref="BV26" si="169">+IF(BR24&lt;0,1-BV24/BR24,BV24/BR24-1)</f>
        <v>0.58417956235559054</v>
      </c>
      <c r="BW26" s="39">
        <f t="shared" ref="BW26" si="170">+IF(BS24&lt;0,1-BW24/BS24,BW24/BS24-1)</f>
        <v>0.18975765211591145</v>
      </c>
      <c r="BX26" s="39">
        <f t="shared" ref="BX26" si="171">+IF(BT24&lt;0,1-BX24/BT24,BX24/BT24-1)</f>
        <v>0.26939045996132149</v>
      </c>
      <c r="BY26" s="39">
        <f t="shared" ref="BY26" si="172">+IF(BU24&lt;0,1-BY24/BU24,BY24/BU24-1)</f>
        <v>0.29338593067047847</v>
      </c>
      <c r="BZ26" s="39">
        <f t="shared" ref="BZ26" si="173">+IF(BV24&lt;0,1-BZ24/BV24,BZ24/BV24-1)</f>
        <v>0.20191199901948798</v>
      </c>
      <c r="CA26" s="39">
        <f t="shared" ref="CA26" si="174">+IF(BW24&lt;0,1-CA24/BW24,CA24/BW24-1)</f>
        <v>0.35170119725416482</v>
      </c>
      <c r="CB26" s="39">
        <f t="shared" ref="CB26" si="175">+IF(BX24&lt;0,1-CB24/BX24,CB24/BX24-1)</f>
        <v>0.18406136799488526</v>
      </c>
      <c r="CC26" s="39">
        <f t="shared" ref="CC26" si="176">+IF(BY24&lt;0,1-CC24/BY24,CC24/BY24-1)</f>
        <v>0.40185336719837617</v>
      </c>
      <c r="CD26" s="39">
        <f t="shared" ref="CD26" si="177">+IF(BZ24&lt;0,1-CD24/BZ24,CD24/BZ24-1)</f>
        <v>0.33159977157774501</v>
      </c>
      <c r="CE26" s="39">
        <f t="shared" ref="CE26" si="178">+IF(CA24&lt;0,1-CE24/CA24,CE24/CA24-1)</f>
        <v>0.2262919712065774</v>
      </c>
      <c r="CF26" s="39">
        <f t="shared" ref="CF26" si="179">+IF(CB24&lt;0,1-CF24/CB24,CF24/CB24-1)</f>
        <v>0.33552584221134518</v>
      </c>
      <c r="CG26" s="39">
        <f t="shared" ref="CG26:CK26" si="180">+IF(CC24&lt;0,1-CG24/CC24,CG24/CC24-1)</f>
        <v>3.844200344166282E-2</v>
      </c>
      <c r="CH26" s="39">
        <f t="shared" si="180"/>
        <v>1.7781930128195178E-2</v>
      </c>
      <c r="CI26" s="39">
        <f t="shared" si="180"/>
        <v>1.3746815083164554E-2</v>
      </c>
      <c r="CJ26" s="39">
        <f t="shared" si="180"/>
        <v>2.0279602492838666E-3</v>
      </c>
      <c r="CK26" s="39">
        <f t="shared" si="180"/>
        <v>-1.4425042340711625E-2</v>
      </c>
      <c r="CL26" s="40">
        <f t="shared" ref="CL26" si="181">+CL24/CH24-1</f>
        <v>0.16202243698816465</v>
      </c>
      <c r="CM26" s="40">
        <f t="shared" ref="CM26" si="182">+CM24/CI24-1</f>
        <v>0.16409495012955655</v>
      </c>
      <c r="CN26" s="40">
        <f t="shared" ref="CN26" si="183">+CN24/CJ24-1</f>
        <v>7.8936673257710144E-2</v>
      </c>
      <c r="CO26" s="40">
        <f t="shared" ref="CO26" si="184">+CO24/CK24-1</f>
        <v>0.24606777359133525</v>
      </c>
      <c r="CP26" s="40">
        <f t="shared" ref="CP26" si="185">+CP24/CL24-1</f>
        <v>0.19409647742628411</v>
      </c>
      <c r="CQ26" s="40">
        <f t="shared" ref="CQ26" si="186">+CQ24/CM24-1</f>
        <v>0.15730045853221997</v>
      </c>
      <c r="CR26" s="40">
        <f t="shared" ref="CR26" si="187">+CR24/CN24-1</f>
        <v>0.12583756404475133</v>
      </c>
      <c r="CS26" s="40">
        <f t="shared" ref="CS26" si="188">+CS24/CO24-1</f>
        <v>0.1386655436262676</v>
      </c>
      <c r="CT26" s="40">
        <f t="shared" ref="CT26" si="189">+CT24/CP24-1</f>
        <v>0.12421904509118931</v>
      </c>
      <c r="CU26" s="40">
        <f t="shared" ref="CU26" si="190">+CU24/CQ24-1</f>
        <v>0.11997670072587052</v>
      </c>
      <c r="CV26" s="40">
        <f t="shared" ref="CV26" si="191">+CV24/CR24-1</f>
        <v>0.11837977160452895</v>
      </c>
      <c r="CW26" s="40">
        <f t="shared" ref="CW26" si="192">+CW24/CS24-1</f>
        <v>0.17521760199552161</v>
      </c>
      <c r="CX26" s="40">
        <f t="shared" ref="CX26" si="193">+CX24/CT24-1</f>
        <v>0.17093622769282701</v>
      </c>
      <c r="CY26" s="40">
        <f t="shared" ref="CY26" si="194">+CY24/CU24-1</f>
        <v>0.17717236369070588</v>
      </c>
      <c r="CZ26" s="40">
        <f t="shared" ref="CZ26" si="195">+CZ24/CV24-1</f>
        <v>0.18779099248779119</v>
      </c>
      <c r="DB26" s="122"/>
      <c r="DC26" s="39" t="e">
        <v>#DIV/0!</v>
      </c>
    </row>
    <row r="27" spans="1:107" s="39" customFormat="1" x14ac:dyDescent="0.2">
      <c r="A27" s="39" t="s">
        <v>448</v>
      </c>
      <c r="AA27" s="40"/>
      <c r="AB27" s="40"/>
      <c r="AC27" s="40"/>
      <c r="AD27" s="40"/>
      <c r="AI27" s="39">
        <f>+IF(AH24&lt;0,1-AI24/AH24,AI24/AH24-1)</f>
        <v>-5.0070670315464083E-3</v>
      </c>
      <c r="AJ27" s="39">
        <f t="shared" ref="AJ27" si="196">+IF(AI24&lt;0,1-AJ24/AI24,AJ24/AI24-1)</f>
        <v>-7.1177066175017734E-3</v>
      </c>
      <c r="AK27" s="39">
        <f t="shared" ref="AK27" si="197">+IF(AJ24&lt;0,1-AK24/AJ24,AK24/AJ24-1)</f>
        <v>3.3301878177223854E-2</v>
      </c>
      <c r="AL27" s="39">
        <f t="shared" ref="AL27" si="198">+IF(AK24&lt;0,1-AL24/AK24,AL24/AK24-1)</f>
        <v>-1.7454706142288723E-2</v>
      </c>
      <c r="AM27" s="39">
        <f t="shared" ref="AM27" si="199">+IF(AL24&lt;0,1-AM24/AL24,AM24/AL24-1)</f>
        <v>-1.9084026684656363E-2</v>
      </c>
      <c r="AN27" s="39">
        <f t="shared" ref="AN27" si="200">+IF(AM24&lt;0,1-AN24/AM24,AN24/AM24-1)</f>
        <v>0.20956107103557864</v>
      </c>
      <c r="AO27" s="39">
        <f t="shared" ref="AO27" si="201">+IF(AN24&lt;0,1-AO24/AN24,AO24/AN24-1)</f>
        <v>-0.11346406550085919</v>
      </c>
      <c r="AP27" s="39">
        <f t="shared" ref="AP27" si="202">+IF(AO24&lt;0,1-AP24/AO24,AP24/AO24-1)</f>
        <v>-2.8689926458012605E-2</v>
      </c>
      <c r="AQ27" s="39">
        <f t="shared" ref="AQ27" si="203">+IF(AP24&lt;0,1-AQ24/AP24,AQ24/AP24-1)</f>
        <v>3.1885078722248883E-2</v>
      </c>
      <c r="AR27" s="39">
        <f t="shared" ref="AR27" si="204">+IF(AQ24&lt;0,1-AR24/AQ24,AR24/AQ24-1)</f>
        <v>0.15156987657129872</v>
      </c>
      <c r="AS27" s="39">
        <f t="shared" ref="AS27" si="205">+IF(AR24&lt;0,1-AS24/AR24,AS24/AR24-1)</f>
        <v>-9.7341417334502189E-2</v>
      </c>
      <c r="AT27" s="39">
        <f t="shared" ref="AT27" si="206">+IF(AS24&lt;0,1-AT24/AS24,AT24/AS24-1)</f>
        <v>7.3433652530780158E-2</v>
      </c>
      <c r="AU27" s="39">
        <f t="shared" ref="AU27" si="207">+IF(AT24&lt;0,1-AU24/AT24,AU24/AT24-1)</f>
        <v>1.2935209257276759E-2</v>
      </c>
      <c r="AV27" s="39">
        <f t="shared" ref="AV27" si="208">+IF(AU24&lt;0,1-AV24/AU24,AV24/AU24-1)</f>
        <v>0.25199099178440632</v>
      </c>
      <c r="AW27" s="39">
        <f t="shared" ref="AW27" si="209">+IF(AV24&lt;0,1-AW24/AV24,AW24/AV24-1)</f>
        <v>-0.15210225902403718</v>
      </c>
      <c r="AX27" s="39">
        <f t="shared" ref="AX27" si="210">+IF(AW24&lt;0,1-AX24/AW24,AX24/AW24-1)</f>
        <v>1.2503555513415865E-2</v>
      </c>
      <c r="AY27" s="39">
        <f t="shared" ref="AY27" si="211">+IF(AX24&lt;0,1-AY24/AX24,AY24/AX24-1)</f>
        <v>-4.3063993164074166E-2</v>
      </c>
      <c r="AZ27" s="39">
        <f t="shared" ref="AZ27" si="212">+IF(AY24&lt;0,1-AZ24/AY24,AZ24/AY24-1)</f>
        <v>0.26707603483706888</v>
      </c>
      <c r="BA27" s="39">
        <f t="shared" ref="BA27" si="213">+IF(AZ24&lt;0,1-BA24/AZ24,BA24/AZ24-1)</f>
        <v>-0.14171799277894648</v>
      </c>
      <c r="BB27" s="39">
        <f t="shared" ref="BB27" si="214">+IF(BA24&lt;0,1-BB24/BA24,BB24/BA24-1)</f>
        <v>6.6216003419340641E-2</v>
      </c>
      <c r="BC27" s="39">
        <f t="shared" ref="BC27" si="215">+IF(BB24&lt;0,1-BC24/BB24,BC24/BB24-1)</f>
        <v>-0.13208781239121004</v>
      </c>
      <c r="BD27" s="39">
        <f t="shared" ref="BD27" si="216">+IF(BC24&lt;0,1-BD24/BC24,BD24/BC24-1)</f>
        <v>-0.25872714896927251</v>
      </c>
      <c r="BE27" s="39">
        <f t="shared" ref="BE27" si="217">+IF(BD24&lt;0,1-BE24/BD24,BE24/BD24-1)</f>
        <v>-0.10223657888695759</v>
      </c>
      <c r="BF27" s="39">
        <f t="shared" ref="BF27" si="218">+IF(BE24&lt;0,1-BF24/BE24,BF24/BE24-1)</f>
        <v>7.9030519990501924E-2</v>
      </c>
      <c r="BG27" s="39">
        <f t="shared" ref="BG27" si="219">+IF(BF24&lt;0,1-BG24/BF24,BG24/BF24-1)</f>
        <v>-3.3125698229458878E-2</v>
      </c>
      <c r="BH27" s="39">
        <f t="shared" ref="BH27" si="220">+IF(BG24&lt;0,1-BH24/BG24,BH24/BG24-1)</f>
        <v>0.21368673517620507</v>
      </c>
      <c r="BI27" s="39">
        <f t="shared" ref="BI27" si="221">+IF(BH24&lt;0,1-BI24/BH24,BI24/BH24-1)</f>
        <v>-9.5056759992499296E-2</v>
      </c>
      <c r="BJ27" s="39">
        <f t="shared" ref="BJ27" si="222">+IF(BI24&lt;0,1-BJ24/BI24,BJ24/BI24-1)</f>
        <v>3.9832953440553265E-2</v>
      </c>
      <c r="BK27" s="39">
        <f t="shared" ref="BK27" si="223">+IF(BJ24&lt;0,1-BK24/BJ24,BK24/BJ24-1)</f>
        <v>3.0688576859402517E-2</v>
      </c>
      <c r="BL27" s="39">
        <f t="shared" ref="BL27" si="224">+IF(BK24&lt;0,1-BL24/BK24,BL24/BK24-1)</f>
        <v>7.6311014604836469E-2</v>
      </c>
      <c r="BM27" s="39">
        <f t="shared" ref="BM27" si="225">+IF(BL24&lt;0,1-BM24/BL24,BM24/BL24-1)</f>
        <v>-0.1949729856706599</v>
      </c>
      <c r="BN27" s="39">
        <f t="shared" ref="BN27" si="226">+IF(BM24&lt;0,1-BN24/BM24,BN24/BM24-1)</f>
        <v>-0.36092277588012145</v>
      </c>
      <c r="BO27" s="39">
        <f t="shared" ref="BO27" si="227">+IF(BN24&lt;0,1-BO24/BN24,BO24/BN24-1)</f>
        <v>0.50985711216158092</v>
      </c>
      <c r="BP27" s="39">
        <f t="shared" ref="BP27" si="228">+IF(BO24&lt;0,1-BP24/BO24,BP24/BO24-1)</f>
        <v>3.8886418215778651E-2</v>
      </c>
      <c r="BQ27" s="39">
        <f t="shared" ref="BQ27" si="229">+IF(BP24&lt;0,1-BQ24/BP24,BQ24/BP24-1)</f>
        <v>9.5032619304467048E-3</v>
      </c>
      <c r="BR27" s="39">
        <f t="shared" ref="BR27" si="230">+IF(BQ24&lt;0,1-BR24/BQ24,BR24/BQ24-1)</f>
        <v>-0.12641631046882418</v>
      </c>
      <c r="BS27" s="39">
        <f t="shared" ref="BS27" si="231">+IF(BR24&lt;0,1-BS24/BR24,BS24/BR24-1)</f>
        <v>0.30992369376541173</v>
      </c>
      <c r="BT27" s="39">
        <f t="shared" ref="BT27" si="232">+IF(BS24&lt;0,1-BT24/BS24,BT24/BS24-1)</f>
        <v>9.5990513599643945E-2</v>
      </c>
      <c r="BU27" s="39">
        <f t="shared" ref="BU27" si="233">+IF(BT24&lt;0,1-BU24/BT24,BU24/BT24-1)</f>
        <v>-1.6053339824995461E-2</v>
      </c>
      <c r="BV27" s="39">
        <f t="shared" ref="BV27" si="234">+IF(BU24&lt;0,1-BV24/BU24,BV24/BU24-1)</f>
        <v>0.12145036699013123</v>
      </c>
      <c r="BW27" s="39">
        <f t="shared" ref="BW27" si="235">+IF(BV24&lt;0,1-BW24/BV24,BW24/BV24-1)</f>
        <v>-1.6215222453732414E-2</v>
      </c>
      <c r="BX27" s="39">
        <f t="shared" ref="BX27" si="236">+IF(BW24&lt;0,1-BX24/BW24,BX24/BW24-1)</f>
        <v>0.16934730337498705</v>
      </c>
      <c r="BY27" s="39">
        <f t="shared" ref="BY27" si="237">+IF(BX24&lt;0,1-BY24/BX24,BY24/BX24-1)</f>
        <v>2.5463456211372026E-3</v>
      </c>
      <c r="BZ27" s="39">
        <f t="shared" ref="BZ27" si="238">+IF(BY24&lt;0,1-BZ24/BY24,BZ24/BY24-1)</f>
        <v>4.2136473288770793E-2</v>
      </c>
      <c r="CA27" s="39">
        <f t="shared" ref="CA27" si="239">+IF(BZ24&lt;0,1-CA24/BZ24,CA24/BZ24-1)</f>
        <v>0.10638970468265607</v>
      </c>
      <c r="CB27" s="39">
        <f t="shared" ref="CB27" si="240">+IF(CA24&lt;0,1-CB24/CA24,CB24/CA24-1)</f>
        <v>2.4323253177507054E-2</v>
      </c>
      <c r="CC27" s="39">
        <f t="shared" ref="CC27" si="241">+IF(CB24&lt;0,1-CC24/CB24,CC24/CB24-1)</f>
        <v>0.18695112294845928</v>
      </c>
      <c r="CD27" s="39">
        <f t="shared" ref="CD27" si="242">+IF(CC24&lt;0,1-CD24/CC24,CD24/CC24-1)</f>
        <v>-1.0089983549763426E-2</v>
      </c>
      <c r="CE27" s="39">
        <f t="shared" ref="CE27" si="243">+IF(CD24&lt;0,1-CE24/CD24,CE24/CD24-1)</f>
        <v>1.8892343508293719E-2</v>
      </c>
      <c r="CF27" s="39">
        <f t="shared" ref="CF27" si="244">+IF(CE24&lt;0,1-CF24/CE24,CF24/CE24-1)</f>
        <v>0.11556644544491146</v>
      </c>
      <c r="CG27" s="39">
        <f t="shared" ref="CG27:CK27" si="245">+IF(CF24&lt;0,1-CG24/CF24,CG24/CF24-1)</f>
        <v>-7.708270170119591E-2</v>
      </c>
      <c r="CH27" s="39">
        <f t="shared" si="245"/>
        <v>-2.9784500379606671E-2</v>
      </c>
      <c r="CI27" s="39">
        <f t="shared" si="245"/>
        <v>1.4852826100042016E-2</v>
      </c>
      <c r="CJ27" s="39">
        <f t="shared" si="245"/>
        <v>0.10267056154450716</v>
      </c>
      <c r="CK27" s="39">
        <f t="shared" si="245"/>
        <v>-9.2236730632169306E-2</v>
      </c>
      <c r="CL27" s="40">
        <f t="shared" ref="CL27" si="246">+CL24/CK24-1</f>
        <v>0.14391317525979974</v>
      </c>
      <c r="CM27" s="40">
        <f t="shared" ref="CM27" si="247">+CM24/CL24-1</f>
        <v>1.6662856398701686E-2</v>
      </c>
      <c r="CN27" s="40">
        <f t="shared" ref="CN27" si="248">+CN24/CM24-1</f>
        <v>2.200572834684511E-2</v>
      </c>
      <c r="CO27" s="40">
        <f t="shared" ref="CO27" si="249">+CO24/CN24-1</f>
        <v>4.8379005038219125E-2</v>
      </c>
      <c r="CP27" s="40">
        <f t="shared" ref="CP27" si="250">+CP24/CO24-1</f>
        <v>9.6202567796462191E-2</v>
      </c>
      <c r="CQ27" s="40">
        <f t="shared" ref="CQ27" si="251">+CQ24/CP24-1</f>
        <v>-1.4665554981901696E-2</v>
      </c>
      <c r="CR27" s="40">
        <f t="shared" ref="CR27" si="252">+CR24/CQ24-1</f>
        <v>-5.7789823214174918E-3</v>
      </c>
      <c r="CS27" s="40">
        <f t="shared" ref="CS27" si="253">+CS24/CR24-1</f>
        <v>6.0324408975537036E-2</v>
      </c>
      <c r="CT27" s="40">
        <f t="shared" ref="CT27" si="254">+CT24/CS24-1</f>
        <v>8.2294806313325308E-2</v>
      </c>
      <c r="CU27" s="40">
        <f t="shared" ref="CU27" si="255">+CU24/CT24-1</f>
        <v>-1.838380548568852E-2</v>
      </c>
      <c r="CV27" s="40">
        <f t="shared" ref="CV27" si="256">+CV24/CU24-1</f>
        <v>-7.1966015407742834E-3</v>
      </c>
      <c r="CW27" s="40">
        <f t="shared" ref="CW27" si="257">+CW24/CV24-1</f>
        <v>0.11421177393593629</v>
      </c>
      <c r="CX27" s="40">
        <f t="shared" ref="CX27" si="258">+CX24/CW24-1</f>
        <v>7.8351954228892851E-2</v>
      </c>
      <c r="CY27" s="40">
        <f t="shared" ref="CY27" si="259">+CY24/CX24-1</f>
        <v>-1.3155944273491538E-2</v>
      </c>
      <c r="CZ27" s="40">
        <f t="shared" ref="CZ27" si="260">+CZ24/CY24-1</f>
        <v>1.7589355427427567E-3</v>
      </c>
      <c r="DB27" s="122"/>
    </row>
    <row r="28" spans="1:107" s="23" customFormat="1" outlineLevel="1" x14ac:dyDescent="0.2">
      <c r="A28" s="23" t="s">
        <v>8</v>
      </c>
      <c r="B28" s="23">
        <f>'Annual Raw'!C14</f>
        <v>112.5039</v>
      </c>
      <c r="C28" s="23">
        <f>'Annual Raw'!D14</f>
        <v>120.0603</v>
      </c>
      <c r="D28" s="23">
        <f>'Annual Raw'!E14</f>
        <v>115.2921</v>
      </c>
      <c r="E28" s="23">
        <f>'Annual Raw'!F14</f>
        <v>135.0213</v>
      </c>
      <c r="F28" s="23">
        <f>'Annual Raw'!G14</f>
        <v>176.864</v>
      </c>
      <c r="G28" s="23">
        <f>'Annual Raw'!H14</f>
        <v>238.53270000000001</v>
      </c>
      <c r="H28" s="23">
        <f>'Annual Raw'!I14</f>
        <v>303.53649999999999</v>
      </c>
      <c r="I28" s="23">
        <f>'Annual Raw'!J14</f>
        <v>400.38240000000002</v>
      </c>
      <c r="J28" s="23">
        <f>'Annual Raw'!K14</f>
        <v>386.7226</v>
      </c>
      <c r="K28" s="23">
        <f>'Annual Raw'!L14</f>
        <v>488.29849999999999</v>
      </c>
      <c r="L28" s="23">
        <f>'Annual Raw'!M14</f>
        <v>587.21</v>
      </c>
      <c r="M28" s="23">
        <f>'Annual Raw'!N14</f>
        <v>623.96</v>
      </c>
      <c r="N28" s="23">
        <f>'Annual Raw'!O14</f>
        <v>677.06</v>
      </c>
      <c r="O28" s="23">
        <f>'Annual Raw'!P14</f>
        <v>705.2</v>
      </c>
      <c r="P28" s="23">
        <f>'Annual Raw'!Q14</f>
        <v>749.87</v>
      </c>
      <c r="Q28" s="23">
        <f>'Annual Raw'!R14</f>
        <v>750.26</v>
      </c>
      <c r="R28" s="23">
        <f>'Annual Raw'!S14</f>
        <v>518.67999999999995</v>
      </c>
      <c r="S28" s="23">
        <f>'Annual Raw'!T14</f>
        <v>529.5</v>
      </c>
      <c r="T28" s="23">
        <f>'Annual Raw'!U14</f>
        <v>579.62</v>
      </c>
      <c r="U28" s="23">
        <f>'Annual Raw'!V14</f>
        <v>568.01</v>
      </c>
      <c r="V28" s="23">
        <f>'Annual Raw'!W14</f>
        <v>588.24</v>
      </c>
      <c r="W28" s="23">
        <f>'Annual Raw'!X14</f>
        <v>635.29</v>
      </c>
      <c r="X28" s="23">
        <f>'Annual Raw'!Y14</f>
        <v>715.15</v>
      </c>
      <c r="Y28" s="23">
        <f>'Annual Raw'!Z14</f>
        <v>821.93</v>
      </c>
      <c r="Z28" s="23">
        <f>'Annual Raw'!AA14</f>
        <v>974.81</v>
      </c>
      <c r="AA28" s="76">
        <f t="shared" ref="AA28:AA33" si="261">+SUM(CK28:CN28)</f>
        <v>962.99760000000003</v>
      </c>
      <c r="AB28" s="76">
        <f t="shared" ref="AB28:AB33" si="262">+SUM(CO28:CR28)</f>
        <v>1030.407432</v>
      </c>
      <c r="AC28" s="76">
        <f t="shared" ref="AC28:AC33" si="263">+SUM(CS28:CV28)</f>
        <v>1102.5359522399999</v>
      </c>
      <c r="AD28" s="76">
        <f t="shared" ref="AD28:AD33" si="264">SUM(CW28:CZ28)</f>
        <v>1179.7134688968001</v>
      </c>
      <c r="AH28" s="23">
        <f>'QTR Raw'!C16</f>
        <v>175.29</v>
      </c>
      <c r="AI28" s="23">
        <f>'QTR Raw'!D16</f>
        <v>149.52000000000001</v>
      </c>
      <c r="AJ28" s="23">
        <f>'QTR Raw'!E16</f>
        <v>145.86000000000001</v>
      </c>
      <c r="AK28" s="23">
        <f>'QTR Raw'!F16</f>
        <v>170.24</v>
      </c>
      <c r="AL28" s="23">
        <f>'QTR Raw'!G16</f>
        <v>156.41</v>
      </c>
      <c r="AM28" s="23">
        <f>'QTR Raw'!H16</f>
        <v>162.65</v>
      </c>
      <c r="AN28" s="23">
        <f>'QTR Raw'!I16</f>
        <v>187.76</v>
      </c>
      <c r="AO28" s="23">
        <f>'QTR Raw'!J16</f>
        <v>168.14</v>
      </c>
      <c r="AP28" s="23">
        <f>'QTR Raw'!K16</f>
        <v>169.71</v>
      </c>
      <c r="AQ28" s="23">
        <f>'QTR Raw'!L16</f>
        <v>171.92</v>
      </c>
      <c r="AR28" s="23">
        <f>'QTR Raw'!M16</f>
        <v>195.43</v>
      </c>
      <c r="AS28" s="23">
        <f>'QTR Raw'!N16</f>
        <v>182.77</v>
      </c>
      <c r="AT28" s="23">
        <f>'QTR Raw'!O16</f>
        <v>184.04</v>
      </c>
      <c r="AU28" s="23">
        <f>'QTR Raw'!P16</f>
        <v>187.55</v>
      </c>
      <c r="AV28" s="23">
        <f>'QTR Raw'!Q16</f>
        <v>195.51</v>
      </c>
      <c r="AW28" s="23">
        <f>'QTR Raw'!R16</f>
        <v>187.22</v>
      </c>
      <c r="AX28" s="23">
        <f>'QTR Raw'!S16</f>
        <v>199.72</v>
      </c>
      <c r="AY28" s="23">
        <f>'QTR Raw'!T16</f>
        <v>183.09</v>
      </c>
      <c r="AZ28" s="23">
        <f>'QTR Raw'!U16</f>
        <v>180.23</v>
      </c>
      <c r="BA28" s="23">
        <f>'QTR Raw'!V16</f>
        <v>193.31</v>
      </c>
      <c r="BB28" s="23">
        <f>'QTR Raw'!W16</f>
        <v>216.77</v>
      </c>
      <c r="BC28" s="23">
        <f>'QTR Raw'!X16</f>
        <v>202.33</v>
      </c>
      <c r="BD28" s="23">
        <f>'QTR Raw'!Y16</f>
        <v>111.27</v>
      </c>
      <c r="BE28" s="23">
        <f>'QTR Raw'!Z16</f>
        <v>145.4</v>
      </c>
      <c r="BF28" s="23">
        <f>'QTR Raw'!AA16</f>
        <v>144.19999999999999</v>
      </c>
      <c r="BG28" s="23">
        <f>'QTR Raw'!AB16</f>
        <v>136.44</v>
      </c>
      <c r="BH28" s="23">
        <f>'QTR Raw'!AC16</f>
        <v>100.45</v>
      </c>
      <c r="BI28" s="23">
        <f>'QTR Raw'!AD16</f>
        <v>157.47</v>
      </c>
      <c r="BJ28" s="23">
        <f>'QTR Raw'!AE16</f>
        <v>136.13999999999999</v>
      </c>
      <c r="BK28" s="23">
        <f>'QTR Raw'!AF16</f>
        <v>139.49</v>
      </c>
      <c r="BL28" s="23">
        <f>'QTR Raw'!AG16</f>
        <v>146.52000000000001</v>
      </c>
      <c r="BM28" s="23">
        <f>'QTR Raw'!AH16</f>
        <v>163.34</v>
      </c>
      <c r="BN28" s="23">
        <f>'QTR Raw'!AI16</f>
        <v>120.2</v>
      </c>
      <c r="BO28" s="23">
        <f>'QTR Raw'!AJ16</f>
        <v>135.19999999999999</v>
      </c>
      <c r="BP28" s="23">
        <f>'QTR Raw'!AK16</f>
        <v>149.27000000000001</v>
      </c>
      <c r="BQ28" s="23">
        <f>'QTR Raw'!AL16</f>
        <v>153.77000000000001</v>
      </c>
      <c r="BR28" s="23">
        <f>'QTR Raw'!AM16</f>
        <v>139.08000000000001</v>
      </c>
      <c r="BS28" s="23">
        <f>'QTR Raw'!AN16</f>
        <v>144.05000000000001</v>
      </c>
      <c r="BT28" s="23">
        <f>'QTR Raw'!AO16</f>
        <v>151.34</v>
      </c>
      <c r="BU28" s="23">
        <f>'QTR Raw'!AP16</f>
        <v>176.08</v>
      </c>
      <c r="BV28" s="23">
        <f>'QTR Raw'!AQ16</f>
        <v>149.4</v>
      </c>
      <c r="BW28" s="23">
        <f>'QTR Raw'!AR16</f>
        <v>156.09</v>
      </c>
      <c r="BX28" s="23">
        <f>'QTR Raw'!AS16</f>
        <v>158.52000000000001</v>
      </c>
      <c r="BY28" s="23">
        <f>'QTR Raw'!AT16</f>
        <v>187.83</v>
      </c>
      <c r="BZ28" s="23">
        <f>'QTR Raw'!AU16</f>
        <v>168.1</v>
      </c>
      <c r="CA28" s="23">
        <f>'QTR Raw'!AV16</f>
        <v>177.96</v>
      </c>
      <c r="CB28" s="23">
        <f>'QTR Raw'!AW16</f>
        <v>181.26</v>
      </c>
      <c r="CC28" s="23">
        <f>'QTR Raw'!AX16</f>
        <v>221.13</v>
      </c>
      <c r="CD28" s="23">
        <f>'QTR Raw'!AY16</f>
        <v>203.01</v>
      </c>
      <c r="CE28" s="23">
        <f>'QTR Raw'!AZ16</f>
        <v>203.08</v>
      </c>
      <c r="CF28" s="23">
        <f>'QTR Raw'!BA16</f>
        <v>194.71</v>
      </c>
      <c r="CG28" s="23">
        <f>'QTR Raw'!BB16</f>
        <v>238.35</v>
      </c>
      <c r="CH28" s="23">
        <f>'QTR Raw'!BC16</f>
        <v>216</v>
      </c>
      <c r="CI28" s="23">
        <f>'QTR Raw'!BD16</f>
        <v>222.25</v>
      </c>
      <c r="CJ28" s="23">
        <f>291.37-65.94</f>
        <v>225.43</v>
      </c>
      <c r="CK28" s="23">
        <f>'QTR Raw'!BF16</f>
        <v>252.86</v>
      </c>
      <c r="CL28" s="24">
        <f t="shared" ref="CL28:CZ28" si="265">CH28*107%</f>
        <v>231.12</v>
      </c>
      <c r="CM28" s="24">
        <f t="shared" si="265"/>
        <v>237.8075</v>
      </c>
      <c r="CN28" s="24">
        <f t="shared" si="265"/>
        <v>241.21010000000001</v>
      </c>
      <c r="CO28" s="24">
        <f t="shared" si="265"/>
        <v>270.56020000000001</v>
      </c>
      <c r="CP28" s="24">
        <f t="shared" si="265"/>
        <v>247.29840000000002</v>
      </c>
      <c r="CQ28" s="24">
        <f t="shared" si="265"/>
        <v>254.45402500000003</v>
      </c>
      <c r="CR28" s="24">
        <f t="shared" si="265"/>
        <v>258.094807</v>
      </c>
      <c r="CS28" s="24">
        <f t="shared" si="265"/>
        <v>289.499414</v>
      </c>
      <c r="CT28" s="24">
        <f t="shared" si="265"/>
        <v>264.60928800000005</v>
      </c>
      <c r="CU28" s="24">
        <f t="shared" si="265"/>
        <v>272.26580675000002</v>
      </c>
      <c r="CV28" s="24">
        <f t="shared" si="265"/>
        <v>276.16144349000001</v>
      </c>
      <c r="CW28" s="24">
        <f t="shared" si="265"/>
        <v>309.76437298000002</v>
      </c>
      <c r="CX28" s="24">
        <f t="shared" si="265"/>
        <v>283.13193816000006</v>
      </c>
      <c r="CY28" s="24">
        <f t="shared" si="265"/>
        <v>291.32441322250003</v>
      </c>
      <c r="CZ28" s="24">
        <f t="shared" si="265"/>
        <v>295.49274453430002</v>
      </c>
      <c r="DB28" s="123"/>
      <c r="DC28" s="23">
        <v>0</v>
      </c>
    </row>
    <row r="29" spans="1:107" s="23" customFormat="1" outlineLevel="1" x14ac:dyDescent="0.2">
      <c r="A29" s="23" t="s">
        <v>10</v>
      </c>
      <c r="B29" s="23">
        <f>'Annual Raw'!C17</f>
        <v>63.090499999999999</v>
      </c>
      <c r="C29" s="23">
        <f>'Annual Raw'!D17</f>
        <v>62.202500000000001</v>
      </c>
      <c r="D29" s="23">
        <f>'Annual Raw'!E17</f>
        <v>66.774699999999996</v>
      </c>
      <c r="E29" s="23">
        <f>'Annual Raw'!F17</f>
        <v>68.8673</v>
      </c>
      <c r="F29" s="23">
        <f>'Annual Raw'!G17</f>
        <v>89.462299999999999</v>
      </c>
      <c r="G29" s="23">
        <f>'Annual Raw'!H17</f>
        <v>149.5943</v>
      </c>
      <c r="H29" s="23">
        <f>'Annual Raw'!I17</f>
        <v>199.04839999999999</v>
      </c>
      <c r="I29" s="23">
        <f>'Annual Raw'!J17</f>
        <v>268.43779999999998</v>
      </c>
      <c r="J29" s="23">
        <f>'Annual Raw'!K17</f>
        <v>262.83449999999999</v>
      </c>
      <c r="K29" s="23">
        <f>'Annual Raw'!L17</f>
        <v>253.2996</v>
      </c>
      <c r="L29" s="23">
        <f>'Annual Raw'!M17</f>
        <v>470.66</v>
      </c>
      <c r="M29" s="23">
        <f>'Annual Raw'!N17</f>
        <v>455.29</v>
      </c>
      <c r="N29" s="23">
        <f>'Annual Raw'!O17</f>
        <v>465.32</v>
      </c>
      <c r="O29" s="23">
        <f>'Annual Raw'!P17</f>
        <v>633.23</v>
      </c>
      <c r="P29" s="23">
        <f>'Annual Raw'!Q17</f>
        <v>635.6</v>
      </c>
      <c r="Q29" s="23">
        <f>'Annual Raw'!R17</f>
        <v>745.37</v>
      </c>
      <c r="R29" s="23">
        <f>'Annual Raw'!S17</f>
        <v>593.16</v>
      </c>
      <c r="S29" s="23">
        <f>'Annual Raw'!T17</f>
        <v>664.6</v>
      </c>
      <c r="T29" s="23">
        <f>'Annual Raw'!U17</f>
        <v>758.71</v>
      </c>
      <c r="U29" s="23">
        <f>'Annual Raw'!V17</f>
        <v>586.82000000000005</v>
      </c>
      <c r="V29" s="23">
        <f>'Annual Raw'!W17</f>
        <v>681.19</v>
      </c>
      <c r="W29" s="23">
        <f>'Annual Raw'!X17</f>
        <v>781.81</v>
      </c>
      <c r="X29" s="23">
        <f>'Annual Raw'!Y17</f>
        <v>883.54</v>
      </c>
      <c r="Y29" s="23">
        <f>'Annual Raw'!Z17</f>
        <v>1085.28</v>
      </c>
      <c r="Z29" s="23">
        <f>'Annual Raw'!AA17</f>
        <v>1313.84</v>
      </c>
      <c r="AA29" s="76">
        <f t="shared" si="261"/>
        <v>0</v>
      </c>
      <c r="AB29" s="76">
        <f t="shared" si="262"/>
        <v>0</v>
      </c>
      <c r="AC29" s="76">
        <f t="shared" si="263"/>
        <v>0</v>
      </c>
      <c r="AD29" s="76">
        <f t="shared" si="264"/>
        <v>0</v>
      </c>
      <c r="AH29" s="23">
        <f>'QTR Raw'!C17</f>
        <v>0</v>
      </c>
      <c r="AI29" s="23">
        <f>'QTR Raw'!D17</f>
        <v>0</v>
      </c>
      <c r="AJ29" s="23">
        <f>'QTR Raw'!E17</f>
        <v>0</v>
      </c>
      <c r="AK29" s="23">
        <f>'QTR Raw'!F17</f>
        <v>0</v>
      </c>
      <c r="AL29" s="23">
        <f>'QTR Raw'!G17</f>
        <v>0</v>
      </c>
      <c r="AM29" s="23">
        <f>'QTR Raw'!H17</f>
        <v>0</v>
      </c>
      <c r="AN29" s="23">
        <f>'QTR Raw'!I17</f>
        <v>0</v>
      </c>
      <c r="AO29" s="23">
        <f>'QTR Raw'!J17</f>
        <v>0</v>
      </c>
      <c r="AP29" s="23">
        <f>'QTR Raw'!K17</f>
        <v>0</v>
      </c>
      <c r="AQ29" s="23">
        <f>'QTR Raw'!L17</f>
        <v>0</v>
      </c>
      <c r="AR29" s="23">
        <f>'QTR Raw'!M17</f>
        <v>0</v>
      </c>
      <c r="AS29" s="23">
        <f>'QTR Raw'!N17</f>
        <v>0</v>
      </c>
      <c r="AT29" s="23">
        <f>'QTR Raw'!O17</f>
        <v>0</v>
      </c>
      <c r="AU29" s="23">
        <f>'QTR Raw'!P17</f>
        <v>0</v>
      </c>
      <c r="AV29" s="23">
        <f>'QTR Raw'!Q17</f>
        <v>0</v>
      </c>
      <c r="AW29" s="23">
        <f>'QTR Raw'!R17</f>
        <v>0</v>
      </c>
      <c r="AX29" s="23">
        <f>'QTR Raw'!S17</f>
        <v>0</v>
      </c>
      <c r="AY29" s="23">
        <f>'QTR Raw'!T17</f>
        <v>0</v>
      </c>
      <c r="AZ29" s="23">
        <f>'QTR Raw'!U17</f>
        <v>0</v>
      </c>
      <c r="BA29" s="23">
        <f>'QTR Raw'!V17</f>
        <v>0</v>
      </c>
      <c r="BB29" s="23">
        <f>'QTR Raw'!W17</f>
        <v>0</v>
      </c>
      <c r="BC29" s="23">
        <f>'QTR Raw'!X17</f>
        <v>0</v>
      </c>
      <c r="BD29" s="23">
        <f>'QTR Raw'!Y17</f>
        <v>0</v>
      </c>
      <c r="BE29" s="23">
        <f>'QTR Raw'!Z17</f>
        <v>0</v>
      </c>
      <c r="BF29" s="23">
        <f>'QTR Raw'!AA17</f>
        <v>0</v>
      </c>
      <c r="BG29" s="23">
        <f>'QTR Raw'!AB17</f>
        <v>0</v>
      </c>
      <c r="BH29" s="23">
        <f>'QTR Raw'!AC17</f>
        <v>0</v>
      </c>
      <c r="BI29" s="23">
        <f>'QTR Raw'!AD17</f>
        <v>0</v>
      </c>
      <c r="BJ29" s="23">
        <f>'QTR Raw'!AE17</f>
        <v>0</v>
      </c>
      <c r="BK29" s="23">
        <f>'QTR Raw'!AF17</f>
        <v>0</v>
      </c>
      <c r="BL29" s="23">
        <f>'QTR Raw'!AG17</f>
        <v>0</v>
      </c>
      <c r="BM29" s="23">
        <f>'QTR Raw'!AH17</f>
        <v>0</v>
      </c>
      <c r="BN29" s="23">
        <f>'QTR Raw'!AI17</f>
        <v>0</v>
      </c>
      <c r="BO29" s="23">
        <f>'QTR Raw'!AJ17</f>
        <v>0</v>
      </c>
      <c r="BP29" s="23">
        <f>'QTR Raw'!AK17</f>
        <v>0</v>
      </c>
      <c r="BQ29" s="23">
        <f>'QTR Raw'!AL17</f>
        <v>0</v>
      </c>
      <c r="BR29" s="23">
        <f>'QTR Raw'!AM17</f>
        <v>0</v>
      </c>
      <c r="BS29" s="23">
        <f>'QTR Raw'!AN17</f>
        <v>0</v>
      </c>
      <c r="BT29" s="23">
        <f>'QTR Raw'!AO17</f>
        <v>0</v>
      </c>
      <c r="BU29" s="23">
        <f>'QTR Raw'!AP17</f>
        <v>0</v>
      </c>
      <c r="BV29" s="23">
        <f>'QTR Raw'!AQ17</f>
        <v>0</v>
      </c>
      <c r="BW29" s="23">
        <f>'QTR Raw'!AR17</f>
        <v>0</v>
      </c>
      <c r="BX29" s="23">
        <f>'QTR Raw'!AS17</f>
        <v>0</v>
      </c>
      <c r="BY29" s="23">
        <f>'QTR Raw'!AT17</f>
        <v>0</v>
      </c>
      <c r="BZ29" s="23">
        <f>'QTR Raw'!AU17</f>
        <v>0</v>
      </c>
      <c r="CA29" s="23">
        <f>'QTR Raw'!AV17</f>
        <v>0</v>
      </c>
      <c r="CB29" s="23">
        <f>'QTR Raw'!AW17</f>
        <v>0</v>
      </c>
      <c r="CC29" s="23">
        <f>'QTR Raw'!AX17</f>
        <v>0</v>
      </c>
      <c r="CD29" s="23">
        <f>'QTR Raw'!AY17</f>
        <v>0</v>
      </c>
      <c r="CE29" s="23">
        <f>'QTR Raw'!AZ17</f>
        <v>0</v>
      </c>
      <c r="CF29" s="23">
        <f>'QTR Raw'!BA17</f>
        <v>0</v>
      </c>
      <c r="CG29" s="23">
        <f>'QTR Raw'!BB17</f>
        <v>0</v>
      </c>
      <c r="CH29" s="23">
        <f>'QTR Raw'!BC17</f>
        <v>0</v>
      </c>
      <c r="CI29" s="23">
        <f>'QTR Raw'!BD17</f>
        <v>0</v>
      </c>
      <c r="CK29" s="23">
        <f>'QTR Raw'!BF17</f>
        <v>0</v>
      </c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B29" s="123"/>
      <c r="DC29" s="23">
        <v>0</v>
      </c>
    </row>
    <row r="30" spans="1:107" s="23" customFormat="1" outlineLevel="1" x14ac:dyDescent="0.2">
      <c r="A30" s="23" t="s">
        <v>12</v>
      </c>
      <c r="B30" s="23">
        <f>'Annual Raw'!C19-'Annual Raw'!C20</f>
        <v>41.736699999999999</v>
      </c>
      <c r="C30" s="23">
        <f>'Annual Raw'!D19-'Annual Raw'!D20</f>
        <v>54.433599999999998</v>
      </c>
      <c r="D30" s="23">
        <f>'Annual Raw'!E19-'Annual Raw'!E20</f>
        <v>58.566400000000002</v>
      </c>
      <c r="E30" s="23">
        <f>'Annual Raw'!F19-'Annual Raw'!F20</f>
        <v>83.948499999999996</v>
      </c>
      <c r="F30" s="23">
        <f>'Annual Raw'!G19-'Annual Raw'!G20</f>
        <v>121.5091</v>
      </c>
      <c r="G30" s="23">
        <f>'Annual Raw'!H19-'Annual Raw'!H20</f>
        <v>105.0291</v>
      </c>
      <c r="H30" s="23">
        <f>'Annual Raw'!I19-'Annual Raw'!I20</f>
        <v>163.0677</v>
      </c>
      <c r="I30" s="23">
        <f>'Annual Raw'!J19-'Annual Raw'!J20</f>
        <v>159.2586</v>
      </c>
      <c r="J30" s="23">
        <f>'Annual Raw'!K19-'Annual Raw'!K20</f>
        <v>256.82940000000002</v>
      </c>
      <c r="K30" s="23">
        <f>'Annual Raw'!L19-'Annual Raw'!L20</f>
        <v>321.05829999999997</v>
      </c>
      <c r="L30" s="23">
        <f>'Annual Raw'!M19-'Annual Raw'!M20</f>
        <v>263.52</v>
      </c>
      <c r="M30" s="23">
        <f>'Annual Raw'!N19-'Annual Raw'!N20</f>
        <v>289.88</v>
      </c>
      <c r="N30" s="23">
        <f>'Annual Raw'!O19-'Annual Raw'!O20</f>
        <v>263.67</v>
      </c>
      <c r="O30" s="23">
        <f>'Annual Raw'!P19-'Annual Raw'!P20</f>
        <v>121.23</v>
      </c>
      <c r="P30" s="23">
        <f>'Annual Raw'!Q19-'Annual Raw'!Q20</f>
        <v>217.19</v>
      </c>
      <c r="Q30" s="23">
        <f>'Annual Raw'!R19-'Annual Raw'!R20</f>
        <v>217.01</v>
      </c>
      <c r="R30" s="23">
        <f>'Annual Raw'!S19-'Annual Raw'!S20</f>
        <v>158.80000000000001</v>
      </c>
      <c r="S30" s="23">
        <f>'Annual Raw'!T19-'Annual Raw'!T20</f>
        <v>146.97</v>
      </c>
      <c r="T30" s="23">
        <f>'Annual Raw'!U19-'Annual Raw'!U20</f>
        <v>146.34</v>
      </c>
      <c r="U30" s="23">
        <f>'Annual Raw'!V19-'Annual Raw'!V20</f>
        <v>178.4</v>
      </c>
      <c r="V30" s="23">
        <f>'Annual Raw'!W19-'Annual Raw'!W20</f>
        <v>116.86</v>
      </c>
      <c r="W30" s="23">
        <f>'Annual Raw'!X19-'Annual Raw'!X20</f>
        <v>167.03</v>
      </c>
      <c r="X30" s="23">
        <f>'Annual Raw'!Y19-'Annual Raw'!Y20</f>
        <v>149.74</v>
      </c>
      <c r="Y30" s="23">
        <f>'Annual Raw'!Z19-'Annual Raw'!Z20</f>
        <v>171.52</v>
      </c>
      <c r="Z30" s="23">
        <f>'Annual Raw'!AA19-'Annual Raw'!AA20</f>
        <v>120.9</v>
      </c>
      <c r="AA30" s="76">
        <f t="shared" si="261"/>
        <v>0</v>
      </c>
      <c r="AB30" s="76">
        <f t="shared" si="262"/>
        <v>0</v>
      </c>
      <c r="AC30" s="76">
        <f t="shared" si="263"/>
        <v>0</v>
      </c>
      <c r="AD30" s="76">
        <f t="shared" si="264"/>
        <v>0</v>
      </c>
      <c r="AH30" s="23">
        <f>+'QTR Raw'!C21</f>
        <v>0</v>
      </c>
      <c r="AI30" s="23">
        <f>+'QTR Raw'!D21</f>
        <v>0</v>
      </c>
      <c r="AJ30" s="23">
        <f>+'QTR Raw'!E21</f>
        <v>0</v>
      </c>
      <c r="AK30" s="23">
        <f>+'QTR Raw'!F21</f>
        <v>0</v>
      </c>
      <c r="AL30" s="23">
        <f>+'QTR Raw'!G21</f>
        <v>0</v>
      </c>
      <c r="AM30" s="23">
        <f>+'QTR Raw'!H21</f>
        <v>0</v>
      </c>
      <c r="AN30" s="23">
        <f>+'QTR Raw'!I21</f>
        <v>0</v>
      </c>
      <c r="AO30" s="23">
        <f>+'QTR Raw'!J21</f>
        <v>0</v>
      </c>
      <c r="AP30" s="23">
        <f>+'QTR Raw'!K21</f>
        <v>0</v>
      </c>
      <c r="AQ30" s="23">
        <f>+'QTR Raw'!L21</f>
        <v>0</v>
      </c>
      <c r="AR30" s="23">
        <f>+'QTR Raw'!M21</f>
        <v>0</v>
      </c>
      <c r="AS30" s="23">
        <f>+'QTR Raw'!N21</f>
        <v>0</v>
      </c>
      <c r="AT30" s="23">
        <f>+'QTR Raw'!O21</f>
        <v>0</v>
      </c>
      <c r="AU30" s="23">
        <f>+'QTR Raw'!P21</f>
        <v>0</v>
      </c>
      <c r="AV30" s="23">
        <f>+'QTR Raw'!Q21</f>
        <v>0</v>
      </c>
      <c r="AW30" s="23">
        <f>+'QTR Raw'!R21</f>
        <v>0</v>
      </c>
      <c r="AX30" s="23">
        <f>+'QTR Raw'!S21</f>
        <v>0</v>
      </c>
      <c r="AY30" s="23">
        <f>+'QTR Raw'!T21</f>
        <v>0</v>
      </c>
      <c r="AZ30" s="23">
        <f>+'QTR Raw'!U21</f>
        <v>0</v>
      </c>
      <c r="BA30" s="23">
        <f>+'QTR Raw'!V21</f>
        <v>0</v>
      </c>
      <c r="BB30" s="23">
        <f>+'QTR Raw'!W21</f>
        <v>0</v>
      </c>
      <c r="BC30" s="23">
        <f>+'QTR Raw'!X21</f>
        <v>0</v>
      </c>
      <c r="BD30" s="23">
        <f>+'QTR Raw'!Y21</f>
        <v>0</v>
      </c>
      <c r="BE30" s="23">
        <f>+'QTR Raw'!Z21</f>
        <v>0</v>
      </c>
      <c r="BF30" s="23">
        <f>+'QTR Raw'!AA21</f>
        <v>0</v>
      </c>
      <c r="BG30" s="23">
        <f>+'QTR Raw'!AB21</f>
        <v>0</v>
      </c>
      <c r="BH30" s="23">
        <f>+'QTR Raw'!AC21</f>
        <v>0</v>
      </c>
      <c r="BI30" s="23">
        <f>+'QTR Raw'!AD21</f>
        <v>0</v>
      </c>
      <c r="BJ30" s="23">
        <f>+'QTR Raw'!AE21</f>
        <v>0</v>
      </c>
      <c r="BK30" s="23">
        <f>+'QTR Raw'!AF21</f>
        <v>0</v>
      </c>
      <c r="BL30" s="23">
        <f>+'QTR Raw'!AG21</f>
        <v>0</v>
      </c>
      <c r="BM30" s="23">
        <f>+'QTR Raw'!AH21</f>
        <v>0</v>
      </c>
      <c r="BN30" s="23">
        <f>+'QTR Raw'!AI21</f>
        <v>0</v>
      </c>
      <c r="BO30" s="23">
        <f>+'QTR Raw'!AJ21</f>
        <v>0</v>
      </c>
      <c r="BP30" s="23">
        <f>+'QTR Raw'!AK21</f>
        <v>0</v>
      </c>
      <c r="BQ30" s="23">
        <f>+'QTR Raw'!AL21</f>
        <v>0</v>
      </c>
      <c r="BR30" s="23">
        <f>+'QTR Raw'!AM21</f>
        <v>0</v>
      </c>
      <c r="BS30" s="23">
        <f>+'QTR Raw'!AN21</f>
        <v>0</v>
      </c>
      <c r="BT30" s="23">
        <f>+'QTR Raw'!AO21</f>
        <v>0</v>
      </c>
      <c r="BU30" s="23">
        <f>+'QTR Raw'!AP21</f>
        <v>0</v>
      </c>
      <c r="BV30" s="23">
        <f>+'QTR Raw'!AQ21</f>
        <v>0</v>
      </c>
      <c r="BW30" s="23">
        <f>+'QTR Raw'!AR21</f>
        <v>0</v>
      </c>
      <c r="BX30" s="23">
        <f>+'QTR Raw'!AS21</f>
        <v>0</v>
      </c>
      <c r="BY30" s="23">
        <f>+'QTR Raw'!AT21</f>
        <v>0</v>
      </c>
      <c r="BZ30" s="23">
        <f>+'QTR Raw'!AU21</f>
        <v>0</v>
      </c>
      <c r="CA30" s="23">
        <f>+'QTR Raw'!AV21</f>
        <v>0</v>
      </c>
      <c r="CB30" s="23">
        <f>+'QTR Raw'!AW21</f>
        <v>0</v>
      </c>
      <c r="CC30" s="23">
        <f>+'QTR Raw'!AX21</f>
        <v>0</v>
      </c>
      <c r="CD30" s="23">
        <f>+'QTR Raw'!AY21</f>
        <v>0</v>
      </c>
      <c r="CE30" s="23">
        <f>+'QTR Raw'!AZ21</f>
        <v>0</v>
      </c>
      <c r="CF30" s="23">
        <f>+'QTR Raw'!BA21</f>
        <v>0</v>
      </c>
      <c r="CG30" s="23">
        <f>+'QTR Raw'!BB21</f>
        <v>0</v>
      </c>
      <c r="CH30" s="23">
        <f>+'QTR Raw'!BC21</f>
        <v>0</v>
      </c>
      <c r="CI30" s="23">
        <f>+'QTR Raw'!BD21</f>
        <v>0</v>
      </c>
      <c r="CK30" s="23">
        <f>+'QTR Raw'!BF21</f>
        <v>0</v>
      </c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B30" s="123"/>
      <c r="DC30" s="23">
        <v>0</v>
      </c>
    </row>
    <row r="31" spans="1:107" s="23" customFormat="1" outlineLevel="1" x14ac:dyDescent="0.2">
      <c r="A31" s="23" t="s">
        <v>9</v>
      </c>
      <c r="B31" s="23">
        <f>'Annual Raw'!C15+'Annual Raw'!C16</f>
        <v>279.5401</v>
      </c>
      <c r="C31" s="23">
        <f>'Annual Raw'!D15+'Annual Raw'!D16</f>
        <v>320.92750000000001</v>
      </c>
      <c r="D31" s="23">
        <f>'Annual Raw'!E15+'Annual Raw'!E16</f>
        <v>514.54650000000004</v>
      </c>
      <c r="E31" s="23">
        <f>'Annual Raw'!F15+'Annual Raw'!F16</f>
        <v>1003.1039</v>
      </c>
      <c r="F31" s="23">
        <f>'Annual Raw'!G15+'Annual Raw'!G16</f>
        <v>1316.8397</v>
      </c>
      <c r="G31" s="23">
        <f>'Annual Raw'!H15+'Annual Raw'!H16</f>
        <v>2004.3239000000001</v>
      </c>
      <c r="H31" s="23">
        <f>'Annual Raw'!I15+'Annual Raw'!I16</f>
        <v>2902.9148</v>
      </c>
      <c r="I31" s="23">
        <f>'Annual Raw'!J15+'Annual Raw'!J16</f>
        <v>3117.4153999999999</v>
      </c>
      <c r="J31" s="23">
        <f>'Annual Raw'!K15+'Annual Raw'!K16</f>
        <v>2868.2676999999999</v>
      </c>
      <c r="K31" s="23">
        <f>'Annual Raw'!L15+'Annual Raw'!L16</f>
        <v>2439.0965000000001</v>
      </c>
      <c r="L31" s="23">
        <f>'Annual Raw'!M15+'Annual Raw'!M16</f>
        <v>686.92</v>
      </c>
      <c r="M31" s="23">
        <f>'Annual Raw'!N15+'Annual Raw'!N16</f>
        <v>749.97</v>
      </c>
      <c r="N31" s="23">
        <f>'Annual Raw'!O15+'Annual Raw'!O16</f>
        <v>742.35</v>
      </c>
      <c r="O31" s="23">
        <f>'Annual Raw'!P15+'Annual Raw'!P16</f>
        <v>703.42</v>
      </c>
      <c r="P31" s="23">
        <f>'Annual Raw'!Q15+'Annual Raw'!Q16</f>
        <v>797.5</v>
      </c>
      <c r="Q31" s="23">
        <f>'Annual Raw'!R15+'Annual Raw'!R16</f>
        <v>908.91</v>
      </c>
      <c r="R31" s="23">
        <f>'Annual Raw'!S15+'Annual Raw'!S16</f>
        <v>514.19000000000005</v>
      </c>
      <c r="S31" s="23">
        <f>'Annual Raw'!T15+'Annual Raw'!T16</f>
        <v>452.12</v>
      </c>
      <c r="T31" s="23">
        <f>'Annual Raw'!U15+'Annual Raw'!U16</f>
        <v>486.19</v>
      </c>
      <c r="U31" s="23">
        <f>'Annual Raw'!V15+'Annual Raw'!V16</f>
        <v>388.96</v>
      </c>
      <c r="V31" s="23">
        <f>'Annual Raw'!W15+'Annual Raw'!W16</f>
        <v>479.79</v>
      </c>
      <c r="W31" s="23">
        <f>'Annual Raw'!X15+'Annual Raw'!X16</f>
        <v>577.69000000000005</v>
      </c>
      <c r="X31" s="23">
        <f>'Annual Raw'!Y15+'Annual Raw'!Y16</f>
        <v>680.95</v>
      </c>
      <c r="Y31" s="23">
        <f>'Annual Raw'!Z15+'Annual Raw'!Z16</f>
        <v>812.64</v>
      </c>
      <c r="Z31" s="23">
        <f>'Annual Raw'!AA15+'Annual Raw'!AA16</f>
        <v>950.16</v>
      </c>
      <c r="AA31" s="76">
        <f t="shared" si="261"/>
        <v>3065.7087217622593</v>
      </c>
      <c r="AB31" s="76">
        <f t="shared" si="262"/>
        <v>3547.1206685443613</v>
      </c>
      <c r="AC31" s="76">
        <f t="shared" si="263"/>
        <v>4178.4729478484396</v>
      </c>
      <c r="AD31" s="76">
        <f t="shared" si="264"/>
        <v>5050.9264823464537</v>
      </c>
      <c r="AH31" s="23">
        <f>'QTR Raw'!C14</f>
        <v>383.78</v>
      </c>
      <c r="AI31" s="23">
        <f>'QTR Raw'!D14</f>
        <v>445.82</v>
      </c>
      <c r="AJ31" s="23">
        <f>'QTR Raw'!E14</f>
        <v>444.57</v>
      </c>
      <c r="AK31" s="23">
        <f>'QTR Raw'!F14</f>
        <v>401.5</v>
      </c>
      <c r="AL31" s="23">
        <f>'QTR Raw'!G14</f>
        <v>402.76</v>
      </c>
      <c r="AM31" s="23">
        <f>'QTR Raw'!H14</f>
        <v>386.25</v>
      </c>
      <c r="AN31" s="23">
        <f>'QTR Raw'!I14</f>
        <v>454.22</v>
      </c>
      <c r="AO31" s="23">
        <f>'QTR Raw'!J14</f>
        <v>407.78</v>
      </c>
      <c r="AP31" s="23">
        <f>'QTR Raw'!K14</f>
        <v>385.99</v>
      </c>
      <c r="AQ31" s="23">
        <f>'QTR Raw'!L14</f>
        <v>407.19</v>
      </c>
      <c r="AR31" s="23">
        <f>'QTR Raw'!M14</f>
        <v>434.37</v>
      </c>
      <c r="AS31" s="23">
        <f>'QTR Raw'!N14</f>
        <v>404.63</v>
      </c>
      <c r="AT31" s="23">
        <f>'QTR Raw'!O14</f>
        <v>450.63</v>
      </c>
      <c r="AU31" s="23">
        <f>'QTR Raw'!P14</f>
        <v>451.54</v>
      </c>
      <c r="AV31" s="23">
        <f>'QTR Raw'!Q14</f>
        <v>536.46</v>
      </c>
      <c r="AW31" s="23">
        <f>'QTR Raw'!R14</f>
        <v>483.65</v>
      </c>
      <c r="AX31" s="23">
        <f>'QTR Raw'!S14</f>
        <v>541.02</v>
      </c>
      <c r="AY31" s="23">
        <f>'QTR Raw'!T14</f>
        <v>516.17999999999995</v>
      </c>
      <c r="AZ31" s="23">
        <f>'QTR Raw'!U14</f>
        <v>565.82000000000005</v>
      </c>
      <c r="BA31" s="23">
        <f>'QTR Raw'!V14</f>
        <v>534.86</v>
      </c>
      <c r="BB31" s="23">
        <f>'QTR Raw'!W14</f>
        <v>583.84</v>
      </c>
      <c r="BC31" s="23">
        <f>'QTR Raw'!X14</f>
        <v>486.24</v>
      </c>
      <c r="BD31" s="23">
        <f>'QTR Raw'!Y14</f>
        <v>353</v>
      </c>
      <c r="BE31" s="23">
        <f>'QTR Raw'!Z14</f>
        <v>312.63</v>
      </c>
      <c r="BF31" s="23">
        <f>'QTR Raw'!AA14</f>
        <v>357.21</v>
      </c>
      <c r="BG31" s="23">
        <f>'QTR Raw'!AB14</f>
        <v>370.04</v>
      </c>
      <c r="BH31" s="23">
        <f>'QTR Raw'!AC14</f>
        <v>377.39</v>
      </c>
      <c r="BI31" s="23">
        <f>'QTR Raw'!AD14</f>
        <v>324.38</v>
      </c>
      <c r="BJ31" s="23">
        <f>'QTR Raw'!AE14</f>
        <v>392.35</v>
      </c>
      <c r="BK31" s="23">
        <f>'QTR Raw'!AF14</f>
        <v>409.53</v>
      </c>
      <c r="BL31" s="23">
        <f>'QTR Raw'!AG14</f>
        <v>438.77</v>
      </c>
      <c r="BM31" s="23">
        <f>'QTR Raw'!AH14</f>
        <v>404.75</v>
      </c>
      <c r="BN31" s="23">
        <f>'QTR Raw'!AI14</f>
        <v>228.68</v>
      </c>
      <c r="BO31" s="23">
        <f>'QTR Raw'!AJ14</f>
        <v>305.55</v>
      </c>
      <c r="BP31" s="23">
        <f>'QTR Raw'!AK14</f>
        <v>349.43</v>
      </c>
      <c r="BQ31" s="23">
        <f>'QTR Raw'!AL14</f>
        <v>332.25</v>
      </c>
      <c r="BR31" s="23">
        <f>'QTR Raw'!AM14</f>
        <v>281.2</v>
      </c>
      <c r="BS31" s="23">
        <f>'QTR Raw'!AN14</f>
        <v>349.29</v>
      </c>
      <c r="BT31" s="23">
        <f>'QTR Raw'!AO14</f>
        <v>402.87</v>
      </c>
      <c r="BU31" s="23">
        <f>'QTR Raw'!AP14</f>
        <v>363.73</v>
      </c>
      <c r="BV31" s="23">
        <f>'QTR Raw'!AQ14</f>
        <v>460</v>
      </c>
      <c r="BW31" s="23">
        <f>'QTR Raw'!AR14</f>
        <v>435.63</v>
      </c>
      <c r="BX31" s="23">
        <f>'QTR Raw'!AS14</f>
        <v>415.8</v>
      </c>
      <c r="BY31" s="23">
        <f>'QTR Raw'!AT14</f>
        <v>467.85</v>
      </c>
      <c r="BZ31" s="23">
        <f>'QTR Raw'!AU14</f>
        <v>463.82</v>
      </c>
      <c r="CA31" s="23">
        <f>'QTR Raw'!AV14</f>
        <v>468.48</v>
      </c>
      <c r="CB31" s="23">
        <f>'QTR Raw'!AW14</f>
        <v>512.88</v>
      </c>
      <c r="CC31" s="23">
        <f>'QTR Raw'!AX14</f>
        <v>532.82000000000005</v>
      </c>
      <c r="CD31" s="23">
        <f>'QTR Raw'!AY14</f>
        <v>560.32000000000005</v>
      </c>
      <c r="CE31" s="23">
        <f>'QTR Raw'!AZ14</f>
        <v>587.19000000000005</v>
      </c>
      <c r="CF31" s="23">
        <f>'QTR Raw'!BA14</f>
        <v>632.20000000000005</v>
      </c>
      <c r="CG31" s="23">
        <f>'QTR Raw'!BB14</f>
        <v>571.89</v>
      </c>
      <c r="CH31" s="23">
        <f>'QTR Raw'!BC14</f>
        <v>698.95</v>
      </c>
      <c r="CI31" s="23">
        <f>'QTR Raw'!BD14</f>
        <v>626.14</v>
      </c>
      <c r="CJ31" s="23">
        <f>118.98+530.66</f>
        <v>649.64</v>
      </c>
      <c r="CK31" s="23">
        <f>'QTR Raw'!BF14</f>
        <v>688.82</v>
      </c>
      <c r="CL31" s="24">
        <f t="shared" ref="CL31:CZ31" si="266">CL34-CL28-CL29-CL30-CL32-CL33</f>
        <v>784.54359604934621</v>
      </c>
      <c r="CM31" s="24">
        <f t="shared" si="266"/>
        <v>782.51388097375263</v>
      </c>
      <c r="CN31" s="24">
        <f t="shared" si="266"/>
        <v>809.83124473916018</v>
      </c>
      <c r="CO31" s="24">
        <f t="shared" si="266"/>
        <v>825.99432712878695</v>
      </c>
      <c r="CP31" s="24">
        <f t="shared" si="266"/>
        <v>933.87986767990139</v>
      </c>
      <c r="CQ31" s="24">
        <f t="shared" si="266"/>
        <v>901.77602818923333</v>
      </c>
      <c r="CR31" s="24">
        <f t="shared" si="266"/>
        <v>885.47044554643958</v>
      </c>
      <c r="CS31" s="24">
        <f t="shared" si="266"/>
        <v>961.79177659167715</v>
      </c>
      <c r="CT31" s="24">
        <f t="shared" si="266"/>
        <v>1090.3871680418861</v>
      </c>
      <c r="CU31" s="24">
        <f t="shared" si="266"/>
        <v>1064.6009698237449</v>
      </c>
      <c r="CV31" s="24">
        <f t="shared" si="266"/>
        <v>1061.6930333911316</v>
      </c>
      <c r="CW31" s="24">
        <f t="shared" si="266"/>
        <v>1168.0755049833135</v>
      </c>
      <c r="CX31" s="24">
        <f t="shared" si="266"/>
        <v>1312.4681457089755</v>
      </c>
      <c r="CY31" s="24">
        <f t="shared" si="266"/>
        <v>1285.5003781447317</v>
      </c>
      <c r="CZ31" s="24">
        <f t="shared" si="266"/>
        <v>1284.8824535094334</v>
      </c>
      <c r="DB31" s="123"/>
      <c r="DC31" s="23">
        <v>0</v>
      </c>
    </row>
    <row r="32" spans="1:107" s="23" customFormat="1" outlineLevel="1" x14ac:dyDescent="0.2">
      <c r="A32" s="23" t="s">
        <v>7</v>
      </c>
      <c r="B32" s="23">
        <f>'Annual Raw'!C13</f>
        <v>9.3437999999999999</v>
      </c>
      <c r="C32" s="23">
        <f>'Annual Raw'!D13</f>
        <v>9.5228000000000002</v>
      </c>
      <c r="D32" s="23">
        <f>'Annual Raw'!E13</f>
        <v>9.1403999999999996</v>
      </c>
      <c r="E32" s="23">
        <f>'Annual Raw'!F13</f>
        <v>12.178000000000001</v>
      </c>
      <c r="F32" s="23">
        <f>'Annual Raw'!G13</f>
        <v>14.908799999999999</v>
      </c>
      <c r="G32" s="23">
        <f>'Annual Raw'!H13</f>
        <v>19.006799999999998</v>
      </c>
      <c r="H32" s="23">
        <f>'Annual Raw'!I13</f>
        <v>22.333300000000001</v>
      </c>
      <c r="I32" s="23">
        <f>'Annual Raw'!J13</f>
        <v>27.4312</v>
      </c>
      <c r="J32" s="23">
        <f>'Annual Raw'!K13</f>
        <v>27.1616</v>
      </c>
      <c r="K32" s="23">
        <f>'Annual Raw'!L13</f>
        <v>30.468</v>
      </c>
      <c r="L32" s="23">
        <f>'Annual Raw'!M13</f>
        <v>46.25</v>
      </c>
      <c r="M32" s="23">
        <f>'Annual Raw'!N13</f>
        <v>51.2</v>
      </c>
      <c r="N32" s="23">
        <f>'Annual Raw'!O13</f>
        <v>56.55</v>
      </c>
      <c r="O32" s="23">
        <f>'Annual Raw'!P13</f>
        <v>57.93</v>
      </c>
      <c r="P32" s="23">
        <f>'Annual Raw'!Q13</f>
        <v>58.2</v>
      </c>
      <c r="Q32" s="23">
        <f>'Annual Raw'!R13</f>
        <v>64.36</v>
      </c>
      <c r="R32" s="23">
        <f>'Annual Raw'!S13</f>
        <v>21.16</v>
      </c>
      <c r="S32" s="23">
        <f>'Annual Raw'!T13</f>
        <v>21.87</v>
      </c>
      <c r="T32" s="23">
        <f>'Annual Raw'!U13</f>
        <v>22.44</v>
      </c>
      <c r="U32" s="23">
        <f>'Annual Raw'!V13</f>
        <v>32.1</v>
      </c>
      <c r="V32" s="23">
        <f>'Annual Raw'!W13</f>
        <v>20.059999999999999</v>
      </c>
      <c r="W32" s="23">
        <f>'Annual Raw'!X13</f>
        <v>22.57</v>
      </c>
      <c r="X32" s="23">
        <f>'Annual Raw'!Y13</f>
        <v>25.13</v>
      </c>
      <c r="Y32" s="23">
        <f>'Annual Raw'!Z13</f>
        <v>28.24</v>
      </c>
      <c r="Z32" s="23">
        <f>'Annual Raw'!AA13</f>
        <v>28.8</v>
      </c>
      <c r="AA32" s="76">
        <f t="shared" si="261"/>
        <v>0</v>
      </c>
      <c r="AB32" s="76">
        <f t="shared" si="262"/>
        <v>0</v>
      </c>
      <c r="AC32" s="76">
        <f t="shared" si="263"/>
        <v>0</v>
      </c>
      <c r="AD32" s="76">
        <f t="shared" si="264"/>
        <v>0</v>
      </c>
      <c r="AH32" s="23">
        <f>'QTR Raw'!C15</f>
        <v>0</v>
      </c>
      <c r="AI32" s="23">
        <f>'QTR Raw'!D15</f>
        <v>0</v>
      </c>
      <c r="AJ32" s="23">
        <f>'QTR Raw'!E15</f>
        <v>0</v>
      </c>
      <c r="AK32" s="23">
        <f>'QTR Raw'!F15</f>
        <v>0</v>
      </c>
      <c r="AL32" s="23">
        <f>'QTR Raw'!G15</f>
        <v>0</v>
      </c>
      <c r="AM32" s="23">
        <f>'QTR Raw'!H15</f>
        <v>0</v>
      </c>
      <c r="AN32" s="23">
        <f>'QTR Raw'!I15</f>
        <v>0</v>
      </c>
      <c r="AO32" s="23">
        <f>'QTR Raw'!J15</f>
        <v>0</v>
      </c>
      <c r="AP32" s="23">
        <f>'QTR Raw'!K15</f>
        <v>0</v>
      </c>
      <c r="AQ32" s="23">
        <f>'QTR Raw'!L15</f>
        <v>0</v>
      </c>
      <c r="AR32" s="23">
        <f>'QTR Raw'!M15</f>
        <v>0</v>
      </c>
      <c r="AS32" s="23">
        <f>'QTR Raw'!N15</f>
        <v>0</v>
      </c>
      <c r="AT32" s="23">
        <f>'QTR Raw'!O15</f>
        <v>0</v>
      </c>
      <c r="AU32" s="23">
        <f>'QTR Raw'!P15</f>
        <v>0</v>
      </c>
      <c r="AV32" s="23">
        <f>'QTR Raw'!Q15</f>
        <v>0</v>
      </c>
      <c r="AW32" s="23">
        <f>'QTR Raw'!R15</f>
        <v>0</v>
      </c>
      <c r="AX32" s="23">
        <f>'QTR Raw'!S15</f>
        <v>0</v>
      </c>
      <c r="AY32" s="23">
        <f>'QTR Raw'!T15</f>
        <v>0</v>
      </c>
      <c r="AZ32" s="23">
        <f>'QTR Raw'!U15</f>
        <v>0</v>
      </c>
      <c r="BA32" s="23">
        <f>'QTR Raw'!V15</f>
        <v>0</v>
      </c>
      <c r="BB32" s="23">
        <f>'QTR Raw'!W15</f>
        <v>0</v>
      </c>
      <c r="BC32" s="23">
        <f>'QTR Raw'!X15</f>
        <v>0</v>
      </c>
      <c r="BD32" s="23">
        <f>'QTR Raw'!Y15</f>
        <v>0</v>
      </c>
      <c r="BE32" s="23">
        <f>'QTR Raw'!Z15</f>
        <v>0</v>
      </c>
      <c r="BF32" s="23">
        <f>'QTR Raw'!AA15</f>
        <v>0</v>
      </c>
      <c r="BG32" s="23">
        <f>'QTR Raw'!AB15</f>
        <v>0</v>
      </c>
      <c r="BH32" s="23">
        <f>'QTR Raw'!AC15</f>
        <v>0</v>
      </c>
      <c r="BI32" s="23">
        <f>'QTR Raw'!AD15</f>
        <v>0</v>
      </c>
      <c r="BJ32" s="23">
        <f>'QTR Raw'!AE15</f>
        <v>0</v>
      </c>
      <c r="BK32" s="23">
        <f>'QTR Raw'!AF15</f>
        <v>0</v>
      </c>
      <c r="BL32" s="23">
        <f>'QTR Raw'!AG15</f>
        <v>0</v>
      </c>
      <c r="BM32" s="23">
        <f>'QTR Raw'!AH15</f>
        <v>0</v>
      </c>
      <c r="BN32" s="23">
        <f>'QTR Raw'!AI15</f>
        <v>0</v>
      </c>
      <c r="BO32" s="23">
        <f>'QTR Raw'!AJ15</f>
        <v>0</v>
      </c>
      <c r="BP32" s="23">
        <f>'QTR Raw'!AK15</f>
        <v>0</v>
      </c>
      <c r="BQ32" s="23">
        <f>'QTR Raw'!AL15</f>
        <v>0</v>
      </c>
      <c r="BR32" s="23">
        <f>'QTR Raw'!AM15</f>
        <v>0</v>
      </c>
      <c r="BS32" s="23">
        <f>'QTR Raw'!AN15</f>
        <v>0</v>
      </c>
      <c r="BT32" s="23">
        <f>'QTR Raw'!AO15</f>
        <v>0</v>
      </c>
      <c r="BU32" s="23">
        <f>'QTR Raw'!AP15</f>
        <v>0</v>
      </c>
      <c r="BV32" s="23">
        <f>'QTR Raw'!AQ15</f>
        <v>0</v>
      </c>
      <c r="BW32" s="23">
        <f>'QTR Raw'!AR15</f>
        <v>0</v>
      </c>
      <c r="BX32" s="23">
        <f>'QTR Raw'!AS15</f>
        <v>0</v>
      </c>
      <c r="BY32" s="23">
        <f>'QTR Raw'!AT15</f>
        <v>0</v>
      </c>
      <c r="BZ32" s="23">
        <f>'QTR Raw'!AU15</f>
        <v>0</v>
      </c>
      <c r="CA32" s="23">
        <f>'QTR Raw'!AV15</f>
        <v>0</v>
      </c>
      <c r="CB32" s="23">
        <f>'QTR Raw'!AW15</f>
        <v>0</v>
      </c>
      <c r="CC32" s="23">
        <f>'QTR Raw'!AX15</f>
        <v>0</v>
      </c>
      <c r="CD32" s="23">
        <f>'QTR Raw'!AY15</f>
        <v>0</v>
      </c>
      <c r="CE32" s="23">
        <f>'QTR Raw'!AZ15</f>
        <v>0</v>
      </c>
      <c r="CF32" s="23">
        <f>'QTR Raw'!BA15</f>
        <v>0</v>
      </c>
      <c r="CG32" s="23">
        <f>'QTR Raw'!BB15</f>
        <v>0</v>
      </c>
      <c r="CH32" s="23">
        <f>'QTR Raw'!BC15</f>
        <v>0</v>
      </c>
      <c r="CI32" s="23">
        <f>'QTR Raw'!BD15</f>
        <v>0</v>
      </c>
      <c r="CK32" s="23">
        <f>'QTR Raw'!BF15</f>
        <v>0</v>
      </c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B32" s="123"/>
      <c r="DC32" s="23">
        <v>0</v>
      </c>
    </row>
    <row r="33" spans="1:107" s="23" customFormat="1" outlineLevel="1" x14ac:dyDescent="0.2">
      <c r="A33" s="23" t="s">
        <v>11</v>
      </c>
      <c r="B33" s="23">
        <f>'Annual Raw'!C18</f>
        <v>14.4992</v>
      </c>
      <c r="C33" s="23">
        <f>'Annual Raw'!D18</f>
        <v>16.627700000000001</v>
      </c>
      <c r="D33" s="23">
        <f>'Annual Raw'!E18</f>
        <v>24.886700000000001</v>
      </c>
      <c r="E33" s="23">
        <f>'Annual Raw'!F18</f>
        <v>42.8444</v>
      </c>
      <c r="F33" s="23">
        <f>'Annual Raw'!G18</f>
        <v>50.421700000000001</v>
      </c>
      <c r="G33" s="23">
        <f>'Annual Raw'!H18</f>
        <v>63.714700000000001</v>
      </c>
      <c r="H33" s="23">
        <f>'Annual Raw'!I18</f>
        <v>74.658600000000007</v>
      </c>
      <c r="I33" s="23">
        <f>'Annual Raw'!J18</f>
        <v>65.507199999999997</v>
      </c>
      <c r="J33" s="23">
        <f>'Annual Raw'!K18</f>
        <v>64.94</v>
      </c>
      <c r="K33" s="23">
        <f>'Annual Raw'!L18</f>
        <v>76.396000000000001</v>
      </c>
      <c r="L33" s="23">
        <f>'Annual Raw'!M18</f>
        <v>82.19</v>
      </c>
      <c r="M33" s="23">
        <f>'Annual Raw'!N18</f>
        <v>104.64</v>
      </c>
      <c r="N33" s="23">
        <f>'Annual Raw'!O18</f>
        <v>101.92</v>
      </c>
      <c r="O33" s="23">
        <f>'Annual Raw'!P18</f>
        <v>103.46</v>
      </c>
      <c r="P33" s="23">
        <f>'Annual Raw'!Q18</f>
        <v>127.04</v>
      </c>
      <c r="Q33" s="23">
        <f>'Annual Raw'!R18</f>
        <v>140.54</v>
      </c>
      <c r="R33" s="23">
        <f>'Annual Raw'!S18</f>
        <v>87.23</v>
      </c>
      <c r="S33" s="23">
        <f>'Annual Raw'!T18</f>
        <v>123.6</v>
      </c>
      <c r="T33" s="23">
        <f>'Annual Raw'!U18</f>
        <v>173.41</v>
      </c>
      <c r="U33" s="23">
        <f>'Annual Raw'!V18</f>
        <v>95.21</v>
      </c>
      <c r="V33" s="23">
        <f>'Annual Raw'!W18</f>
        <v>117.05</v>
      </c>
      <c r="W33" s="23">
        <f>'Annual Raw'!X18</f>
        <v>171.86</v>
      </c>
      <c r="X33" s="23">
        <f>'Annual Raw'!Y18</f>
        <v>173.67</v>
      </c>
      <c r="Y33" s="23">
        <f>'Annual Raw'!Z18</f>
        <v>223.62</v>
      </c>
      <c r="Z33" s="23">
        <f>'Annual Raw'!AA18</f>
        <v>179.36</v>
      </c>
      <c r="AA33" s="76">
        <f t="shared" si="261"/>
        <v>0</v>
      </c>
      <c r="AB33" s="76">
        <f t="shared" si="262"/>
        <v>0</v>
      </c>
      <c r="AC33" s="76">
        <f t="shared" si="263"/>
        <v>0</v>
      </c>
      <c r="AD33" s="76">
        <f t="shared" si="264"/>
        <v>0</v>
      </c>
      <c r="AH33" s="23">
        <f>'QTR Raw'!C18</f>
        <v>0</v>
      </c>
      <c r="AI33" s="23">
        <f>'QTR Raw'!D18</f>
        <v>0</v>
      </c>
      <c r="AJ33" s="23">
        <f>'QTR Raw'!E18</f>
        <v>0</v>
      </c>
      <c r="AK33" s="23">
        <f>'QTR Raw'!F18</f>
        <v>0</v>
      </c>
      <c r="AL33" s="23">
        <f>'QTR Raw'!G18</f>
        <v>0</v>
      </c>
      <c r="AM33" s="23">
        <f>'QTR Raw'!H18</f>
        <v>0</v>
      </c>
      <c r="AN33" s="23">
        <f>'QTR Raw'!I18</f>
        <v>0</v>
      </c>
      <c r="AO33" s="23">
        <f>'QTR Raw'!J18</f>
        <v>0</v>
      </c>
      <c r="AP33" s="23">
        <f>'QTR Raw'!K18</f>
        <v>0</v>
      </c>
      <c r="AQ33" s="23">
        <f>'QTR Raw'!L18</f>
        <v>0</v>
      </c>
      <c r="AR33" s="23">
        <f>'QTR Raw'!M18</f>
        <v>0</v>
      </c>
      <c r="AS33" s="23">
        <f>'QTR Raw'!N18</f>
        <v>0</v>
      </c>
      <c r="AT33" s="23">
        <f>'QTR Raw'!O18</f>
        <v>0</v>
      </c>
      <c r="AU33" s="23">
        <f>'QTR Raw'!P18</f>
        <v>0</v>
      </c>
      <c r="AV33" s="23">
        <f>'QTR Raw'!Q18</f>
        <v>0</v>
      </c>
      <c r="AW33" s="23">
        <f>'QTR Raw'!R18</f>
        <v>0</v>
      </c>
      <c r="AX33" s="23">
        <f>'QTR Raw'!S18</f>
        <v>0</v>
      </c>
      <c r="AY33" s="23">
        <f>'QTR Raw'!T18</f>
        <v>0</v>
      </c>
      <c r="AZ33" s="23">
        <f>'QTR Raw'!U18</f>
        <v>0</v>
      </c>
      <c r="BA33" s="23">
        <f>'QTR Raw'!V18</f>
        <v>0</v>
      </c>
      <c r="BB33" s="23">
        <f>'QTR Raw'!W18</f>
        <v>0</v>
      </c>
      <c r="BC33" s="23">
        <f>'QTR Raw'!X18</f>
        <v>0</v>
      </c>
      <c r="BD33" s="23">
        <f>'QTR Raw'!Y18</f>
        <v>0</v>
      </c>
      <c r="BE33" s="23">
        <f>'QTR Raw'!Z18</f>
        <v>0</v>
      </c>
      <c r="BF33" s="23">
        <f>'QTR Raw'!AA18</f>
        <v>0</v>
      </c>
      <c r="BG33" s="23">
        <f>'QTR Raw'!AB18</f>
        <v>0</v>
      </c>
      <c r="BH33" s="23">
        <f>'QTR Raw'!AC18</f>
        <v>0</v>
      </c>
      <c r="BI33" s="23">
        <f>'QTR Raw'!AD18</f>
        <v>0</v>
      </c>
      <c r="BJ33" s="23">
        <f>'QTR Raw'!AE18</f>
        <v>0</v>
      </c>
      <c r="BK33" s="23">
        <f>'QTR Raw'!AF18</f>
        <v>0</v>
      </c>
      <c r="BL33" s="23">
        <f>'QTR Raw'!AG18</f>
        <v>0</v>
      </c>
      <c r="BM33" s="23">
        <f>'QTR Raw'!AH18</f>
        <v>0</v>
      </c>
      <c r="BN33" s="23">
        <f>'QTR Raw'!AI18</f>
        <v>0</v>
      </c>
      <c r="BO33" s="23">
        <f>'QTR Raw'!AJ18</f>
        <v>0</v>
      </c>
      <c r="BP33" s="23">
        <f>'QTR Raw'!AK18</f>
        <v>0</v>
      </c>
      <c r="BQ33" s="23">
        <f>'QTR Raw'!AL18</f>
        <v>0</v>
      </c>
      <c r="BR33" s="23">
        <f>'QTR Raw'!AM18</f>
        <v>0</v>
      </c>
      <c r="BS33" s="23">
        <f>'QTR Raw'!AN18</f>
        <v>0</v>
      </c>
      <c r="BT33" s="23">
        <f>'QTR Raw'!AO18</f>
        <v>0</v>
      </c>
      <c r="BU33" s="23">
        <f>'QTR Raw'!AP18</f>
        <v>0</v>
      </c>
      <c r="BV33" s="23">
        <f>'QTR Raw'!AQ18</f>
        <v>0</v>
      </c>
      <c r="BW33" s="23">
        <f>'QTR Raw'!AR18</f>
        <v>0</v>
      </c>
      <c r="BX33" s="23">
        <f>'QTR Raw'!AS18</f>
        <v>0</v>
      </c>
      <c r="BY33" s="23">
        <f>'QTR Raw'!AT18</f>
        <v>0</v>
      </c>
      <c r="BZ33" s="23">
        <f>'QTR Raw'!AU18</f>
        <v>0</v>
      </c>
      <c r="CA33" s="23">
        <f>'QTR Raw'!AV18</f>
        <v>0</v>
      </c>
      <c r="CB33" s="23">
        <f>'QTR Raw'!AW18</f>
        <v>0</v>
      </c>
      <c r="CC33" s="23">
        <f>'QTR Raw'!AX18</f>
        <v>0</v>
      </c>
      <c r="CD33" s="23">
        <f>'QTR Raw'!AY18</f>
        <v>0</v>
      </c>
      <c r="CE33" s="23">
        <f>'QTR Raw'!AZ18</f>
        <v>0</v>
      </c>
      <c r="CF33" s="23">
        <f>'QTR Raw'!BA18</f>
        <v>0</v>
      </c>
      <c r="CG33" s="23">
        <f>'QTR Raw'!BB18</f>
        <v>0</v>
      </c>
      <c r="CH33" s="23">
        <f>'QTR Raw'!BC18</f>
        <v>0</v>
      </c>
      <c r="CI33" s="23">
        <f>'QTR Raw'!BD18</f>
        <v>0</v>
      </c>
      <c r="CK33" s="23">
        <f>'QTR Raw'!BF18</f>
        <v>0</v>
      </c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B33" s="123"/>
      <c r="DC33" s="23">
        <v>0</v>
      </c>
    </row>
    <row r="34" spans="1:107" s="22" customFormat="1" x14ac:dyDescent="0.2">
      <c r="A34" s="33" t="s">
        <v>348</v>
      </c>
      <c r="B34" s="22">
        <f t="shared" ref="B34:E34" si="267">+SUM(B28:B33)</f>
        <v>520.71420000000001</v>
      </c>
      <c r="C34" s="22">
        <f t="shared" si="267"/>
        <v>583.77440000000001</v>
      </c>
      <c r="D34" s="22">
        <f t="shared" si="267"/>
        <v>789.20680000000004</v>
      </c>
      <c r="E34" s="22">
        <f t="shared" si="267"/>
        <v>1345.9633999999999</v>
      </c>
      <c r="F34" s="22">
        <f t="shared" ref="F34:AD34" si="268">+SUM(F28:F33)</f>
        <v>1770.0056</v>
      </c>
      <c r="G34" s="22">
        <f t="shared" si="268"/>
        <v>2580.2015000000001</v>
      </c>
      <c r="H34" s="22">
        <f t="shared" si="268"/>
        <v>3665.5592999999999</v>
      </c>
      <c r="I34" s="22">
        <f t="shared" si="268"/>
        <v>4038.4326000000001</v>
      </c>
      <c r="J34" s="22">
        <f t="shared" si="268"/>
        <v>3866.7557999999999</v>
      </c>
      <c r="K34" s="22">
        <f t="shared" si="268"/>
        <v>3608.6169</v>
      </c>
      <c r="L34" s="22">
        <f t="shared" si="268"/>
        <v>2136.75</v>
      </c>
      <c r="M34" s="22">
        <f t="shared" si="268"/>
        <v>2274.94</v>
      </c>
      <c r="N34" s="22">
        <f t="shared" si="268"/>
        <v>2306.8700000000003</v>
      </c>
      <c r="O34" s="22">
        <f t="shared" si="268"/>
        <v>2324.4699999999998</v>
      </c>
      <c r="P34" s="22">
        <f t="shared" si="268"/>
        <v>2585.3999999999996</v>
      </c>
      <c r="Q34" s="22">
        <f t="shared" si="268"/>
        <v>2826.4500000000003</v>
      </c>
      <c r="R34" s="22">
        <f t="shared" si="268"/>
        <v>1893.22</v>
      </c>
      <c r="S34" s="22">
        <f t="shared" si="268"/>
        <v>1938.6599999999999</v>
      </c>
      <c r="T34" s="22">
        <f t="shared" si="268"/>
        <v>2166.71</v>
      </c>
      <c r="U34" s="22">
        <f t="shared" si="268"/>
        <v>1849.5</v>
      </c>
      <c r="V34" s="22">
        <f t="shared" si="268"/>
        <v>2003.1899999999998</v>
      </c>
      <c r="W34" s="22">
        <f t="shared" si="268"/>
        <v>2356.25</v>
      </c>
      <c r="X34" s="22">
        <f t="shared" si="268"/>
        <v>2628.1800000000003</v>
      </c>
      <c r="Y34" s="22">
        <f t="shared" si="268"/>
        <v>3143.2299999999996</v>
      </c>
      <c r="Z34" s="22">
        <f t="shared" ref="Z34" si="269">+SUM(Z28:Z33)</f>
        <v>3567.87</v>
      </c>
      <c r="AA34" s="21">
        <f t="shared" si="268"/>
        <v>4028.7063217622594</v>
      </c>
      <c r="AB34" s="21">
        <f t="shared" si="268"/>
        <v>4577.5281005443612</v>
      </c>
      <c r="AC34" s="21">
        <f t="shared" si="268"/>
        <v>5281.00890008844</v>
      </c>
      <c r="AD34" s="21">
        <f t="shared" si="268"/>
        <v>6230.6399512432536</v>
      </c>
      <c r="AH34" s="22">
        <f t="shared" ref="AH34:BM34" si="270">+SUM(AH28:AH33)</f>
        <v>559.06999999999994</v>
      </c>
      <c r="AI34" s="22">
        <f t="shared" si="270"/>
        <v>595.34</v>
      </c>
      <c r="AJ34" s="22">
        <f t="shared" si="270"/>
        <v>590.43000000000006</v>
      </c>
      <c r="AK34" s="22">
        <f t="shared" si="270"/>
        <v>571.74</v>
      </c>
      <c r="AL34" s="22">
        <f t="shared" si="270"/>
        <v>559.16999999999996</v>
      </c>
      <c r="AM34" s="22">
        <f t="shared" si="270"/>
        <v>548.9</v>
      </c>
      <c r="AN34" s="22">
        <f t="shared" si="270"/>
        <v>641.98</v>
      </c>
      <c r="AO34" s="22">
        <f t="shared" si="270"/>
        <v>575.91999999999996</v>
      </c>
      <c r="AP34" s="22">
        <f t="shared" si="270"/>
        <v>555.70000000000005</v>
      </c>
      <c r="AQ34" s="22">
        <f t="shared" si="270"/>
        <v>579.11</v>
      </c>
      <c r="AR34" s="22">
        <f t="shared" si="270"/>
        <v>629.79999999999995</v>
      </c>
      <c r="AS34" s="22">
        <f t="shared" si="270"/>
        <v>587.4</v>
      </c>
      <c r="AT34" s="22">
        <f t="shared" si="270"/>
        <v>634.66999999999996</v>
      </c>
      <c r="AU34" s="22">
        <f t="shared" si="270"/>
        <v>639.09</v>
      </c>
      <c r="AV34" s="22">
        <f t="shared" si="270"/>
        <v>731.97</v>
      </c>
      <c r="AW34" s="22">
        <f t="shared" si="270"/>
        <v>670.87</v>
      </c>
      <c r="AX34" s="22">
        <f t="shared" si="270"/>
        <v>740.74</v>
      </c>
      <c r="AY34" s="22">
        <f t="shared" si="270"/>
        <v>699.27</v>
      </c>
      <c r="AZ34" s="22">
        <f t="shared" si="270"/>
        <v>746.05000000000007</v>
      </c>
      <c r="BA34" s="22">
        <f t="shared" si="270"/>
        <v>728.17000000000007</v>
      </c>
      <c r="BB34" s="22">
        <f t="shared" si="270"/>
        <v>800.61</v>
      </c>
      <c r="BC34" s="22">
        <f t="shared" si="270"/>
        <v>688.57</v>
      </c>
      <c r="BD34" s="22">
        <f t="shared" si="270"/>
        <v>464.27</v>
      </c>
      <c r="BE34" s="22">
        <f t="shared" si="270"/>
        <v>458.03</v>
      </c>
      <c r="BF34" s="22">
        <f t="shared" si="270"/>
        <v>501.40999999999997</v>
      </c>
      <c r="BG34" s="22">
        <f t="shared" si="270"/>
        <v>506.48</v>
      </c>
      <c r="BH34" s="22">
        <f t="shared" si="270"/>
        <v>477.84</v>
      </c>
      <c r="BI34" s="22">
        <f t="shared" si="270"/>
        <v>481.85</v>
      </c>
      <c r="BJ34" s="22">
        <f t="shared" si="270"/>
        <v>528.49</v>
      </c>
      <c r="BK34" s="22">
        <f t="shared" si="270"/>
        <v>549.02</v>
      </c>
      <c r="BL34" s="22">
        <f t="shared" si="270"/>
        <v>585.29</v>
      </c>
      <c r="BM34" s="22">
        <f t="shared" si="270"/>
        <v>568.09</v>
      </c>
      <c r="BN34" s="22">
        <f t="shared" ref="BN34:CG34" si="271">+SUM(BN28:BN33)</f>
        <v>348.88</v>
      </c>
      <c r="BO34" s="22">
        <f t="shared" si="271"/>
        <v>440.75</v>
      </c>
      <c r="BP34" s="22">
        <f t="shared" si="271"/>
        <v>498.70000000000005</v>
      </c>
      <c r="BQ34" s="22">
        <f t="shared" si="271"/>
        <v>486.02</v>
      </c>
      <c r="BR34" s="22">
        <f t="shared" si="271"/>
        <v>420.28</v>
      </c>
      <c r="BS34" s="22">
        <f t="shared" si="271"/>
        <v>493.34000000000003</v>
      </c>
      <c r="BT34" s="22">
        <f t="shared" si="271"/>
        <v>554.21</v>
      </c>
      <c r="BU34" s="22">
        <f t="shared" si="271"/>
        <v>539.81000000000006</v>
      </c>
      <c r="BV34" s="22">
        <f t="shared" si="271"/>
        <v>609.4</v>
      </c>
      <c r="BW34" s="22">
        <f t="shared" si="271"/>
        <v>591.72</v>
      </c>
      <c r="BX34" s="22">
        <f t="shared" si="271"/>
        <v>574.32000000000005</v>
      </c>
      <c r="BY34" s="22">
        <f t="shared" si="271"/>
        <v>655.68000000000006</v>
      </c>
      <c r="BZ34" s="22">
        <f t="shared" si="271"/>
        <v>631.91999999999996</v>
      </c>
      <c r="CA34" s="22">
        <f t="shared" si="271"/>
        <v>646.44000000000005</v>
      </c>
      <c r="CB34" s="22">
        <f t="shared" si="271"/>
        <v>694.14</v>
      </c>
      <c r="CC34" s="22">
        <f t="shared" si="271"/>
        <v>753.95</v>
      </c>
      <c r="CD34" s="22">
        <f t="shared" si="271"/>
        <v>763.33</v>
      </c>
      <c r="CE34" s="22">
        <f t="shared" si="271"/>
        <v>790.2700000000001</v>
      </c>
      <c r="CF34" s="22">
        <f t="shared" si="271"/>
        <v>826.91000000000008</v>
      </c>
      <c r="CG34" s="22">
        <f t="shared" si="271"/>
        <v>810.24</v>
      </c>
      <c r="CH34" s="22">
        <f t="shared" ref="CH34:CJ34" si="272">+SUM(CH28:CH33)</f>
        <v>914.95</v>
      </c>
      <c r="CI34" s="22">
        <f t="shared" si="272"/>
        <v>848.39</v>
      </c>
      <c r="CJ34" s="22">
        <f t="shared" si="272"/>
        <v>875.06999999999994</v>
      </c>
      <c r="CK34" s="22">
        <f t="shared" ref="CK34" si="273">+SUM(CK28:CK33)</f>
        <v>941.68000000000006</v>
      </c>
      <c r="CL34" s="21">
        <f t="shared" ref="CL34:CZ34" si="274">CL35*CL18</f>
        <v>1015.6635960493462</v>
      </c>
      <c r="CM34" s="21">
        <f t="shared" si="274"/>
        <v>1020.3213809737526</v>
      </c>
      <c r="CN34" s="21">
        <f t="shared" si="274"/>
        <v>1051.0413447391602</v>
      </c>
      <c r="CO34" s="21">
        <f t="shared" si="274"/>
        <v>1096.554527128787</v>
      </c>
      <c r="CP34" s="21">
        <f t="shared" si="274"/>
        <v>1181.1782676799014</v>
      </c>
      <c r="CQ34" s="21">
        <f t="shared" si="274"/>
        <v>1156.2300531892333</v>
      </c>
      <c r="CR34" s="21">
        <f t="shared" si="274"/>
        <v>1143.5652525464395</v>
      </c>
      <c r="CS34" s="21">
        <f t="shared" si="274"/>
        <v>1251.2911905916772</v>
      </c>
      <c r="CT34" s="21">
        <f t="shared" si="274"/>
        <v>1354.9964560418862</v>
      </c>
      <c r="CU34" s="21">
        <f t="shared" si="274"/>
        <v>1336.866776573745</v>
      </c>
      <c r="CV34" s="21">
        <f t="shared" si="274"/>
        <v>1337.8544768811316</v>
      </c>
      <c r="CW34" s="21">
        <f t="shared" si="274"/>
        <v>1477.8398779633135</v>
      </c>
      <c r="CX34" s="21">
        <f t="shared" si="274"/>
        <v>1595.6000838689756</v>
      </c>
      <c r="CY34" s="21">
        <f t="shared" si="274"/>
        <v>1576.8247913672317</v>
      </c>
      <c r="CZ34" s="21">
        <f t="shared" si="274"/>
        <v>1580.3751980437335</v>
      </c>
      <c r="DB34" s="126"/>
      <c r="DC34" s="22">
        <v>0</v>
      </c>
    </row>
    <row r="35" spans="1:107" s="44" customFormat="1" x14ac:dyDescent="0.2">
      <c r="A35" s="43" t="s">
        <v>349</v>
      </c>
      <c r="B35" s="44">
        <f t="shared" ref="B35:E35" si="275">B34/B18</f>
        <v>0.49991810668020997</v>
      </c>
      <c r="C35" s="44">
        <f t="shared" si="275"/>
        <v>0.49650914440187338</v>
      </c>
      <c r="D35" s="44">
        <f t="shared" si="275"/>
        <v>0.53747592122490606</v>
      </c>
      <c r="E35" s="44">
        <f t="shared" si="275"/>
        <v>0.59550037239694875</v>
      </c>
      <c r="F35" s="44">
        <f t="shared" ref="F35:AD35" si="276">F34/F18</f>
        <v>0.59735881840234628</v>
      </c>
      <c r="G35" s="44">
        <f t="shared" si="276"/>
        <v>0.60369580852339289</v>
      </c>
      <c r="H35" s="44">
        <f t="shared" si="276"/>
        <v>0.61810570352174077</v>
      </c>
      <c r="I35" s="44">
        <f t="shared" si="276"/>
        <v>0.59067046860907402</v>
      </c>
      <c r="J35" s="44">
        <f t="shared" si="276"/>
        <v>0.61995044764788254</v>
      </c>
      <c r="K35" s="44">
        <f t="shared" si="276"/>
        <v>0.57397053127001807</v>
      </c>
      <c r="L35" s="44">
        <f t="shared" si="276"/>
        <v>0.28674318519442982</v>
      </c>
      <c r="M35" s="44">
        <f t="shared" si="276"/>
        <v>0.29892201280339742</v>
      </c>
      <c r="N35" s="44">
        <f t="shared" si="276"/>
        <v>0.29874035060910464</v>
      </c>
      <c r="O35" s="44">
        <f t="shared" si="276"/>
        <v>0.30058047889185296</v>
      </c>
      <c r="P35" s="44">
        <f t="shared" si="276"/>
        <v>0.31760617276822506</v>
      </c>
      <c r="Q35" s="44">
        <f t="shared" si="276"/>
        <v>0.32705176106574591</v>
      </c>
      <c r="R35" s="44">
        <f t="shared" si="276"/>
        <v>0.31068327608870105</v>
      </c>
      <c r="S35" s="44">
        <f t="shared" si="276"/>
        <v>0.28977955552366774</v>
      </c>
      <c r="T35" s="44">
        <f t="shared" si="276"/>
        <v>0.2961985274215112</v>
      </c>
      <c r="U35" s="44">
        <f t="shared" si="276"/>
        <v>0.31773164174232732</v>
      </c>
      <c r="V35" s="44">
        <f t="shared" si="276"/>
        <v>0.28889385635996534</v>
      </c>
      <c r="W35" s="44">
        <f t="shared" si="276"/>
        <v>0.27502092201603029</v>
      </c>
      <c r="X35" s="44">
        <f t="shared" si="276"/>
        <v>0.25158425963861653</v>
      </c>
      <c r="Y35" s="44">
        <f t="shared" si="276"/>
        <v>0.2578889115882349</v>
      </c>
      <c r="Z35" s="44">
        <f t="shared" ref="Z35" si="277">Z34/Z18</f>
        <v>0.27023729183282547</v>
      </c>
      <c r="AA35" s="52">
        <f t="shared" si="276"/>
        <v>0.27810658126658838</v>
      </c>
      <c r="AB35" s="52">
        <f t="shared" si="276"/>
        <v>0.26788571183636439</v>
      </c>
      <c r="AC35" s="52">
        <f t="shared" si="276"/>
        <v>0.27465848975233864</v>
      </c>
      <c r="AD35" s="52">
        <f t="shared" si="276"/>
        <v>0.27513598858285138</v>
      </c>
      <c r="AH35" s="44">
        <f t="shared" ref="AH35:BM35" si="278">AH34/AH18</f>
        <v>0.29677936500353008</v>
      </c>
      <c r="AI35" s="44">
        <f t="shared" si="278"/>
        <v>0.32916991501761023</v>
      </c>
      <c r="AJ35" s="44">
        <f t="shared" si="278"/>
        <v>0.2835497627600515</v>
      </c>
      <c r="AK35" s="44">
        <f t="shared" si="278"/>
        <v>0.28860161427915221</v>
      </c>
      <c r="AL35" s="44">
        <f t="shared" si="278"/>
        <v>0.31931587813722406</v>
      </c>
      <c r="AM35" s="44">
        <f t="shared" si="278"/>
        <v>0.30735203538831957</v>
      </c>
      <c r="AN35" s="44">
        <f t="shared" si="278"/>
        <v>0.29129667357875011</v>
      </c>
      <c r="AO35" s="44">
        <f t="shared" si="278"/>
        <v>0.31510469385186923</v>
      </c>
      <c r="AP35" s="44">
        <f t="shared" si="278"/>
        <v>0.30496438332107695</v>
      </c>
      <c r="AQ35" s="44">
        <f t="shared" si="278"/>
        <v>0.31388586264275298</v>
      </c>
      <c r="AR35" s="44">
        <f t="shared" si="278"/>
        <v>0.2813604299480435</v>
      </c>
      <c r="AS35" s="44">
        <f t="shared" si="278"/>
        <v>0.32371305598571565</v>
      </c>
      <c r="AT35" s="44">
        <f t="shared" si="278"/>
        <v>0.32856876611341773</v>
      </c>
      <c r="AU35" s="44">
        <f t="shared" si="278"/>
        <v>0.32458087223269022</v>
      </c>
      <c r="AV35" s="44">
        <f t="shared" si="278"/>
        <v>0.30182960772913392</v>
      </c>
      <c r="AW35" s="44">
        <f t="shared" si="278"/>
        <v>0.33484567161795237</v>
      </c>
      <c r="AX35" s="44">
        <f t="shared" si="278"/>
        <v>0.35363425870670523</v>
      </c>
      <c r="AY35" s="44">
        <f t="shared" si="278"/>
        <v>0.34027571641987148</v>
      </c>
      <c r="AZ35" s="44">
        <f t="shared" si="278"/>
        <v>0.2974941980556508</v>
      </c>
      <c r="BA35" s="44">
        <f t="shared" si="278"/>
        <v>0.33849636712703196</v>
      </c>
      <c r="BB35" s="44">
        <f t="shared" si="278"/>
        <v>0.35848101945964345</v>
      </c>
      <c r="BC35" s="44">
        <f t="shared" si="278"/>
        <v>0.3579962566288864</v>
      </c>
      <c r="BD35" s="44">
        <f t="shared" si="278"/>
        <v>0.27170153621068033</v>
      </c>
      <c r="BE35" s="44">
        <f t="shared" si="278"/>
        <v>0.29239814613842674</v>
      </c>
      <c r="BF35" s="44">
        <f t="shared" si="278"/>
        <v>0.30101697764330143</v>
      </c>
      <c r="BG35" s="44">
        <f t="shared" si="278"/>
        <v>0.33955028760676309</v>
      </c>
      <c r="BH35" s="44">
        <f t="shared" si="278"/>
        <v>0.24301232759672892</v>
      </c>
      <c r="BI35" s="44">
        <f t="shared" si="278"/>
        <v>0.26042426699094717</v>
      </c>
      <c r="BJ35" s="44">
        <f t="shared" si="278"/>
        <v>0.30623786759379978</v>
      </c>
      <c r="BK35" s="44">
        <f t="shared" si="278"/>
        <v>0.31451289513181563</v>
      </c>
      <c r="BL35" s="44">
        <f t="shared" si="278"/>
        <v>0.29963703009732096</v>
      </c>
      <c r="BM35" s="44">
        <f t="shared" si="278"/>
        <v>0.37319345175530799</v>
      </c>
      <c r="BN35" s="44">
        <f t="shared" ref="BN35:CG35" si="279">BN34/BN18</f>
        <v>0.35391263770821074</v>
      </c>
      <c r="BO35" s="44">
        <f t="shared" si="279"/>
        <v>0.27338928276794633</v>
      </c>
      <c r="BP35" s="44">
        <f t="shared" si="279"/>
        <v>0.29322185375949578</v>
      </c>
      <c r="BQ35" s="44">
        <f t="shared" si="279"/>
        <v>0.29832734861737714</v>
      </c>
      <c r="BR35" s="44">
        <f t="shared" si="279"/>
        <v>0.29494161239613742</v>
      </c>
      <c r="BS35" s="44">
        <f t="shared" si="279"/>
        <v>0.27740821754508294</v>
      </c>
      <c r="BT35" s="44">
        <f t="shared" si="279"/>
        <v>0.26372115155841069</v>
      </c>
      <c r="BU35" s="44">
        <f t="shared" si="279"/>
        <v>0.2733408950507884</v>
      </c>
      <c r="BV35" s="44">
        <f t="shared" si="279"/>
        <v>0.29048788044903118</v>
      </c>
      <c r="BW35" s="44">
        <f t="shared" si="279"/>
        <v>0.27914744261088631</v>
      </c>
      <c r="BX35" s="44">
        <f t="shared" si="279"/>
        <v>0.23664659999752771</v>
      </c>
      <c r="BY35" s="44">
        <f t="shared" si="279"/>
        <v>0.27192986094118721</v>
      </c>
      <c r="BZ35" s="44">
        <f t="shared" si="279"/>
        <v>0.25189844656246635</v>
      </c>
      <c r="CA35" s="44">
        <f t="shared" si="279"/>
        <v>0.23344010342374485</v>
      </c>
      <c r="CB35" s="44">
        <f t="shared" si="279"/>
        <v>0.25172892739411568</v>
      </c>
      <c r="CC35" s="44">
        <f t="shared" si="279"/>
        <v>0.24476035268604973</v>
      </c>
      <c r="CD35" s="44">
        <f t="shared" si="279"/>
        <v>0.26964597330846457</v>
      </c>
      <c r="CE35" s="44">
        <f t="shared" si="279"/>
        <v>0.27136901818581399</v>
      </c>
      <c r="CF35" s="44">
        <f t="shared" si="279"/>
        <v>0.2457435964492575</v>
      </c>
      <c r="CG35" s="44">
        <f t="shared" si="279"/>
        <v>0.26917646433471648</v>
      </c>
      <c r="CH35" s="44">
        <f t="shared" ref="CH35:CI35" si="280">CH34/CH18</f>
        <v>0.28813329806263072</v>
      </c>
      <c r="CI35" s="44">
        <f t="shared" si="280"/>
        <v>0.25625543688381985</v>
      </c>
      <c r="CJ35" s="44">
        <f t="shared" ref="CJ35:CK35" si="281">CJ34/CJ18</f>
        <v>0.24601280288781868</v>
      </c>
      <c r="CK35" s="44">
        <f t="shared" si="281"/>
        <v>0.2957481956998298</v>
      </c>
      <c r="CL35" s="52">
        <f t="shared" ref="CL35:CN35" si="282">AVERAGE(CH35:CK35)*1.01</f>
        <v>0.27425280771735999</v>
      </c>
      <c r="CM35" s="52">
        <f t="shared" si="282"/>
        <v>0.27074798390517918</v>
      </c>
      <c r="CN35" s="52">
        <f t="shared" si="282"/>
        <v>0.27440735202807237</v>
      </c>
      <c r="CO35" s="52">
        <f>AVERAGE(CK35:CN35)*0.98</f>
        <v>0.27321330314085812</v>
      </c>
      <c r="CP35" s="52">
        <f t="shared" ref="CP35:CR35" si="283">AVERAGE(CL35:CO35)*0.98</f>
        <v>0.26769225446391004</v>
      </c>
      <c r="CQ35" s="52">
        <f t="shared" si="283"/>
        <v>0.26608491891681479</v>
      </c>
      <c r="CR35" s="52">
        <f t="shared" si="283"/>
        <v>0.26494246799466553</v>
      </c>
      <c r="CS35" s="52">
        <f>AVERAGE(CO35:CR35)*1.02</f>
        <v>0.27334290085164337</v>
      </c>
      <c r="CT35" s="52">
        <f t="shared" ref="CT35:CV35" si="284">AVERAGE(CP35:CS35)*1.02</f>
        <v>0.27337594826789363</v>
      </c>
      <c r="CU35" s="52">
        <f t="shared" si="284"/>
        <v>0.27482529018790941</v>
      </c>
      <c r="CV35" s="52">
        <f t="shared" si="284"/>
        <v>0.27705408486203859</v>
      </c>
      <c r="CW35" s="52">
        <f t="shared" ref="CW35:CZ35" si="285">AVERAGE(CS35:CV35)</f>
        <v>0.27464955604237123</v>
      </c>
      <c r="CX35" s="52">
        <f t="shared" si="285"/>
        <v>0.27497621984005322</v>
      </c>
      <c r="CY35" s="52">
        <f t="shared" si="285"/>
        <v>0.27537628773309308</v>
      </c>
      <c r="CZ35" s="52">
        <f t="shared" si="285"/>
        <v>0.27551403711938904</v>
      </c>
      <c r="DB35" s="128"/>
      <c r="DC35" s="44" t="e">
        <v>#DIV/0!</v>
      </c>
    </row>
    <row r="36" spans="1:107" s="26" customFormat="1" x14ac:dyDescent="0.2">
      <c r="A36" s="34" t="s">
        <v>13</v>
      </c>
      <c r="B36" s="26">
        <f t="shared" ref="B36:E36" si="286">B24-B34</f>
        <v>100.97009999999989</v>
      </c>
      <c r="C36" s="26">
        <f t="shared" si="286"/>
        <v>119.31719999999996</v>
      </c>
      <c r="D36" s="26">
        <f t="shared" si="286"/>
        <v>141.91089999999997</v>
      </c>
      <c r="E36" s="26">
        <f t="shared" si="286"/>
        <v>218.36289999999985</v>
      </c>
      <c r="F36" s="26">
        <f t="shared" ref="F36:AD36" si="287">F24-F34</f>
        <v>324.93209999999999</v>
      </c>
      <c r="G36" s="26">
        <f t="shared" si="287"/>
        <v>481.32939999999962</v>
      </c>
      <c r="H36" s="26">
        <f t="shared" si="287"/>
        <v>739.74040000000059</v>
      </c>
      <c r="I36" s="26">
        <f t="shared" si="287"/>
        <v>788.88479999999981</v>
      </c>
      <c r="J36" s="26">
        <f t="shared" si="287"/>
        <v>547.68080000000009</v>
      </c>
      <c r="K36" s="26">
        <f t="shared" si="287"/>
        <v>101.35340000000042</v>
      </c>
      <c r="L36" s="26">
        <f t="shared" si="287"/>
        <v>352.78999999999996</v>
      </c>
      <c r="M36" s="26">
        <f t="shared" si="287"/>
        <v>355.34999999999991</v>
      </c>
      <c r="N36" s="26">
        <f t="shared" si="287"/>
        <v>484.83999999999969</v>
      </c>
      <c r="O36" s="26">
        <f t="shared" si="287"/>
        <v>571.75000000000045</v>
      </c>
      <c r="P36" s="26">
        <f t="shared" si="287"/>
        <v>721.28000000000156</v>
      </c>
      <c r="Q36" s="26">
        <f t="shared" si="287"/>
        <v>710.24000000000115</v>
      </c>
      <c r="R36" s="26">
        <f t="shared" si="287"/>
        <v>409.79999999999995</v>
      </c>
      <c r="S36" s="26">
        <f t="shared" si="287"/>
        <v>464.11000000000058</v>
      </c>
      <c r="T36" s="26">
        <f t="shared" si="287"/>
        <v>509.09000000000015</v>
      </c>
      <c r="U36" s="26">
        <f t="shared" si="287"/>
        <v>265.57000000000016</v>
      </c>
      <c r="V36" s="26">
        <f t="shared" si="287"/>
        <v>515.45999999999981</v>
      </c>
      <c r="W36" s="26">
        <f t="shared" si="287"/>
        <v>910.10000000000127</v>
      </c>
      <c r="X36" s="26">
        <f t="shared" si="287"/>
        <v>1489.7800000000007</v>
      </c>
      <c r="Y36" s="26">
        <f t="shared" si="287"/>
        <v>2296.4600000000009</v>
      </c>
      <c r="Z36" s="26">
        <f t="shared" ref="Z36" si="288">Z24-Z34</f>
        <v>2010.0999999999995</v>
      </c>
      <c r="AA36" s="27">
        <f t="shared" si="287"/>
        <v>2040.5153213974968</v>
      </c>
      <c r="AB36" s="27">
        <f t="shared" si="287"/>
        <v>2572.5674646154966</v>
      </c>
      <c r="AC36" s="27">
        <f t="shared" si="287"/>
        <v>2763.3100696028996</v>
      </c>
      <c r="AD36" s="27">
        <f t="shared" si="287"/>
        <v>3243.6911370697644</v>
      </c>
      <c r="AH36" s="26">
        <f t="shared" ref="AH36:BM36" si="289">AH24-AH34</f>
        <v>105.99000000000012</v>
      </c>
      <c r="AI36" s="26">
        <f t="shared" si="289"/>
        <v>66.389999999999759</v>
      </c>
      <c r="AJ36" s="26">
        <f t="shared" si="289"/>
        <v>66.590000000000259</v>
      </c>
      <c r="AK36" s="26">
        <f t="shared" si="289"/>
        <v>107.15999999999997</v>
      </c>
      <c r="AL36" s="26">
        <f t="shared" si="289"/>
        <v>107.88000000000022</v>
      </c>
      <c r="AM36" s="26">
        <f t="shared" si="289"/>
        <v>105.42000000000019</v>
      </c>
      <c r="AN36" s="26">
        <f t="shared" si="289"/>
        <v>149.45999999999992</v>
      </c>
      <c r="AO36" s="26">
        <f t="shared" si="289"/>
        <v>125.72000000000003</v>
      </c>
      <c r="AP36" s="26">
        <f t="shared" si="289"/>
        <v>125.80999999999995</v>
      </c>
      <c r="AQ36" s="26">
        <f t="shared" si="289"/>
        <v>124.12999999999988</v>
      </c>
      <c r="AR36" s="26">
        <f t="shared" si="289"/>
        <v>180.02999999999997</v>
      </c>
      <c r="AS36" s="26">
        <f t="shared" si="289"/>
        <v>143.60000000000002</v>
      </c>
      <c r="AT36" s="26">
        <f t="shared" si="289"/>
        <v>150.01000000000033</v>
      </c>
      <c r="AU36" s="26">
        <f t="shared" si="289"/>
        <v>155.74000000000012</v>
      </c>
      <c r="AV36" s="26">
        <f t="shared" si="289"/>
        <v>263.14999999999986</v>
      </c>
      <c r="AW36" s="26">
        <f t="shared" si="289"/>
        <v>172.89</v>
      </c>
      <c r="AX36" s="26">
        <f t="shared" si="289"/>
        <v>113.56999999999971</v>
      </c>
      <c r="AY36" s="26">
        <f t="shared" si="289"/>
        <v>118.24999999999955</v>
      </c>
      <c r="AZ36" s="26">
        <f t="shared" si="289"/>
        <v>289.80999999999983</v>
      </c>
      <c r="BA36" s="26">
        <f t="shared" si="289"/>
        <v>160.89000000000033</v>
      </c>
      <c r="BB36" s="26">
        <f t="shared" si="289"/>
        <v>147.31999999999937</v>
      </c>
      <c r="BC36" s="26">
        <f t="shared" si="289"/>
        <v>134.14999999999964</v>
      </c>
      <c r="BD36" s="26">
        <f t="shared" si="289"/>
        <v>145.58999999999992</v>
      </c>
      <c r="BE36" s="26">
        <f t="shared" si="289"/>
        <v>89.480000000000018</v>
      </c>
      <c r="BF36" s="26">
        <f t="shared" si="289"/>
        <v>89.369999999999777</v>
      </c>
      <c r="BG36" s="26">
        <f t="shared" si="289"/>
        <v>64.730000000000018</v>
      </c>
      <c r="BH36" s="26">
        <f t="shared" si="289"/>
        <v>215.43000000000012</v>
      </c>
      <c r="BI36" s="26">
        <f t="shared" si="289"/>
        <v>145.5200000000001</v>
      </c>
      <c r="BJ36" s="26">
        <f t="shared" si="289"/>
        <v>123.87</v>
      </c>
      <c r="BK36" s="26">
        <f t="shared" si="289"/>
        <v>123.3599999999999</v>
      </c>
      <c r="BL36" s="26">
        <f t="shared" si="289"/>
        <v>138.39999999999986</v>
      </c>
      <c r="BM36" s="26">
        <f t="shared" si="289"/>
        <v>14.5</v>
      </c>
      <c r="BN36" s="26">
        <f t="shared" ref="BN36:CS36" si="290">BN24-BN34</f>
        <v>23.440000000000055</v>
      </c>
      <c r="BO36" s="26">
        <f t="shared" si="290"/>
        <v>121.39999999999986</v>
      </c>
      <c r="BP36" s="26">
        <f t="shared" si="290"/>
        <v>85.309999999999832</v>
      </c>
      <c r="BQ36" s="26">
        <f t="shared" si="290"/>
        <v>103.54000000000008</v>
      </c>
      <c r="BR36" s="26">
        <f t="shared" si="290"/>
        <v>94.750000000000114</v>
      </c>
      <c r="BS36" s="26">
        <f t="shared" si="290"/>
        <v>181.31000000000006</v>
      </c>
      <c r="BT36" s="26">
        <f t="shared" si="290"/>
        <v>185.19999999999982</v>
      </c>
      <c r="BU36" s="26">
        <f t="shared" si="290"/>
        <v>187.7299999999999</v>
      </c>
      <c r="BV36" s="26">
        <f t="shared" si="290"/>
        <v>206.5</v>
      </c>
      <c r="BW36" s="26">
        <f t="shared" si="290"/>
        <v>210.9499999999997</v>
      </c>
      <c r="BX36" s="26">
        <f t="shared" si="290"/>
        <v>364.28000000000043</v>
      </c>
      <c r="BY36" s="26">
        <f t="shared" si="290"/>
        <v>285.30999999999972</v>
      </c>
      <c r="BZ36" s="26">
        <f t="shared" si="290"/>
        <v>348.72000000000025</v>
      </c>
      <c r="CA36" s="26">
        <f t="shared" si="290"/>
        <v>438.53</v>
      </c>
      <c r="CB36" s="26">
        <f t="shared" si="290"/>
        <v>417.21999999999991</v>
      </c>
      <c r="CC36" s="26">
        <f t="shared" si="290"/>
        <v>565.17999999999961</v>
      </c>
      <c r="CD36" s="26">
        <f t="shared" si="290"/>
        <v>542.49000000000012</v>
      </c>
      <c r="CE36" s="26">
        <f t="shared" si="290"/>
        <v>540.22000000000014</v>
      </c>
      <c r="CF36" s="26">
        <f t="shared" si="290"/>
        <v>657.34000000000037</v>
      </c>
      <c r="CG36" s="26">
        <f t="shared" si="290"/>
        <v>559.60000000000036</v>
      </c>
      <c r="CH36" s="26">
        <f t="shared" ref="CH36:CI36" si="291">CH24-CH34</f>
        <v>414.08999999999992</v>
      </c>
      <c r="CI36" s="26">
        <f t="shared" si="291"/>
        <v>500.38999999999976</v>
      </c>
      <c r="CJ36" s="26">
        <f t="shared" ref="CJ36:CK36" si="292">CJ24-CJ34</f>
        <v>612.19000000000005</v>
      </c>
      <c r="CK36" s="26">
        <f t="shared" si="292"/>
        <v>408.39999999999986</v>
      </c>
      <c r="CL36" s="27">
        <f t="shared" si="290"/>
        <v>528.71070360540409</v>
      </c>
      <c r="CM36" s="27">
        <f t="shared" si="290"/>
        <v>549.78660586199021</v>
      </c>
      <c r="CN36" s="27">
        <f t="shared" si="290"/>
        <v>553.61801193010183</v>
      </c>
      <c r="CO36" s="27">
        <f t="shared" si="290"/>
        <v>585.73665264140277</v>
      </c>
      <c r="CP36" s="27">
        <f t="shared" si="290"/>
        <v>662.95364336552052</v>
      </c>
      <c r="CQ36" s="27">
        <f t="shared" si="290"/>
        <v>660.85663992087257</v>
      </c>
      <c r="CR36" s="27">
        <f t="shared" si="290"/>
        <v>663.02052868770011</v>
      </c>
      <c r="CS36" s="27">
        <f t="shared" si="290"/>
        <v>664.27581015902092</v>
      </c>
      <c r="CT36" s="27">
        <f t="shared" ref="CT36:CZ36" si="293">CT24-CT34</f>
        <v>718.21176001578806</v>
      </c>
      <c r="CU36" s="27">
        <f t="shared" si="293"/>
        <v>698.22798290859373</v>
      </c>
      <c r="CV36" s="27">
        <f t="shared" si="293"/>
        <v>682.59451651949485</v>
      </c>
      <c r="CW36" s="27">
        <f t="shared" si="293"/>
        <v>773.36817912067545</v>
      </c>
      <c r="CX36" s="27">
        <f t="shared" si="293"/>
        <v>831.99452386337271</v>
      </c>
      <c r="CY36" s="27">
        <f t="shared" si="293"/>
        <v>818.8325169871614</v>
      </c>
      <c r="CZ36" s="27">
        <f t="shared" si="293"/>
        <v>819.49591709855554</v>
      </c>
      <c r="DB36" s="121"/>
      <c r="DC36" s="26">
        <v>0</v>
      </c>
    </row>
    <row r="37" spans="1:107" s="168" customFormat="1" x14ac:dyDescent="0.2">
      <c r="A37" s="165" t="s">
        <v>14</v>
      </c>
      <c r="B37" s="166">
        <f t="shared" ref="B37:E37" si="294">B36/B18</f>
        <v>9.6937593066045463E-2</v>
      </c>
      <c r="C37" s="166">
        <f t="shared" si="294"/>
        <v>0.10148112161894592</v>
      </c>
      <c r="D37" s="166">
        <f t="shared" si="294"/>
        <v>9.6646014339151029E-2</v>
      </c>
      <c r="E37" s="166">
        <f t="shared" si="294"/>
        <v>9.6611236433084002E-2</v>
      </c>
      <c r="F37" s="166">
        <f t="shared" ref="F37:AD37" si="295">F36/F18</f>
        <v>0.1096612662225436</v>
      </c>
      <c r="G37" s="166">
        <f t="shared" si="295"/>
        <v>0.11261777085978723</v>
      </c>
      <c r="H37" s="166">
        <f t="shared" si="295"/>
        <v>0.12473887964804016</v>
      </c>
      <c r="I37" s="166">
        <f t="shared" si="295"/>
        <v>0.11538411077965632</v>
      </c>
      <c r="J37" s="166">
        <f t="shared" si="295"/>
        <v>8.7808740631655752E-2</v>
      </c>
      <c r="K37" s="166">
        <f t="shared" si="295"/>
        <v>1.6120820374150243E-2</v>
      </c>
      <c r="L37" s="166">
        <f t="shared" si="295"/>
        <v>4.7342987389607058E-2</v>
      </c>
      <c r="M37" s="166">
        <f t="shared" si="295"/>
        <v>4.6692192870883296E-2</v>
      </c>
      <c r="N37" s="166">
        <f t="shared" si="295"/>
        <v>6.2786924095990751E-2</v>
      </c>
      <c r="O37" s="166">
        <f t="shared" si="295"/>
        <v>7.3933795147460318E-2</v>
      </c>
      <c r="P37" s="166">
        <f t="shared" si="295"/>
        <v>8.8606397576493356E-2</v>
      </c>
      <c r="Q37" s="166">
        <f t="shared" si="295"/>
        <v>8.2182682438867033E-2</v>
      </c>
      <c r="R37" s="166">
        <f t="shared" si="295"/>
        <v>6.7249451485379225E-2</v>
      </c>
      <c r="S37" s="166">
        <f t="shared" si="295"/>
        <v>6.9372447728889855E-2</v>
      </c>
      <c r="T37" s="166">
        <f t="shared" si="295"/>
        <v>6.9594781177461304E-2</v>
      </c>
      <c r="U37" s="166">
        <f t="shared" si="295"/>
        <v>4.562313711679368E-2</v>
      </c>
      <c r="V37" s="166">
        <f t="shared" si="295"/>
        <v>7.4338044418805857E-2</v>
      </c>
      <c r="W37" s="166">
        <f t="shared" si="295"/>
        <v>0.10622664875407511</v>
      </c>
      <c r="X37" s="166">
        <f t="shared" si="295"/>
        <v>0.14261017065970299</v>
      </c>
      <c r="Y37" s="166">
        <f t="shared" si="295"/>
        <v>0.18841496483105538</v>
      </c>
      <c r="Z37" s="166">
        <f t="shared" ref="Z37" si="296">Z36/Z18</f>
        <v>0.15224881520715788</v>
      </c>
      <c r="AA37" s="167">
        <f t="shared" si="295"/>
        <v>0.14085929693870589</v>
      </c>
      <c r="AB37" s="167">
        <f t="shared" si="295"/>
        <v>0.15055157529751462</v>
      </c>
      <c r="AC37" s="167">
        <f t="shared" si="295"/>
        <v>0.14371620741291533</v>
      </c>
      <c r="AD37" s="167">
        <f t="shared" si="295"/>
        <v>0.14323667787560787</v>
      </c>
      <c r="AH37" s="166">
        <f t="shared" ref="AH37:BM37" si="297">AH36/AH18</f>
        <v>5.6264233274409638E-2</v>
      </c>
      <c r="AI37" s="166">
        <f t="shared" si="297"/>
        <v>3.6707747939024864E-2</v>
      </c>
      <c r="AJ37" s="166">
        <f t="shared" si="297"/>
        <v>3.1979368768849652E-2</v>
      </c>
      <c r="AK37" s="166">
        <f t="shared" si="297"/>
        <v>5.4091980596344388E-2</v>
      </c>
      <c r="AL37" s="166">
        <f t="shared" si="297"/>
        <v>6.1605230848299816E-2</v>
      </c>
      <c r="AM37" s="166">
        <f t="shared" si="297"/>
        <v>5.9029060977658428E-2</v>
      </c>
      <c r="AN37" s="166">
        <f t="shared" si="297"/>
        <v>6.7817067249883123E-2</v>
      </c>
      <c r="AO37" s="166">
        <f t="shared" si="297"/>
        <v>6.8785529433006337E-2</v>
      </c>
      <c r="AP37" s="166">
        <f t="shared" si="297"/>
        <v>6.9043672963153987E-2</v>
      </c>
      <c r="AQ37" s="166">
        <f t="shared" si="297"/>
        <v>6.7280226778755142E-2</v>
      </c>
      <c r="AR37" s="166">
        <f t="shared" si="297"/>
        <v>8.042762496593564E-2</v>
      </c>
      <c r="AS37" s="166">
        <f t="shared" si="297"/>
        <v>7.9137206059837886E-2</v>
      </c>
      <c r="AT37" s="166">
        <f t="shared" si="297"/>
        <v>7.7660202317226118E-2</v>
      </c>
      <c r="AU37" s="166">
        <f t="shared" si="297"/>
        <v>7.9097192948597544E-2</v>
      </c>
      <c r="AV37" s="166">
        <f t="shared" si="297"/>
        <v>0.10851054178985689</v>
      </c>
      <c r="AW37" s="166">
        <f t="shared" si="297"/>
        <v>8.6293124101581201E-2</v>
      </c>
      <c r="AX37" s="166">
        <f t="shared" si="297"/>
        <v>5.4219081946864499E-2</v>
      </c>
      <c r="AY37" s="166">
        <f t="shared" si="297"/>
        <v>5.7542299064237919E-2</v>
      </c>
      <c r="AZ37" s="166">
        <f t="shared" si="297"/>
        <v>0.11556436370016501</v>
      </c>
      <c r="BA37" s="166">
        <f t="shared" si="297"/>
        <v>7.4791162100976805E-2</v>
      </c>
      <c r="BB37" s="166">
        <f t="shared" si="297"/>
        <v>6.5963982197067797E-2</v>
      </c>
      <c r="BC37" s="166">
        <f t="shared" si="297"/>
        <v>6.9746282624518902E-2</v>
      </c>
      <c r="BD37" s="166">
        <f t="shared" si="297"/>
        <v>8.5202633504023365E-2</v>
      </c>
      <c r="BE37" s="166">
        <f t="shared" si="297"/>
        <v>5.7122428916154905E-2</v>
      </c>
      <c r="BF37" s="166">
        <f t="shared" si="297"/>
        <v>5.3652474605575838E-2</v>
      </c>
      <c r="BG37" s="166">
        <f t="shared" si="297"/>
        <v>4.3395771040881735E-2</v>
      </c>
      <c r="BH37" s="166">
        <f t="shared" si="297"/>
        <v>0.10955999023556701</v>
      </c>
      <c r="BI37" s="166">
        <f t="shared" si="297"/>
        <v>7.8648831239021805E-2</v>
      </c>
      <c r="BJ37" s="166">
        <f t="shared" si="297"/>
        <v>7.1777488048674495E-2</v>
      </c>
      <c r="BK37" s="166">
        <f t="shared" si="297"/>
        <v>7.0668301233945477E-2</v>
      </c>
      <c r="BL37" s="166">
        <f t="shared" si="297"/>
        <v>7.0853363230995212E-2</v>
      </c>
      <c r="BM37" s="166">
        <f t="shared" si="297"/>
        <v>9.5254361992852636E-3</v>
      </c>
      <c r="BN37" s="166">
        <f t="shared" ref="BN37:CS37" si="298">BN36/BN18</f>
        <v>2.3778124936598484E-2</v>
      </c>
      <c r="BO37" s="166">
        <f t="shared" si="298"/>
        <v>7.5302232394846624E-2</v>
      </c>
      <c r="BP37" s="166">
        <f t="shared" si="298"/>
        <v>5.0159928502551701E-2</v>
      </c>
      <c r="BQ37" s="166">
        <f t="shared" si="298"/>
        <v>6.3554614369456502E-2</v>
      </c>
      <c r="BR37" s="166">
        <f t="shared" si="298"/>
        <v>6.6493094543004796E-2</v>
      </c>
      <c r="BS37" s="166">
        <f t="shared" si="298"/>
        <v>0.1019517653608039</v>
      </c>
      <c r="BT37" s="166">
        <f t="shared" si="298"/>
        <v>8.8127527956221655E-2</v>
      </c>
      <c r="BU37" s="166">
        <f t="shared" si="298"/>
        <v>9.5059902980464378E-2</v>
      </c>
      <c r="BV37" s="166">
        <f t="shared" si="298"/>
        <v>9.8434111113759326E-2</v>
      </c>
      <c r="BW37" s="166">
        <f t="shared" si="298"/>
        <v>9.9516921886646348E-2</v>
      </c>
      <c r="BX37" s="166">
        <f t="shared" si="298"/>
        <v>0.15010033334569489</v>
      </c>
      <c r="BY37" s="166">
        <f t="shared" si="298"/>
        <v>0.11832648338386109</v>
      </c>
      <c r="BZ37" s="166">
        <f t="shared" si="298"/>
        <v>0.13900814388730112</v>
      </c>
      <c r="CA37" s="166">
        <f t="shared" si="298"/>
        <v>0.15836038697236374</v>
      </c>
      <c r="CB37" s="166">
        <f t="shared" si="298"/>
        <v>0.15130426583595949</v>
      </c>
      <c r="CC37" s="166">
        <f t="shared" si="298"/>
        <v>0.18347855445467401</v>
      </c>
      <c r="CD37" s="166">
        <f t="shared" si="298"/>
        <v>0.19163434433352411</v>
      </c>
      <c r="CE37" s="166">
        <f t="shared" si="298"/>
        <v>0.18550491731223562</v>
      </c>
      <c r="CF37" s="166">
        <f t="shared" si="298"/>
        <v>0.19535027474568573</v>
      </c>
      <c r="CG37" s="166">
        <f t="shared" si="298"/>
        <v>0.18590929779041696</v>
      </c>
      <c r="CH37" s="166">
        <f t="shared" ref="CH37:CI37" si="299">CH36/CH18</f>
        <v>0.13040397551205499</v>
      </c>
      <c r="CI37" s="166">
        <f t="shared" si="299"/>
        <v>0.15114234970036722</v>
      </c>
      <c r="CJ37" s="166">
        <f t="shared" ref="CJ37:CK37" si="300">CJ36/CJ18</f>
        <v>0.17210803455711399</v>
      </c>
      <c r="CK37" s="166">
        <f t="shared" si="300"/>
        <v>0.12826391462472436</v>
      </c>
      <c r="CL37" s="167">
        <f t="shared" si="298"/>
        <v>0.14276419426472989</v>
      </c>
      <c r="CM37" s="167">
        <f t="shared" si="298"/>
        <v>0.14588895017876177</v>
      </c>
      <c r="CN37" s="167">
        <f t="shared" si="298"/>
        <v>0.14453936893080704</v>
      </c>
      <c r="CO37" s="167">
        <f t="shared" si="298"/>
        <v>0.14593988869650798</v>
      </c>
      <c r="CP37" s="167">
        <f t="shared" si="298"/>
        <v>0.15024620775165903</v>
      </c>
      <c r="CQ37" s="167">
        <f t="shared" si="298"/>
        <v>0.15208390835712407</v>
      </c>
      <c r="CR37" s="167">
        <f t="shared" si="298"/>
        <v>0.15360933257677281</v>
      </c>
      <c r="CS37" s="167">
        <f t="shared" si="298"/>
        <v>0.1451101696229348</v>
      </c>
      <c r="CT37" s="167">
        <f t="shared" ref="CT37:CZ37" si="301">CT36/CT18</f>
        <v>0.14490209186598751</v>
      </c>
      <c r="CU37" s="167">
        <f t="shared" si="301"/>
        <v>0.14353764442554964</v>
      </c>
      <c r="CV37" s="167">
        <f t="shared" si="301"/>
        <v>0.1413573765863006</v>
      </c>
      <c r="CW37" s="167">
        <f t="shared" si="301"/>
        <v>0.14372682062519318</v>
      </c>
      <c r="CX37" s="167">
        <f t="shared" si="301"/>
        <v>0.14338098337575769</v>
      </c>
      <c r="CY37" s="167">
        <f t="shared" si="301"/>
        <v>0.14300070625320033</v>
      </c>
      <c r="CZ37" s="167">
        <f t="shared" si="301"/>
        <v>0.14286647171011294</v>
      </c>
      <c r="DB37" s="169"/>
      <c r="DC37" s="168" t="e">
        <v>#DIV/0!</v>
      </c>
    </row>
    <row r="38" spans="1:107" s="38" customFormat="1" x14ac:dyDescent="0.2">
      <c r="A38" s="39" t="s">
        <v>449</v>
      </c>
      <c r="B38" s="39"/>
      <c r="C38" s="39">
        <f t="shared" ref="C38:E38" si="302">+IF(B36&lt;0,1-C36/B36,C36/B36-1)</f>
        <v>0.1817082482834036</v>
      </c>
      <c r="D38" s="39">
        <f t="shared" si="302"/>
        <v>0.18935828195767268</v>
      </c>
      <c r="E38" s="39">
        <f t="shared" si="302"/>
        <v>0.53873240180986737</v>
      </c>
      <c r="F38" s="39">
        <f t="shared" ref="F38:Z38" si="303">+IF(E36&lt;0,1-F36/E36,F36/E36-1)</f>
        <v>0.48803711619510559</v>
      </c>
      <c r="G38" s="39">
        <f t="shared" si="303"/>
        <v>0.48132302102500679</v>
      </c>
      <c r="H38" s="39">
        <f t="shared" si="303"/>
        <v>0.5368693456082283</v>
      </c>
      <c r="I38" s="39">
        <f t="shared" si="303"/>
        <v>6.6434657347360204E-2</v>
      </c>
      <c r="J38" s="39">
        <f t="shared" si="303"/>
        <v>-0.30575313404441284</v>
      </c>
      <c r="K38" s="39">
        <f t="shared" si="303"/>
        <v>-0.81494074650781911</v>
      </c>
      <c r="L38" s="39">
        <f t="shared" si="303"/>
        <v>2.4807909749450783</v>
      </c>
      <c r="M38" s="39">
        <f t="shared" si="303"/>
        <v>7.2564415091129764E-3</v>
      </c>
      <c r="N38" s="39">
        <f t="shared" si="303"/>
        <v>0.36440129449838143</v>
      </c>
      <c r="O38" s="39">
        <f t="shared" si="303"/>
        <v>0.17925501196271099</v>
      </c>
      <c r="P38" s="39">
        <f t="shared" si="303"/>
        <v>0.26153038915610138</v>
      </c>
      <c r="Q38" s="39">
        <f t="shared" si="303"/>
        <v>-1.5306122448980108E-2</v>
      </c>
      <c r="R38" s="39">
        <f t="shared" si="303"/>
        <v>-0.42301193962604289</v>
      </c>
      <c r="S38" s="39">
        <f t="shared" si="303"/>
        <v>0.13252806246949889</v>
      </c>
      <c r="T38" s="39">
        <f t="shared" si="303"/>
        <v>9.6916679235524938E-2</v>
      </c>
      <c r="U38" s="39">
        <f t="shared" si="303"/>
        <v>-0.47834371132805575</v>
      </c>
      <c r="V38" s="39">
        <f t="shared" si="303"/>
        <v>0.94095718642918813</v>
      </c>
      <c r="W38" s="39">
        <f t="shared" si="303"/>
        <v>0.76560741861638459</v>
      </c>
      <c r="X38" s="39">
        <f t="shared" si="303"/>
        <v>0.63694099549499894</v>
      </c>
      <c r="Y38" s="39">
        <f t="shared" si="303"/>
        <v>0.54147592261944721</v>
      </c>
      <c r="Z38" s="39">
        <f t="shared" si="303"/>
        <v>-0.12469627165289243</v>
      </c>
      <c r="AA38" s="40">
        <f t="shared" ref="AA38:AD38" si="304">+IF(Z36&lt;0,1-AA36/Z36,AA36/Z36-1)</f>
        <v>1.5131247896869482E-2</v>
      </c>
      <c r="AB38" s="40">
        <f t="shared" si="304"/>
        <v>0.26074400796638519</v>
      </c>
      <c r="AC38" s="40">
        <f t="shared" si="304"/>
        <v>7.4144840751887431E-2</v>
      </c>
      <c r="AD38" s="40">
        <f t="shared" si="304"/>
        <v>0.17384262184369992</v>
      </c>
      <c r="AH38" s="39"/>
      <c r="AI38" s="39"/>
      <c r="AJ38" s="39"/>
      <c r="AK38" s="39"/>
      <c r="AL38" s="39">
        <f>+IF(AH36&lt;0,1-AL36/AH36,AL36/AH36-1)</f>
        <v>1.783187093122085E-2</v>
      </c>
      <c r="AM38" s="39">
        <f t="shared" ref="AM38" si="305">+IF(AI36&lt;0,1-AM36/AI36,AM36/AI36-1)</f>
        <v>0.58788974243109759</v>
      </c>
      <c r="AN38" s="39">
        <f t="shared" ref="AN38" si="306">+IF(AJ36&lt;0,1-AN36/AJ36,AN36/AJ36-1)</f>
        <v>1.2444811533263156</v>
      </c>
      <c r="AO38" s="39">
        <f t="shared" ref="AO38" si="307">+IF(AK36&lt;0,1-AO36/AK36,AO36/AK36-1)</f>
        <v>0.17319895483389391</v>
      </c>
      <c r="AP38" s="39">
        <f t="shared" ref="AP38" si="308">+IF(AL36&lt;0,1-AP36/AL36,AP36/AL36-1)</f>
        <v>0.1662031887282136</v>
      </c>
      <c r="AQ38" s="39">
        <f t="shared" ref="AQ38" si="309">+IF(AM36&lt;0,1-AQ36/AM36,AQ36/AM36-1)</f>
        <v>0.17748055397457474</v>
      </c>
      <c r="AR38" s="39">
        <f t="shared" ref="AR38" si="310">+IF(AN36&lt;0,1-AR36/AN36,AR36/AN36-1)</f>
        <v>0.20453633079084743</v>
      </c>
      <c r="AS38" s="39">
        <f t="shared" ref="AS38" si="311">+IF(AO36&lt;0,1-AS36/AO36,AS36/AO36-1)</f>
        <v>0.1422208081450842</v>
      </c>
      <c r="AT38" s="39">
        <f t="shared" ref="AT38" si="312">+IF(AP36&lt;0,1-AT36/AP36,AT36/AP36-1)</f>
        <v>0.19235354900246726</v>
      </c>
      <c r="AU38" s="39">
        <f t="shared" ref="AU38" si="313">+IF(AQ36&lt;0,1-AU36/AQ36,AU36/AQ36-1)</f>
        <v>0.25465238056876083</v>
      </c>
      <c r="AV38" s="39">
        <f t="shared" ref="AV38" si="314">+IF(AR36&lt;0,1-AV36/AR36,AV36/AR36-1)</f>
        <v>0.46170082763983733</v>
      </c>
      <c r="AW38" s="39">
        <f t="shared" ref="AW38" si="315">+IF(AS36&lt;0,1-AW36/AS36,AW36/AS36-1)</f>
        <v>0.20396935933147597</v>
      </c>
      <c r="AX38" s="39">
        <f t="shared" ref="AX38" si="316">+IF(AT36&lt;0,1-AX36/AT36,AX36/AT36-1)</f>
        <v>-0.24291713885741317</v>
      </c>
      <c r="AY38" s="39">
        <f t="shared" ref="AY38" si="317">+IF(AU36&lt;0,1-AY36/AU36,AY36/AU36-1)</f>
        <v>-0.24072171567998302</v>
      </c>
      <c r="AZ38" s="39">
        <f t="shared" ref="AZ38" si="318">+IF(AV36&lt;0,1-AZ36/AV36,AZ36/AV36-1)</f>
        <v>0.1013110393311798</v>
      </c>
      <c r="BA38" s="39">
        <f t="shared" ref="BA38" si="319">+IF(AW36&lt;0,1-BA36/AW36,BA36/AW36-1)</f>
        <v>-6.9408294291165795E-2</v>
      </c>
      <c r="BB38" s="39">
        <f t="shared" ref="BB38" si="320">+IF(AX36&lt;0,1-BB36/AX36,BB36/AX36-1)</f>
        <v>0.29717354935281981</v>
      </c>
      <c r="BC38" s="39">
        <f t="shared" ref="BC38" si="321">+IF(AY36&lt;0,1-BC36/AY36,BC36/AY36-1)</f>
        <v>0.13446088794926125</v>
      </c>
      <c r="BD38" s="39">
        <f t="shared" ref="BD38" si="322">+IF(AZ36&lt;0,1-BD36/AZ36,BD36/AZ36-1)</f>
        <v>-0.4976363824574721</v>
      </c>
      <c r="BE38" s="39">
        <f t="shared" ref="BE38" si="323">+IF(BA36&lt;0,1-BE36/BA36,BE36/BA36-1)</f>
        <v>-0.44384361986450471</v>
      </c>
      <c r="BF38" s="39">
        <f t="shared" ref="BF38" si="324">+IF(BB36&lt;0,1-BF36/BB36,BF36/BB36-1)</f>
        <v>-0.39336139017105509</v>
      </c>
      <c r="BG38" s="39">
        <f t="shared" ref="BG38" si="325">+IF(BC36&lt;0,1-BG36/BC36,BG36/BC36-1)</f>
        <v>-0.51748043235184349</v>
      </c>
      <c r="BH38" s="39">
        <f t="shared" ref="BH38" si="326">+IF(BD36&lt;0,1-BH36/BD36,BH36/BD36-1)</f>
        <v>0.47970327632392507</v>
      </c>
      <c r="BI38" s="39">
        <f t="shared" ref="BI38" si="327">+IF(BE36&lt;0,1-BI36/BE36,BI36/BE36-1)</f>
        <v>0.62628520339740801</v>
      </c>
      <c r="BJ38" s="39">
        <f t="shared" ref="BJ38" si="328">+IF(BF36&lt;0,1-BJ36/BF36,BJ36/BF36-1)</f>
        <v>0.38603558241020819</v>
      </c>
      <c r="BK38" s="39">
        <f t="shared" ref="BK38" si="329">+IF(BG36&lt;0,1-BK36/BG36,BK36/BG36-1)</f>
        <v>0.90576239765178235</v>
      </c>
      <c r="BL38" s="39">
        <f t="shared" ref="BL38" si="330">+IF(BH36&lt;0,1-BL36/BH36,BL36/BH36-1)</f>
        <v>-0.35756394188367546</v>
      </c>
      <c r="BM38" s="39">
        <f t="shared" ref="BM38" si="331">+IF(BI36&lt;0,1-BM36/BI36,BM36/BI36-1)</f>
        <v>-0.90035733919736127</v>
      </c>
      <c r="BN38" s="39">
        <f t="shared" ref="BN38" si="332">+IF(BJ36&lt;0,1-BN36/BJ36,BN36/BJ36-1)</f>
        <v>-0.81076935496891855</v>
      </c>
      <c r="BO38" s="39">
        <f t="shared" ref="BO38" si="333">+IF(BK36&lt;0,1-BO36/BK36,BO36/BK36-1)</f>
        <v>-1.5888456549935426E-2</v>
      </c>
      <c r="BP38" s="39">
        <f t="shared" ref="BP38" si="334">+IF(BL36&lt;0,1-BP36/BL36,BP36/BL36-1)</f>
        <v>-0.38359826589595436</v>
      </c>
      <c r="BQ38" s="39">
        <f t="shared" ref="BQ38" si="335">+IF(BM36&lt;0,1-BQ36/BM36,BQ36/BM36-1)</f>
        <v>6.1406896551724195</v>
      </c>
      <c r="BR38" s="39">
        <f t="shared" ref="BR38" si="336">+IF(BN36&lt;0,1-BR36/BN36,BR36/BN36-1)</f>
        <v>3.0422354948805417</v>
      </c>
      <c r="BS38" s="39">
        <f t="shared" ref="BS38" si="337">+IF(BO36&lt;0,1-BS36/BO36,BS36/BO36-1)</f>
        <v>0.49349258649094119</v>
      </c>
      <c r="BT38" s="39">
        <f t="shared" ref="BT38" si="338">+IF(BP36&lt;0,1-BT36/BP36,BT36/BP36-1)</f>
        <v>1.170906107138673</v>
      </c>
      <c r="BU38" s="39">
        <f t="shared" ref="BU38" si="339">+IF(BQ36&lt;0,1-BU36/BQ36,BU36/BQ36-1)</f>
        <v>0.81311570407571732</v>
      </c>
      <c r="BV38" s="39">
        <f t="shared" ref="BV38" si="340">+IF(BR36&lt;0,1-BV36/BR36,BV36/BR36-1)</f>
        <v>1.1794195250659603</v>
      </c>
      <c r="BW38" s="39">
        <f t="shared" ref="BW38" si="341">+IF(BS36&lt;0,1-BW36/BS36,BW36/BS36-1)</f>
        <v>0.16347691798576824</v>
      </c>
      <c r="BX38" s="39">
        <f t="shared" ref="BX38" si="342">+IF(BT36&lt;0,1-BX36/BT36,BX36/BT36-1)</f>
        <v>0.96695464362851391</v>
      </c>
      <c r="BY38" s="39">
        <f t="shared" ref="BY38" si="343">+IF(BU36&lt;0,1-BY36/BU36,BY36/BU36-1)</f>
        <v>0.51978905875459369</v>
      </c>
      <c r="BZ38" s="39">
        <f t="shared" ref="BZ38" si="344">+IF(BV36&lt;0,1-BZ36/BV36,BZ36/BV36-1)</f>
        <v>0.688716707021793</v>
      </c>
      <c r="CA38" s="39">
        <f t="shared" ref="CA38" si="345">+IF(BW36&lt;0,1-CA36/BW36,CA36/BW36-1)</f>
        <v>1.0788338468831506</v>
      </c>
      <c r="CB38" s="39">
        <f t="shared" ref="CB38" si="346">+IF(BX36&lt;0,1-CB36/BX36,CB36/BX36-1)</f>
        <v>0.1453277698473685</v>
      </c>
      <c r="CC38" s="39">
        <f t="shared" ref="CC38" si="347">+IF(BY36&lt;0,1-CC36/BY36,CC36/BY36-1)</f>
        <v>0.98093302022361706</v>
      </c>
      <c r="CD38" s="39">
        <f t="shared" ref="CD38" si="348">+IF(BZ36&lt;0,1-CD36/BZ36,CD36/BZ36-1)</f>
        <v>0.55566070199586992</v>
      </c>
      <c r="CE38" s="39">
        <f t="shared" ref="CE38" si="349">+IF(CA36&lt;0,1-CE36/CA36,CE36/CA36-1)</f>
        <v>0.23188835427450849</v>
      </c>
      <c r="CF38" s="39">
        <f t="shared" ref="CF38" si="350">+IF(CB36&lt;0,1-CF36/CB36,CF36/CB36-1)</f>
        <v>0.57552370452039803</v>
      </c>
      <c r="CG38" s="39">
        <f t="shared" ref="CG38:CK38" si="351">+IF(CC36&lt;0,1-CG36/CC36,CG36/CC36-1)</f>
        <v>-9.872960826638022E-3</v>
      </c>
      <c r="CH38" s="39">
        <f t="shared" si="351"/>
        <v>-0.2366863905325447</v>
      </c>
      <c r="CI38" s="39">
        <f t="shared" si="351"/>
        <v>-7.3729221428307623E-2</v>
      </c>
      <c r="CJ38" s="39">
        <f t="shared" si="351"/>
        <v>-6.8685915964341593E-2</v>
      </c>
      <c r="CK38" s="39">
        <f t="shared" si="351"/>
        <v>-0.27019299499642668</v>
      </c>
      <c r="CL38" s="40">
        <f t="shared" ref="CL38" si="352">+CL36/CH36-1</f>
        <v>0.27680142868797653</v>
      </c>
      <c r="CM38" s="40">
        <f t="shared" ref="CM38" si="353">+CM36/CI36-1</f>
        <v>9.8716213077780335E-2</v>
      </c>
      <c r="CN38" s="40">
        <f t="shared" ref="CN38" si="354">+CN36/CJ36-1</f>
        <v>-9.5676159476466793E-2</v>
      </c>
      <c r="CO38" s="40">
        <f t="shared" ref="CO38" si="355">+CO36/CK36-1</f>
        <v>0.43422294966063402</v>
      </c>
      <c r="CP38" s="40">
        <f t="shared" ref="CP38" si="356">+CP36/CL36-1</f>
        <v>0.25390622668442653</v>
      </c>
      <c r="CQ38" s="40">
        <f t="shared" ref="CQ38" si="357">+CQ36/CM36-1</f>
        <v>0.20202389959053235</v>
      </c>
      <c r="CR38" s="40">
        <f t="shared" ref="CR38" si="358">+CR36/CN36-1</f>
        <v>0.19761372354230966</v>
      </c>
      <c r="CS38" s="40">
        <f t="shared" ref="CS38" si="359">+CS36/CO36-1</f>
        <v>0.13408612413691845</v>
      </c>
      <c r="CT38" s="40">
        <f t="shared" ref="CT38" si="360">+CT36/CP36-1</f>
        <v>8.3351403530639967E-2</v>
      </c>
      <c r="CU38" s="40">
        <f t="shared" ref="CU38" si="361">+CU36/CQ36-1</f>
        <v>5.6549848681547443E-2</v>
      </c>
      <c r="CV38" s="40">
        <f t="shared" ref="CV38" si="362">+CV36/CR36-1</f>
        <v>2.9522446115713752E-2</v>
      </c>
      <c r="CW38" s="40">
        <f t="shared" ref="CW38" si="363">+CW36/CS36-1</f>
        <v>0.16422752009521302</v>
      </c>
      <c r="CX38" s="40">
        <f t="shared" ref="CX38" si="364">+CX36/CT36-1</f>
        <v>0.15842509157060225</v>
      </c>
      <c r="CY38" s="40">
        <f t="shared" ref="CY38" si="365">+CY36/CU36-1</f>
        <v>0.17272944801806411</v>
      </c>
      <c r="CZ38" s="40">
        <f t="shared" ref="CZ38" si="366">+CZ36/CV36-1</f>
        <v>0.20056035796641325</v>
      </c>
      <c r="DB38" s="122"/>
      <c r="DC38" s="38" t="e">
        <v>#DIV/0!</v>
      </c>
    </row>
    <row r="39" spans="1:107" s="38" customFormat="1" x14ac:dyDescent="0.2">
      <c r="A39" s="39" t="s">
        <v>450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40"/>
      <c r="AB39" s="40"/>
      <c r="AC39" s="40"/>
      <c r="AD39" s="40"/>
      <c r="AH39" s="39"/>
      <c r="AI39" s="39">
        <f>+IF(AH36&lt;0,1-AI36/AH36,AI36/AH36-1)</f>
        <v>-0.37362015284461103</v>
      </c>
      <c r="AJ39" s="39">
        <f t="shared" ref="AJ39:AL39" si="367">+IF(AI36&lt;0,1-AJ36/AI36,AJ36/AI36-1)</f>
        <v>3.0125018828213168E-3</v>
      </c>
      <c r="AK39" s="39">
        <f t="shared" si="367"/>
        <v>0.60925063823396242</v>
      </c>
      <c r="AL39" s="39">
        <f t="shared" si="367"/>
        <v>6.7189249720067679E-3</v>
      </c>
      <c r="AM39" s="39">
        <f t="shared" ref="AM39" si="368">+IF(AL36&lt;0,1-AM36/AL36,AM36/AL36-1)</f>
        <v>-2.2803114571746663E-2</v>
      </c>
      <c r="AN39" s="39">
        <f t="shared" ref="AN39" si="369">+IF(AM36&lt;0,1-AN36/AM36,AN36/AM36-1)</f>
        <v>0.41775754126351416</v>
      </c>
      <c r="AO39" s="39">
        <f t="shared" ref="AO39" si="370">+IF(AN36&lt;0,1-AO36/AN36,AO36/AN36-1)</f>
        <v>-0.15883848521343447</v>
      </c>
      <c r="AP39" s="39">
        <f t="shared" ref="AP39" si="371">+IF(AO36&lt;0,1-AP36/AO36,AP36/AO36-1)</f>
        <v>7.1587655106530867E-4</v>
      </c>
      <c r="AQ39" s="39">
        <f t="shared" ref="AQ39" si="372">+IF(AP36&lt;0,1-AQ36/AP36,AQ36/AP36-1)</f>
        <v>-1.3353469517526917E-2</v>
      </c>
      <c r="AR39" s="39">
        <f t="shared" ref="AR39" si="373">+IF(AQ36&lt;0,1-AR36/AQ36,AR36/AQ36-1)</f>
        <v>0.45033432691533193</v>
      </c>
      <c r="AS39" s="39">
        <f t="shared" ref="AS39" si="374">+IF(AR36&lt;0,1-AS36/AR36,AS36/AR36-1)</f>
        <v>-0.20235516302838397</v>
      </c>
      <c r="AT39" s="39">
        <f t="shared" ref="AT39" si="375">+IF(AS36&lt;0,1-AT36/AS36,AT36/AS36-1)</f>
        <v>4.4637883008358692E-2</v>
      </c>
      <c r="AU39" s="39">
        <f t="shared" ref="AU39" si="376">+IF(AT36&lt;0,1-AU36/AT36,AU36/AT36-1)</f>
        <v>3.8197453503098222E-2</v>
      </c>
      <c r="AV39" s="39">
        <f t="shared" ref="AV39" si="377">+IF(AU36&lt;0,1-AV36/AU36,AV36/AU36-1)</f>
        <v>0.68967509952484685</v>
      </c>
      <c r="AW39" s="39">
        <f t="shared" ref="AW39" si="378">+IF(AV36&lt;0,1-AW36/AV36,AW36/AV36-1)</f>
        <v>-0.34299828994869819</v>
      </c>
      <c r="AX39" s="39">
        <f t="shared" ref="AX39" si="379">+IF(AW36&lt;0,1-AX36/AW36,AX36/AW36-1)</f>
        <v>-0.34310833477934111</v>
      </c>
      <c r="AY39" s="39">
        <f t="shared" ref="AY39" si="380">+IF(AX36&lt;0,1-AY36/AX36,AY36/AX36-1)</f>
        <v>4.1208065510256686E-2</v>
      </c>
      <c r="AZ39" s="39">
        <f t="shared" ref="AZ39" si="381">+IF(AY36&lt;0,1-AZ36/AY36,AZ36/AY36-1)</f>
        <v>1.4508245243129045</v>
      </c>
      <c r="BA39" s="39">
        <f t="shared" ref="BA39" si="382">+IF(AZ36&lt;0,1-BA36/AZ36,BA36/AZ36-1)</f>
        <v>-0.4448431731134177</v>
      </c>
      <c r="BB39" s="39">
        <f t="shared" ref="BB39" si="383">+IF(BA36&lt;0,1-BB36/BA36,BB36/BA36-1)</f>
        <v>-8.4343340170308534E-2</v>
      </c>
      <c r="BC39" s="39">
        <f t="shared" ref="BC39" si="384">+IF(BB36&lt;0,1-BC36/BB36,BC36/BB36-1)</f>
        <v>-8.9397230518597492E-2</v>
      </c>
      <c r="BD39" s="39">
        <f t="shared" ref="BD39" si="385">+IF(BC36&lt;0,1-BD36/BC36,BD36/BC36-1)</f>
        <v>8.5277674245250124E-2</v>
      </c>
      <c r="BE39" s="39">
        <f t="shared" ref="BE39" si="386">+IF(BD36&lt;0,1-BE36/BD36,BE36/BD36-1)</f>
        <v>-0.385397348719005</v>
      </c>
      <c r="BF39" s="39">
        <f t="shared" ref="BF39" si="387">+IF(BE36&lt;0,1-BF36/BE36,BF36/BE36-1)</f>
        <v>-1.2293249888269964E-3</v>
      </c>
      <c r="BG39" s="39">
        <f t="shared" ref="BG39" si="388">+IF(BF36&lt;0,1-BG36/BF36,BG36/BF36-1)</f>
        <v>-0.27570773190108333</v>
      </c>
      <c r="BH39" s="39">
        <f t="shared" ref="BH39" si="389">+IF(BG36&lt;0,1-BH36/BG36,BH36/BG36-1)</f>
        <v>2.3281322416190338</v>
      </c>
      <c r="BI39" s="39">
        <f t="shared" ref="BI39" si="390">+IF(BH36&lt;0,1-BI36/BH36,BI36/BH36-1)</f>
        <v>-0.32451376317133174</v>
      </c>
      <c r="BJ39" s="39">
        <f t="shared" ref="BJ39" si="391">+IF(BI36&lt;0,1-BJ36/BI36,BJ36/BI36-1)</f>
        <v>-0.14877680043980257</v>
      </c>
      <c r="BK39" s="39">
        <f t="shared" ref="BK39" si="392">+IF(BJ36&lt;0,1-BK36/BJ36,BK36/BJ36-1)</f>
        <v>-4.1172196657794924E-3</v>
      </c>
      <c r="BL39" s="39">
        <f t="shared" ref="BL39" si="393">+IF(BK36&lt;0,1-BL36/BK36,BL36/BK36-1)</f>
        <v>0.1219195849546042</v>
      </c>
      <c r="BM39" s="39">
        <f t="shared" ref="BM39" si="394">+IF(BL36&lt;0,1-BM36/BL36,BM36/BL36-1)</f>
        <v>-0.89523121387283222</v>
      </c>
      <c r="BN39" s="39">
        <f t="shared" ref="BN39" si="395">+IF(BM36&lt;0,1-BN36/BM36,BN36/BM36-1)</f>
        <v>0.6165517241379348</v>
      </c>
      <c r="BO39" s="39">
        <f t="shared" ref="BO39" si="396">+IF(BN36&lt;0,1-BO36/BN36,BO36/BN36-1)</f>
        <v>4.179180887371996</v>
      </c>
      <c r="BP39" s="39">
        <f t="shared" ref="BP39" si="397">+IF(BO36&lt;0,1-BP36/BO36,BP36/BO36-1)</f>
        <v>-0.29728171334431686</v>
      </c>
      <c r="BQ39" s="39">
        <f t="shared" ref="BQ39" si="398">+IF(BP36&lt;0,1-BQ36/BP36,BQ36/BP36-1)</f>
        <v>0.21369124369945247</v>
      </c>
      <c r="BR39" s="39">
        <f t="shared" ref="BR39" si="399">+IF(BQ36&lt;0,1-BR36/BQ36,BR36/BQ36-1)</f>
        <v>-8.4894726675680432E-2</v>
      </c>
      <c r="BS39" s="39">
        <f t="shared" ref="BS39" si="400">+IF(BR36&lt;0,1-BS36/BR36,BS36/BR36-1)</f>
        <v>0.91356200527704323</v>
      </c>
      <c r="BT39" s="39">
        <f t="shared" ref="BT39" si="401">+IF(BS36&lt;0,1-BT36/BS36,BT36/BS36-1)</f>
        <v>2.1454966631734296E-2</v>
      </c>
      <c r="BU39" s="39">
        <f t="shared" ref="BU39" si="402">+IF(BT36&lt;0,1-BU36/BT36,BU36/BT36-1)</f>
        <v>1.3660907127430288E-2</v>
      </c>
      <c r="BV39" s="39">
        <f t="shared" ref="BV39" si="403">+IF(BU36&lt;0,1-BV36/BU36,BV36/BU36-1)</f>
        <v>9.9984019602621377E-2</v>
      </c>
      <c r="BW39" s="39">
        <f t="shared" ref="BW39" si="404">+IF(BV36&lt;0,1-BW36/BV36,BW36/BV36-1)</f>
        <v>2.1549636803872563E-2</v>
      </c>
      <c r="BX39" s="39">
        <f t="shared" ref="BX39" si="405">+IF(BW36&lt;0,1-BX36/BW36,BX36/BW36-1)</f>
        <v>0.72685470490638027</v>
      </c>
      <c r="BY39" s="39">
        <f t="shared" ref="BY39" si="406">+IF(BX36&lt;0,1-BY36/BX36,BY36/BX36-1)</f>
        <v>-0.21678379268694581</v>
      </c>
      <c r="BZ39" s="39">
        <f t="shared" ref="BZ39" si="407">+IF(BY36&lt;0,1-BZ36/BY36,BZ36/BY36-1)</f>
        <v>0.22224948301847314</v>
      </c>
      <c r="CA39" s="39">
        <f t="shared" ref="CA39" si="408">+IF(BZ36&lt;0,1-CA36/BZ36,CA36/BZ36-1)</f>
        <v>0.257541867400779</v>
      </c>
      <c r="CB39" s="39">
        <f t="shared" ref="CB39" si="409">+IF(CA36&lt;0,1-CB36/CA36,CB36/CA36-1)</f>
        <v>-4.8594166875698508E-2</v>
      </c>
      <c r="CC39" s="39">
        <f t="shared" ref="CC39" si="410">+IF(CB36&lt;0,1-CC36/CB36,CC36/CB36-1)</f>
        <v>0.35463304731316736</v>
      </c>
      <c r="CD39" s="39">
        <f t="shared" ref="CD39" si="411">+IF(CC36&lt;0,1-CD36/CC36,CD36/CC36-1)</f>
        <v>-4.0146501999362205E-2</v>
      </c>
      <c r="CE39" s="39">
        <f t="shared" ref="CE39" si="412">+IF(CD36&lt;0,1-CE36/CD36,CE36/CD36-1)</f>
        <v>-4.1844089291968034E-3</v>
      </c>
      <c r="CF39" s="39">
        <f t="shared" ref="CF39" si="413">+IF(CE36&lt;0,1-CF36/CE36,CF36/CE36-1)</f>
        <v>0.21680056273370152</v>
      </c>
      <c r="CG39" s="39">
        <f t="shared" ref="CG39:CH39" si="414">+IF(CF36&lt;0,1-CG36/CF36,CG36/CF36-1)</f>
        <v>-0.14869017555602881</v>
      </c>
      <c r="CH39" s="39">
        <f t="shared" si="414"/>
        <v>-0.26002501786990773</v>
      </c>
      <c r="CI39" s="39">
        <f>+IF(CH36&gt;1,CI36/CH36-1,1-CI36/CH36)</f>
        <v>0.20840880001931916</v>
      </c>
      <c r="CJ39" s="39">
        <f>+IF(CI36&gt;1,CJ36/CI36-1,1-CJ36/CI36)</f>
        <v>0.2234257279322136</v>
      </c>
      <c r="CK39" s="39">
        <f>+IF(CJ36&gt;1,CK36/CJ36-1,1-CK36/CJ36)</f>
        <v>-0.33288684885411424</v>
      </c>
      <c r="CL39" s="40">
        <f t="shared" ref="CL39" si="415">+CL36/CK36-1</f>
        <v>0.29459036142361472</v>
      </c>
      <c r="CM39" s="40">
        <f t="shared" ref="CM39" si="416">+CM36/CL36-1</f>
        <v>3.9862825005933411E-2</v>
      </c>
      <c r="CN39" s="40">
        <f t="shared" ref="CN39" si="417">+CN36/CM36-1</f>
        <v>6.9688967087593312E-3</v>
      </c>
      <c r="CO39" s="40">
        <f t="shared" ref="CO39" si="418">+CO36/CN36-1</f>
        <v>5.8015888246345737E-2</v>
      </c>
      <c r="CP39" s="40">
        <f t="shared" ref="CP39" si="419">+CP36/CO36-1</f>
        <v>0.131828852396217</v>
      </c>
      <c r="CQ39" s="40">
        <f t="shared" ref="CQ39" si="420">+CQ36/CP36-1</f>
        <v>-3.1631222871065789E-3</v>
      </c>
      <c r="CR39" s="40">
        <f t="shared" ref="CR39" si="421">+CR36/CQ36-1</f>
        <v>3.2743694110217714E-3</v>
      </c>
      <c r="CS39" s="40">
        <f t="shared" ref="CS39" si="422">+CS36/CR36-1</f>
        <v>1.8932769303618979E-3</v>
      </c>
      <c r="CT39" s="40">
        <f t="shared" ref="CT39" si="423">+CT36/CS36-1</f>
        <v>8.1195113583701684E-2</v>
      </c>
      <c r="CU39" s="40">
        <f t="shared" ref="CU39" si="424">+CU36/CT36-1</f>
        <v>-2.7824352398177155E-2</v>
      </c>
      <c r="CV39" s="40">
        <f t="shared" ref="CV39" si="425">+CV36/CU36-1</f>
        <v>-2.2390203159682764E-2</v>
      </c>
      <c r="CW39" s="40">
        <f t="shared" ref="CW39" si="426">+CW36/CV36-1</f>
        <v>0.13298328715564489</v>
      </c>
      <c r="CX39" s="40">
        <f t="shared" ref="CX39" si="427">+CX36/CW36-1</f>
        <v>7.5806512765182354E-2</v>
      </c>
      <c r="CY39" s="40">
        <f t="shared" ref="CY39" si="428">+CY36/CX36-1</f>
        <v>-1.5819823927558319E-2</v>
      </c>
      <c r="CZ39" s="40">
        <f t="shared" ref="CZ39" si="429">+CZ36/CY36-1</f>
        <v>8.1017802497029834E-4</v>
      </c>
      <c r="DB39" s="122"/>
    </row>
    <row r="40" spans="1:107" s="23" customFormat="1" x14ac:dyDescent="0.2">
      <c r="A40" s="23" t="s">
        <v>15</v>
      </c>
      <c r="B40" s="23">
        <f>'Annual Raw'!C27</f>
        <v>18.2483</v>
      </c>
      <c r="C40" s="23">
        <f>'Annual Raw'!D27</f>
        <v>18.322299999999998</v>
      </c>
      <c r="D40" s="23">
        <f>'Annual Raw'!E27</f>
        <v>18.434999999999999</v>
      </c>
      <c r="E40" s="23">
        <f>'Annual Raw'!F27</f>
        <v>20.3597</v>
      </c>
      <c r="F40" s="23">
        <f>'Annual Raw'!G27</f>
        <v>23.140699999999999</v>
      </c>
      <c r="G40" s="23">
        <f>'Annual Raw'!H27</f>
        <v>26.467500000000001</v>
      </c>
      <c r="H40" s="23">
        <f>'Annual Raw'!I27</f>
        <v>32.405700000000003</v>
      </c>
      <c r="I40" s="23">
        <f>'Annual Raw'!J27</f>
        <v>36.680500000000002</v>
      </c>
      <c r="J40" s="23">
        <f>'Annual Raw'!K27</f>
        <v>48.505800000000001</v>
      </c>
      <c r="K40" s="23">
        <f>'Annual Raw'!L27</f>
        <v>51.660800000000002</v>
      </c>
      <c r="L40" s="23">
        <f>'Annual Raw'!M27</f>
        <v>79.55</v>
      </c>
      <c r="M40" s="23">
        <f>'Annual Raw'!N27</f>
        <v>94.17</v>
      </c>
      <c r="N40" s="23">
        <f>'Annual Raw'!O27</f>
        <v>103.31</v>
      </c>
      <c r="O40" s="23">
        <f>'Annual Raw'!P27</f>
        <v>112.81</v>
      </c>
      <c r="P40" s="23">
        <f>'Annual Raw'!Q27</f>
        <v>154.24</v>
      </c>
      <c r="Q40" s="23">
        <f>'Annual Raw'!R27</f>
        <v>150.94999999999999</v>
      </c>
      <c r="R40" s="23">
        <f>'Annual Raw'!S27</f>
        <v>101.23</v>
      </c>
      <c r="S40" s="23">
        <f>'Annual Raw'!T27</f>
        <v>92.76</v>
      </c>
      <c r="T40" s="23">
        <f>'Annual Raw'!U27</f>
        <v>90.4</v>
      </c>
      <c r="U40" s="23">
        <f>'Annual Raw'!V27</f>
        <v>120.36</v>
      </c>
      <c r="V40" s="23">
        <f>'Annual Raw'!W27</f>
        <v>102.7</v>
      </c>
      <c r="W40" s="23">
        <f>'Annual Raw'!X27</f>
        <v>104.7</v>
      </c>
      <c r="X40" s="23">
        <f>'Annual Raw'!Y27</f>
        <v>119.92</v>
      </c>
      <c r="Y40" s="23">
        <f>'Annual Raw'!Z27</f>
        <v>128.91999999999999</v>
      </c>
      <c r="Z40" s="23">
        <f>'Annual Raw'!AA27</f>
        <v>145.53</v>
      </c>
      <c r="AA40" s="76">
        <f>+SUM(CK40:CN40)</f>
        <v>163.7545188409446</v>
      </c>
      <c r="AB40" s="76">
        <f>+SUM(CO40:CR40)</f>
        <v>161.58797793601843</v>
      </c>
      <c r="AC40" s="76">
        <f>+SUM(CS40:CV40)</f>
        <v>161.32507715479881</v>
      </c>
      <c r="AD40" s="76">
        <f>SUM(CW40:CZ40)</f>
        <v>161.1057014246509</v>
      </c>
      <c r="AH40" s="23">
        <f>'QTR Raw'!C28</f>
        <v>23.13</v>
      </c>
      <c r="AI40" s="23">
        <f>'QTR Raw'!D28</f>
        <v>24.03</v>
      </c>
      <c r="AJ40" s="23">
        <f>'QTR Raw'!E28</f>
        <v>24.59</v>
      </c>
      <c r="AK40" s="23">
        <f>'QTR Raw'!F28</f>
        <v>24.63</v>
      </c>
      <c r="AL40" s="23">
        <f>'QTR Raw'!G28</f>
        <v>25.95</v>
      </c>
      <c r="AM40" s="23">
        <f>'QTR Raw'!H28</f>
        <v>25.73</v>
      </c>
      <c r="AN40" s="23">
        <f>'QTR Raw'!I28</f>
        <v>27</v>
      </c>
      <c r="AO40" s="23">
        <f>'QTR Raw'!J28</f>
        <v>27.41</v>
      </c>
      <c r="AP40" s="23">
        <f>'QTR Raw'!K28</f>
        <v>27.86</v>
      </c>
      <c r="AQ40" s="23">
        <f>'QTR Raw'!L28</f>
        <v>28.34</v>
      </c>
      <c r="AR40" s="23">
        <f>'QTR Raw'!M28</f>
        <v>29.2</v>
      </c>
      <c r="AS40" s="23">
        <f>'QTR Raw'!N28</f>
        <v>42.23</v>
      </c>
      <c r="AT40" s="23">
        <f>'QTR Raw'!O28</f>
        <v>37.47</v>
      </c>
      <c r="AU40" s="23">
        <f>'QTR Raw'!P28</f>
        <v>35.9</v>
      </c>
      <c r="AV40" s="23">
        <f>'QTR Raw'!Q28</f>
        <v>44.19</v>
      </c>
      <c r="AW40" s="23">
        <f>'QTR Raw'!R28</f>
        <v>35.869999999999997</v>
      </c>
      <c r="AX40" s="23">
        <f>'QTR Raw'!S28</f>
        <v>35.68</v>
      </c>
      <c r="AY40" s="23">
        <f>'QTR Raw'!T28</f>
        <v>40.54</v>
      </c>
      <c r="AZ40" s="23">
        <f>'QTR Raw'!U28</f>
        <v>38.85</v>
      </c>
      <c r="BA40" s="23">
        <f>'QTR Raw'!V28</f>
        <v>37.61</v>
      </c>
      <c r="BB40" s="23">
        <f>'QTR Raw'!W28</f>
        <v>38.32</v>
      </c>
      <c r="BC40" s="23">
        <f>'QTR Raw'!X28</f>
        <v>38.85</v>
      </c>
      <c r="BD40" s="23">
        <f>'QTR Raw'!Y28</f>
        <v>27.7</v>
      </c>
      <c r="BE40" s="23">
        <f>'QTR Raw'!Z28</f>
        <v>22.54</v>
      </c>
      <c r="BF40" s="23">
        <f>'QTR Raw'!AA28</f>
        <v>22.75</v>
      </c>
      <c r="BG40" s="23">
        <f>'QTR Raw'!AB28</f>
        <v>23.59</v>
      </c>
      <c r="BH40" s="23">
        <f>'QTR Raw'!AC28</f>
        <v>23.88</v>
      </c>
      <c r="BI40" s="23">
        <f>'QTR Raw'!AD28</f>
        <v>23.31</v>
      </c>
      <c r="BJ40" s="23">
        <f>'QTR Raw'!AE28</f>
        <v>22.01</v>
      </c>
      <c r="BK40" s="23">
        <f>'QTR Raw'!AF28</f>
        <v>22.66</v>
      </c>
      <c r="BL40" s="23">
        <f>'QTR Raw'!AG28</f>
        <v>22.42</v>
      </c>
      <c r="BM40" s="23">
        <f>'QTR Raw'!AH28</f>
        <v>27.07</v>
      </c>
      <c r="BN40" s="23">
        <f>'QTR Raw'!AI28</f>
        <v>24.9</v>
      </c>
      <c r="BO40" s="23">
        <f>'QTR Raw'!AJ28</f>
        <v>24.74</v>
      </c>
      <c r="BP40" s="23">
        <f>'QTR Raw'!AK28</f>
        <v>29.65</v>
      </c>
      <c r="BQ40" s="23">
        <f>'QTR Raw'!AL28</f>
        <v>25.26</v>
      </c>
      <c r="BR40" s="23">
        <f>'QTR Raw'!AM28</f>
        <v>28.4</v>
      </c>
      <c r="BS40" s="23">
        <f>'QTR Raw'!AN28</f>
        <v>28.75</v>
      </c>
      <c r="BT40" s="23">
        <f>'QTR Raw'!AO28</f>
        <v>22.73</v>
      </c>
      <c r="BU40" s="23">
        <f>'QTR Raw'!AP28</f>
        <v>25.92</v>
      </c>
      <c r="BV40" s="23">
        <f>'QTR Raw'!AQ28</f>
        <v>25.85</v>
      </c>
      <c r="BW40" s="23">
        <f>'QTR Raw'!AR28</f>
        <v>26.87</v>
      </c>
      <c r="BX40" s="23">
        <f>'QTR Raw'!AS28</f>
        <v>26.82</v>
      </c>
      <c r="BY40" s="23">
        <f>'QTR Raw'!AT28</f>
        <v>27.48</v>
      </c>
      <c r="BZ40" s="23">
        <f>'QTR Raw'!AU28</f>
        <v>29.23</v>
      </c>
      <c r="CA40" s="23">
        <f>'QTR Raw'!AV28</f>
        <v>30.29</v>
      </c>
      <c r="CB40" s="23">
        <f>'QTR Raw'!AW28</f>
        <v>32.92</v>
      </c>
      <c r="CC40" s="23">
        <f>'QTR Raw'!AX28</f>
        <v>31.42</v>
      </c>
      <c r="CD40" s="23">
        <f>'QTR Raw'!AY28</f>
        <v>30.97</v>
      </c>
      <c r="CE40" s="23">
        <f>'QTR Raw'!AZ28</f>
        <v>32.83</v>
      </c>
      <c r="CF40" s="23">
        <f>'QTR Raw'!BA28</f>
        <v>33.700000000000003</v>
      </c>
      <c r="CG40" s="23">
        <f>'QTR Raw'!BB28</f>
        <v>33.58</v>
      </c>
      <c r="CH40" s="23">
        <f>'QTR Raw'!BC28</f>
        <v>35.54</v>
      </c>
      <c r="CI40" s="23">
        <f>'QTR Raw'!BD28</f>
        <v>36.590000000000003</v>
      </c>
      <c r="CJ40" s="23">
        <v>39.64</v>
      </c>
      <c r="CK40" s="23">
        <f>'QTR Raw'!BF28</f>
        <v>42.36</v>
      </c>
      <c r="CL40" s="24">
        <f t="shared" ref="CL40:CZ40" si="430">CL41*CK142</f>
        <v>40.486023895062246</v>
      </c>
      <c r="CM40" s="24">
        <f t="shared" si="430"/>
        <v>40.464522545539687</v>
      </c>
      <c r="CN40" s="24">
        <f t="shared" si="430"/>
        <v>40.443972400342659</v>
      </c>
      <c r="CO40" s="24">
        <f t="shared" si="430"/>
        <v>40.424331378872076</v>
      </c>
      <c r="CP40" s="24">
        <f t="shared" si="430"/>
        <v>40.405559262144457</v>
      </c>
      <c r="CQ40" s="24">
        <f t="shared" si="430"/>
        <v>40.387617610435427</v>
      </c>
      <c r="CR40" s="24">
        <f t="shared" si="430"/>
        <v>40.370469684566466</v>
      </c>
      <c r="CS40" s="24">
        <f t="shared" si="430"/>
        <v>40.354080370674083</v>
      </c>
      <c r="CT40" s="24">
        <f t="shared" si="430"/>
        <v>40.338416108306973</v>
      </c>
      <c r="CU40" s="24">
        <f t="shared" si="430"/>
        <v>40.323444821704207</v>
      </c>
      <c r="CV40" s="24">
        <f t="shared" si="430"/>
        <v>40.309135854113563</v>
      </c>
      <c r="CW40" s="24">
        <f t="shared" si="430"/>
        <v>40.295459905015633</v>
      </c>
      <c r="CX40" s="24">
        <f t="shared" si="430"/>
        <v>40.28238897012502</v>
      </c>
      <c r="CY40" s="24">
        <f t="shared" si="430"/>
        <v>40.269896284045885</v>
      </c>
      <c r="CZ40" s="24">
        <f t="shared" si="430"/>
        <v>40.257956265464351</v>
      </c>
      <c r="DB40" s="123"/>
      <c r="DC40" s="23">
        <v>0</v>
      </c>
    </row>
    <row r="41" spans="1:107" s="46" customFormat="1" x14ac:dyDescent="0.2">
      <c r="A41" s="46" t="s">
        <v>483</v>
      </c>
      <c r="B41" s="46">
        <f t="shared" ref="B41:D41" si="431">+B40/B142</f>
        <v>0.11681057576655682</v>
      </c>
      <c r="C41" s="46">
        <f t="shared" si="431"/>
        <v>0.1273695442869904</v>
      </c>
      <c r="D41" s="46">
        <f t="shared" si="431"/>
        <v>0.11541040340114803</v>
      </c>
      <c r="E41" s="46">
        <f t="shared" ref="E41:AD41" si="432">+E40/E142</f>
        <v>0.10715366514617797</v>
      </c>
      <c r="F41" s="46">
        <f t="shared" si="432"/>
        <v>0.10209383083378666</v>
      </c>
      <c r="G41" s="46">
        <f t="shared" si="432"/>
        <v>8.6165052099458253E-2</v>
      </c>
      <c r="H41" s="46">
        <f t="shared" si="432"/>
        <v>9.2080011411366708E-2</v>
      </c>
      <c r="I41" s="46">
        <f t="shared" si="432"/>
        <v>6.7201018627509365E-2</v>
      </c>
      <c r="J41" s="46">
        <f t="shared" si="432"/>
        <v>7.2060120369093858E-2</v>
      </c>
      <c r="K41" s="46">
        <f t="shared" si="432"/>
        <v>6.7926625128543819E-2</v>
      </c>
      <c r="L41" s="46">
        <f t="shared" si="432"/>
        <v>7.1229663058174617E-2</v>
      </c>
      <c r="M41" s="46">
        <f t="shared" si="432"/>
        <v>8.1481673761810813E-2</v>
      </c>
      <c r="N41" s="46">
        <f t="shared" si="432"/>
        <v>7.7123490153336222E-2</v>
      </c>
      <c r="O41" s="46">
        <f t="shared" si="432"/>
        <v>8.371364752851429E-2</v>
      </c>
      <c r="P41" s="46">
        <f t="shared" si="432"/>
        <v>0.12319488817891375</v>
      </c>
      <c r="Q41" s="46">
        <f t="shared" si="432"/>
        <v>0.12490794297015285</v>
      </c>
      <c r="R41" s="46">
        <f t="shared" si="432"/>
        <v>8.6356036306558401E-2</v>
      </c>
      <c r="S41" s="46">
        <f t="shared" si="432"/>
        <v>0.10558666848791147</v>
      </c>
      <c r="T41" s="46">
        <f t="shared" si="432"/>
        <v>0.12433465828599724</v>
      </c>
      <c r="U41" s="46">
        <f t="shared" si="432"/>
        <v>0.15669630651859753</v>
      </c>
      <c r="V41" s="46">
        <f t="shared" si="432"/>
        <v>0.12799740764744005</v>
      </c>
      <c r="W41" s="46">
        <f t="shared" si="432"/>
        <v>0.11836527047651346</v>
      </c>
      <c r="X41" s="46">
        <f t="shared" si="432"/>
        <v>0.12245106348217659</v>
      </c>
      <c r="Y41" s="46">
        <f t="shared" si="432"/>
        <v>0.12310571698671732</v>
      </c>
      <c r="Z41" s="46">
        <f t="shared" ref="Z41" si="433">+Z40/Z142</f>
        <v>0.12331796766430532</v>
      </c>
      <c r="AA41" s="110">
        <f t="shared" si="432"/>
        <v>0.17893539800793806</v>
      </c>
      <c r="AB41" s="110">
        <f t="shared" si="432"/>
        <v>0.17691962962022276</v>
      </c>
      <c r="AC41" s="110">
        <f t="shared" si="432"/>
        <v>0.17692578750625013</v>
      </c>
      <c r="AD41" s="110">
        <f t="shared" si="432"/>
        <v>0.17693094162301073</v>
      </c>
      <c r="AH41" s="46" t="e">
        <f t="shared" ref="AH41:BM41" si="434">+AH40/AG142</f>
        <v>#DIV/0!</v>
      </c>
      <c r="AI41" s="46" t="e">
        <f t="shared" si="434"/>
        <v>#DIV/0!</v>
      </c>
      <c r="AJ41" s="46">
        <f t="shared" si="434"/>
        <v>-1.0233042030794839</v>
      </c>
      <c r="AK41" s="46">
        <f t="shared" si="434"/>
        <v>1.8233639324844536E-2</v>
      </c>
      <c r="AL41" s="46">
        <f t="shared" si="434"/>
        <v>1.9567627076468329E-2</v>
      </c>
      <c r="AM41" s="46">
        <f t="shared" si="434"/>
        <v>1.8284276801068772E-2</v>
      </c>
      <c r="AN41" s="46">
        <f t="shared" si="434"/>
        <v>1.9544115411620787E-2</v>
      </c>
      <c r="AO41" s="46">
        <f t="shared" si="434"/>
        <v>1.9047949965253649E-2</v>
      </c>
      <c r="AP41" s="46">
        <f t="shared" si="434"/>
        <v>1.9736609072039332E-2</v>
      </c>
      <c r="AQ41" s="46">
        <f t="shared" si="434"/>
        <v>1.9778900644873119E-2</v>
      </c>
      <c r="AR41" s="46">
        <f t="shared" si="434"/>
        <v>2.0790316838732645E-2</v>
      </c>
      <c r="AS41" s="46">
        <f t="shared" si="434"/>
        <v>2.950114218251168E-2</v>
      </c>
      <c r="AT41" s="46">
        <f t="shared" si="434"/>
        <v>2.6971581584175518E-2</v>
      </c>
      <c r="AU41" s="46">
        <f t="shared" si="434"/>
        <v>2.6303256768143018E-2</v>
      </c>
      <c r="AV41" s="46">
        <f t="shared" si="434"/>
        <v>3.3251815342939917E-2</v>
      </c>
      <c r="AW41" s="46">
        <f t="shared" si="434"/>
        <v>2.67148283309749E-2</v>
      </c>
      <c r="AX41" s="46">
        <f t="shared" si="434"/>
        <v>2.7302709610278305E-2</v>
      </c>
      <c r="AY41" s="46">
        <f t="shared" si="434"/>
        <v>3.0731677734315774E-2</v>
      </c>
      <c r="AZ41" s="46">
        <f t="shared" si="434"/>
        <v>3.0384320595642174E-2</v>
      </c>
      <c r="BA41" s="46">
        <f t="shared" si="434"/>
        <v>2.8434478222410388E-2</v>
      </c>
      <c r="BB41" s="46">
        <f t="shared" si="434"/>
        <v>2.9819155227690103E-2</v>
      </c>
      <c r="BC41" s="46">
        <f t="shared" si="434"/>
        <v>3.1486044023730023E-2</v>
      </c>
      <c r="BD41" s="46">
        <f t="shared" si="434"/>
        <v>2.3179334410014806E-2</v>
      </c>
      <c r="BE41" s="46">
        <f t="shared" si="434"/>
        <v>1.8495724812498972E-2</v>
      </c>
      <c r="BF41" s="46">
        <f t="shared" si="434"/>
        <v>1.9019830786208738E-2</v>
      </c>
      <c r="BG41" s="46">
        <f t="shared" si="434"/>
        <v>1.8844411781152395E-2</v>
      </c>
      <c r="BH41" s="46">
        <f t="shared" si="434"/>
        <v>1.9442454243470332E-2</v>
      </c>
      <c r="BI41" s="46">
        <f t="shared" si="434"/>
        <v>2.6098931858387263E-2</v>
      </c>
      <c r="BJ41" s="46">
        <f t="shared" si="434"/>
        <v>2.5303794994424197E-2</v>
      </c>
      <c r="BK41" s="46">
        <f t="shared" si="434"/>
        <v>3.0872355209199034E-2</v>
      </c>
      <c r="BL41" s="46">
        <f t="shared" si="434"/>
        <v>3.151842323534787E-2</v>
      </c>
      <c r="BM41" s="46">
        <f t="shared" si="434"/>
        <v>3.6497728161361216E-2</v>
      </c>
      <c r="BN41" s="46">
        <f t="shared" ref="BN41:CK41" si="435">+BN40/BM142</f>
        <v>3.484369315160505E-2</v>
      </c>
      <c r="BO41" s="46">
        <f t="shared" si="435"/>
        <v>3.4162305472320798E-2</v>
      </c>
      <c r="BP41" s="46">
        <f t="shared" si="435"/>
        <v>4.239044963900207E-2</v>
      </c>
      <c r="BQ41" s="46">
        <f t="shared" si="435"/>
        <v>3.5655807125515214E-2</v>
      </c>
      <c r="BR41" s="46">
        <f t="shared" si="435"/>
        <v>4.1570303580315576E-2</v>
      </c>
      <c r="BS41" s="46">
        <f t="shared" si="435"/>
        <v>3.9657360406091371E-2</v>
      </c>
      <c r="BT41" s="46">
        <f t="shared" si="435"/>
        <v>3.2648195228451186E-2</v>
      </c>
      <c r="BU41" s="46">
        <f t="shared" si="435"/>
        <v>3.3598195652455705E-2</v>
      </c>
      <c r="BV41" s="46">
        <f t="shared" si="435"/>
        <v>3.4672389511099189E-2</v>
      </c>
      <c r="BW41" s="46">
        <f t="shared" si="435"/>
        <v>3.4897463537540425E-2</v>
      </c>
      <c r="BX41" s="46">
        <f t="shared" si="435"/>
        <v>3.6092046830843764E-2</v>
      </c>
      <c r="BY41" s="46">
        <f t="shared" si="435"/>
        <v>3.2027972027972029E-2</v>
      </c>
      <c r="BZ41" s="46">
        <f t="shared" si="435"/>
        <v>3.5194817704570634E-2</v>
      </c>
      <c r="CA41" s="46">
        <f t="shared" si="435"/>
        <v>3.4411069708261383E-2</v>
      </c>
      <c r="CB41" s="46">
        <f t="shared" si="435"/>
        <v>3.8731690099417612E-2</v>
      </c>
      <c r="CC41" s="46">
        <f t="shared" si="435"/>
        <v>3.3498230201714357E-2</v>
      </c>
      <c r="CD41" s="46">
        <f t="shared" si="435"/>
        <v>3.4162860987932135E-2</v>
      </c>
      <c r="CE41" s="46">
        <f t="shared" si="435"/>
        <v>3.4529907338262673E-2</v>
      </c>
      <c r="CF41" s="46">
        <f t="shared" si="435"/>
        <v>3.6712639170316148E-2</v>
      </c>
      <c r="CG41" s="46">
        <f t="shared" si="435"/>
        <v>3.3979256261067542E-2</v>
      </c>
      <c r="CH41" s="46">
        <f t="shared" si="435"/>
        <v>3.7227523646914638E-2</v>
      </c>
      <c r="CI41" s="46">
        <f t="shared" si="435"/>
        <v>3.5395405078597342E-2</v>
      </c>
      <c r="CJ41" s="46">
        <f>CI41</f>
        <v>3.5395405078597342E-2</v>
      </c>
      <c r="CK41" s="46">
        <f t="shared" si="435"/>
        <v>4.423928481911605E-2</v>
      </c>
      <c r="CL41" s="47">
        <f t="shared" ref="CL41:CZ41" si="436">+CK41</f>
        <v>4.423928481911605E-2</v>
      </c>
      <c r="CM41" s="47">
        <f t="shared" si="436"/>
        <v>4.423928481911605E-2</v>
      </c>
      <c r="CN41" s="47">
        <f t="shared" si="436"/>
        <v>4.423928481911605E-2</v>
      </c>
      <c r="CO41" s="47">
        <f t="shared" si="436"/>
        <v>4.423928481911605E-2</v>
      </c>
      <c r="CP41" s="47">
        <f t="shared" si="436"/>
        <v>4.423928481911605E-2</v>
      </c>
      <c r="CQ41" s="47">
        <f t="shared" si="436"/>
        <v>4.423928481911605E-2</v>
      </c>
      <c r="CR41" s="47">
        <f t="shared" si="436"/>
        <v>4.423928481911605E-2</v>
      </c>
      <c r="CS41" s="47">
        <f t="shared" si="436"/>
        <v>4.423928481911605E-2</v>
      </c>
      <c r="CT41" s="47">
        <f t="shared" si="436"/>
        <v>4.423928481911605E-2</v>
      </c>
      <c r="CU41" s="47">
        <f t="shared" si="436"/>
        <v>4.423928481911605E-2</v>
      </c>
      <c r="CV41" s="47">
        <f t="shared" si="436"/>
        <v>4.423928481911605E-2</v>
      </c>
      <c r="CW41" s="47">
        <f t="shared" si="436"/>
        <v>4.423928481911605E-2</v>
      </c>
      <c r="CX41" s="47">
        <f t="shared" si="436"/>
        <v>4.423928481911605E-2</v>
      </c>
      <c r="CY41" s="47">
        <f t="shared" si="436"/>
        <v>4.423928481911605E-2</v>
      </c>
      <c r="CZ41" s="47">
        <f t="shared" si="436"/>
        <v>4.423928481911605E-2</v>
      </c>
      <c r="DB41" s="130"/>
      <c r="DC41" s="46" t="e">
        <v>#DIV/0!</v>
      </c>
    </row>
    <row r="42" spans="1:107" s="26" customFormat="1" x14ac:dyDescent="0.2">
      <c r="A42" s="34" t="s">
        <v>16</v>
      </c>
      <c r="B42" s="26">
        <f>B36-B40</f>
        <v>82.721799999999888</v>
      </c>
      <c r="C42" s="26">
        <f t="shared" ref="C42:T42" si="437">C36-C40</f>
        <v>100.99489999999996</v>
      </c>
      <c r="D42" s="26">
        <f>D36-D40</f>
        <v>123.47589999999997</v>
      </c>
      <c r="E42" s="26">
        <f t="shared" si="437"/>
        <v>198.00319999999985</v>
      </c>
      <c r="F42" s="26">
        <f t="shared" si="437"/>
        <v>301.79140000000001</v>
      </c>
      <c r="G42" s="26">
        <f t="shared" si="437"/>
        <v>454.86189999999965</v>
      </c>
      <c r="H42" s="26">
        <f t="shared" si="437"/>
        <v>707.33470000000057</v>
      </c>
      <c r="I42" s="26">
        <f t="shared" si="437"/>
        <v>752.20429999999976</v>
      </c>
      <c r="J42" s="26">
        <f t="shared" si="437"/>
        <v>499.17500000000007</v>
      </c>
      <c r="K42" s="26">
        <f t="shared" si="437"/>
        <v>49.692600000000418</v>
      </c>
      <c r="L42" s="26">
        <f t="shared" si="437"/>
        <v>273.23999999999995</v>
      </c>
      <c r="M42" s="26">
        <f t="shared" si="437"/>
        <v>261.17999999999989</v>
      </c>
      <c r="N42" s="26">
        <f t="shared" si="437"/>
        <v>381.52999999999969</v>
      </c>
      <c r="O42" s="26">
        <f t="shared" si="437"/>
        <v>458.94000000000045</v>
      </c>
      <c r="P42" s="26">
        <f t="shared" si="437"/>
        <v>567.04000000000156</v>
      </c>
      <c r="Q42" s="26">
        <f t="shared" si="437"/>
        <v>559.2900000000011</v>
      </c>
      <c r="R42" s="26">
        <f t="shared" si="437"/>
        <v>308.56999999999994</v>
      </c>
      <c r="S42" s="26">
        <f t="shared" si="437"/>
        <v>371.35000000000059</v>
      </c>
      <c r="T42" s="26">
        <f t="shared" si="437"/>
        <v>418.69000000000017</v>
      </c>
      <c r="U42" s="26">
        <f t="shared" ref="U42:Y42" si="438">U36-U40</f>
        <v>145.21000000000015</v>
      </c>
      <c r="V42" s="26">
        <f t="shared" si="438"/>
        <v>412.75999999999982</v>
      </c>
      <c r="W42" s="26">
        <f t="shared" si="438"/>
        <v>805.40000000000123</v>
      </c>
      <c r="X42" s="26">
        <f t="shared" si="438"/>
        <v>1369.8600000000006</v>
      </c>
      <c r="Y42" s="26">
        <f t="shared" si="438"/>
        <v>2167.5400000000009</v>
      </c>
      <c r="Z42" s="26">
        <f t="shared" ref="Z42" si="439">Z36-Z40</f>
        <v>1864.5699999999995</v>
      </c>
      <c r="AA42" s="27">
        <f t="shared" ref="AA42:AD42" si="440">AA36-AA40</f>
        <v>1876.7608025565521</v>
      </c>
      <c r="AB42" s="27">
        <f t="shared" si="440"/>
        <v>2410.9794866794782</v>
      </c>
      <c r="AC42" s="27">
        <f t="shared" si="440"/>
        <v>2601.9849924481009</v>
      </c>
      <c r="AD42" s="27">
        <f t="shared" si="440"/>
        <v>3082.5854356451136</v>
      </c>
      <c r="AH42" s="26">
        <f t="shared" ref="AH42" si="441">AH36-AH40</f>
        <v>82.860000000000127</v>
      </c>
      <c r="AI42" s="26">
        <f t="shared" ref="AI42" si="442">AI36-AI40</f>
        <v>42.359999999999758</v>
      </c>
      <c r="AJ42" s="26">
        <f t="shared" ref="AJ42:AL42" si="443">AJ36-AJ40</f>
        <v>42.000000000000256</v>
      </c>
      <c r="AK42" s="26">
        <f t="shared" si="443"/>
        <v>82.529999999999973</v>
      </c>
      <c r="AL42" s="26">
        <f t="shared" si="443"/>
        <v>81.93000000000022</v>
      </c>
      <c r="AM42" s="26">
        <f t="shared" ref="AM42:AN42" si="444">AM36-AM40</f>
        <v>79.690000000000182</v>
      </c>
      <c r="AN42" s="26">
        <f t="shared" si="444"/>
        <v>122.45999999999992</v>
      </c>
      <c r="AO42" s="26">
        <f t="shared" ref="AO42:CC42" si="445">AO36-AO40</f>
        <v>98.310000000000031</v>
      </c>
      <c r="AP42" s="26">
        <f t="shared" si="445"/>
        <v>97.949999999999946</v>
      </c>
      <c r="AQ42" s="26">
        <f t="shared" si="445"/>
        <v>95.789999999999878</v>
      </c>
      <c r="AR42" s="26">
        <f t="shared" si="445"/>
        <v>150.82999999999998</v>
      </c>
      <c r="AS42" s="26">
        <f t="shared" si="445"/>
        <v>101.37000000000003</v>
      </c>
      <c r="AT42" s="26">
        <f t="shared" si="445"/>
        <v>112.54000000000033</v>
      </c>
      <c r="AU42" s="26">
        <f t="shared" si="445"/>
        <v>119.84000000000012</v>
      </c>
      <c r="AV42" s="26">
        <f t="shared" si="445"/>
        <v>218.95999999999987</v>
      </c>
      <c r="AW42" s="26">
        <f t="shared" si="445"/>
        <v>137.01999999999998</v>
      </c>
      <c r="AX42" s="26">
        <f t="shared" si="445"/>
        <v>77.889999999999702</v>
      </c>
      <c r="AY42" s="26">
        <f t="shared" si="445"/>
        <v>77.709999999999553</v>
      </c>
      <c r="AZ42" s="26">
        <f t="shared" si="445"/>
        <v>250.95999999999984</v>
      </c>
      <c r="BA42" s="26">
        <f t="shared" si="445"/>
        <v>123.28000000000033</v>
      </c>
      <c r="BB42" s="26">
        <f t="shared" si="445"/>
        <v>108.99999999999937</v>
      </c>
      <c r="BC42" s="26">
        <f t="shared" si="445"/>
        <v>95.299999999999642</v>
      </c>
      <c r="BD42" s="26">
        <f t="shared" si="445"/>
        <v>117.88999999999992</v>
      </c>
      <c r="BE42" s="26">
        <f t="shared" si="445"/>
        <v>66.940000000000026</v>
      </c>
      <c r="BF42" s="26">
        <f t="shared" si="445"/>
        <v>66.619999999999777</v>
      </c>
      <c r="BG42" s="26">
        <f t="shared" si="445"/>
        <v>41.140000000000015</v>
      </c>
      <c r="BH42" s="26">
        <f t="shared" si="445"/>
        <v>191.55000000000013</v>
      </c>
      <c r="BI42" s="26">
        <f t="shared" si="445"/>
        <v>122.21000000000009</v>
      </c>
      <c r="BJ42" s="26">
        <f t="shared" si="445"/>
        <v>101.86</v>
      </c>
      <c r="BK42" s="26">
        <f t="shared" si="445"/>
        <v>100.6999999999999</v>
      </c>
      <c r="BL42" s="26">
        <f t="shared" si="445"/>
        <v>115.97999999999986</v>
      </c>
      <c r="BM42" s="26">
        <f t="shared" si="445"/>
        <v>-12.57</v>
      </c>
      <c r="BN42" s="26">
        <f t="shared" si="445"/>
        <v>-1.459999999999944</v>
      </c>
      <c r="BO42" s="26">
        <f t="shared" si="445"/>
        <v>96.659999999999869</v>
      </c>
      <c r="BP42" s="26">
        <f t="shared" si="445"/>
        <v>55.659999999999833</v>
      </c>
      <c r="BQ42" s="26">
        <f t="shared" si="445"/>
        <v>78.280000000000072</v>
      </c>
      <c r="BR42" s="26">
        <f t="shared" si="445"/>
        <v>66.350000000000108</v>
      </c>
      <c r="BS42" s="26">
        <f t="shared" si="445"/>
        <v>152.56000000000006</v>
      </c>
      <c r="BT42" s="26">
        <f t="shared" si="445"/>
        <v>162.46999999999983</v>
      </c>
      <c r="BU42" s="26">
        <f t="shared" si="445"/>
        <v>161.80999999999989</v>
      </c>
      <c r="BV42" s="26">
        <f t="shared" si="445"/>
        <v>180.65</v>
      </c>
      <c r="BW42" s="26">
        <f t="shared" si="445"/>
        <v>184.0799999999997</v>
      </c>
      <c r="BX42" s="26">
        <f t="shared" si="445"/>
        <v>337.46000000000043</v>
      </c>
      <c r="BY42" s="26">
        <f t="shared" si="445"/>
        <v>257.8299999999997</v>
      </c>
      <c r="BZ42" s="26">
        <f t="shared" si="445"/>
        <v>319.49000000000024</v>
      </c>
      <c r="CA42" s="26">
        <f t="shared" si="445"/>
        <v>408.23999999999995</v>
      </c>
      <c r="CB42" s="26">
        <f t="shared" si="445"/>
        <v>384.2999999999999</v>
      </c>
      <c r="CC42" s="26">
        <f t="shared" si="445"/>
        <v>533.75999999999965</v>
      </c>
      <c r="CD42" s="26">
        <f t="shared" ref="CD42:CE42" si="446">CD36-CD40</f>
        <v>511.5200000000001</v>
      </c>
      <c r="CE42" s="26">
        <f t="shared" si="446"/>
        <v>507.39000000000016</v>
      </c>
      <c r="CF42" s="26">
        <f t="shared" ref="CF42:CG42" si="447">CF36-CF40</f>
        <v>623.64000000000033</v>
      </c>
      <c r="CG42" s="26">
        <f t="shared" si="447"/>
        <v>526.02000000000032</v>
      </c>
      <c r="CH42" s="26">
        <f t="shared" ref="CH42:CJ42" si="448">CH36-CH40</f>
        <v>378.5499999999999</v>
      </c>
      <c r="CI42" s="26">
        <f t="shared" si="448"/>
        <v>463.79999999999973</v>
      </c>
      <c r="CJ42" s="26">
        <f t="shared" si="448"/>
        <v>572.55000000000007</v>
      </c>
      <c r="CK42" s="26">
        <f t="shared" ref="CK42" si="449">CK36-CK40</f>
        <v>366.03999999999985</v>
      </c>
      <c r="CL42" s="27">
        <f t="shared" ref="CL42:CZ42" si="450">CL36-CL40</f>
        <v>488.22467971034183</v>
      </c>
      <c r="CM42" s="27">
        <f t="shared" si="450"/>
        <v>509.32208331645052</v>
      </c>
      <c r="CN42" s="27">
        <f t="shared" si="450"/>
        <v>513.17403952975917</v>
      </c>
      <c r="CO42" s="27">
        <f t="shared" si="450"/>
        <v>545.31232126253065</v>
      </c>
      <c r="CP42" s="27">
        <f t="shared" si="450"/>
        <v>622.54808410337603</v>
      </c>
      <c r="CQ42" s="27">
        <f t="shared" si="450"/>
        <v>620.46902231043714</v>
      </c>
      <c r="CR42" s="27">
        <f t="shared" si="450"/>
        <v>622.65005900313361</v>
      </c>
      <c r="CS42" s="27">
        <f t="shared" si="450"/>
        <v>623.92172978834685</v>
      </c>
      <c r="CT42" s="27">
        <f t="shared" si="450"/>
        <v>677.87334390748106</v>
      </c>
      <c r="CU42" s="27">
        <f t="shared" si="450"/>
        <v>657.90453808688949</v>
      </c>
      <c r="CV42" s="27">
        <f t="shared" si="450"/>
        <v>642.28538066538124</v>
      </c>
      <c r="CW42" s="27">
        <f t="shared" si="450"/>
        <v>733.07271921565984</v>
      </c>
      <c r="CX42" s="27">
        <f t="shared" si="450"/>
        <v>791.71213489324771</v>
      </c>
      <c r="CY42" s="27">
        <f t="shared" si="450"/>
        <v>778.5626207031155</v>
      </c>
      <c r="CZ42" s="27">
        <f t="shared" si="450"/>
        <v>779.23796083309117</v>
      </c>
      <c r="DB42" s="121"/>
      <c r="DC42" s="26">
        <v>0</v>
      </c>
    </row>
    <row r="43" spans="1:107" s="23" customFormat="1" x14ac:dyDescent="0.2">
      <c r="A43" s="23" t="s">
        <v>17</v>
      </c>
      <c r="B43" s="23">
        <f>'Annual Raw'!C23</f>
        <v>14.5845</v>
      </c>
      <c r="C43" s="23">
        <f>'Annual Raw'!D23</f>
        <v>27.8675</v>
      </c>
      <c r="D43" s="23">
        <f>'Annual Raw'!E23</f>
        <v>34.699399999999997</v>
      </c>
      <c r="E43" s="23">
        <f>'Annual Raw'!F23</f>
        <v>45.520299999999999</v>
      </c>
      <c r="F43" s="23">
        <f>'Annual Raw'!G23</f>
        <v>51.085700000000003</v>
      </c>
      <c r="G43" s="23">
        <f>'Annual Raw'!H23</f>
        <v>78.439899999999994</v>
      </c>
      <c r="H43" s="23">
        <f>'Annual Raw'!I23</f>
        <v>71.045400000000001</v>
      </c>
      <c r="I43" s="23">
        <f>'Annual Raw'!J23</f>
        <v>130.41919999999999</v>
      </c>
      <c r="J43" s="23">
        <f>'Annual Raw'!K23</f>
        <v>72.569599999999994</v>
      </c>
      <c r="K43" s="23">
        <f>'Annual Raw'!L23</f>
        <v>85.523600000000002</v>
      </c>
      <c r="L43" s="23">
        <f>'Annual Raw'!M23</f>
        <v>41.15</v>
      </c>
      <c r="M43" s="23">
        <f>'Annual Raw'!N23</f>
        <v>7.26</v>
      </c>
      <c r="N43" s="23">
        <f>'Annual Raw'!O23</f>
        <v>6.99</v>
      </c>
      <c r="O43" s="23">
        <f>'Annual Raw'!P23</f>
        <v>18.309999999999999</v>
      </c>
      <c r="P43" s="23">
        <f>'Annual Raw'!Q23</f>
        <v>13.78</v>
      </c>
      <c r="Q43" s="23">
        <f>'Annual Raw'!R23</f>
        <v>121.57</v>
      </c>
      <c r="R43" s="23">
        <f>'Annual Raw'!S23</f>
        <v>87.34</v>
      </c>
      <c r="S43" s="23">
        <f>'Annual Raw'!T23</f>
        <v>84.01</v>
      </c>
      <c r="T43" s="23">
        <f>'Annual Raw'!U23</f>
        <v>123.2</v>
      </c>
      <c r="U43" s="23">
        <f>'Annual Raw'!V23</f>
        <v>124.99</v>
      </c>
      <c r="V43" s="23">
        <f>'Annual Raw'!W23</f>
        <v>208.86</v>
      </c>
      <c r="W43" s="23">
        <f>'Annual Raw'!X23</f>
        <v>233.53</v>
      </c>
      <c r="X43" s="23">
        <f>'Annual Raw'!Y23</f>
        <v>301.69</v>
      </c>
      <c r="Y43" s="23">
        <f>'Annual Raw'!Z23</f>
        <v>362.17</v>
      </c>
      <c r="Z43" s="23">
        <f>'Annual Raw'!AA23</f>
        <v>385.26</v>
      </c>
      <c r="AA43" s="76">
        <f>+SUM(CK43:CN43)</f>
        <v>99.64</v>
      </c>
      <c r="AB43" s="76">
        <f>+SUM(CO43:CR43)</f>
        <v>0</v>
      </c>
      <c r="AC43" s="76">
        <f>+SUM(CS43:CV43)</f>
        <v>0</v>
      </c>
      <c r="AD43" s="76">
        <f>SUM(CW43:CZ43)</f>
        <v>0</v>
      </c>
      <c r="AH43" s="23">
        <f>'QTR Raw'!C23</f>
        <v>1.42</v>
      </c>
      <c r="AI43" s="23">
        <f>'QTR Raw'!D23</f>
        <v>0.95</v>
      </c>
      <c r="AJ43" s="23">
        <f>'QTR Raw'!E23</f>
        <v>2.82</v>
      </c>
      <c r="AK43" s="23">
        <f>'QTR Raw'!F23</f>
        <v>1.54</v>
      </c>
      <c r="AL43" s="23">
        <f>'QTR Raw'!G23</f>
        <v>3.84</v>
      </c>
      <c r="AM43" s="23">
        <f>'QTR Raw'!H23</f>
        <v>0.92</v>
      </c>
      <c r="AN43" s="23">
        <f>'QTR Raw'!I23</f>
        <v>0.69</v>
      </c>
      <c r="AO43" s="23">
        <f>'QTR Raw'!J23</f>
        <v>1.1299999999999999</v>
      </c>
      <c r="AP43" s="23">
        <f>'QTR Raw'!K23</f>
        <v>0.41</v>
      </c>
      <c r="AQ43" s="23">
        <f>'QTR Raw'!L23</f>
        <v>1.05</v>
      </c>
      <c r="AR43" s="23">
        <f>'QTR Raw'!M23</f>
        <v>14.69</v>
      </c>
      <c r="AS43" s="23">
        <f>'QTR Raw'!N23</f>
        <v>0.72</v>
      </c>
      <c r="AT43" s="23">
        <f>'QTR Raw'!O23</f>
        <v>1.02</v>
      </c>
      <c r="AU43" s="23">
        <f>'QTR Raw'!P23</f>
        <v>0.52</v>
      </c>
      <c r="AV43" s="23">
        <f>'QTR Raw'!Q23</f>
        <v>10.78</v>
      </c>
      <c r="AW43" s="23">
        <f>'QTR Raw'!R23</f>
        <v>14.92</v>
      </c>
      <c r="AX43" s="23">
        <f>'QTR Raw'!S23</f>
        <v>29.9</v>
      </c>
      <c r="AY43" s="23">
        <f>'QTR Raw'!T23</f>
        <v>51.36</v>
      </c>
      <c r="AZ43" s="23">
        <f>'QTR Raw'!U23</f>
        <v>25.39</v>
      </c>
      <c r="BA43" s="23">
        <f>'QTR Raw'!V23</f>
        <v>31.84</v>
      </c>
      <c r="BB43" s="23">
        <f>'QTR Raw'!W23</f>
        <v>32.58</v>
      </c>
      <c r="BC43" s="23">
        <f>'QTR Raw'!X23</f>
        <v>37.75</v>
      </c>
      <c r="BD43" s="23">
        <f>'QTR Raw'!Y23</f>
        <v>16.73</v>
      </c>
      <c r="BE43" s="23">
        <f>'QTR Raw'!Z23</f>
        <v>22.81</v>
      </c>
      <c r="BF43" s="23">
        <f>'QTR Raw'!AA23</f>
        <v>18.329999999999998</v>
      </c>
      <c r="BG43" s="23">
        <f>'QTR Raw'!AB23</f>
        <v>26.89</v>
      </c>
      <c r="BH43" s="23">
        <f>'QTR Raw'!AC23</f>
        <v>15.98</v>
      </c>
      <c r="BI43" s="23">
        <f>'QTR Raw'!AD23</f>
        <v>19.12</v>
      </c>
      <c r="BJ43" s="23">
        <f>'QTR Raw'!AE23</f>
        <v>20.37</v>
      </c>
      <c r="BK43" s="23">
        <f>'QTR Raw'!AF23</f>
        <v>16.41</v>
      </c>
      <c r="BL43" s="23">
        <f>'QTR Raw'!AG23</f>
        <v>38.409999999999997</v>
      </c>
      <c r="BM43" s="23">
        <f>'QTR Raw'!AH23</f>
        <v>45.78</v>
      </c>
      <c r="BN43" s="23">
        <f>'QTR Raw'!AI23</f>
        <v>26.62</v>
      </c>
      <c r="BO43" s="23">
        <f>'QTR Raw'!AJ23</f>
        <v>20.100000000000001</v>
      </c>
      <c r="BP43" s="23">
        <f>'QTR Raw'!AK23</f>
        <v>31.66</v>
      </c>
      <c r="BQ43" s="23">
        <f>'QTR Raw'!AL23</f>
        <v>53.97</v>
      </c>
      <c r="BR43" s="23">
        <f>'QTR Raw'!AM23</f>
        <v>25.21</v>
      </c>
      <c r="BS43" s="23">
        <f>'QTR Raw'!AN23</f>
        <v>14.87</v>
      </c>
      <c r="BT43" s="23">
        <f>'QTR Raw'!AO23</f>
        <v>59.92</v>
      </c>
      <c r="BU43" s="23">
        <f>'QTR Raw'!AP23</f>
        <v>37.6</v>
      </c>
      <c r="BV43" s="23">
        <f>'QTR Raw'!AQ23</f>
        <v>25.3</v>
      </c>
      <c r="BW43" s="23">
        <f>'QTR Raw'!AR23</f>
        <v>46.88</v>
      </c>
      <c r="BX43" s="23">
        <f>'QTR Raw'!AS23</f>
        <v>70.010000000000005</v>
      </c>
      <c r="BY43" s="23">
        <f>'QTR Raw'!AT23</f>
        <v>72.25</v>
      </c>
      <c r="BZ43" s="23">
        <f>'QTR Raw'!AU23</f>
        <v>75.03</v>
      </c>
      <c r="CA43" s="23">
        <f>'QTR Raw'!AV23</f>
        <v>76.819999999999993</v>
      </c>
      <c r="CB43" s="23">
        <f>'QTR Raw'!AW23</f>
        <v>77.59</v>
      </c>
      <c r="CC43" s="23">
        <f>'QTR Raw'!AX23</f>
        <v>87.14</v>
      </c>
      <c r="CD43" s="23">
        <f>'QTR Raw'!AY23</f>
        <v>86.75</v>
      </c>
      <c r="CE43" s="23">
        <f>'QTR Raw'!AZ23</f>
        <v>92.89</v>
      </c>
      <c r="CF43" s="23">
        <f>'QTR Raw'!BA23</f>
        <v>86.62</v>
      </c>
      <c r="CG43" s="23">
        <f>'QTR Raw'!BB23</f>
        <v>92.33</v>
      </c>
      <c r="CH43" s="23">
        <f>'QTR Raw'!BC23</f>
        <v>99.75</v>
      </c>
      <c r="CI43" s="23">
        <f>'QTR Raw'!BD23</f>
        <v>83.95</v>
      </c>
      <c r="CJ43" s="23">
        <v>76.33</v>
      </c>
      <c r="CK43" s="23">
        <f>'QTR Raw'!BF23</f>
        <v>99.64</v>
      </c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B43" s="123"/>
      <c r="DC43" s="23">
        <v>0</v>
      </c>
    </row>
    <row r="44" spans="1:107" s="23" customFormat="1" x14ac:dyDescent="0.2">
      <c r="A44" s="23" t="s">
        <v>18</v>
      </c>
      <c r="B44" s="23">
        <f>'Annual Raw'!C25</f>
        <v>12.227399999999999</v>
      </c>
      <c r="C44" s="23">
        <f>'Annual Raw'!D25</f>
        <v>5.8941999999999997</v>
      </c>
      <c r="D44" s="23">
        <f>'Annual Raw'!E25</f>
        <v>5.2826000000000004</v>
      </c>
      <c r="E44" s="23">
        <f>'Annual Raw'!F25</f>
        <v>7.0034999999999998</v>
      </c>
      <c r="F44" s="23">
        <f>'Annual Raw'!G25</f>
        <v>13.4001</v>
      </c>
      <c r="G44" s="23">
        <f>'Annual Raw'!H25</f>
        <v>10.095599999999999</v>
      </c>
      <c r="H44" s="23">
        <f>'Annual Raw'!I25</f>
        <v>21.923200000000001</v>
      </c>
      <c r="I44" s="23">
        <f>'Annual Raw'!J25</f>
        <v>49.3795</v>
      </c>
      <c r="J44" s="23">
        <f>'Annual Raw'!K25</f>
        <v>44.345199999999998</v>
      </c>
      <c r="K44" s="23">
        <f>'Annual Raw'!L25</f>
        <v>34.985900000000001</v>
      </c>
      <c r="L44" s="23">
        <f>'Annual Raw'!M25</f>
        <v>46.4</v>
      </c>
      <c r="M44" s="23">
        <f>'Annual Raw'!N25</f>
        <v>57.01</v>
      </c>
      <c r="N44" s="23">
        <f>'Annual Raw'!O25</f>
        <v>116.05</v>
      </c>
      <c r="O44" s="23">
        <f>'Annual Raw'!P25</f>
        <v>122.04</v>
      </c>
      <c r="P44" s="23">
        <f>'Annual Raw'!Q25</f>
        <v>106.23</v>
      </c>
      <c r="Q44" s="23">
        <f>'Annual Raw'!R25</f>
        <v>107.59</v>
      </c>
      <c r="R44" s="23">
        <f>'Annual Raw'!S25</f>
        <v>62.08</v>
      </c>
      <c r="S44" s="23">
        <f>'Annual Raw'!T25</f>
        <v>60.22</v>
      </c>
      <c r="T44" s="23">
        <f>'Annual Raw'!U25</f>
        <v>28.19</v>
      </c>
      <c r="U44" s="23">
        <f>'Annual Raw'!V25</f>
        <v>24.62</v>
      </c>
      <c r="V44" s="23">
        <f>'Annual Raw'!W25</f>
        <v>18.690000000000001</v>
      </c>
      <c r="W44" s="23">
        <f>'Annual Raw'!X25</f>
        <v>15.4</v>
      </c>
      <c r="X44" s="23">
        <f>'Annual Raw'!Y25</f>
        <v>12.66</v>
      </c>
      <c r="Y44" s="23">
        <f>'Annual Raw'!Z25</f>
        <v>16.45</v>
      </c>
      <c r="Z44" s="23">
        <f>'Annual Raw'!AA25</f>
        <v>19.89</v>
      </c>
      <c r="AA44" s="76">
        <f>+SUM(CK44:CN44)</f>
        <v>-348.16172837023021</v>
      </c>
      <c r="AB44" s="76">
        <f>+SUM(CO44:CR44)</f>
        <v>-560.27913356822853</v>
      </c>
      <c r="AC44" s="76">
        <f>+SUM(CS44:CV44)</f>
        <v>-685.1454450961013</v>
      </c>
      <c r="AD44" s="76">
        <f>SUM(CW44:CZ44)</f>
        <v>-823.7366501796223</v>
      </c>
      <c r="AH44" s="23">
        <f>'QTR Raw'!C25</f>
        <v>7.65</v>
      </c>
      <c r="AI44" s="23">
        <f>'QTR Raw'!D25</f>
        <v>11.72</v>
      </c>
      <c r="AJ44" s="23">
        <f>'QTR Raw'!E25</f>
        <v>18.47</v>
      </c>
      <c r="AK44" s="23">
        <f>'QTR Raw'!F25</f>
        <v>19.75</v>
      </c>
      <c r="AL44" s="23">
        <f>'QTR Raw'!G25</f>
        <v>25.6</v>
      </c>
      <c r="AM44" s="23">
        <f>'QTR Raw'!H25</f>
        <v>26.99</v>
      </c>
      <c r="AN44" s="23">
        <f>'QTR Raw'!I25</f>
        <v>28.79</v>
      </c>
      <c r="AO44" s="23">
        <f>'QTR Raw'!J25</f>
        <v>22.07</v>
      </c>
      <c r="AP44" s="23">
        <f>'QTR Raw'!K25</f>
        <v>25.36</v>
      </c>
      <c r="AQ44" s="23">
        <f>'QTR Raw'!L25</f>
        <v>27.54</v>
      </c>
      <c r="AR44" s="23">
        <f>'QTR Raw'!M25</f>
        <v>29.98</v>
      </c>
      <c r="AS44" s="23">
        <f>'QTR Raw'!N25</f>
        <v>20.8</v>
      </c>
      <c r="AT44" s="23">
        <f>'QTR Raw'!O25</f>
        <v>24.63</v>
      </c>
      <c r="AU44" s="23">
        <f>'QTR Raw'!P25</f>
        <v>24.99</v>
      </c>
      <c r="AV44" s="23">
        <f>'QTR Raw'!Q25</f>
        <v>20.74</v>
      </c>
      <c r="AW44" s="23">
        <f>'QTR Raw'!R25</f>
        <v>22.29</v>
      </c>
      <c r="AX44" s="23">
        <f>'QTR Raw'!S25</f>
        <v>19.71</v>
      </c>
      <c r="AY44" s="23">
        <f>'QTR Raw'!T25</f>
        <v>19.59</v>
      </c>
      <c r="AZ44" s="23">
        <f>'QTR Raw'!U25</f>
        <v>30.29</v>
      </c>
      <c r="BA44" s="23">
        <f>'QTR Raw'!V25</f>
        <v>21.18</v>
      </c>
      <c r="BB44" s="23">
        <f>'QTR Raw'!W25</f>
        <v>23.06</v>
      </c>
      <c r="BC44" s="23">
        <f>'QTR Raw'!X25</f>
        <v>15.24</v>
      </c>
      <c r="BD44" s="23">
        <f>'QTR Raw'!Y25</f>
        <v>13.56</v>
      </c>
      <c r="BE44" s="23">
        <f>'QTR Raw'!Z25</f>
        <v>19.850000000000001</v>
      </c>
      <c r="BF44" s="23">
        <f>'QTR Raw'!AA25</f>
        <v>15.04</v>
      </c>
      <c r="BG44" s="23">
        <f>'QTR Raw'!AB25</f>
        <v>13.74</v>
      </c>
      <c r="BH44" s="23">
        <f>'QTR Raw'!AC25</f>
        <v>5.27</v>
      </c>
      <c r="BI44" s="23">
        <f>'QTR Raw'!AD25</f>
        <v>2.64</v>
      </c>
      <c r="BJ44" s="23">
        <f>'QTR Raw'!AE25</f>
        <v>9.57</v>
      </c>
      <c r="BK44" s="23">
        <f>'QTR Raw'!AF25</f>
        <v>4.42</v>
      </c>
      <c r="BL44" s="23">
        <f>'QTR Raw'!AG25</f>
        <v>4.7300000000000004</v>
      </c>
      <c r="BM44" s="23">
        <f>'QTR Raw'!AH25</f>
        <v>3.39</v>
      </c>
      <c r="BN44" s="23">
        <f>'QTR Raw'!AI25</f>
        <v>3.75</v>
      </c>
      <c r="BO44" s="23">
        <f>'QTR Raw'!AJ25</f>
        <v>2.8</v>
      </c>
      <c r="BP44" s="23">
        <f>'QTR Raw'!AK25</f>
        <v>6.93</v>
      </c>
      <c r="BQ44" s="23">
        <f>'QTR Raw'!AL25</f>
        <v>3.18</v>
      </c>
      <c r="BR44" s="23">
        <f>'QTR Raw'!AM25</f>
        <v>1.6</v>
      </c>
      <c r="BS44" s="23">
        <f>'QTR Raw'!AN25</f>
        <v>2.0299999999999998</v>
      </c>
      <c r="BT44" s="23">
        <f>'QTR Raw'!AO25</f>
        <v>3.89</v>
      </c>
      <c r="BU44" s="23">
        <f>'QTR Raw'!AP25</f>
        <v>1.49</v>
      </c>
      <c r="BV44" s="23">
        <f>'QTR Raw'!AQ25</f>
        <v>2.84</v>
      </c>
      <c r="BW44" s="23">
        <f>'QTR Raw'!AR25</f>
        <v>1.56</v>
      </c>
      <c r="BX44" s="23">
        <f>'QTR Raw'!AS25</f>
        <v>7.24</v>
      </c>
      <c r="BY44" s="23">
        <f>'QTR Raw'!AT25</f>
        <v>2.23</v>
      </c>
      <c r="BZ44" s="23">
        <f>'QTR Raw'!AU25</f>
        <v>1.39</v>
      </c>
      <c r="CA44" s="23">
        <f>'QTR Raw'!AV25</f>
        <v>0.88</v>
      </c>
      <c r="CB44" s="23">
        <f>'QTR Raw'!AW25</f>
        <v>8.16</v>
      </c>
      <c r="CC44" s="23">
        <f>'QTR Raw'!AX25</f>
        <v>3.81</v>
      </c>
      <c r="CD44" s="23">
        <f>'QTR Raw'!AY25</f>
        <v>4.51</v>
      </c>
      <c r="CE44" s="23">
        <f>'QTR Raw'!AZ25</f>
        <v>3</v>
      </c>
      <c r="CF44" s="23">
        <f>'QTR Raw'!BA25</f>
        <v>5.13</v>
      </c>
      <c r="CG44" s="23">
        <f>'QTR Raw'!BB25</f>
        <v>4.6900000000000004</v>
      </c>
      <c r="CH44" s="23">
        <f>'QTR Raw'!BC25</f>
        <v>4.1900000000000004</v>
      </c>
      <c r="CI44" s="23">
        <f>'QTR Raw'!BD25</f>
        <v>5.64</v>
      </c>
      <c r="CJ44" s="23">
        <v>5.35</v>
      </c>
      <c r="CK44" s="23">
        <f>'QTR Raw'!BF25</f>
        <v>3.81</v>
      </c>
      <c r="CL44" s="24">
        <f t="shared" ref="CL44:CZ44" si="451">CL45*CK176</f>
        <v>-112.05587048157103</v>
      </c>
      <c r="CM44" s="24">
        <f t="shared" si="451"/>
        <v>-116.74353735478218</v>
      </c>
      <c r="CN44" s="24">
        <f t="shared" si="451"/>
        <v>-123.17232053387696</v>
      </c>
      <c r="CO44" s="24">
        <f t="shared" si="451"/>
        <v>-129.72541650845113</v>
      </c>
      <c r="CP44" s="24">
        <f t="shared" si="451"/>
        <v>-136.25286979928893</v>
      </c>
      <c r="CQ44" s="24">
        <f t="shared" si="451"/>
        <v>-143.00629860745883</v>
      </c>
      <c r="CR44" s="24">
        <f t="shared" si="451"/>
        <v>-151.29454865302964</v>
      </c>
      <c r="CS44" s="24">
        <f t="shared" si="451"/>
        <v>-159.56826834929007</v>
      </c>
      <c r="CT44" s="24">
        <f t="shared" si="451"/>
        <v>-167.01174648806767</v>
      </c>
      <c r="CU44" s="24">
        <f t="shared" si="451"/>
        <v>-174.73621652949723</v>
      </c>
      <c r="CV44" s="24">
        <f t="shared" si="451"/>
        <v>-183.82921372924639</v>
      </c>
      <c r="CW44" s="24">
        <f t="shared" si="451"/>
        <v>-192.6719364933528</v>
      </c>
      <c r="CX44" s="24">
        <f t="shared" si="451"/>
        <v>-200.69661672344532</v>
      </c>
      <c r="CY44" s="24">
        <f t="shared" si="451"/>
        <v>-209.84043874146755</v>
      </c>
      <c r="CZ44" s="24">
        <f t="shared" si="451"/>
        <v>-220.52765822135663</v>
      </c>
      <c r="DB44" s="123"/>
      <c r="DC44" s="23">
        <v>0</v>
      </c>
    </row>
    <row r="45" spans="1:107" s="46" customFormat="1" x14ac:dyDescent="0.2">
      <c r="A45" s="46" t="s">
        <v>482</v>
      </c>
      <c r="B45" s="46">
        <f t="shared" ref="B45:D45" si="452">+B44/B136</f>
        <v>1.132512712217622</v>
      </c>
      <c r="C45" s="46">
        <f t="shared" si="452"/>
        <v>0.47649921583210719</v>
      </c>
      <c r="D45" s="46">
        <f t="shared" si="452"/>
        <v>0.52281747013588542</v>
      </c>
      <c r="E45" s="46">
        <f t="shared" ref="E45:AD45" si="453">+E44/E136</f>
        <v>4.6902625234395927</v>
      </c>
      <c r="F45" s="46">
        <f t="shared" si="453"/>
        <v>4.9144020244251294</v>
      </c>
      <c r="G45" s="46">
        <f t="shared" si="453"/>
        <v>6.5314097172801961</v>
      </c>
      <c r="H45" s="46">
        <f t="shared" si="453"/>
        <v>38.733568904593646</v>
      </c>
      <c r="I45" s="46">
        <f t="shared" si="453"/>
        <v>2444.529702970297</v>
      </c>
      <c r="J45" s="46" t="e">
        <f t="shared" si="453"/>
        <v>#DIV/0!</v>
      </c>
      <c r="K45" s="46" t="e">
        <f t="shared" si="453"/>
        <v>#DIV/0!</v>
      </c>
      <c r="L45" s="46" t="e">
        <f t="shared" si="453"/>
        <v>#DIV/0!</v>
      </c>
      <c r="M45" s="46">
        <f t="shared" si="453"/>
        <v>0.173980712890625</v>
      </c>
      <c r="N45" s="46">
        <f t="shared" si="453"/>
        <v>0.18714421634871231</v>
      </c>
      <c r="O45" s="46">
        <f t="shared" si="453"/>
        <v>0.32888673296143589</v>
      </c>
      <c r="P45" s="46">
        <f t="shared" si="453"/>
        <v>0.17705000000000001</v>
      </c>
      <c r="Q45" s="46">
        <f t="shared" si="453"/>
        <v>0.17930471301913206</v>
      </c>
      <c r="R45" s="46">
        <f t="shared" si="453"/>
        <v>0.10204651927344456</v>
      </c>
      <c r="S45" s="46">
        <f t="shared" si="453"/>
        <v>8.702312138728324</v>
      </c>
      <c r="T45" s="46">
        <f t="shared" si="453"/>
        <v>2.081979320531758</v>
      </c>
      <c r="U45" s="46" t="e">
        <f t="shared" si="453"/>
        <v>#DIV/0!</v>
      </c>
      <c r="V45" s="46" t="e">
        <f t="shared" si="453"/>
        <v>#DIV/0!</v>
      </c>
      <c r="W45" s="46" t="e">
        <f t="shared" si="453"/>
        <v>#DIV/0!</v>
      </c>
      <c r="X45" s="46" t="e">
        <f t="shared" si="453"/>
        <v>#DIV/0!</v>
      </c>
      <c r="Y45" s="46" t="e">
        <f t="shared" si="453"/>
        <v>#DIV/0!</v>
      </c>
      <c r="Z45" s="46" t="e">
        <f t="shared" ref="Z45" si="454">+Z44/Z136</f>
        <v>#DIV/0!</v>
      </c>
      <c r="AA45" s="110" t="e">
        <f t="shared" si="453"/>
        <v>#DIV/0!</v>
      </c>
      <c r="AB45" s="110" t="e">
        <f t="shared" si="453"/>
        <v>#DIV/0!</v>
      </c>
      <c r="AC45" s="110" t="e">
        <f t="shared" si="453"/>
        <v>#DIV/0!</v>
      </c>
      <c r="AD45" s="110" t="e">
        <f t="shared" si="453"/>
        <v>#DIV/0!</v>
      </c>
      <c r="AH45" s="46" t="e">
        <f t="shared" ref="AH45:BM45" si="455">(AH44-AH43)/AG176</f>
        <v>#DIV/0!</v>
      </c>
      <c r="AI45" s="46" t="e">
        <f t="shared" si="455"/>
        <v>#DIV/0!</v>
      </c>
      <c r="AJ45" s="46">
        <f t="shared" si="455"/>
        <v>-0.34471365638766693</v>
      </c>
      <c r="AK45" s="46">
        <f t="shared" si="455"/>
        <v>7.5635487622528669E-2</v>
      </c>
      <c r="AL45" s="46">
        <f t="shared" si="455"/>
        <v>0.21311661794867229</v>
      </c>
      <c r="AM45" s="46">
        <f t="shared" si="455"/>
        <v>4.1849937393649464E-2</v>
      </c>
      <c r="AN45" s="46">
        <f t="shared" si="455"/>
        <v>4.7166029746583946E-2</v>
      </c>
      <c r="AO45" s="46">
        <f t="shared" si="455"/>
        <v>6.9006426099851706E-2</v>
      </c>
      <c r="AP45" s="46">
        <f t="shared" si="455"/>
        <v>-0.79828679132962965</v>
      </c>
      <c r="AQ45" s="46">
        <f t="shared" si="455"/>
        <v>4.64981569246972E-2</v>
      </c>
      <c r="AR45" s="46">
        <f t="shared" si="455"/>
        <v>2.9404611987264108E-2</v>
      </c>
      <c r="AS45" s="46">
        <f t="shared" si="455"/>
        <v>0.13845411294214993</v>
      </c>
      <c r="AT45" s="46">
        <f t="shared" si="455"/>
        <v>-0.10074167627483267</v>
      </c>
      <c r="AU45" s="46">
        <f t="shared" si="455"/>
        <v>5.5388306661536019E-2</v>
      </c>
      <c r="AV45" s="46">
        <f t="shared" si="455"/>
        <v>2.587172597585741E-2</v>
      </c>
      <c r="AW45" s="46">
        <f t="shared" si="455"/>
        <v>0.27990884922142117</v>
      </c>
      <c r="AX45" s="46">
        <f t="shared" si="455"/>
        <v>2.2060164604459327E-2</v>
      </c>
      <c r="AY45" s="46">
        <f t="shared" si="455"/>
        <v>0.30133738025229989</v>
      </c>
      <c r="AZ45" s="46">
        <f t="shared" si="455"/>
        <v>-1.4227663497753187E-2</v>
      </c>
      <c r="BA45" s="46">
        <f t="shared" si="455"/>
        <v>1.809232858112695E-2</v>
      </c>
      <c r="BB45" s="46">
        <f t="shared" si="455"/>
        <v>9.9281083370805611E-3</v>
      </c>
      <c r="BC45" s="46">
        <f t="shared" si="455"/>
        <v>2.2840502064878795E-2</v>
      </c>
      <c r="BD45" s="46">
        <f t="shared" si="455"/>
        <v>2.472729272010428E-3</v>
      </c>
      <c r="BE45" s="46">
        <f t="shared" si="455"/>
        <v>1.6837602461930506E-3</v>
      </c>
      <c r="BF45" s="46">
        <f t="shared" si="455"/>
        <v>1.7171178441163697E-3</v>
      </c>
      <c r="BG45" s="46">
        <f t="shared" si="455"/>
        <v>8.2769472856018891E-3</v>
      </c>
      <c r="BH45" s="46">
        <f t="shared" si="455"/>
        <v>5.9942887915486577E-3</v>
      </c>
      <c r="BI45" s="46">
        <f t="shared" si="455"/>
        <v>1.1187140219398284E-2</v>
      </c>
      <c r="BJ45" s="46">
        <f t="shared" si="455"/>
        <v>6.3611883953858389E-3</v>
      </c>
      <c r="BK45" s="46">
        <f t="shared" si="455"/>
        <v>9.1344029498255409E-3</v>
      </c>
      <c r="BL45" s="46">
        <f t="shared" si="455"/>
        <v>2.3249666635280365E-2</v>
      </c>
      <c r="BM45" s="46">
        <f t="shared" si="455"/>
        <v>2.6650488183629976E-2</v>
      </c>
      <c r="BN45" s="46">
        <f t="shared" ref="BN45:CK45" si="456">(BN44-BN43)/BM176</f>
        <v>1.1992849610538201E-2</v>
      </c>
      <c r="BO45" s="46">
        <f t="shared" si="456"/>
        <v>1.1445659580943308E-2</v>
      </c>
      <c r="BP45" s="46">
        <f t="shared" si="456"/>
        <v>2.7856572731818623E-2</v>
      </c>
      <c r="BQ45" s="46">
        <f t="shared" si="456"/>
        <v>2.3016790157025353E-2</v>
      </c>
      <c r="BR45" s="46">
        <f t="shared" si="456"/>
        <v>9.8610864393077861E-3</v>
      </c>
      <c r="BS45" s="46">
        <f t="shared" si="456"/>
        <v>5.4304843027706473E-3</v>
      </c>
      <c r="BT45" s="46">
        <f t="shared" si="456"/>
        <v>2.3299849523824419E-2</v>
      </c>
      <c r="BU45" s="46">
        <f t="shared" si="456"/>
        <v>1.3435079285942838E-2</v>
      </c>
      <c r="BV45" s="46">
        <f t="shared" si="456"/>
        <v>7.9692299371088623E-3</v>
      </c>
      <c r="BW45" s="46">
        <f t="shared" si="456"/>
        <v>1.6021380695155404E-2</v>
      </c>
      <c r="BX45" s="46">
        <f t="shared" si="456"/>
        <v>2.0584512845211865E-2</v>
      </c>
      <c r="BY45" s="46">
        <f t="shared" si="456"/>
        <v>1.922448609780272E-2</v>
      </c>
      <c r="BZ45" s="46">
        <f t="shared" si="456"/>
        <v>1.8802925010452682E-2</v>
      </c>
      <c r="CA45" s="46">
        <f t="shared" si="456"/>
        <v>1.8297296125136735E-2</v>
      </c>
      <c r="CB45" s="46">
        <f t="shared" si="456"/>
        <v>1.5342732507246689E-2</v>
      </c>
      <c r="CC45" s="46">
        <f t="shared" si="456"/>
        <v>1.7302130115838935E-2</v>
      </c>
      <c r="CD45" s="46">
        <f t="shared" si="456"/>
        <v>1.5505858613392522E-2</v>
      </c>
      <c r="CE45" s="46">
        <f t="shared" si="456"/>
        <v>1.7944658823905186E-2</v>
      </c>
      <c r="CF45" s="46">
        <f t="shared" si="456"/>
        <v>1.4879650754324189E-2</v>
      </c>
      <c r="CG45" s="46">
        <f t="shared" si="456"/>
        <v>1.5911921595113857E-2</v>
      </c>
      <c r="CH45" s="46">
        <f t="shared" si="456"/>
        <v>1.5781899322968789E-2</v>
      </c>
      <c r="CI45" s="46">
        <f t="shared" si="456"/>
        <v>1.4882683178063865E-2</v>
      </c>
      <c r="CJ45" s="46">
        <f t="shared" si="456"/>
        <v>1.2503738904927113E-2</v>
      </c>
      <c r="CK45" s="46">
        <f t="shared" si="456"/>
        <v>1.5727336091798154E-2</v>
      </c>
      <c r="CL45" s="47">
        <v>1.4E-2</v>
      </c>
      <c r="CM45" s="47">
        <f t="shared" ref="CM45" si="457">+CL45</f>
        <v>1.4E-2</v>
      </c>
      <c r="CN45" s="47">
        <f t="shared" ref="CN45" si="458">+CM45</f>
        <v>1.4E-2</v>
      </c>
      <c r="CO45" s="47">
        <f>+CN45</f>
        <v>1.4E-2</v>
      </c>
      <c r="CP45" s="47">
        <f>+CO45</f>
        <v>1.4E-2</v>
      </c>
      <c r="CQ45" s="47">
        <f t="shared" ref="CQ45" si="459">+CP45</f>
        <v>1.4E-2</v>
      </c>
      <c r="CR45" s="47">
        <f t="shared" ref="CR45" si="460">+CQ45</f>
        <v>1.4E-2</v>
      </c>
      <c r="CS45" s="47">
        <f t="shared" ref="CS45" si="461">+CR45</f>
        <v>1.4E-2</v>
      </c>
      <c r="CT45" s="47">
        <f t="shared" ref="CT45" si="462">+CS45</f>
        <v>1.4E-2</v>
      </c>
      <c r="CU45" s="47">
        <f t="shared" ref="CU45" si="463">+CT45</f>
        <v>1.4E-2</v>
      </c>
      <c r="CV45" s="47">
        <f t="shared" ref="CV45" si="464">+CU45</f>
        <v>1.4E-2</v>
      </c>
      <c r="CW45" s="47">
        <f t="shared" ref="CW45" si="465">+CV45</f>
        <v>1.4E-2</v>
      </c>
      <c r="CX45" s="47">
        <f t="shared" ref="CX45" si="466">+CW45</f>
        <v>1.4E-2</v>
      </c>
      <c r="CY45" s="47">
        <f t="shared" ref="CY45" si="467">+CX45</f>
        <v>1.4E-2</v>
      </c>
      <c r="CZ45" s="47">
        <f t="shared" ref="CZ45" si="468">+CY45</f>
        <v>1.4E-2</v>
      </c>
      <c r="DB45" s="130"/>
      <c r="DC45" s="46" t="e">
        <v>#DIV/0!</v>
      </c>
    </row>
    <row r="46" spans="1:107" s="26" customFormat="1" x14ac:dyDescent="0.2">
      <c r="A46" s="26" t="s">
        <v>20</v>
      </c>
      <c r="B46" s="26">
        <f>B42+B43-B44</f>
        <v>85.078899999999891</v>
      </c>
      <c r="C46" s="26">
        <f t="shared" ref="C46:T46" si="469">C42+C43-C44</f>
        <v>122.96819999999995</v>
      </c>
      <c r="D46" s="26">
        <f>D42+D43-D44</f>
        <v>152.89269999999996</v>
      </c>
      <c r="E46" s="26">
        <f t="shared" si="469"/>
        <v>236.51999999999984</v>
      </c>
      <c r="F46" s="26">
        <f t="shared" si="469"/>
        <v>339.47700000000003</v>
      </c>
      <c r="G46" s="26">
        <f t="shared" si="469"/>
        <v>523.20619999999963</v>
      </c>
      <c r="H46" s="26">
        <f t="shared" si="469"/>
        <v>756.45690000000059</v>
      </c>
      <c r="I46" s="26">
        <f t="shared" si="469"/>
        <v>833.24399999999969</v>
      </c>
      <c r="J46" s="26">
        <f t="shared" si="469"/>
        <v>527.39940000000013</v>
      </c>
      <c r="K46" s="26">
        <f t="shared" si="469"/>
        <v>100.23030000000041</v>
      </c>
      <c r="L46" s="26">
        <f t="shared" si="469"/>
        <v>267.98999999999995</v>
      </c>
      <c r="M46" s="26">
        <f t="shared" si="469"/>
        <v>211.42999999999989</v>
      </c>
      <c r="N46" s="26">
        <f t="shared" si="469"/>
        <v>272.46999999999969</v>
      </c>
      <c r="O46" s="26">
        <f t="shared" si="469"/>
        <v>355.21000000000043</v>
      </c>
      <c r="P46" s="26">
        <f t="shared" si="469"/>
        <v>474.59000000000151</v>
      </c>
      <c r="Q46" s="26">
        <f t="shared" si="469"/>
        <v>573.270000000001</v>
      </c>
      <c r="R46" s="26">
        <f t="shared" si="469"/>
        <v>333.83</v>
      </c>
      <c r="S46" s="26">
        <f t="shared" si="469"/>
        <v>395.14000000000055</v>
      </c>
      <c r="T46" s="26">
        <f t="shared" si="469"/>
        <v>513.70000000000016</v>
      </c>
      <c r="U46" s="26">
        <f t="shared" ref="U46:Y46" si="470">U42+U43-U44</f>
        <v>245.58000000000015</v>
      </c>
      <c r="V46" s="26">
        <f t="shared" si="470"/>
        <v>602.92999999999984</v>
      </c>
      <c r="W46" s="26">
        <f t="shared" si="470"/>
        <v>1023.5300000000012</v>
      </c>
      <c r="X46" s="26">
        <f t="shared" si="470"/>
        <v>1658.8900000000006</v>
      </c>
      <c r="Y46" s="26">
        <f t="shared" si="470"/>
        <v>2513.2600000000011</v>
      </c>
      <c r="Z46" s="26">
        <f t="shared" ref="Z46" si="471">Z42+Z43-Z44</f>
        <v>2229.9399999999996</v>
      </c>
      <c r="AA46" s="27">
        <f t="shared" ref="AA46" si="472">AA42+AA43-AA44</f>
        <v>2324.5625309267825</v>
      </c>
      <c r="AB46" s="27">
        <f t="shared" ref="AB46:AD46" si="473">AB42+AB43-AB44</f>
        <v>2971.2586202477069</v>
      </c>
      <c r="AC46" s="27">
        <f t="shared" si="473"/>
        <v>3287.1304375442023</v>
      </c>
      <c r="AD46" s="27">
        <f t="shared" si="473"/>
        <v>3906.322085824736</v>
      </c>
      <c r="AH46" s="26">
        <f>AH42+AH43-AH44</f>
        <v>76.630000000000123</v>
      </c>
      <c r="AI46" s="26">
        <f t="shared" ref="AI46" si="474">AI42+AI43-AI44</f>
        <v>31.589999999999762</v>
      </c>
      <c r="AJ46" s="26">
        <f t="shared" ref="AJ46:AL46" si="475">AJ42+AJ43-AJ44</f>
        <v>26.350000000000257</v>
      </c>
      <c r="AK46" s="26">
        <f t="shared" si="475"/>
        <v>64.319999999999979</v>
      </c>
      <c r="AL46" s="26">
        <f t="shared" si="475"/>
        <v>60.170000000000222</v>
      </c>
      <c r="AM46" s="26">
        <f t="shared" ref="AM46:AN46" si="476">AM42+AM43-AM44</f>
        <v>53.620000000000189</v>
      </c>
      <c r="AN46" s="26">
        <f t="shared" si="476"/>
        <v>94.359999999999928</v>
      </c>
      <c r="AO46" s="26">
        <f t="shared" ref="AO46:CC46" si="477">AO42+AO43-AO44</f>
        <v>77.370000000000033</v>
      </c>
      <c r="AP46" s="26">
        <f t="shared" si="477"/>
        <v>72.999999999999943</v>
      </c>
      <c r="AQ46" s="26">
        <f t="shared" si="477"/>
        <v>69.299999999999869</v>
      </c>
      <c r="AR46" s="26">
        <f t="shared" si="477"/>
        <v>135.54</v>
      </c>
      <c r="AS46" s="26">
        <f t="shared" si="477"/>
        <v>81.290000000000035</v>
      </c>
      <c r="AT46" s="26">
        <f t="shared" si="477"/>
        <v>88.930000000000334</v>
      </c>
      <c r="AU46" s="26">
        <f t="shared" si="477"/>
        <v>95.370000000000118</v>
      </c>
      <c r="AV46" s="26">
        <f t="shared" si="477"/>
        <v>208.99999999999986</v>
      </c>
      <c r="AW46" s="26">
        <f t="shared" si="477"/>
        <v>129.64999999999998</v>
      </c>
      <c r="AX46" s="26">
        <f t="shared" si="477"/>
        <v>88.0799999999997</v>
      </c>
      <c r="AY46" s="26">
        <f t="shared" si="477"/>
        <v>109.47999999999954</v>
      </c>
      <c r="AZ46" s="26">
        <f t="shared" si="477"/>
        <v>246.05999999999986</v>
      </c>
      <c r="BA46" s="26">
        <f t="shared" si="477"/>
        <v>133.94000000000031</v>
      </c>
      <c r="BB46" s="26">
        <f t="shared" si="477"/>
        <v>118.51999999999936</v>
      </c>
      <c r="BC46" s="26">
        <f t="shared" si="477"/>
        <v>117.80999999999965</v>
      </c>
      <c r="BD46" s="26">
        <f t="shared" si="477"/>
        <v>121.05999999999992</v>
      </c>
      <c r="BE46" s="26">
        <f t="shared" si="477"/>
        <v>69.900000000000034</v>
      </c>
      <c r="BF46" s="26">
        <f t="shared" si="477"/>
        <v>69.909999999999769</v>
      </c>
      <c r="BG46" s="26">
        <f t="shared" si="477"/>
        <v>54.290000000000013</v>
      </c>
      <c r="BH46" s="26">
        <f t="shared" si="477"/>
        <v>202.2600000000001</v>
      </c>
      <c r="BI46" s="26">
        <f t="shared" si="477"/>
        <v>138.69000000000011</v>
      </c>
      <c r="BJ46" s="26">
        <f t="shared" si="477"/>
        <v>112.66</v>
      </c>
      <c r="BK46" s="26">
        <f t="shared" si="477"/>
        <v>112.6899999999999</v>
      </c>
      <c r="BL46" s="26">
        <f t="shared" si="477"/>
        <v>149.65999999999988</v>
      </c>
      <c r="BM46" s="26">
        <f t="shared" si="477"/>
        <v>29.82</v>
      </c>
      <c r="BN46" s="26">
        <f t="shared" si="477"/>
        <v>21.410000000000057</v>
      </c>
      <c r="BO46" s="26">
        <f t="shared" si="477"/>
        <v>113.95999999999988</v>
      </c>
      <c r="BP46" s="26">
        <f t="shared" si="477"/>
        <v>80.389999999999844</v>
      </c>
      <c r="BQ46" s="26">
        <f t="shared" si="477"/>
        <v>129.07000000000005</v>
      </c>
      <c r="BR46" s="26">
        <f t="shared" si="477"/>
        <v>89.960000000000122</v>
      </c>
      <c r="BS46" s="26">
        <f t="shared" si="477"/>
        <v>165.40000000000006</v>
      </c>
      <c r="BT46" s="26">
        <f t="shared" si="477"/>
        <v>218.49999999999983</v>
      </c>
      <c r="BU46" s="26">
        <f t="shared" si="477"/>
        <v>197.91999999999987</v>
      </c>
      <c r="BV46" s="26">
        <f t="shared" si="477"/>
        <v>203.11</v>
      </c>
      <c r="BW46" s="26">
        <f t="shared" si="477"/>
        <v>229.39999999999969</v>
      </c>
      <c r="BX46" s="26">
        <f t="shared" si="477"/>
        <v>400.23000000000042</v>
      </c>
      <c r="BY46" s="26">
        <f t="shared" si="477"/>
        <v>327.84999999999968</v>
      </c>
      <c r="BZ46" s="26">
        <f t="shared" si="477"/>
        <v>393.13000000000022</v>
      </c>
      <c r="CA46" s="26">
        <f t="shared" si="477"/>
        <v>484.17999999999995</v>
      </c>
      <c r="CB46" s="26">
        <f t="shared" si="477"/>
        <v>453.72999999999985</v>
      </c>
      <c r="CC46" s="26">
        <f t="shared" si="477"/>
        <v>617.08999999999969</v>
      </c>
      <c r="CD46" s="26">
        <f t="shared" ref="CD46:CE46" si="478">CD42+CD43-CD44</f>
        <v>593.7600000000001</v>
      </c>
      <c r="CE46" s="26">
        <f t="shared" si="478"/>
        <v>597.2800000000002</v>
      </c>
      <c r="CF46" s="26">
        <f t="shared" ref="CF46:CG46" si="479">CF42+CF43-CF44</f>
        <v>705.13000000000034</v>
      </c>
      <c r="CG46" s="26">
        <f t="shared" si="479"/>
        <v>613.66000000000031</v>
      </c>
      <c r="CH46" s="26">
        <f t="shared" ref="CH46:CJ46" si="480">CH42+CH43-CH44</f>
        <v>474.1099999999999</v>
      </c>
      <c r="CI46" s="26">
        <f t="shared" si="480"/>
        <v>542.10999999999979</v>
      </c>
      <c r="CJ46" s="26">
        <f t="shared" si="480"/>
        <v>643.53000000000009</v>
      </c>
      <c r="CK46" s="26">
        <f t="shared" ref="CK46" si="481">CK42+CK43-CK44</f>
        <v>461.86999999999983</v>
      </c>
      <c r="CL46" s="27">
        <f t="shared" ref="CL46:CZ46" si="482">CL42+CL43-CL44</f>
        <v>600.28055019191288</v>
      </c>
      <c r="CM46" s="27">
        <f t="shared" si="482"/>
        <v>626.06562067123264</v>
      </c>
      <c r="CN46" s="27">
        <f t="shared" si="482"/>
        <v>636.3463600636361</v>
      </c>
      <c r="CO46" s="27">
        <f t="shared" si="482"/>
        <v>675.03773777098172</v>
      </c>
      <c r="CP46" s="27">
        <f t="shared" si="482"/>
        <v>758.80095390266501</v>
      </c>
      <c r="CQ46" s="27">
        <f t="shared" si="482"/>
        <v>763.47532091789594</v>
      </c>
      <c r="CR46" s="27">
        <f t="shared" si="482"/>
        <v>773.94460765616327</v>
      </c>
      <c r="CS46" s="27">
        <f t="shared" si="482"/>
        <v>783.48999813763692</v>
      </c>
      <c r="CT46" s="27">
        <f t="shared" si="482"/>
        <v>844.88509039554879</v>
      </c>
      <c r="CU46" s="27">
        <f t="shared" si="482"/>
        <v>832.64075461638674</v>
      </c>
      <c r="CV46" s="27">
        <f t="shared" si="482"/>
        <v>826.1145943946276</v>
      </c>
      <c r="CW46" s="27">
        <f t="shared" si="482"/>
        <v>925.7446557090127</v>
      </c>
      <c r="CX46" s="27">
        <f t="shared" si="482"/>
        <v>992.40875161669305</v>
      </c>
      <c r="CY46" s="27">
        <f t="shared" si="482"/>
        <v>988.40305944458305</v>
      </c>
      <c r="CZ46" s="27">
        <f t="shared" si="482"/>
        <v>999.76561905444782</v>
      </c>
      <c r="DB46" s="121"/>
      <c r="DC46" s="26">
        <v>0</v>
      </c>
    </row>
    <row r="47" spans="1:107" s="23" customFormat="1" x14ac:dyDescent="0.2">
      <c r="A47" s="23" t="s">
        <v>21</v>
      </c>
      <c r="B47" s="23">
        <f>'Annual Raw'!C30</f>
        <v>19.753</v>
      </c>
      <c r="C47" s="23">
        <f>'Annual Raw'!D30</f>
        <v>41.62</v>
      </c>
      <c r="D47" s="23">
        <f>'Annual Raw'!E30</f>
        <v>52</v>
      </c>
      <c r="E47" s="23">
        <f>'Annual Raw'!F30</f>
        <v>86</v>
      </c>
      <c r="F47" s="23">
        <f>'Annual Raw'!G30</f>
        <v>120.8</v>
      </c>
      <c r="G47" s="23">
        <f>'Annual Raw'!H30</f>
        <v>182.9</v>
      </c>
      <c r="H47" s="23">
        <f>'Annual Raw'!I30</f>
        <v>264.78789999999998</v>
      </c>
      <c r="I47" s="23">
        <f>'Annual Raw'!J30</f>
        <v>285.83100000000002</v>
      </c>
      <c r="J47" s="23">
        <f>'Annual Raw'!K30</f>
        <v>172.7603</v>
      </c>
      <c r="K47" s="23">
        <f>'Annual Raw'!L30</f>
        <v>37</v>
      </c>
      <c r="L47" s="23">
        <f>'Annual Raw'!M30</f>
        <v>83.28</v>
      </c>
      <c r="M47" s="23">
        <f>'Annual Raw'!N30</f>
        <v>70.489999999999995</v>
      </c>
      <c r="N47" s="23">
        <f>'Annual Raw'!O30</f>
        <v>95.58</v>
      </c>
      <c r="O47" s="23">
        <f>'Annual Raw'!P30</f>
        <v>126.7</v>
      </c>
      <c r="P47" s="23">
        <f>'Annual Raw'!Q30</f>
        <v>174.71</v>
      </c>
      <c r="Q47" s="23">
        <f>'Annual Raw'!R30</f>
        <v>198.8</v>
      </c>
      <c r="R47" s="23">
        <f>'Annual Raw'!S30</f>
        <v>108.35</v>
      </c>
      <c r="S47" s="23">
        <f>'Annual Raw'!T30</f>
        <v>140.94999999999999</v>
      </c>
      <c r="T47" s="23">
        <f>'Annual Raw'!U30</f>
        <v>141.77000000000001</v>
      </c>
      <c r="U47" s="23">
        <f>'Annual Raw'!V30</f>
        <v>73.930000000000007</v>
      </c>
      <c r="V47" s="23">
        <f>'Annual Raw'!W30</f>
        <v>191.78</v>
      </c>
      <c r="W47" s="23">
        <f>'Annual Raw'!X30</f>
        <v>337.18</v>
      </c>
      <c r="X47" s="23">
        <f>'Annual Raw'!Y30</f>
        <v>410.71</v>
      </c>
      <c r="Y47" s="23">
        <f>'Annual Raw'!Z30</f>
        <v>638.65</v>
      </c>
      <c r="Z47" s="23">
        <f>'Annual Raw'!AA30</f>
        <v>560.54</v>
      </c>
      <c r="AA47" s="76">
        <f>+SUM(CK47:CN47)</f>
        <v>575.06937300454001</v>
      </c>
      <c r="AB47" s="76">
        <f>+SUM(CO47:CR47)</f>
        <v>730.73830830446946</v>
      </c>
      <c r="AC47" s="76">
        <f>+SUM(CS47:CV47)</f>
        <v>807.40301012480825</v>
      </c>
      <c r="AD47" s="76">
        <f>SUM(CW47:CZ47)</f>
        <v>959.30286259465174</v>
      </c>
      <c r="AH47" s="23">
        <f>'QTR Raw'!C29</f>
        <v>25</v>
      </c>
      <c r="AI47" s="23">
        <f>'QTR Raw'!D29</f>
        <v>10.220000000000001</v>
      </c>
      <c r="AJ47" s="23">
        <f>'QTR Raw'!E29</f>
        <v>9.58</v>
      </c>
      <c r="AK47" s="23">
        <f>'QTR Raw'!F29</f>
        <v>21.26</v>
      </c>
      <c r="AL47" s="23">
        <f>'QTR Raw'!G29</f>
        <v>20.54</v>
      </c>
      <c r="AM47" s="23">
        <f>'QTR Raw'!H29</f>
        <v>18.010000000000002</v>
      </c>
      <c r="AN47" s="23">
        <f>'QTR Raw'!I29</f>
        <v>35.770000000000003</v>
      </c>
      <c r="AO47" s="23">
        <f>'QTR Raw'!J29</f>
        <v>25.69</v>
      </c>
      <c r="AP47" s="23">
        <f>'QTR Raw'!K29</f>
        <v>25.31</v>
      </c>
      <c r="AQ47" s="23">
        <f>'QTR Raw'!L29</f>
        <v>24.32</v>
      </c>
      <c r="AR47" s="23">
        <f>'QTR Raw'!M29</f>
        <v>51.38</v>
      </c>
      <c r="AS47" s="23">
        <f>'QTR Raw'!N29</f>
        <v>27</v>
      </c>
      <c r="AT47" s="23">
        <f>'QTR Raw'!O29</f>
        <v>31.48</v>
      </c>
      <c r="AU47" s="23">
        <f>'QTR Raw'!P29</f>
        <v>36.630000000000003</v>
      </c>
      <c r="AV47" s="23">
        <f>'QTR Raw'!Q29</f>
        <v>79.599999999999994</v>
      </c>
      <c r="AW47" s="23">
        <f>'QTR Raw'!R29</f>
        <v>44.2</v>
      </c>
      <c r="AX47" s="23">
        <f>'QTR Raw'!S29</f>
        <v>32.44</v>
      </c>
      <c r="AY47" s="23">
        <f>'QTR Raw'!T29</f>
        <v>38.909999999999997</v>
      </c>
      <c r="AZ47" s="23">
        <f>'QTR Raw'!U29</f>
        <v>83.25</v>
      </c>
      <c r="BA47" s="23">
        <f>'QTR Raw'!V29</f>
        <v>43.96</v>
      </c>
      <c r="BB47" s="23">
        <f>'QTR Raw'!W29</f>
        <v>43.46</v>
      </c>
      <c r="BC47" s="23">
        <f>'QTR Raw'!X29</f>
        <v>34.42</v>
      </c>
      <c r="BD47" s="23">
        <f>'QTR Raw'!Y29</f>
        <v>39.43</v>
      </c>
      <c r="BE47" s="23">
        <f>'QTR Raw'!Z29</f>
        <v>24.3</v>
      </c>
      <c r="BF47" s="23">
        <f>'QTR Raw'!AA29</f>
        <v>25.48</v>
      </c>
      <c r="BG47" s="23">
        <f>'QTR Raw'!AB29</f>
        <v>18.559999999999999</v>
      </c>
      <c r="BH47" s="23">
        <f>'QTR Raw'!AC29</f>
        <v>73.62</v>
      </c>
      <c r="BI47" s="23">
        <f>'QTR Raw'!AD29</f>
        <v>49.67</v>
      </c>
      <c r="BJ47" s="23">
        <f>'QTR Raw'!AE29</f>
        <v>42.92</v>
      </c>
      <c r="BK47" s="23">
        <f>'QTR Raw'!AF29</f>
        <v>33.880000000000003</v>
      </c>
      <c r="BL47" s="23">
        <f>'QTR Raw'!AG29</f>
        <v>15.3</v>
      </c>
      <c r="BM47" s="23">
        <f>'QTR Raw'!AH29</f>
        <v>20.61</v>
      </c>
      <c r="BN47" s="23">
        <f>'QTR Raw'!AI29</f>
        <v>6.66</v>
      </c>
      <c r="BO47" s="23">
        <f>'QTR Raw'!AJ29</f>
        <v>28.47</v>
      </c>
      <c r="BP47" s="23">
        <f>'QTR Raw'!AK29</f>
        <v>18.190000000000001</v>
      </c>
      <c r="BQ47" s="23">
        <f>'QTR Raw'!AL29</f>
        <v>52.98</v>
      </c>
      <c r="BR47" s="23">
        <f>'QTR Raw'!AM29</f>
        <v>21.64</v>
      </c>
      <c r="BS47" s="23">
        <f>'QTR Raw'!AN29</f>
        <v>45.43</v>
      </c>
      <c r="BT47" s="23">
        <f>'QTR Raw'!AO29</f>
        <v>71.73</v>
      </c>
      <c r="BU47" s="23">
        <f>'QTR Raw'!AP29</f>
        <v>121.19</v>
      </c>
      <c r="BV47" s="23">
        <f>'QTR Raw'!AQ29</f>
        <v>50.66</v>
      </c>
      <c r="BW47" s="23">
        <f>'QTR Raw'!AR29</f>
        <v>72.81</v>
      </c>
      <c r="BX47" s="23">
        <f>'QTR Raw'!AS29</f>
        <v>94.32</v>
      </c>
      <c r="BY47" s="23">
        <f>'QTR Raw'!AT29</f>
        <v>82.68</v>
      </c>
      <c r="BZ47" s="23">
        <f>'QTR Raw'!AU29</f>
        <v>97.32</v>
      </c>
      <c r="CA47" s="23">
        <f>'QTR Raw'!AV29</f>
        <v>122.18</v>
      </c>
      <c r="CB47" s="23">
        <f>'QTR Raw'!AW29</f>
        <v>108.53</v>
      </c>
      <c r="CC47" s="23">
        <f>'QTR Raw'!AX29</f>
        <v>157.49</v>
      </c>
      <c r="CD47" s="23">
        <f>'QTR Raw'!AY29</f>
        <v>151.13</v>
      </c>
      <c r="CE47" s="23">
        <f>'QTR Raw'!AZ29</f>
        <v>156.81</v>
      </c>
      <c r="CF47" s="23">
        <f>'QTR Raw'!BA29</f>
        <v>173.22</v>
      </c>
      <c r="CG47" s="23">
        <f>'QTR Raw'!BB29</f>
        <v>156.35</v>
      </c>
      <c r="CH47" s="23">
        <f>'QTR Raw'!BC29</f>
        <v>122.03</v>
      </c>
      <c r="CI47" s="23">
        <f>'QTR Raw'!BD29</f>
        <v>133.22999999999999</v>
      </c>
      <c r="CJ47" s="23">
        <v>143.27000000000001</v>
      </c>
      <c r="CK47" s="23">
        <f>'QTR Raw'!BF29</f>
        <v>119.96</v>
      </c>
      <c r="CL47" s="24">
        <f t="shared" ref="CL47:CZ47" si="483">+CL46*CL48</f>
        <v>147.89526751460858</v>
      </c>
      <c r="CM47" s="24">
        <f t="shared" si="483"/>
        <v>152.52477158167838</v>
      </c>
      <c r="CN47" s="24">
        <f t="shared" si="483"/>
        <v>154.68933390825302</v>
      </c>
      <c r="CO47" s="24">
        <f t="shared" si="483"/>
        <v>167.54736520564353</v>
      </c>
      <c r="CP47" s="24">
        <f t="shared" si="483"/>
        <v>186.15198056543861</v>
      </c>
      <c r="CQ47" s="24">
        <f t="shared" si="483"/>
        <v>187.09772017556463</v>
      </c>
      <c r="CR47" s="24">
        <f t="shared" si="483"/>
        <v>189.94124235782277</v>
      </c>
      <c r="CS47" s="24">
        <f t="shared" si="483"/>
        <v>192.74022208046316</v>
      </c>
      <c r="CT47" s="24">
        <f t="shared" si="483"/>
        <v>207.37837511858498</v>
      </c>
      <c r="CU47" s="24">
        <f t="shared" si="483"/>
        <v>204.39956812626721</v>
      </c>
      <c r="CV47" s="24">
        <f t="shared" si="483"/>
        <v>202.88484479949284</v>
      </c>
      <c r="CW47" s="24">
        <f t="shared" si="483"/>
        <v>227.39215259205179</v>
      </c>
      <c r="CX47" s="24">
        <f t="shared" si="483"/>
        <v>243.67503143944472</v>
      </c>
      <c r="CY47" s="24">
        <f t="shared" si="483"/>
        <v>242.71307571997164</v>
      </c>
      <c r="CZ47" s="24">
        <f t="shared" si="483"/>
        <v>245.52260284318362</v>
      </c>
      <c r="DB47" s="123"/>
      <c r="DC47" s="23">
        <v>0</v>
      </c>
    </row>
    <row r="48" spans="1:107" s="90" customFormat="1" x14ac:dyDescent="0.2">
      <c r="A48" s="90" t="s">
        <v>106</v>
      </c>
      <c r="B48" s="90">
        <f t="shared" ref="B48:E48" si="484">B47/B46</f>
        <v>0.23217272437701975</v>
      </c>
      <c r="C48" s="90">
        <f t="shared" si="484"/>
        <v>0.33846148841733076</v>
      </c>
      <c r="D48" s="90">
        <f t="shared" si="484"/>
        <v>0.34010780109187694</v>
      </c>
      <c r="E48" s="90">
        <f t="shared" si="484"/>
        <v>0.36360561474716752</v>
      </c>
      <c r="F48" s="90">
        <f t="shared" ref="F48:T48" si="485">F47/F46</f>
        <v>0.35584148557928807</v>
      </c>
      <c r="G48" s="90">
        <f t="shared" si="485"/>
        <v>0.34957536818179935</v>
      </c>
      <c r="H48" s="90">
        <f t="shared" si="485"/>
        <v>0.35003699483737905</v>
      </c>
      <c r="I48" s="90">
        <f t="shared" si="485"/>
        <v>0.34303397324193169</v>
      </c>
      <c r="J48" s="90">
        <f t="shared" si="485"/>
        <v>0.32757014892318792</v>
      </c>
      <c r="K48" s="90">
        <f t="shared" si="485"/>
        <v>0.3691498479002841</v>
      </c>
      <c r="L48" s="90">
        <f t="shared" si="485"/>
        <v>0.31075786409940676</v>
      </c>
      <c r="M48" s="90">
        <f t="shared" si="485"/>
        <v>0.33339639597029763</v>
      </c>
      <c r="N48" s="90">
        <f t="shared" si="485"/>
        <v>0.3507909127610383</v>
      </c>
      <c r="O48" s="90">
        <f t="shared" si="485"/>
        <v>0.35669040849075151</v>
      </c>
      <c r="P48" s="90">
        <f t="shared" si="485"/>
        <v>0.36812827914620927</v>
      </c>
      <c r="Q48" s="90">
        <f t="shared" si="485"/>
        <v>0.34678249341496969</v>
      </c>
      <c r="R48" s="90">
        <f t="shared" si="485"/>
        <v>0.32456639606985593</v>
      </c>
      <c r="S48" s="90">
        <f t="shared" si="485"/>
        <v>0.35670901452649639</v>
      </c>
      <c r="T48" s="90">
        <f t="shared" si="485"/>
        <v>0.27597819739147356</v>
      </c>
      <c r="U48" s="90">
        <f t="shared" ref="U48:Y48" si="486">U47/U46</f>
        <v>0.30104243016532273</v>
      </c>
      <c r="V48" s="90">
        <f t="shared" si="486"/>
        <v>0.3180800424593237</v>
      </c>
      <c r="W48" s="90">
        <f t="shared" si="486"/>
        <v>0.32942854630543278</v>
      </c>
      <c r="X48" s="90">
        <f t="shared" si="486"/>
        <v>0.24758121394426383</v>
      </c>
      <c r="Y48" s="90">
        <f t="shared" si="486"/>
        <v>0.25411218894981008</v>
      </c>
      <c r="Z48" s="90">
        <f t="shared" ref="Z48" si="487">Z47/Z46</f>
        <v>0.25136999201772248</v>
      </c>
      <c r="AA48" s="91">
        <f t="shared" ref="AA48:AD48" si="488">AA47/AA46</f>
        <v>0.24738821406334247</v>
      </c>
      <c r="AB48" s="91">
        <f t="shared" si="488"/>
        <v>0.24593561237814751</v>
      </c>
      <c r="AC48" s="91">
        <f t="shared" si="488"/>
        <v>0.24562548565246919</v>
      </c>
      <c r="AD48" s="91">
        <f t="shared" si="488"/>
        <v>0.24557700095334448</v>
      </c>
      <c r="AH48" s="90">
        <f t="shared" ref="AH48" si="489">AH47/AH46</f>
        <v>0.32624298577580529</v>
      </c>
      <c r="AI48" s="90">
        <f t="shared" ref="AI48" si="490">AI47/AI46</f>
        <v>0.32352010129788156</v>
      </c>
      <c r="AJ48" s="90">
        <f t="shared" ref="AJ48:AL48" si="491">AJ47/AJ46</f>
        <v>0.36356736242883897</v>
      </c>
      <c r="AK48" s="90">
        <f t="shared" si="491"/>
        <v>0.33053482587064692</v>
      </c>
      <c r="AL48" s="90">
        <f t="shared" si="491"/>
        <v>0.34136612930031451</v>
      </c>
      <c r="AM48" s="90">
        <f t="shared" ref="AM48:AN48" si="492">AM47/AM46</f>
        <v>0.33588213353226293</v>
      </c>
      <c r="AN48" s="90">
        <f t="shared" si="492"/>
        <v>0.37908011869436231</v>
      </c>
      <c r="AO48" s="90">
        <f t="shared" ref="AO48:CC48" si="493">AO47/AO46</f>
        <v>0.33204084270389028</v>
      </c>
      <c r="AP48" s="90">
        <f t="shared" si="493"/>
        <v>0.34671232876712355</v>
      </c>
      <c r="AQ48" s="90">
        <f t="shared" si="493"/>
        <v>0.3509379509379516</v>
      </c>
      <c r="AR48" s="90">
        <f t="shared" si="493"/>
        <v>0.37907628744282135</v>
      </c>
      <c r="AS48" s="90">
        <f t="shared" si="493"/>
        <v>0.33214417517529815</v>
      </c>
      <c r="AT48" s="90">
        <f t="shared" si="493"/>
        <v>0.3539862813448767</v>
      </c>
      <c r="AU48" s="90">
        <f t="shared" si="493"/>
        <v>0.38408304498269852</v>
      </c>
      <c r="AV48" s="90">
        <f t="shared" si="493"/>
        <v>0.38086124401913901</v>
      </c>
      <c r="AW48" s="90">
        <f t="shared" si="493"/>
        <v>0.34091785576552264</v>
      </c>
      <c r="AX48" s="90">
        <f t="shared" si="493"/>
        <v>0.36830154405086407</v>
      </c>
      <c r="AY48" s="90">
        <f t="shared" si="493"/>
        <v>0.35540738034344321</v>
      </c>
      <c r="AZ48" s="90">
        <f t="shared" si="493"/>
        <v>0.33833211411850789</v>
      </c>
      <c r="BA48" s="90">
        <f t="shared" si="493"/>
        <v>0.32820665969837165</v>
      </c>
      <c r="BB48" s="90">
        <f t="shared" si="493"/>
        <v>0.3666891663854222</v>
      </c>
      <c r="BC48" s="90">
        <f t="shared" si="493"/>
        <v>0.2921653509888813</v>
      </c>
      <c r="BD48" s="90">
        <f t="shared" si="493"/>
        <v>0.32570626135800451</v>
      </c>
      <c r="BE48" s="90">
        <f t="shared" si="493"/>
        <v>0.34763948497854064</v>
      </c>
      <c r="BF48" s="90">
        <f t="shared" si="493"/>
        <v>0.36446860248891555</v>
      </c>
      <c r="BG48" s="90">
        <f t="shared" si="493"/>
        <v>0.34186774728310915</v>
      </c>
      <c r="BH48" s="90">
        <f t="shared" si="493"/>
        <v>0.36398694749332527</v>
      </c>
      <c r="BI48" s="90">
        <f t="shared" si="493"/>
        <v>0.35813685197202366</v>
      </c>
      <c r="BJ48" s="90">
        <f t="shared" si="493"/>
        <v>0.38096928812355763</v>
      </c>
      <c r="BK48" s="90">
        <f t="shared" si="493"/>
        <v>0.30064779483538939</v>
      </c>
      <c r="BL48" s="90">
        <f t="shared" si="493"/>
        <v>0.10223172524388623</v>
      </c>
      <c r="BM48" s="90">
        <f t="shared" si="493"/>
        <v>0.69114688128772628</v>
      </c>
      <c r="BN48" s="90">
        <f t="shared" si="493"/>
        <v>0.31106959364782727</v>
      </c>
      <c r="BO48" s="90">
        <f t="shared" si="493"/>
        <v>0.24982449982450008</v>
      </c>
      <c r="BP48" s="90">
        <f t="shared" si="493"/>
        <v>0.22627192436870303</v>
      </c>
      <c r="BQ48" s="90">
        <f t="shared" si="493"/>
        <v>0.41047493608119606</v>
      </c>
      <c r="BR48" s="90">
        <f t="shared" si="493"/>
        <v>0.24055135615829226</v>
      </c>
      <c r="BS48" s="90">
        <f t="shared" si="493"/>
        <v>0.27466747279322845</v>
      </c>
      <c r="BT48" s="90">
        <f t="shared" si="493"/>
        <v>0.32828375286041217</v>
      </c>
      <c r="BU48" s="90">
        <f t="shared" si="493"/>
        <v>0.61231810832659694</v>
      </c>
      <c r="BV48" s="90">
        <f t="shared" si="493"/>
        <v>0.24942149574122394</v>
      </c>
      <c r="BW48" s="90">
        <f t="shared" si="493"/>
        <v>0.31739319965126461</v>
      </c>
      <c r="BX48" s="90">
        <f t="shared" si="493"/>
        <v>0.23566449291657271</v>
      </c>
      <c r="BY48" s="90">
        <f t="shared" si="493"/>
        <v>0.25218850083879851</v>
      </c>
      <c r="BZ48" s="90">
        <f t="shared" si="493"/>
        <v>0.24755170045531996</v>
      </c>
      <c r="CA48" s="90">
        <f t="shared" si="493"/>
        <v>0.2523441695237309</v>
      </c>
      <c r="CB48" s="90">
        <f t="shared" si="493"/>
        <v>0.23919511603817256</v>
      </c>
      <c r="CC48" s="90">
        <f t="shared" si="493"/>
        <v>0.25521398823510361</v>
      </c>
      <c r="CD48" s="90">
        <f t="shared" ref="CD48:CE48" si="494">CD47/CD46</f>
        <v>0.25453045001347341</v>
      </c>
      <c r="CE48" s="90">
        <f t="shared" si="494"/>
        <v>0.26254018215912128</v>
      </c>
      <c r="CF48" s="90">
        <f t="shared" ref="CF48:CG48" si="495">CF47/CF46</f>
        <v>0.24565682923716181</v>
      </c>
      <c r="CG48" s="90">
        <f t="shared" si="495"/>
        <v>0.25478277873741145</v>
      </c>
      <c r="CH48" s="90">
        <f t="shared" ref="CH48:CJ48" si="496">CH47/CH46</f>
        <v>0.2573875261015377</v>
      </c>
      <c r="CI48" s="90">
        <f t="shared" si="496"/>
        <v>0.24576193023556112</v>
      </c>
      <c r="CJ48" s="90">
        <f t="shared" si="496"/>
        <v>0.22263142355445742</v>
      </c>
      <c r="CK48" s="90">
        <f t="shared" ref="CK48" si="497">CK47/CK46</f>
        <v>0.25972676294195346</v>
      </c>
      <c r="CL48" s="91">
        <f>AVERAGE(CH48:CK48)</f>
        <v>0.24637691070837742</v>
      </c>
      <c r="CM48" s="91">
        <f t="shared" ref="CM48:CZ48" si="498">AVERAGE(CI48:CL48)</f>
        <v>0.24362425686008735</v>
      </c>
      <c r="CN48" s="91">
        <f t="shared" si="498"/>
        <v>0.24308983851621893</v>
      </c>
      <c r="CO48" s="91">
        <f t="shared" si="498"/>
        <v>0.24820444225665927</v>
      </c>
      <c r="CP48" s="91">
        <f t="shared" si="498"/>
        <v>0.24532386208533574</v>
      </c>
      <c r="CQ48" s="91">
        <f t="shared" si="498"/>
        <v>0.24506059992957532</v>
      </c>
      <c r="CR48" s="91">
        <f t="shared" si="498"/>
        <v>0.2454196856969473</v>
      </c>
      <c r="CS48" s="91">
        <f t="shared" si="498"/>
        <v>0.2460021474921294</v>
      </c>
      <c r="CT48" s="91">
        <f t="shared" si="498"/>
        <v>0.24545157380099691</v>
      </c>
      <c r="CU48" s="91">
        <f t="shared" si="498"/>
        <v>0.24548350172991223</v>
      </c>
      <c r="CV48" s="91">
        <f t="shared" si="498"/>
        <v>0.24558922717999648</v>
      </c>
      <c r="CW48" s="91">
        <f t="shared" si="498"/>
        <v>0.24563161255075877</v>
      </c>
      <c r="CX48" s="91">
        <f t="shared" si="498"/>
        <v>0.24553897881541609</v>
      </c>
      <c r="CY48" s="91">
        <f t="shared" si="498"/>
        <v>0.24556083006902091</v>
      </c>
      <c r="CZ48" s="91">
        <f t="shared" si="498"/>
        <v>0.24558016215379808</v>
      </c>
      <c r="DB48" s="127"/>
      <c r="DC48" s="90" t="e">
        <v>#DIV/0!</v>
      </c>
    </row>
    <row r="49" spans="1:107" s="26" customFormat="1" x14ac:dyDescent="0.2">
      <c r="A49" s="26" t="s">
        <v>22</v>
      </c>
      <c r="B49" s="26">
        <f t="shared" ref="B49:E49" si="499">B46-B47</f>
        <v>65.325899999999891</v>
      </c>
      <c r="C49" s="26">
        <f t="shared" si="499"/>
        <v>81.348199999999963</v>
      </c>
      <c r="D49" s="26">
        <f t="shared" si="499"/>
        <v>100.89269999999996</v>
      </c>
      <c r="E49" s="26">
        <f t="shared" si="499"/>
        <v>150.51999999999984</v>
      </c>
      <c r="F49" s="26">
        <f t="shared" ref="F49:T49" si="500">F46-F47</f>
        <v>218.67700000000002</v>
      </c>
      <c r="G49" s="26">
        <f t="shared" si="500"/>
        <v>340.30619999999965</v>
      </c>
      <c r="H49" s="26">
        <f t="shared" si="500"/>
        <v>491.66900000000061</v>
      </c>
      <c r="I49" s="26">
        <f t="shared" si="500"/>
        <v>547.41299999999967</v>
      </c>
      <c r="J49" s="26">
        <f t="shared" si="500"/>
        <v>354.6391000000001</v>
      </c>
      <c r="K49" s="26">
        <f t="shared" si="500"/>
        <v>63.230300000000412</v>
      </c>
      <c r="L49" s="26">
        <f t="shared" si="500"/>
        <v>184.70999999999995</v>
      </c>
      <c r="M49" s="26">
        <f t="shared" si="500"/>
        <v>140.93999999999988</v>
      </c>
      <c r="N49" s="26">
        <f t="shared" si="500"/>
        <v>176.8899999999997</v>
      </c>
      <c r="O49" s="26">
        <f t="shared" si="500"/>
        <v>228.51000000000045</v>
      </c>
      <c r="P49" s="26">
        <f t="shared" si="500"/>
        <v>299.88000000000147</v>
      </c>
      <c r="Q49" s="26">
        <f t="shared" si="500"/>
        <v>374.47000000000099</v>
      </c>
      <c r="R49" s="26">
        <f t="shared" si="500"/>
        <v>225.48</v>
      </c>
      <c r="S49" s="26">
        <f t="shared" si="500"/>
        <v>254.19000000000057</v>
      </c>
      <c r="T49" s="26">
        <f t="shared" si="500"/>
        <v>371.93000000000018</v>
      </c>
      <c r="U49" s="26">
        <f t="shared" ref="U49:Y49" si="501">U46-U47</f>
        <v>171.65000000000015</v>
      </c>
      <c r="V49" s="26">
        <f t="shared" si="501"/>
        <v>411.14999999999986</v>
      </c>
      <c r="W49" s="26">
        <f t="shared" si="501"/>
        <v>686.35000000000127</v>
      </c>
      <c r="X49" s="26">
        <f t="shared" si="501"/>
        <v>1248.1800000000005</v>
      </c>
      <c r="Y49" s="26">
        <f t="shared" si="501"/>
        <v>1874.610000000001</v>
      </c>
      <c r="Z49" s="26">
        <f t="shared" ref="Z49" si="502">Z46-Z47</f>
        <v>1669.3999999999996</v>
      </c>
      <c r="AA49" s="27">
        <f t="shared" ref="AA49:AD49" si="503">AA46-AA47</f>
        <v>1749.4931579222425</v>
      </c>
      <c r="AB49" s="27">
        <f t="shared" si="503"/>
        <v>2240.5203119432372</v>
      </c>
      <c r="AC49" s="27">
        <f t="shared" si="503"/>
        <v>2479.7274274193942</v>
      </c>
      <c r="AD49" s="27">
        <f t="shared" si="503"/>
        <v>2947.0192232300842</v>
      </c>
      <c r="AH49" s="26">
        <f>AH46-AH47</f>
        <v>51.630000000000123</v>
      </c>
      <c r="AI49" s="26">
        <f t="shared" ref="AI49" si="504">AI46-AI47</f>
        <v>21.369999999999763</v>
      </c>
      <c r="AJ49" s="26">
        <f t="shared" ref="AJ49:AL49" si="505">AJ46-AJ47</f>
        <v>16.770000000000259</v>
      </c>
      <c r="AK49" s="26">
        <f t="shared" si="505"/>
        <v>43.059999999999974</v>
      </c>
      <c r="AL49" s="26">
        <f t="shared" si="505"/>
        <v>39.630000000000223</v>
      </c>
      <c r="AM49" s="26">
        <f t="shared" ref="AM49:AN49" si="506">AM46-AM47</f>
        <v>35.610000000000184</v>
      </c>
      <c r="AN49" s="26">
        <f t="shared" si="506"/>
        <v>58.589999999999925</v>
      </c>
      <c r="AO49" s="26">
        <f t="shared" ref="AO49:CC49" si="507">AO46-AO47</f>
        <v>51.680000000000035</v>
      </c>
      <c r="AP49" s="26">
        <f t="shared" si="507"/>
        <v>47.689999999999941</v>
      </c>
      <c r="AQ49" s="26">
        <f t="shared" si="507"/>
        <v>44.979999999999869</v>
      </c>
      <c r="AR49" s="26">
        <f t="shared" si="507"/>
        <v>84.16</v>
      </c>
      <c r="AS49" s="26">
        <f t="shared" si="507"/>
        <v>54.290000000000035</v>
      </c>
      <c r="AT49" s="26">
        <f t="shared" si="507"/>
        <v>57.45000000000033</v>
      </c>
      <c r="AU49" s="26">
        <f t="shared" si="507"/>
        <v>58.740000000000116</v>
      </c>
      <c r="AV49" s="26">
        <f t="shared" si="507"/>
        <v>129.39999999999986</v>
      </c>
      <c r="AW49" s="26">
        <f t="shared" si="507"/>
        <v>85.449999999999974</v>
      </c>
      <c r="AX49" s="26">
        <f t="shared" si="507"/>
        <v>55.639999999999702</v>
      </c>
      <c r="AY49" s="26">
        <f t="shared" si="507"/>
        <v>70.569999999999538</v>
      </c>
      <c r="AZ49" s="26">
        <f t="shared" si="507"/>
        <v>162.80999999999986</v>
      </c>
      <c r="BA49" s="26">
        <f t="shared" si="507"/>
        <v>89.980000000000302</v>
      </c>
      <c r="BB49" s="26">
        <f t="shared" si="507"/>
        <v>75.059999999999349</v>
      </c>
      <c r="BC49" s="26">
        <f t="shared" si="507"/>
        <v>83.389999999999645</v>
      </c>
      <c r="BD49" s="26">
        <f t="shared" si="507"/>
        <v>81.62999999999991</v>
      </c>
      <c r="BE49" s="26">
        <f t="shared" si="507"/>
        <v>45.600000000000037</v>
      </c>
      <c r="BF49" s="26">
        <f t="shared" si="507"/>
        <v>44.429999999999765</v>
      </c>
      <c r="BG49" s="26">
        <f t="shared" si="507"/>
        <v>35.730000000000018</v>
      </c>
      <c r="BH49" s="26">
        <f t="shared" si="507"/>
        <v>128.6400000000001</v>
      </c>
      <c r="BI49" s="26">
        <f t="shared" si="507"/>
        <v>89.02000000000011</v>
      </c>
      <c r="BJ49" s="26">
        <f t="shared" si="507"/>
        <v>69.739999999999995</v>
      </c>
      <c r="BK49" s="26">
        <f t="shared" si="507"/>
        <v>78.809999999999889</v>
      </c>
      <c r="BL49" s="26">
        <f t="shared" si="507"/>
        <v>134.35999999999987</v>
      </c>
      <c r="BM49" s="26">
        <f t="shared" si="507"/>
        <v>9.2100000000000009</v>
      </c>
      <c r="BN49" s="26">
        <f t="shared" si="507"/>
        <v>14.750000000000057</v>
      </c>
      <c r="BO49" s="26">
        <f t="shared" si="507"/>
        <v>85.489999999999881</v>
      </c>
      <c r="BP49" s="26">
        <f t="shared" si="507"/>
        <v>62.199999999999847</v>
      </c>
      <c r="BQ49" s="26">
        <f t="shared" si="507"/>
        <v>76.09000000000006</v>
      </c>
      <c r="BR49" s="26">
        <f t="shared" si="507"/>
        <v>68.320000000000121</v>
      </c>
      <c r="BS49" s="26">
        <f t="shared" si="507"/>
        <v>119.97000000000006</v>
      </c>
      <c r="BT49" s="26">
        <f t="shared" si="507"/>
        <v>146.76999999999981</v>
      </c>
      <c r="BU49" s="26">
        <f t="shared" si="507"/>
        <v>76.729999999999876</v>
      </c>
      <c r="BV49" s="26">
        <f t="shared" si="507"/>
        <v>152.45000000000002</v>
      </c>
      <c r="BW49" s="26">
        <f t="shared" si="507"/>
        <v>156.58999999999969</v>
      </c>
      <c r="BX49" s="26">
        <f t="shared" si="507"/>
        <v>305.91000000000042</v>
      </c>
      <c r="BY49" s="26">
        <f t="shared" si="507"/>
        <v>245.16999999999967</v>
      </c>
      <c r="BZ49" s="26">
        <f t="shared" si="507"/>
        <v>295.81000000000023</v>
      </c>
      <c r="CA49" s="26">
        <f t="shared" si="507"/>
        <v>361.99999999999994</v>
      </c>
      <c r="CB49" s="26">
        <f t="shared" si="507"/>
        <v>345.19999999999982</v>
      </c>
      <c r="CC49" s="26">
        <f t="shared" si="507"/>
        <v>459.59999999999968</v>
      </c>
      <c r="CD49" s="26">
        <f t="shared" ref="CD49:CE49" si="508">CD46-CD47</f>
        <v>442.63000000000011</v>
      </c>
      <c r="CE49" s="26">
        <f t="shared" si="508"/>
        <v>440.4700000000002</v>
      </c>
      <c r="CF49" s="26">
        <f t="shared" ref="CF49:CG49" si="509">CF46-CF47</f>
        <v>531.91000000000031</v>
      </c>
      <c r="CG49" s="26">
        <f t="shared" si="509"/>
        <v>457.31000000000029</v>
      </c>
      <c r="CH49" s="26">
        <f t="shared" ref="CH49:CI49" si="510">CH46-CH47</f>
        <v>352.07999999999993</v>
      </c>
      <c r="CI49" s="26">
        <f t="shared" si="510"/>
        <v>408.87999999999977</v>
      </c>
      <c r="CJ49" s="26">
        <f t="shared" ref="CJ49:CK49" si="511">CJ46-CJ47</f>
        <v>500.2600000000001</v>
      </c>
      <c r="CK49" s="26">
        <f t="shared" si="511"/>
        <v>341.90999999999985</v>
      </c>
      <c r="CL49" s="27">
        <f t="shared" ref="CL49:CZ49" si="512">CL46-CL47</f>
        <v>452.3852826773043</v>
      </c>
      <c r="CM49" s="27">
        <f t="shared" si="512"/>
        <v>473.54084908955429</v>
      </c>
      <c r="CN49" s="27">
        <f t="shared" si="512"/>
        <v>481.65702615538305</v>
      </c>
      <c r="CO49" s="27">
        <f t="shared" si="512"/>
        <v>507.49037256533819</v>
      </c>
      <c r="CP49" s="27">
        <f t="shared" si="512"/>
        <v>572.64897333722638</v>
      </c>
      <c r="CQ49" s="27">
        <f t="shared" si="512"/>
        <v>576.37760074233131</v>
      </c>
      <c r="CR49" s="27">
        <f t="shared" si="512"/>
        <v>584.00336529834044</v>
      </c>
      <c r="CS49" s="27">
        <f t="shared" si="512"/>
        <v>590.74977605717379</v>
      </c>
      <c r="CT49" s="27">
        <f t="shared" si="512"/>
        <v>637.50671527696386</v>
      </c>
      <c r="CU49" s="27">
        <f t="shared" si="512"/>
        <v>628.2411864901195</v>
      </c>
      <c r="CV49" s="27">
        <f t="shared" si="512"/>
        <v>623.22974959513476</v>
      </c>
      <c r="CW49" s="27">
        <f t="shared" si="512"/>
        <v>698.35250311696086</v>
      </c>
      <c r="CX49" s="27">
        <f t="shared" si="512"/>
        <v>748.7337201772483</v>
      </c>
      <c r="CY49" s="27">
        <f t="shared" si="512"/>
        <v>745.68998372461147</v>
      </c>
      <c r="CZ49" s="27">
        <f t="shared" si="512"/>
        <v>754.24301621126415</v>
      </c>
      <c r="DB49" s="121"/>
      <c r="DC49" s="26">
        <v>0</v>
      </c>
    </row>
    <row r="50" spans="1:107" s="45" customFormat="1" x14ac:dyDescent="0.2">
      <c r="A50" s="45" t="s">
        <v>107</v>
      </c>
      <c r="B50" s="45">
        <f t="shared" ref="B50:E50" si="513">+B49/B18</f>
        <v>6.2716938092298377E-2</v>
      </c>
      <c r="C50" s="45">
        <f t="shared" si="513"/>
        <v>6.9187900635300989E-2</v>
      </c>
      <c r="D50" s="45">
        <f t="shared" si="513"/>
        <v>6.8711264116538343E-2</v>
      </c>
      <c r="E50" s="45">
        <f t="shared" si="513"/>
        <v>6.6595210577931496E-2</v>
      </c>
      <c r="F50" s="45">
        <f t="shared" ref="F50:AD50" si="514">+F49/F18</f>
        <v>7.380125482753834E-2</v>
      </c>
      <c r="G50" s="45">
        <f t="shared" si="514"/>
        <v>7.9622241346082159E-2</v>
      </c>
      <c r="H50" s="45">
        <f t="shared" si="514"/>
        <v>8.2907787945166012E-2</v>
      </c>
      <c r="I50" s="45">
        <f t="shared" si="514"/>
        <v>8.0065888244042704E-2</v>
      </c>
      <c r="J50" s="45">
        <f t="shared" si="514"/>
        <v>5.6858689860487768E-2</v>
      </c>
      <c r="K50" s="45">
        <f t="shared" si="514"/>
        <v>1.0057129889117035E-2</v>
      </c>
      <c r="L50" s="45">
        <f t="shared" si="514"/>
        <v>2.4787332976372114E-2</v>
      </c>
      <c r="M50" s="45">
        <f t="shared" si="514"/>
        <v>1.8519199840220314E-2</v>
      </c>
      <c r="N50" s="45">
        <f t="shared" si="514"/>
        <v>2.2907307572270837E-2</v>
      </c>
      <c r="O50" s="45">
        <f t="shared" si="514"/>
        <v>2.9548948892253919E-2</v>
      </c>
      <c r="P50" s="45">
        <f t="shared" si="514"/>
        <v>3.6839072905444345E-2</v>
      </c>
      <c r="Q50" s="45">
        <f t="shared" si="514"/>
        <v>4.3330351842873635E-2</v>
      </c>
      <c r="R50" s="45">
        <f t="shared" si="514"/>
        <v>3.7001967596201342E-2</v>
      </c>
      <c r="S50" s="45">
        <f t="shared" si="514"/>
        <v>3.7994834173378143E-2</v>
      </c>
      <c r="T50" s="45">
        <f t="shared" si="514"/>
        <v>5.0844422328730064E-2</v>
      </c>
      <c r="U50" s="45">
        <f t="shared" si="514"/>
        <v>2.948831376321737E-2</v>
      </c>
      <c r="V50" s="45">
        <f t="shared" si="514"/>
        <v>5.9294779348139585E-2</v>
      </c>
      <c r="W50" s="45">
        <f t="shared" si="514"/>
        <v>8.0110603639555536E-2</v>
      </c>
      <c r="X50" s="45">
        <f t="shared" si="514"/>
        <v>0.11948285170563981</v>
      </c>
      <c r="Y50" s="45">
        <f t="shared" si="514"/>
        <v>0.15380393180022503</v>
      </c>
      <c r="Z50" s="45">
        <f t="shared" ref="Z50" si="515">+Z49/Z18</f>
        <v>0.1264435461453805</v>
      </c>
      <c r="AA50" s="48">
        <f t="shared" si="514"/>
        <v>0.12076967697318154</v>
      </c>
      <c r="AB50" s="48">
        <f t="shared" si="514"/>
        <v>0.13111953994938247</v>
      </c>
      <c r="AC50" s="48">
        <f t="shared" si="514"/>
        <v>0.12896743843795772</v>
      </c>
      <c r="AD50" s="48">
        <f t="shared" si="514"/>
        <v>0.13013607810772052</v>
      </c>
      <c r="AH50" s="45">
        <f t="shared" ref="AH50:BM50" si="516">+AH49/AH18</f>
        <v>2.7407513576354119E-2</v>
      </c>
      <c r="AI50" s="45">
        <f t="shared" si="516"/>
        <v>1.1815703772510251E-2</v>
      </c>
      <c r="AJ50" s="45">
        <f t="shared" si="516"/>
        <v>8.0536719365312329E-3</v>
      </c>
      <c r="AK50" s="45">
        <f t="shared" si="516"/>
        <v>2.1735728671879326E-2</v>
      </c>
      <c r="AL50" s="45">
        <f t="shared" si="516"/>
        <v>2.2630842589155823E-2</v>
      </c>
      <c r="AM50" s="45">
        <f t="shared" si="516"/>
        <v>1.993952628926602E-2</v>
      </c>
      <c r="AN50" s="45">
        <f t="shared" si="516"/>
        <v>2.6585052657370864E-2</v>
      </c>
      <c r="AO50" s="45">
        <f t="shared" si="516"/>
        <v>2.8275820562343061E-2</v>
      </c>
      <c r="AP50" s="45">
        <f t="shared" si="516"/>
        <v>2.6171947886597338E-2</v>
      </c>
      <c r="AQ50" s="45">
        <f t="shared" si="516"/>
        <v>2.4379800213553536E-2</v>
      </c>
      <c r="AR50" s="45">
        <f t="shared" si="516"/>
        <v>3.7598116520208544E-2</v>
      </c>
      <c r="AS50" s="45">
        <f t="shared" si="516"/>
        <v>2.9918933962316163E-2</v>
      </c>
      <c r="AT50" s="45">
        <f t="shared" si="516"/>
        <v>2.9741874695851319E-2</v>
      </c>
      <c r="AU50" s="45">
        <f t="shared" si="516"/>
        <v>2.9832856772830523E-2</v>
      </c>
      <c r="AV50" s="45">
        <f t="shared" si="516"/>
        <v>5.3358404361039231E-2</v>
      </c>
      <c r="AW50" s="45">
        <f t="shared" si="516"/>
        <v>4.2649936112442083E-2</v>
      </c>
      <c r="AX50" s="45">
        <f t="shared" si="516"/>
        <v>2.6562910271405588E-2</v>
      </c>
      <c r="AY50" s="45">
        <f t="shared" si="516"/>
        <v>3.4340465496518043E-2</v>
      </c>
      <c r="AZ50" s="45">
        <f t="shared" si="516"/>
        <v>6.4921962851605744E-2</v>
      </c>
      <c r="BA50" s="45">
        <f t="shared" si="516"/>
        <v>4.1828011472719882E-2</v>
      </c>
      <c r="BB50" s="45">
        <f t="shared" si="516"/>
        <v>3.3608854898940312E-2</v>
      </c>
      <c r="BC50" s="45">
        <f t="shared" si="516"/>
        <v>4.3355516273265907E-2</v>
      </c>
      <c r="BD50" s="45">
        <f t="shared" si="516"/>
        <v>4.7771762984637839E-2</v>
      </c>
      <c r="BE50" s="45">
        <f t="shared" si="516"/>
        <v>2.9110223050700327E-2</v>
      </c>
      <c r="BF50" s="45">
        <f t="shared" si="516"/>
        <v>2.6673150349398319E-2</v>
      </c>
      <c r="BG50" s="45">
        <f t="shared" si="516"/>
        <v>2.3953822019012895E-2</v>
      </c>
      <c r="BH50" s="45">
        <f t="shared" si="516"/>
        <v>6.5421701452459471E-2</v>
      </c>
      <c r="BI50" s="45">
        <f t="shared" si="516"/>
        <v>4.8112417240913447E-2</v>
      </c>
      <c r="BJ50" s="45">
        <f t="shared" si="516"/>
        <v>4.0411415326669559E-2</v>
      </c>
      <c r="BK50" s="45">
        <f t="shared" si="516"/>
        <v>4.5147282913807069E-2</v>
      </c>
      <c r="BL50" s="45">
        <f t="shared" si="516"/>
        <v>6.878510031587079E-2</v>
      </c>
      <c r="BM50" s="45">
        <f t="shared" si="516"/>
        <v>6.0502943031322271E-3</v>
      </c>
      <c r="BN50" s="45">
        <f t="shared" ref="BN50:CS50" si="517">+BN49/BN18</f>
        <v>1.4962770597902226E-2</v>
      </c>
      <c r="BO50" s="45">
        <f t="shared" si="517"/>
        <v>5.3027906486288599E-2</v>
      </c>
      <c r="BP50" s="45">
        <f t="shared" si="517"/>
        <v>3.6571885510007202E-2</v>
      </c>
      <c r="BQ50" s="45">
        <f t="shared" si="517"/>
        <v>4.6705337138998902E-2</v>
      </c>
      <c r="BR50" s="45">
        <f t="shared" si="517"/>
        <v>4.7945205479452135E-2</v>
      </c>
      <c r="BS50" s="45">
        <f t="shared" si="517"/>
        <v>6.7459893499176249E-2</v>
      </c>
      <c r="BT50" s="45">
        <f t="shared" si="517"/>
        <v>6.984059005472272E-2</v>
      </c>
      <c r="BU50" s="45">
        <f t="shared" si="517"/>
        <v>3.8853387075539467E-2</v>
      </c>
      <c r="BV50" s="45">
        <f t="shared" si="517"/>
        <v>7.2669637962676087E-2</v>
      </c>
      <c r="BW50" s="45">
        <f t="shared" si="517"/>
        <v>7.3872267353543214E-2</v>
      </c>
      <c r="BX50" s="45">
        <f t="shared" si="517"/>
        <v>0.12604917364055543</v>
      </c>
      <c r="BY50" s="45">
        <f t="shared" si="517"/>
        <v>0.10167923988370971</v>
      </c>
      <c r="BZ50" s="45">
        <f t="shared" si="517"/>
        <v>0.11791695068623122</v>
      </c>
      <c r="CA50" s="45">
        <f t="shared" si="517"/>
        <v>0.13072414677216079</v>
      </c>
      <c r="CB50" s="45">
        <f t="shared" si="517"/>
        <v>0.12518631073911413</v>
      </c>
      <c r="CC50" s="45">
        <f t="shared" si="517"/>
        <v>0.14920333986936582</v>
      </c>
      <c r="CD50" s="45">
        <f t="shared" si="517"/>
        <v>0.15635884501529573</v>
      </c>
      <c r="CE50" s="45">
        <f t="shared" si="517"/>
        <v>0.15125199164881056</v>
      </c>
      <c r="CF50" s="45">
        <f t="shared" si="517"/>
        <v>0.15807461076456278</v>
      </c>
      <c r="CG50" s="45">
        <f t="shared" si="517"/>
        <v>0.15192669937908429</v>
      </c>
      <c r="CH50" s="45">
        <f t="shared" ref="CH50:CI50" si="518">+CH49/CH18</f>
        <v>0.11087597309349254</v>
      </c>
      <c r="CI50" s="45">
        <f t="shared" si="518"/>
        <v>0.12350183645853463</v>
      </c>
      <c r="CJ50" s="45">
        <f t="shared" ref="CJ50:CK50" si="519">+CJ49/CJ18</f>
        <v>0.14064059420693226</v>
      </c>
      <c r="CK50" s="45">
        <f t="shared" si="519"/>
        <v>0.10738177044402425</v>
      </c>
      <c r="CL50" s="48">
        <f t="shared" si="517"/>
        <v>0.12215455434934622</v>
      </c>
      <c r="CM50" s="48">
        <f t="shared" si="517"/>
        <v>0.12565671226587938</v>
      </c>
      <c r="CN50" s="48">
        <f t="shared" si="517"/>
        <v>0.12575169358900501</v>
      </c>
      <c r="CO50" s="48">
        <f t="shared" si="517"/>
        <v>0.12644434687968453</v>
      </c>
      <c r="CP50" s="48">
        <f t="shared" si="517"/>
        <v>0.12978032095882427</v>
      </c>
      <c r="CQ50" s="48">
        <f t="shared" si="517"/>
        <v>0.13264262309733535</v>
      </c>
      <c r="CR50" s="48">
        <f t="shared" si="517"/>
        <v>0.1353025483896024</v>
      </c>
      <c r="CS50" s="48">
        <f t="shared" si="517"/>
        <v>0.12904850499952095</v>
      </c>
      <c r="CT50" s="48">
        <f t="shared" ref="CT50:CZ50" si="520">+CT49/CT18</f>
        <v>0.12861952667026214</v>
      </c>
      <c r="CU50" s="48">
        <f t="shared" si="520"/>
        <v>0.12915016620253292</v>
      </c>
      <c r="CV50" s="48">
        <f t="shared" si="520"/>
        <v>0.12906362456954956</v>
      </c>
      <c r="CW50" s="48">
        <f t="shared" si="520"/>
        <v>0.12978551181504477</v>
      </c>
      <c r="CX50" s="48">
        <f t="shared" si="520"/>
        <v>0.12903231212040114</v>
      </c>
      <c r="CY50" s="48">
        <f t="shared" si="520"/>
        <v>0.13022711251247102</v>
      </c>
      <c r="CZ50" s="48">
        <f t="shared" si="520"/>
        <v>0.13149063502306346</v>
      </c>
      <c r="DB50" s="129"/>
      <c r="DC50" s="45" t="e">
        <v>#DIV/0!</v>
      </c>
    </row>
    <row r="51" spans="1:107" s="39" customFormat="1" x14ac:dyDescent="0.2">
      <c r="A51" s="39" t="s">
        <v>451</v>
      </c>
      <c r="C51" s="39">
        <f t="shared" ref="C51:E51" si="521">+IF(B49&lt;0,1-C49/B49,C49/B49-1)</f>
        <v>0.24526719111409245</v>
      </c>
      <c r="D51" s="39">
        <f t="shared" si="521"/>
        <v>0.24025731362218217</v>
      </c>
      <c r="E51" s="39">
        <f t="shared" si="521"/>
        <v>0.49188196965687214</v>
      </c>
      <c r="F51" s="39">
        <f t="shared" ref="F51:AD51" si="522">+IF(E49&lt;0,1-F49/E49,F49/E49-1)</f>
        <v>0.45281025777305506</v>
      </c>
      <c r="G51" s="39">
        <f t="shared" si="522"/>
        <v>0.55620481349204365</v>
      </c>
      <c r="H51" s="39">
        <f t="shared" si="522"/>
        <v>0.44478413851995979</v>
      </c>
      <c r="I51" s="39">
        <f t="shared" si="522"/>
        <v>0.11337708905788046</v>
      </c>
      <c r="J51" s="39">
        <f t="shared" si="522"/>
        <v>-0.35215440627095029</v>
      </c>
      <c r="K51" s="39">
        <f t="shared" si="522"/>
        <v>-0.82170522088511844</v>
      </c>
      <c r="L51" s="39">
        <f t="shared" si="522"/>
        <v>1.9212260577602627</v>
      </c>
      <c r="M51" s="39">
        <f t="shared" si="522"/>
        <v>-0.23696605489686573</v>
      </c>
      <c r="N51" s="39">
        <f t="shared" si="522"/>
        <v>0.25507308074357771</v>
      </c>
      <c r="O51" s="39">
        <f t="shared" si="522"/>
        <v>0.29181977500141798</v>
      </c>
      <c r="P51" s="39">
        <f t="shared" si="522"/>
        <v>0.31232768806617162</v>
      </c>
      <c r="Q51" s="39">
        <f t="shared" si="522"/>
        <v>0.24873282646391615</v>
      </c>
      <c r="R51" s="39">
        <f t="shared" si="522"/>
        <v>-0.39786898816994853</v>
      </c>
      <c r="S51" s="39">
        <f t="shared" si="522"/>
        <v>0.1273283661522111</v>
      </c>
      <c r="T51" s="39">
        <f t="shared" si="522"/>
        <v>0.46319682127542139</v>
      </c>
      <c r="U51" s="39">
        <f t="shared" si="522"/>
        <v>-0.53848842524130869</v>
      </c>
      <c r="V51" s="39">
        <f t="shared" si="522"/>
        <v>1.3952810952519634</v>
      </c>
      <c r="W51" s="39">
        <f t="shared" si="522"/>
        <v>0.66934208926183025</v>
      </c>
      <c r="X51" s="39">
        <f t="shared" si="522"/>
        <v>0.81857652801048775</v>
      </c>
      <c r="Y51" s="39">
        <f t="shared" si="522"/>
        <v>0.50187472960630708</v>
      </c>
      <c r="Z51" s="39">
        <f t="shared" si="522"/>
        <v>-0.10946810269869534</v>
      </c>
      <c r="AA51" s="40">
        <f t="shared" si="522"/>
        <v>4.7977212125460023E-2</v>
      </c>
      <c r="AB51" s="40">
        <f t="shared" si="522"/>
        <v>0.28066823342376201</v>
      </c>
      <c r="AC51" s="40">
        <f t="shared" si="522"/>
        <v>0.10676409144833365</v>
      </c>
      <c r="AD51" s="40">
        <f t="shared" si="522"/>
        <v>0.18844482286385467</v>
      </c>
      <c r="AL51" s="39">
        <f>+IF(AH49&lt;0,1-AL49/AH49,AL49/AH49-1)</f>
        <v>-0.23242300987797548</v>
      </c>
      <c r="AM51" s="39">
        <f t="shared" ref="AM51" si="523">+IF(AI49&lt;0,1-AM49/AI49,AM49/AI49-1)</f>
        <v>0.66635470285449605</v>
      </c>
      <c r="AN51" s="39">
        <f t="shared" ref="AN51" si="524">+IF(AJ49&lt;0,1-AN49/AJ49,AN49/AJ49-1)</f>
        <v>2.4937388193201562</v>
      </c>
      <c r="AO51" s="39">
        <f t="shared" ref="AO51" si="525">+IF(AK49&lt;0,1-AO49/AK49,AO49/AK49-1)</f>
        <v>0.20018578727357328</v>
      </c>
      <c r="AP51" s="39">
        <f t="shared" ref="AP51" si="526">+IF(AL49&lt;0,1-AP49/AL49,AP49/AL49-1)</f>
        <v>0.20338127681048879</v>
      </c>
      <c r="AQ51" s="39">
        <f t="shared" ref="AQ51" si="527">+IF(AM49&lt;0,1-AQ49/AM49,AQ49/AM49-1)</f>
        <v>0.26312833473742314</v>
      </c>
      <c r="AR51" s="39">
        <f t="shared" ref="AR51" si="528">+IF(AN49&lt;0,1-AR49/AN49,AR49/AN49-1)</f>
        <v>0.43642259771292213</v>
      </c>
      <c r="AS51" s="39">
        <f t="shared" ref="AS51" si="529">+IF(AO49&lt;0,1-AS49/AO49,AS49/AO49-1)</f>
        <v>5.0503095975232171E-2</v>
      </c>
      <c r="AT51" s="39">
        <f t="shared" ref="AT51" si="530">+IF(AP49&lt;0,1-AT49/AP49,AT49/AP49-1)</f>
        <v>0.204655063954716</v>
      </c>
      <c r="AU51" s="39">
        <f t="shared" ref="AU51" si="531">+IF(AQ49&lt;0,1-AU49/AQ49,AU49/AQ49-1)</f>
        <v>0.3059137394397573</v>
      </c>
      <c r="AV51" s="39">
        <f t="shared" ref="AV51" si="532">+IF(AR49&lt;0,1-AV49/AR49,AV49/AR49-1)</f>
        <v>0.53754752851710874</v>
      </c>
      <c r="AW51" s="39">
        <f t="shared" ref="AW51" si="533">+IF(AS49&lt;0,1-AW49/AS49,AW49/AS49-1)</f>
        <v>0.57395468778780478</v>
      </c>
      <c r="AX51" s="39">
        <f t="shared" ref="AX51" si="534">+IF(AT49&lt;0,1-AX49/AT49,AX49/AT49-1)</f>
        <v>-3.1505657093135242E-2</v>
      </c>
      <c r="AY51" s="39">
        <f t="shared" ref="AY51" si="535">+IF(AU49&lt;0,1-AY49/AU49,AY49/AU49-1)</f>
        <v>0.20139598229484856</v>
      </c>
      <c r="AZ51" s="39">
        <f t="shared" ref="AZ51" si="536">+IF(AV49&lt;0,1-AZ49/AV49,AZ49/AV49-1)</f>
        <v>0.25819165378670816</v>
      </c>
      <c r="BA51" s="39">
        <f t="shared" ref="BA51" si="537">+IF(AW49&lt;0,1-BA49/AW49,BA49/AW49-1)</f>
        <v>5.3013458162672E-2</v>
      </c>
      <c r="BB51" s="39">
        <f t="shared" ref="BB51" si="538">+IF(AX49&lt;0,1-BB49/AX49,BB49/AX49-1)</f>
        <v>0.349029475197695</v>
      </c>
      <c r="BC51" s="39">
        <f t="shared" ref="BC51" si="539">+IF(AY49&lt;0,1-BC49/AY49,BC49/AY49-1)</f>
        <v>0.18166359642908025</v>
      </c>
      <c r="BD51" s="39">
        <f t="shared" ref="BD51" si="540">+IF(AZ49&lt;0,1-BD49/AZ49,BD49/AZ49-1)</f>
        <v>-0.49861802100608088</v>
      </c>
      <c r="BE51" s="39">
        <f t="shared" ref="BE51" si="541">+IF(BA49&lt;0,1-BE49/BA49,BE49/BA49-1)</f>
        <v>-0.49322071571460457</v>
      </c>
      <c r="BF51" s="39">
        <f t="shared" ref="BF51" si="542">+IF(BB49&lt;0,1-BF49/BB49,BF49/BB49-1)</f>
        <v>-0.40807354116706429</v>
      </c>
      <c r="BG51" s="39">
        <f t="shared" ref="BG51" si="543">+IF(BC49&lt;0,1-BG49/BC49,BG49/BC49-1)</f>
        <v>-0.57153135867609817</v>
      </c>
      <c r="BH51" s="39">
        <f t="shared" ref="BH51" si="544">+IF(BD49&lt;0,1-BH49/BD49,BH49/BD49-1)</f>
        <v>0.575891216464538</v>
      </c>
      <c r="BI51" s="39">
        <f t="shared" ref="BI51" si="545">+IF(BE49&lt;0,1-BI49/BE49,BI49/BE49-1)</f>
        <v>0.95219298245614126</v>
      </c>
      <c r="BJ51" s="39">
        <f t="shared" ref="BJ51" si="546">+IF(BF49&lt;0,1-BJ49/BF49,BJ49/BF49-1)</f>
        <v>0.56966013954536043</v>
      </c>
      <c r="BK51" s="39">
        <f t="shared" ref="BK51" si="547">+IF(BG49&lt;0,1-BK49/BG49,BK49/BG49-1)</f>
        <v>1.2057094878253527</v>
      </c>
      <c r="BL51" s="39">
        <f t="shared" ref="BL51" si="548">+IF(BH49&lt;0,1-BL49/BH49,BL49/BH49-1)</f>
        <v>4.4465174129351359E-2</v>
      </c>
      <c r="BM51" s="39">
        <f t="shared" ref="BM51" si="549">+IF(BI49&lt;0,1-BM49/BI49,BM49/BI49-1)</f>
        <v>-0.89654010334756251</v>
      </c>
      <c r="BN51" s="39">
        <f t="shared" ref="BN51" si="550">+IF(BJ49&lt;0,1-BN49/BJ49,BN49/BJ49-1)</f>
        <v>-0.78850014338973251</v>
      </c>
      <c r="BO51" s="39">
        <f t="shared" ref="BO51" si="551">+IF(BK49&lt;0,1-BO49/BK49,BO49/BK49-1)</f>
        <v>8.4760817155183465E-2</v>
      </c>
      <c r="BP51" s="39">
        <f t="shared" ref="BP51" si="552">+IF(BL49&lt;0,1-BP49/BL49,BP49/BL49-1)</f>
        <v>-0.53706460256028654</v>
      </c>
      <c r="BQ51" s="39">
        <f t="shared" ref="BQ51" si="553">+IF(BM49&lt;0,1-BQ49/BM49,BQ49/BM49-1)</f>
        <v>7.261672095548322</v>
      </c>
      <c r="BR51" s="39">
        <f t="shared" ref="BR51" si="554">+IF(BN49&lt;0,1-BR49/BN49,BR49/BN49-1)</f>
        <v>3.6318644067796511</v>
      </c>
      <c r="BS51" s="39">
        <f t="shared" ref="BS51" si="555">+IF(BO49&lt;0,1-BS49/BO49,BS49/BO49-1)</f>
        <v>0.40332202596795197</v>
      </c>
      <c r="BT51" s="39">
        <f t="shared" ref="BT51" si="556">+IF(BP49&lt;0,1-BT49/BP49,BT49/BP49-1)</f>
        <v>1.3596463022508067</v>
      </c>
      <c r="BU51" s="39">
        <f t="shared" ref="BU51" si="557">+IF(BQ49&lt;0,1-BU49/BQ49,BU49/BQ49-1)</f>
        <v>8.4110921277409378E-3</v>
      </c>
      <c r="BV51" s="39">
        <f t="shared" ref="BV51" si="558">+IF(BR49&lt;0,1-BV49/BR49,BV49/BR49-1)</f>
        <v>1.2314110070257573</v>
      </c>
      <c r="BW51" s="39">
        <f t="shared" ref="BW51" si="559">+IF(BS49&lt;0,1-BW49/BS49,BW49/BS49-1)</f>
        <v>0.30524297741101614</v>
      </c>
      <c r="BX51" s="39">
        <f t="shared" ref="BX51" si="560">+IF(BT49&lt;0,1-BX49/BT49,BX49/BT49-1)</f>
        <v>1.0842815289228098</v>
      </c>
      <c r="BY51" s="39">
        <f t="shared" ref="BY51" si="561">+IF(BU49&lt;0,1-BY49/BU49,BY49/BU49-1)</f>
        <v>2.1952300273686962</v>
      </c>
      <c r="BZ51" s="39">
        <f t="shared" ref="BZ51" si="562">+IF(BV49&lt;0,1-BZ49/BV49,BZ49/BV49-1)</f>
        <v>0.94037389307969965</v>
      </c>
      <c r="CA51" s="39">
        <f t="shared" ref="CA51" si="563">+IF(BW49&lt;0,1-CA49/BW49,CA49/BW49-1)</f>
        <v>1.3117695893735273</v>
      </c>
      <c r="CB51" s="39">
        <f t="shared" ref="CB51" si="564">+IF(BX49&lt;0,1-CB49/BX49,CB49/BX49-1)</f>
        <v>0.12843646824229138</v>
      </c>
      <c r="CC51" s="39">
        <f t="shared" ref="CC51" si="565">+IF(BY49&lt;0,1-CC49/BY49,CC49/BY49-1)</f>
        <v>0.874617612269039</v>
      </c>
      <c r="CD51" s="39">
        <f t="shared" ref="CD51" si="566">+IF(BZ49&lt;0,1-CD49/BZ49,CD49/BZ49-1)</f>
        <v>0.49633210506744119</v>
      </c>
      <c r="CE51" s="39">
        <f t="shared" ref="CE51" si="567">+IF(CA49&lt;0,1-CE49/CA49,CE49/CA49-1)</f>
        <v>0.21676795580110575</v>
      </c>
      <c r="CF51" s="39">
        <f t="shared" ref="CF51" si="568">+IF(CB49&lt;0,1-CF49/CB49,CF49/CB49-1)</f>
        <v>0.54087485515643285</v>
      </c>
      <c r="CG51" s="39">
        <f t="shared" ref="CG51:CK51" si="569">+IF(CC49&lt;0,1-CG49/CC49,CG49/CC49-1)</f>
        <v>-4.9825935596157223E-3</v>
      </c>
      <c r="CH51" s="39">
        <f t="shared" si="569"/>
        <v>-0.20457266791677053</v>
      </c>
      <c r="CI51" s="39">
        <f t="shared" si="569"/>
        <v>-7.1718845778374063E-2</v>
      </c>
      <c r="CJ51" s="39">
        <f t="shared" si="569"/>
        <v>-5.9502547423436636E-2</v>
      </c>
      <c r="CK51" s="39">
        <f t="shared" si="569"/>
        <v>-0.25234523627298844</v>
      </c>
      <c r="CL51" s="40">
        <f t="shared" ref="CL51" si="570">+CL49/CH49-1</f>
        <v>0.28489344091486135</v>
      </c>
      <c r="CM51" s="40">
        <f t="shared" ref="CM51" si="571">+CM49/CI49-1</f>
        <v>0.15814138399910616</v>
      </c>
      <c r="CN51" s="40">
        <f t="shared" ref="CN51" si="572">+CN49/CJ49-1</f>
        <v>-3.7186610651695262E-2</v>
      </c>
      <c r="CO51" s="40">
        <f t="shared" ref="CO51" si="573">+CO49/CK49-1</f>
        <v>0.48428057841343741</v>
      </c>
      <c r="CP51" s="40">
        <f t="shared" ref="CP51" si="574">+CP49/CL49-1</f>
        <v>0.26584350832144255</v>
      </c>
      <c r="CQ51" s="40">
        <f t="shared" ref="CQ51" si="575">+CQ49/CM49-1</f>
        <v>0.21716553461120514</v>
      </c>
      <c r="CR51" s="40">
        <f t="shared" ref="CR51" si="576">+CR49/CN49-1</f>
        <v>0.21248800201232898</v>
      </c>
      <c r="CS51" s="40">
        <f t="shared" ref="CS51" si="577">+CS49/CO49-1</f>
        <v>0.16406105020468376</v>
      </c>
      <c r="CT51" s="40">
        <f t="shared" ref="CT51" si="578">+CT49/CP49-1</f>
        <v>0.11325916042731388</v>
      </c>
      <c r="CU51" s="40">
        <f t="shared" ref="CU51" si="579">+CU49/CQ49-1</f>
        <v>8.9981959189586513E-2</v>
      </c>
      <c r="CV51" s="40">
        <f t="shared" ref="CV51" si="580">+CV49/CR49-1</f>
        <v>6.7168079205768505E-2</v>
      </c>
      <c r="CW51" s="40">
        <f t="shared" ref="CW51" si="581">+CW49/CS49-1</f>
        <v>0.18214603106235128</v>
      </c>
      <c r="CX51" s="40">
        <f t="shared" ref="CX51" si="582">+CX49/CT49-1</f>
        <v>0.17447189533048602</v>
      </c>
      <c r="CY51" s="40">
        <f t="shared" ref="CY51" si="583">+CY49/CU49-1</f>
        <v>0.1869485792401786</v>
      </c>
      <c r="CZ51" s="40">
        <f t="shared" ref="CZ51" si="584">+CZ49/CV49-1</f>
        <v>0.21021664434542608</v>
      </c>
      <c r="DB51" s="122"/>
      <c r="DC51" s="39" t="e">
        <v>#DIV/0!</v>
      </c>
    </row>
    <row r="52" spans="1:107" s="39" customFormat="1" x14ac:dyDescent="0.2">
      <c r="A52" s="39" t="s">
        <v>452</v>
      </c>
      <c r="AA52" s="40"/>
      <c r="AB52" s="40"/>
      <c r="AC52" s="40"/>
      <c r="AD52" s="40"/>
      <c r="AI52" s="39">
        <f>+IF(AH49&lt;0,1-AI49/AH49,AI49/AH49-1)</f>
        <v>-0.58609335657563988</v>
      </c>
      <c r="AJ52" s="39">
        <f t="shared" ref="AJ52:AL52" si="585">+IF(AI49&lt;0,1-AJ49/AI49,AJ49/AI49-1)</f>
        <v>-0.21525503041645089</v>
      </c>
      <c r="AK52" s="39">
        <f t="shared" si="585"/>
        <v>1.5676803816338287</v>
      </c>
      <c r="AL52" s="39">
        <f t="shared" si="585"/>
        <v>-7.9656293543886481E-2</v>
      </c>
      <c r="AM52" s="39">
        <f t="shared" ref="AM52" si="586">+IF(AL49&lt;0,1-AM49/AL49,AM49/AL49-1)</f>
        <v>-0.1014383043149133</v>
      </c>
      <c r="AN52" s="39">
        <f t="shared" ref="AN52" si="587">+IF(AM49&lt;0,1-AN49/AM49,AN49/AM49-1)</f>
        <v>0.64532434709350239</v>
      </c>
      <c r="AO52" s="39">
        <f t="shared" ref="AO52" si="588">+IF(AN49&lt;0,1-AO49/AN49,AO49/AN49-1)</f>
        <v>-0.11793821471240651</v>
      </c>
      <c r="AP52" s="39">
        <f t="shared" ref="AP52" si="589">+IF(AO49&lt;0,1-AP49/AO49,AP49/AO49-1)</f>
        <v>-7.7205882352942901E-2</v>
      </c>
      <c r="AQ52" s="39">
        <f t="shared" ref="AQ52" si="590">+IF(AP49&lt;0,1-AQ49/AP49,AQ49/AP49-1)</f>
        <v>-5.682533025791725E-2</v>
      </c>
      <c r="AR52" s="39">
        <f t="shared" ref="AR52" si="591">+IF(AQ49&lt;0,1-AR49/AQ49,AR49/AQ49-1)</f>
        <v>0.87105380168964519</v>
      </c>
      <c r="AS52" s="39">
        <f t="shared" ref="AS52" si="592">+IF(AR49&lt;0,1-AS49/AR49,AS49/AR49-1)</f>
        <v>-0.35491920152091216</v>
      </c>
      <c r="AT52" s="39">
        <f t="shared" ref="AT52" si="593">+IF(AS49&lt;0,1-AT49/AS49,AT49/AS49-1)</f>
        <v>5.8205931110707265E-2</v>
      </c>
      <c r="AU52" s="39">
        <f t="shared" ref="AU52" si="594">+IF(AT49&lt;0,1-AU49/AT49,AU49/AT49-1)</f>
        <v>2.245430809399096E-2</v>
      </c>
      <c r="AV52" s="39">
        <f t="shared" ref="AV52" si="595">+IF(AU49&lt;0,1-AV49/AU49,AV49/AU49-1)</f>
        <v>1.2029281579843309</v>
      </c>
      <c r="AW52" s="39">
        <f t="shared" ref="AW52" si="596">+IF(AV49&lt;0,1-AW49/AV49,AW49/AV49-1)</f>
        <v>-0.3396445131375575</v>
      </c>
      <c r="AX52" s="39">
        <f t="shared" ref="AX52" si="597">+IF(AW49&lt;0,1-AX49/AW49,AX49/AW49-1)</f>
        <v>-0.3488589818607406</v>
      </c>
      <c r="AY52" s="39">
        <f t="shared" ref="AY52" si="598">+IF(AX49&lt;0,1-AY49/AX49,AY49/AX49-1)</f>
        <v>0.26833213515456356</v>
      </c>
      <c r="AZ52" s="39">
        <f t="shared" ref="AZ52" si="599">+IF(AY49&lt;0,1-AZ49/AY49,AZ49/AY49-1)</f>
        <v>1.3070709933399591</v>
      </c>
      <c r="BA52" s="39">
        <f t="shared" ref="BA52" si="600">+IF(AZ49&lt;0,1-BA49/AZ49,BA49/AZ49-1)</f>
        <v>-0.44733124500951793</v>
      </c>
      <c r="BB52" s="39">
        <f t="shared" ref="BB52" si="601">+IF(BA49&lt;0,1-BB49/BA49,BB49/BA49-1)</f>
        <v>-0.16581462547233727</v>
      </c>
      <c r="BC52" s="39">
        <f t="shared" ref="BC52" si="602">+IF(BB49&lt;0,1-BC49/BB49,BC49/BB49-1)</f>
        <v>0.11097788435918421</v>
      </c>
      <c r="BD52" s="39">
        <f t="shared" ref="BD52" si="603">+IF(BC49&lt;0,1-BD49/BC49,BD49/BC49-1)</f>
        <v>-2.1105648159248647E-2</v>
      </c>
      <c r="BE52" s="39">
        <f t="shared" ref="BE52" si="604">+IF(BD49&lt;0,1-BE49/BD49,BE49/BD49-1)</f>
        <v>-0.44138184490995847</v>
      </c>
      <c r="BF52" s="39">
        <f t="shared" ref="BF52" si="605">+IF(BE49&lt;0,1-BF49/BE49,BF49/BE49-1)</f>
        <v>-2.5657894736848097E-2</v>
      </c>
      <c r="BG52" s="39">
        <f t="shared" ref="BG52" si="606">+IF(BF49&lt;0,1-BG49/BF49,BG49/BF49-1)</f>
        <v>-0.19581363943281105</v>
      </c>
      <c r="BH52" s="39">
        <f t="shared" ref="BH52" si="607">+IF(BG49&lt;0,1-BH49/BG49,BH49/BG49-1)</f>
        <v>2.6003358522250219</v>
      </c>
      <c r="BI52" s="39">
        <f t="shared" ref="BI52" si="608">+IF(BH49&lt;0,1-BI49/BH49,BI49/BH49-1)</f>
        <v>-0.30799129353233801</v>
      </c>
      <c r="BJ52" s="39">
        <f t="shared" ref="BJ52" si="609">+IF(BI49&lt;0,1-BJ49/BI49,BJ49/BI49-1)</f>
        <v>-0.21658054369804636</v>
      </c>
      <c r="BK52" s="39">
        <f t="shared" ref="BK52" si="610">+IF(BJ49&lt;0,1-BK49/BJ49,BK49/BJ49-1)</f>
        <v>0.13005448809865072</v>
      </c>
      <c r="BL52" s="39">
        <f t="shared" ref="BL52" si="611">+IF(BK49&lt;0,1-BL49/BK49,BL49/BK49-1)</f>
        <v>0.70485978936683247</v>
      </c>
      <c r="BM52" s="39">
        <f t="shared" ref="BM52" si="612">+IF(BL49&lt;0,1-BM49/BL49,BM49/BL49-1)</f>
        <v>-0.93145281333730268</v>
      </c>
      <c r="BN52" s="39">
        <f t="shared" ref="BN52" si="613">+IF(BM49&lt;0,1-BN49/BM49,BN49/BM49-1)</f>
        <v>0.60152008686211245</v>
      </c>
      <c r="BO52" s="39">
        <f t="shared" ref="BO52" si="614">+IF(BN49&lt;0,1-BO49/BN49,BO49/BN49-1)</f>
        <v>4.7959322033897998</v>
      </c>
      <c r="BP52" s="39">
        <f t="shared" ref="BP52" si="615">+IF(BO49&lt;0,1-BP49/BO49,BP49/BO49-1)</f>
        <v>-0.27242952392092723</v>
      </c>
      <c r="BQ52" s="39">
        <f t="shared" ref="BQ52" si="616">+IF(BP49&lt;0,1-BQ49/BP49,BQ49/BP49-1)</f>
        <v>0.22331189710611321</v>
      </c>
      <c r="BR52" s="39">
        <f t="shared" ref="BR52" si="617">+IF(BQ49&lt;0,1-BR49/BQ49,BR49/BQ49-1)</f>
        <v>-0.1021159153633846</v>
      </c>
      <c r="BS52" s="39">
        <f t="shared" ref="BS52" si="618">+IF(BR49&lt;0,1-BS49/BR49,BS49/BR49-1)</f>
        <v>0.75600117096018504</v>
      </c>
      <c r="BT52" s="39">
        <f t="shared" ref="BT52" si="619">+IF(BS49&lt;0,1-BT49/BS49,BT49/BS49-1)</f>
        <v>0.22338918062848823</v>
      </c>
      <c r="BU52" s="39">
        <f t="shared" ref="BU52" si="620">+IF(BT49&lt;0,1-BU49/BT49,BU49/BT49-1)</f>
        <v>-0.47720923894528877</v>
      </c>
      <c r="BV52" s="39">
        <f t="shared" ref="BV52" si="621">+IF(BU49&lt;0,1-BV49/BU49,BV49/BU49-1)</f>
        <v>0.98683696077153993</v>
      </c>
      <c r="BW52" s="39">
        <f t="shared" ref="BW52" si="622">+IF(BV49&lt;0,1-BW49/BV49,BW49/BV49-1)</f>
        <v>2.7156444735976892E-2</v>
      </c>
      <c r="BX52" s="39">
        <f t="shared" ref="BX52" si="623">+IF(BW49&lt;0,1-BX49/BW49,BX49/BW49-1)</f>
        <v>0.95357302509739461</v>
      </c>
      <c r="BY52" s="39">
        <f t="shared" ref="BY52" si="624">+IF(BX49&lt;0,1-BY49/BX49,BY49/BX49-1)</f>
        <v>-0.19855513059396768</v>
      </c>
      <c r="BZ52" s="39">
        <f t="shared" ref="BZ52" si="625">+IF(BY49&lt;0,1-BZ49/BY49,BZ49/BY49-1)</f>
        <v>0.20655055675653888</v>
      </c>
      <c r="CA52" s="39">
        <f t="shared" ref="CA52" si="626">+IF(BZ49&lt;0,1-CA49/BZ49,CA49/BZ49-1)</f>
        <v>0.22375849362766531</v>
      </c>
      <c r="CB52" s="39">
        <f t="shared" ref="CB52" si="627">+IF(CA49&lt;0,1-CB49/CA49,CB49/CA49-1)</f>
        <v>-4.6408839779005895E-2</v>
      </c>
      <c r="CC52" s="39">
        <f t="shared" ref="CC52" si="628">+IF(CB49&lt;0,1-CC49/CB49,CC49/CB49-1)</f>
        <v>0.33140208574739249</v>
      </c>
      <c r="CD52" s="39">
        <f t="shared" ref="CD52" si="629">+IF(CC49&lt;0,1-CD49/CC49,CD49/CC49-1)</f>
        <v>-3.6923411662314165E-2</v>
      </c>
      <c r="CE52" s="39">
        <f t="shared" ref="CE52" si="630">+IF(CD49&lt;0,1-CE49/CD49,CE49/CD49-1)</f>
        <v>-4.8799222827190514E-3</v>
      </c>
      <c r="CF52" s="39">
        <f t="shared" ref="CF52" si="631">+IF(CE49&lt;0,1-CF49/CE49,CF49/CE49-1)</f>
        <v>0.20759643108497761</v>
      </c>
      <c r="CG52" s="39">
        <f t="shared" ref="CG52:CK52" si="632">+IF(CF49&lt;0,1-CG49/CF49,CG49/CF49-1)</f>
        <v>-0.14024929029347066</v>
      </c>
      <c r="CH52" s="39">
        <f t="shared" si="632"/>
        <v>-0.23010649231374847</v>
      </c>
      <c r="CI52" s="39">
        <f t="shared" si="632"/>
        <v>0.16132697114292172</v>
      </c>
      <c r="CJ52" s="39">
        <f t="shared" si="632"/>
        <v>0.22348855409900303</v>
      </c>
      <c r="CK52" s="39">
        <f t="shared" si="632"/>
        <v>-0.31653540159117299</v>
      </c>
      <c r="CL52" s="40">
        <f t="shared" ref="CL52" si="633">+CL49/CK49-1</f>
        <v>0.32311217185020769</v>
      </c>
      <c r="CM52" s="40">
        <f t="shared" ref="CM52" si="634">+CM49/CL49-1</f>
        <v>4.6764488639080337E-2</v>
      </c>
      <c r="CN52" s="40">
        <f t="shared" ref="CN52" si="635">+CN49/CM49-1</f>
        <v>1.7139338837258045E-2</v>
      </c>
      <c r="CO52" s="40">
        <f t="shared" ref="CO52" si="636">+CO49/CN49-1</f>
        <v>5.3634318627423738E-2</v>
      </c>
      <c r="CP52" s="40">
        <f t="shared" ref="CP52" si="637">+CP49/CO49-1</f>
        <v>0.12839376724038076</v>
      </c>
      <c r="CQ52" s="40">
        <f t="shared" ref="CQ52" si="638">+CQ49/CP49-1</f>
        <v>6.5111919844640376E-3</v>
      </c>
      <c r="CR52" s="40">
        <f t="shared" ref="CR52" si="639">+CR49/CQ49-1</f>
        <v>1.3230501230768965E-2</v>
      </c>
      <c r="CS52" s="40">
        <f t="shared" ref="CS52" si="640">+CS49/CR49-1</f>
        <v>1.1552006648774871E-2</v>
      </c>
      <c r="CT52" s="40">
        <f t="shared" ref="CT52" si="641">+CT49/CS49-1</f>
        <v>7.9148467108796527E-2</v>
      </c>
      <c r="CU52" s="40">
        <f t="shared" ref="CU52" si="642">+CU49/CT49-1</f>
        <v>-1.4534009705009843E-2</v>
      </c>
      <c r="CV52" s="40">
        <f t="shared" ref="CV52" si="643">+CV49/CU49-1</f>
        <v>-7.9769314759238208E-3</v>
      </c>
      <c r="CW52" s="40">
        <f t="shared" ref="CW52" si="644">+CW49/CV49-1</f>
        <v>0.12053781702594857</v>
      </c>
      <c r="CX52" s="40">
        <f t="shared" ref="CX52" si="645">+CX49/CW49-1</f>
        <v>7.2142960518392529E-2</v>
      </c>
      <c r="CY52" s="40">
        <f t="shared" ref="CY52" si="646">+CY49/CX49-1</f>
        <v>-4.0651788087175955E-3</v>
      </c>
      <c r="CZ52" s="40">
        <f t="shared" ref="CZ52" si="647">+CZ49/CY49-1</f>
        <v>1.1469957587376456E-2</v>
      </c>
      <c r="DB52" s="122"/>
    </row>
    <row r="53" spans="1:107" s="75" customFormat="1" x14ac:dyDescent="0.2">
      <c r="A53" s="23" t="s">
        <v>23</v>
      </c>
      <c r="B53" s="75">
        <f>'Annual Raw'!C32</f>
        <v>0</v>
      </c>
      <c r="C53" s="75">
        <f>'Annual Raw'!D32</f>
        <v>0</v>
      </c>
      <c r="D53" s="75">
        <f>'Annual Raw'!E32</f>
        <v>0</v>
      </c>
      <c r="E53" s="75">
        <f>'Annual Raw'!F32</f>
        <v>0</v>
      </c>
      <c r="F53" s="75">
        <f>'Annual Raw'!G32</f>
        <v>0</v>
      </c>
      <c r="G53" s="75">
        <f>'Annual Raw'!H32</f>
        <v>0</v>
      </c>
      <c r="H53" s="75">
        <f>'Annual Raw'!I32</f>
        <v>0</v>
      </c>
      <c r="I53" s="75">
        <f>'Annual Raw'!J32</f>
        <v>0</v>
      </c>
      <c r="J53" s="75">
        <f>'Annual Raw'!K32</f>
        <v>0</v>
      </c>
      <c r="K53" s="75">
        <f>'Annual Raw'!L32</f>
        <v>0</v>
      </c>
      <c r="L53" s="75">
        <f>'Annual Raw'!M32</f>
        <v>0</v>
      </c>
      <c r="M53" s="75">
        <f>'Annual Raw'!N32</f>
        <v>0</v>
      </c>
      <c r="N53" s="75">
        <f>'Annual Raw'!O32</f>
        <v>0</v>
      </c>
      <c r="O53" s="75">
        <f>'Annual Raw'!P32</f>
        <v>0</v>
      </c>
      <c r="P53" s="75">
        <f>'Annual Raw'!Q32</f>
        <v>0</v>
      </c>
      <c r="Q53" s="75">
        <f>'Annual Raw'!R32</f>
        <v>0</v>
      </c>
      <c r="R53" s="75">
        <f>'Annual Raw'!S32</f>
        <v>0</v>
      </c>
      <c r="S53" s="75">
        <f>'Annual Raw'!T32</f>
        <v>0</v>
      </c>
      <c r="T53" s="75">
        <f>'Annual Raw'!U32</f>
        <v>0</v>
      </c>
      <c r="U53" s="75">
        <f>'Annual Raw'!V32</f>
        <v>0</v>
      </c>
      <c r="V53" s="75">
        <f>'Annual Raw'!W32</f>
        <v>0</v>
      </c>
      <c r="W53" s="75">
        <f>'Annual Raw'!X32</f>
        <v>0</v>
      </c>
      <c r="X53" s="75">
        <f>'Annual Raw'!Y32</f>
        <v>0</v>
      </c>
      <c r="Y53" s="75">
        <f>'Annual Raw'!Z32</f>
        <v>0</v>
      </c>
      <c r="Z53" s="75">
        <f>'Annual Raw'!AA32</f>
        <v>0</v>
      </c>
      <c r="AA53" s="76">
        <f t="shared" ref="AA53:AA55" si="648">+SUM(CK53:CN53)</f>
        <v>0</v>
      </c>
      <c r="AB53" s="76">
        <f t="shared" ref="AB53:AB55" si="649">+SUM(CO53:CR53)</f>
        <v>0</v>
      </c>
      <c r="AC53" s="76">
        <f t="shared" ref="AC53:AC55" si="650">+SUM(CS53:CV53)</f>
        <v>0</v>
      </c>
      <c r="AD53" s="76">
        <f t="shared" ref="AD53:AD55" si="651">SUM(CW53:CZ53)</f>
        <v>0</v>
      </c>
      <c r="AH53" s="75">
        <f>'QTR Raw'!C34</f>
        <v>0</v>
      </c>
      <c r="AI53" s="75">
        <f>'QTR Raw'!D34</f>
        <v>0</v>
      </c>
      <c r="AJ53" s="75">
        <f>'QTR Raw'!E34</f>
        <v>0</v>
      </c>
      <c r="AK53" s="75">
        <f>'QTR Raw'!F34</f>
        <v>0</v>
      </c>
      <c r="AL53" s="75">
        <f>'QTR Raw'!G34</f>
        <v>0</v>
      </c>
      <c r="AM53" s="75">
        <f>'QTR Raw'!H34</f>
        <v>0</v>
      </c>
      <c r="AN53" s="75">
        <f>'QTR Raw'!I34</f>
        <v>0</v>
      </c>
      <c r="AO53" s="75">
        <f>'QTR Raw'!J34</f>
        <v>0</v>
      </c>
      <c r="AP53" s="75">
        <f>'QTR Raw'!K34</f>
        <v>0</v>
      </c>
      <c r="AQ53" s="75">
        <f>'QTR Raw'!L34</f>
        <v>0</v>
      </c>
      <c r="AR53" s="75">
        <f>'QTR Raw'!M34</f>
        <v>0</v>
      </c>
      <c r="AS53" s="75">
        <f>'QTR Raw'!N34</f>
        <v>0</v>
      </c>
      <c r="AT53" s="75">
        <f>'QTR Raw'!O34</f>
        <v>0</v>
      </c>
      <c r="AU53" s="75">
        <f>'QTR Raw'!P34</f>
        <v>0</v>
      </c>
      <c r="AV53" s="75">
        <f>'QTR Raw'!Q34</f>
        <v>0</v>
      </c>
      <c r="AW53" s="75">
        <f>'QTR Raw'!R34</f>
        <v>0</v>
      </c>
      <c r="AX53" s="75">
        <f>'QTR Raw'!S34</f>
        <v>0</v>
      </c>
      <c r="AY53" s="75">
        <f>'QTR Raw'!T34</f>
        <v>0</v>
      </c>
      <c r="AZ53" s="75">
        <f>'QTR Raw'!U34</f>
        <v>0</v>
      </c>
      <c r="BA53" s="75">
        <f>'QTR Raw'!V34</f>
        <v>0</v>
      </c>
      <c r="BB53" s="75">
        <f>'QTR Raw'!W34</f>
        <v>0</v>
      </c>
      <c r="BC53" s="75">
        <f>'QTR Raw'!X34</f>
        <v>0</v>
      </c>
      <c r="BD53" s="75">
        <f>'QTR Raw'!Y34</f>
        <v>0</v>
      </c>
      <c r="BE53" s="75">
        <f>'QTR Raw'!Z34</f>
        <v>0</v>
      </c>
      <c r="BF53" s="75">
        <f>'QTR Raw'!AA34</f>
        <v>0</v>
      </c>
      <c r="BG53" s="75">
        <f>'QTR Raw'!AB34</f>
        <v>0</v>
      </c>
      <c r="BH53" s="75">
        <f>'QTR Raw'!AC34</f>
        <v>0</v>
      </c>
      <c r="BI53" s="75">
        <f>'QTR Raw'!AD34</f>
        <v>0</v>
      </c>
      <c r="BJ53" s="75">
        <f>'QTR Raw'!AE34</f>
        <v>0</v>
      </c>
      <c r="BK53" s="75">
        <f>'QTR Raw'!AF34</f>
        <v>0</v>
      </c>
      <c r="BL53" s="75">
        <f>'QTR Raw'!AG34</f>
        <v>0</v>
      </c>
      <c r="BM53" s="75">
        <f>'QTR Raw'!AH34</f>
        <v>0</v>
      </c>
      <c r="BN53" s="75">
        <f>'QTR Raw'!AI34</f>
        <v>0</v>
      </c>
      <c r="BO53" s="75">
        <f>'QTR Raw'!AJ34</f>
        <v>0</v>
      </c>
      <c r="BP53" s="75">
        <f>'QTR Raw'!AK34</f>
        <v>0</v>
      </c>
      <c r="BQ53" s="75">
        <f>'QTR Raw'!AL34</f>
        <v>0</v>
      </c>
      <c r="BR53" s="75">
        <f>'QTR Raw'!AM34</f>
        <v>0</v>
      </c>
      <c r="BS53" s="75">
        <f>'QTR Raw'!AN34</f>
        <v>0</v>
      </c>
      <c r="BT53" s="75">
        <f>'QTR Raw'!AO34</f>
        <v>0</v>
      </c>
      <c r="BU53" s="75">
        <f>'QTR Raw'!AP34</f>
        <v>0</v>
      </c>
      <c r="BV53" s="75">
        <f>'QTR Raw'!AQ34</f>
        <v>0</v>
      </c>
      <c r="BW53" s="75">
        <f>'QTR Raw'!AR34</f>
        <v>0</v>
      </c>
      <c r="BX53" s="75">
        <f>'QTR Raw'!AS34</f>
        <v>0</v>
      </c>
      <c r="BY53" s="75">
        <f>'QTR Raw'!AT34</f>
        <v>0</v>
      </c>
      <c r="BZ53" s="75">
        <f>'QTR Raw'!AU34</f>
        <v>0</v>
      </c>
      <c r="CA53" s="75">
        <f>'QTR Raw'!AV34</f>
        <v>0</v>
      </c>
      <c r="CB53" s="75">
        <f>'QTR Raw'!AW34</f>
        <v>0</v>
      </c>
      <c r="CC53" s="75">
        <f>'QTR Raw'!AX34</f>
        <v>0</v>
      </c>
      <c r="CD53" s="75">
        <f>'QTR Raw'!AY34</f>
        <v>0</v>
      </c>
      <c r="CE53" s="75">
        <f>'QTR Raw'!AZ34</f>
        <v>0</v>
      </c>
      <c r="CF53" s="75">
        <f>'QTR Raw'!BA34</f>
        <v>0</v>
      </c>
      <c r="CG53" s="75">
        <f>'QTR Raw'!BB34</f>
        <v>0</v>
      </c>
      <c r="CH53" s="75">
        <f>'QTR Raw'!BC34</f>
        <v>0</v>
      </c>
      <c r="CI53" s="75">
        <f>'QTR Raw'!BD34</f>
        <v>0</v>
      </c>
      <c r="CJ53" s="75">
        <f t="shared" ref="CJ53" si="652">+CI53</f>
        <v>0</v>
      </c>
      <c r="CK53" s="75">
        <f>'QTR Raw'!BF34</f>
        <v>0</v>
      </c>
      <c r="CL53" s="76">
        <f t="shared" ref="CL53:CL54" si="653">+CK53</f>
        <v>0</v>
      </c>
      <c r="CM53" s="76">
        <f t="shared" ref="CM53:CM54" si="654">+CL53</f>
        <v>0</v>
      </c>
      <c r="CN53" s="76">
        <f t="shared" ref="CN53:CN54" si="655">+CM53</f>
        <v>0</v>
      </c>
      <c r="CO53" s="76">
        <f t="shared" ref="CO53:CO54" si="656">+CN53</f>
        <v>0</v>
      </c>
      <c r="CP53" s="76">
        <f t="shared" ref="CP53:CP54" si="657">+CO53</f>
        <v>0</v>
      </c>
      <c r="CQ53" s="76">
        <f t="shared" ref="CQ53:CQ54" si="658">+CP53</f>
        <v>0</v>
      </c>
      <c r="CR53" s="76">
        <f t="shared" ref="CR53:CR54" si="659">+CQ53</f>
        <v>0</v>
      </c>
      <c r="CS53" s="76">
        <f t="shared" ref="CS53:CS54" si="660">+CR53</f>
        <v>0</v>
      </c>
      <c r="CT53" s="76">
        <f t="shared" ref="CT53:CT54" si="661">+CS53</f>
        <v>0</v>
      </c>
      <c r="CU53" s="76">
        <f t="shared" ref="CU53:CU54" si="662">+CT53</f>
        <v>0</v>
      </c>
      <c r="CV53" s="76">
        <f t="shared" ref="CV53:CV54" si="663">+CU53</f>
        <v>0</v>
      </c>
      <c r="CW53" s="76">
        <f t="shared" ref="CW53:CW54" si="664">+CV53</f>
        <v>0</v>
      </c>
      <c r="CX53" s="76">
        <f t="shared" ref="CX53:CX54" si="665">+CW53</f>
        <v>0</v>
      </c>
      <c r="CY53" s="76">
        <f t="shared" ref="CY53:CY54" si="666">+CX53</f>
        <v>0</v>
      </c>
      <c r="CZ53" s="76">
        <f t="shared" ref="CZ53:CZ54" si="667">+CY53</f>
        <v>0</v>
      </c>
      <c r="DB53" s="131"/>
      <c r="DC53" s="75">
        <v>0</v>
      </c>
    </row>
    <row r="54" spans="1:107" s="75" customFormat="1" x14ac:dyDescent="0.2">
      <c r="A54" s="23" t="s">
        <v>24</v>
      </c>
      <c r="B54" s="75">
        <f>'Annual Raw'!C33+'Annual Raw'!C28</f>
        <v>0</v>
      </c>
      <c r="C54" s="75">
        <f>'Annual Raw'!D33+'Annual Raw'!D28</f>
        <v>0</v>
      </c>
      <c r="D54" s="75">
        <f>'Annual Raw'!E33+'Annual Raw'!E28</f>
        <v>0</v>
      </c>
      <c r="E54" s="75">
        <f>'Annual Raw'!F33+'Annual Raw'!F28</f>
        <v>0</v>
      </c>
      <c r="F54" s="75">
        <f>'Annual Raw'!G33+'Annual Raw'!G28</f>
        <v>0</v>
      </c>
      <c r="G54" s="75">
        <f>'Annual Raw'!H33+'Annual Raw'!H28</f>
        <v>0</v>
      </c>
      <c r="H54" s="75">
        <f>'Annual Raw'!I33+'Annual Raw'!I28</f>
        <v>0</v>
      </c>
      <c r="I54" s="75">
        <f>'Annual Raw'!J33+'Annual Raw'!J28</f>
        <v>0</v>
      </c>
      <c r="J54" s="75">
        <f>'Annual Raw'!K33+'Annual Raw'!K28</f>
        <v>0</v>
      </c>
      <c r="K54" s="75">
        <f>'Annual Raw'!L33+'Annual Raw'!L28</f>
        <v>0</v>
      </c>
      <c r="L54" s="75">
        <f>'Annual Raw'!M33+'Annual Raw'!M28</f>
        <v>0</v>
      </c>
      <c r="M54" s="75">
        <f>'Annual Raw'!N33+'Annual Raw'!N28</f>
        <v>0</v>
      </c>
      <c r="N54" s="75">
        <f>'Annual Raw'!O33+'Annual Raw'!O28</f>
        <v>0</v>
      </c>
      <c r="O54" s="75">
        <f>'Annual Raw'!P33+'Annual Raw'!P28</f>
        <v>0</v>
      </c>
      <c r="P54" s="75">
        <f>'Annual Raw'!Q33+'Annual Raw'!Q28</f>
        <v>0</v>
      </c>
      <c r="Q54" s="75">
        <f>'Annual Raw'!R33+'Annual Raw'!R28</f>
        <v>0</v>
      </c>
      <c r="R54" s="75">
        <f>'Annual Raw'!S33+'Annual Raw'!S28</f>
        <v>0</v>
      </c>
      <c r="S54" s="75">
        <f>'Annual Raw'!T33+'Annual Raw'!T28</f>
        <v>0</v>
      </c>
      <c r="T54" s="75">
        <f>'Annual Raw'!U33+'Annual Raw'!U28</f>
        <v>0</v>
      </c>
      <c r="U54" s="75">
        <f>'Annual Raw'!V33+'Annual Raw'!V28</f>
        <v>0</v>
      </c>
      <c r="V54" s="75">
        <f>'Annual Raw'!W33+'Annual Raw'!W28</f>
        <v>0</v>
      </c>
      <c r="W54" s="75">
        <f>'Annual Raw'!X33+'Annual Raw'!X28</f>
        <v>0</v>
      </c>
      <c r="X54" s="75">
        <f>'Annual Raw'!Y33+'Annual Raw'!Y28</f>
        <v>0</v>
      </c>
      <c r="Y54" s="75">
        <f>'Annual Raw'!Z33+'Annual Raw'!Z28</f>
        <v>0</v>
      </c>
      <c r="Z54" s="75">
        <f>'Annual Raw'!AA33+'Annual Raw'!AA28</f>
        <v>0</v>
      </c>
      <c r="AA54" s="76">
        <f t="shared" si="648"/>
        <v>0</v>
      </c>
      <c r="AB54" s="76">
        <f t="shared" si="649"/>
        <v>0</v>
      </c>
      <c r="AC54" s="76">
        <f t="shared" si="650"/>
        <v>0</v>
      </c>
      <c r="AD54" s="76">
        <f t="shared" si="651"/>
        <v>0</v>
      </c>
      <c r="AH54" s="75">
        <f>'QTR Raw'!C35</f>
        <v>0</v>
      </c>
      <c r="AI54" s="75">
        <f>'QTR Raw'!D35</f>
        <v>0</v>
      </c>
      <c r="AJ54" s="75">
        <f>'QTR Raw'!E35</f>
        <v>0</v>
      </c>
      <c r="AK54" s="75">
        <f>'QTR Raw'!F35</f>
        <v>0</v>
      </c>
      <c r="AL54" s="75">
        <f>'QTR Raw'!G35</f>
        <v>0</v>
      </c>
      <c r="AM54" s="75">
        <f>'QTR Raw'!H35</f>
        <v>0</v>
      </c>
      <c r="AN54" s="75">
        <f>'QTR Raw'!I35</f>
        <v>0</v>
      </c>
      <c r="AO54" s="75">
        <f>'QTR Raw'!J35</f>
        <v>0</v>
      </c>
      <c r="AP54" s="75">
        <f>'QTR Raw'!K35</f>
        <v>0</v>
      </c>
      <c r="AQ54" s="75">
        <f>'QTR Raw'!L35</f>
        <v>0</v>
      </c>
      <c r="AR54" s="75">
        <f>'QTR Raw'!M35</f>
        <v>0</v>
      </c>
      <c r="AS54" s="75">
        <f>'QTR Raw'!N35</f>
        <v>0</v>
      </c>
      <c r="AT54" s="75">
        <f>'QTR Raw'!O35</f>
        <v>0</v>
      </c>
      <c r="AU54" s="75">
        <f>'QTR Raw'!P35</f>
        <v>0</v>
      </c>
      <c r="AV54" s="75">
        <f>'QTR Raw'!Q35</f>
        <v>0</v>
      </c>
      <c r="AW54" s="75">
        <f>'QTR Raw'!R35</f>
        <v>0</v>
      </c>
      <c r="AX54" s="75">
        <f>'QTR Raw'!S35</f>
        <v>0</v>
      </c>
      <c r="AY54" s="75">
        <f>'QTR Raw'!T35</f>
        <v>0</v>
      </c>
      <c r="AZ54" s="75">
        <f>'QTR Raw'!U35</f>
        <v>0</v>
      </c>
      <c r="BA54" s="75">
        <f>'QTR Raw'!V35</f>
        <v>0</v>
      </c>
      <c r="BB54" s="75">
        <f>'QTR Raw'!W35</f>
        <v>0</v>
      </c>
      <c r="BC54" s="75">
        <f>'QTR Raw'!X35</f>
        <v>0</v>
      </c>
      <c r="BD54" s="75">
        <f>'QTR Raw'!Y35</f>
        <v>0</v>
      </c>
      <c r="BE54" s="75">
        <f>'QTR Raw'!Z35</f>
        <v>0</v>
      </c>
      <c r="BF54" s="75">
        <f>'QTR Raw'!AA35</f>
        <v>0</v>
      </c>
      <c r="BG54" s="75">
        <f>'QTR Raw'!AB35</f>
        <v>0</v>
      </c>
      <c r="BH54" s="75">
        <f>'QTR Raw'!AC35</f>
        <v>0</v>
      </c>
      <c r="BI54" s="75">
        <f>'QTR Raw'!AD35</f>
        <v>0</v>
      </c>
      <c r="BJ54" s="75">
        <f>'QTR Raw'!AE35</f>
        <v>0</v>
      </c>
      <c r="BK54" s="75">
        <f>'QTR Raw'!AF35</f>
        <v>0</v>
      </c>
      <c r="BL54" s="75">
        <f>'QTR Raw'!AG35</f>
        <v>0</v>
      </c>
      <c r="BM54" s="75">
        <f>'QTR Raw'!AH35</f>
        <v>0</v>
      </c>
      <c r="BN54" s="75">
        <f>'QTR Raw'!AI35</f>
        <v>0</v>
      </c>
      <c r="BO54" s="75">
        <f>'QTR Raw'!AJ35</f>
        <v>0</v>
      </c>
      <c r="BP54" s="75">
        <f>'QTR Raw'!AK35</f>
        <v>0</v>
      </c>
      <c r="BQ54" s="75">
        <f>'QTR Raw'!AL35</f>
        <v>0</v>
      </c>
      <c r="BR54" s="75">
        <f>'QTR Raw'!AM35</f>
        <v>0</v>
      </c>
      <c r="BS54" s="75">
        <f>'QTR Raw'!AN35</f>
        <v>0</v>
      </c>
      <c r="BT54" s="75">
        <f>'QTR Raw'!AO35</f>
        <v>0</v>
      </c>
      <c r="BU54" s="75">
        <f>'QTR Raw'!AP35</f>
        <v>0</v>
      </c>
      <c r="BV54" s="75">
        <f>'QTR Raw'!AQ35</f>
        <v>0</v>
      </c>
      <c r="BW54" s="75">
        <f>'QTR Raw'!AR35</f>
        <v>0</v>
      </c>
      <c r="BX54" s="75">
        <f>'QTR Raw'!AS35</f>
        <v>0</v>
      </c>
      <c r="BY54" s="75">
        <f>'QTR Raw'!AT35</f>
        <v>0</v>
      </c>
      <c r="BZ54" s="75">
        <f>'QTR Raw'!AU35</f>
        <v>0</v>
      </c>
      <c r="CA54" s="75">
        <f>'QTR Raw'!AV35</f>
        <v>0</v>
      </c>
      <c r="CB54" s="75">
        <f>'QTR Raw'!AW35</f>
        <v>0</v>
      </c>
      <c r="CC54" s="75">
        <f>'QTR Raw'!AX35</f>
        <v>0</v>
      </c>
      <c r="CD54" s="75">
        <f>'QTR Raw'!AY35</f>
        <v>0</v>
      </c>
      <c r="CE54" s="75">
        <f>'QTR Raw'!AZ35</f>
        <v>0</v>
      </c>
      <c r="CF54" s="75">
        <f>'QTR Raw'!BA35</f>
        <v>0</v>
      </c>
      <c r="CG54" s="75">
        <f>'QTR Raw'!BB35</f>
        <v>0</v>
      </c>
      <c r="CH54" s="75">
        <f>'QTR Raw'!BC35</f>
        <v>0</v>
      </c>
      <c r="CI54" s="75">
        <f>'QTR Raw'!BD35</f>
        <v>0</v>
      </c>
      <c r="CJ54" s="75">
        <f t="shared" ref="CJ54" si="668">+CI54</f>
        <v>0</v>
      </c>
      <c r="CK54" s="75">
        <f>'QTR Raw'!BF35</f>
        <v>0</v>
      </c>
      <c r="CL54" s="76">
        <f t="shared" si="653"/>
        <v>0</v>
      </c>
      <c r="CM54" s="76">
        <f t="shared" si="654"/>
        <v>0</v>
      </c>
      <c r="CN54" s="76">
        <f t="shared" si="655"/>
        <v>0</v>
      </c>
      <c r="CO54" s="76">
        <f t="shared" si="656"/>
        <v>0</v>
      </c>
      <c r="CP54" s="76">
        <f t="shared" si="657"/>
        <v>0</v>
      </c>
      <c r="CQ54" s="76">
        <f t="shared" si="658"/>
        <v>0</v>
      </c>
      <c r="CR54" s="76">
        <f t="shared" si="659"/>
        <v>0</v>
      </c>
      <c r="CS54" s="76">
        <f t="shared" si="660"/>
        <v>0</v>
      </c>
      <c r="CT54" s="76">
        <f t="shared" si="661"/>
        <v>0</v>
      </c>
      <c r="CU54" s="76">
        <f t="shared" si="662"/>
        <v>0</v>
      </c>
      <c r="CV54" s="76">
        <f t="shared" si="663"/>
        <v>0</v>
      </c>
      <c r="CW54" s="76">
        <f t="shared" si="664"/>
        <v>0</v>
      </c>
      <c r="CX54" s="76">
        <f t="shared" si="665"/>
        <v>0</v>
      </c>
      <c r="CY54" s="76">
        <f t="shared" si="666"/>
        <v>0</v>
      </c>
      <c r="CZ54" s="76">
        <f t="shared" si="667"/>
        <v>0</v>
      </c>
      <c r="DB54" s="131"/>
      <c r="DC54" s="75">
        <v>0</v>
      </c>
    </row>
    <row r="55" spans="1:107" s="23" customFormat="1" x14ac:dyDescent="0.2">
      <c r="A55" s="23" t="s">
        <v>19</v>
      </c>
      <c r="B55" s="75">
        <f>'Annual Raw'!C29+'Annual Raw'!C31+'Annual Raw'!C34+'Annual Raw'!C36</f>
        <v>0</v>
      </c>
      <c r="C55" s="75">
        <f>'Annual Raw'!D29+'Annual Raw'!D31+'Annual Raw'!D34+'Annual Raw'!D36</f>
        <v>15.825900000000001</v>
      </c>
      <c r="D55" s="75">
        <f>'Annual Raw'!E29+'Annual Raw'!E31+'Annual Raw'!E34+'Annual Raw'!E36</f>
        <v>23.300799999999999</v>
      </c>
      <c r="E55" s="75">
        <f>'Annual Raw'!F29+'Annual Raw'!F31+'Annual Raw'!F34+'Annual Raw'!F36</f>
        <v>3.7991000000000001</v>
      </c>
      <c r="F55" s="75">
        <f>'Annual Raw'!G29+'Annual Raw'!G31+'Annual Raw'!G34+'Annual Raw'!G36</f>
        <v>0</v>
      </c>
      <c r="G55" s="75">
        <f>'Annual Raw'!H29+'Annual Raw'!H31+'Annual Raw'!H34+'Annual Raw'!H36</f>
        <v>0</v>
      </c>
      <c r="H55" s="75">
        <f>'Annual Raw'!I29+'Annual Raw'!I31+'Annual Raw'!I34+'Annual Raw'!I36</f>
        <v>0</v>
      </c>
      <c r="I55" s="75">
        <f>'Annual Raw'!J29+'Annual Raw'!J31+'Annual Raw'!J34+'Annual Raw'!J36</f>
        <v>0</v>
      </c>
      <c r="J55" s="75">
        <f>'Annual Raw'!K29+'Annual Raw'!K31+'Annual Raw'!K34+'Annual Raw'!K36</f>
        <v>0</v>
      </c>
      <c r="K55" s="75">
        <f>'Annual Raw'!L29+'Annual Raw'!L31+'Annual Raw'!L34+'Annual Raw'!L36</f>
        <v>0</v>
      </c>
      <c r="L55" s="75">
        <f>'Annual Raw'!M29+'Annual Raw'!M31+'Annual Raw'!M34+'Annual Raw'!M36</f>
        <v>0</v>
      </c>
      <c r="M55" s="75">
        <f>'Annual Raw'!N29+'Annual Raw'!N31+'Annual Raw'!N34+'Annual Raw'!N36</f>
        <v>0</v>
      </c>
      <c r="N55" s="75">
        <f>'Annual Raw'!O29+'Annual Raw'!O31+'Annual Raw'!O34+'Annual Raw'!O36</f>
        <v>2.42</v>
      </c>
      <c r="O55" s="75">
        <f>'Annual Raw'!P29+'Annual Raw'!P31+'Annual Raw'!P34+'Annual Raw'!P36</f>
        <v>0</v>
      </c>
      <c r="P55" s="75">
        <f>'Annual Raw'!Q29+'Annual Raw'!Q31+'Annual Raw'!Q34+'Annual Raw'!Q36</f>
        <v>0</v>
      </c>
      <c r="Q55" s="75">
        <f>'Annual Raw'!R29+'Annual Raw'!R31+'Annual Raw'!R34+'Annual Raw'!R36</f>
        <v>0</v>
      </c>
      <c r="R55" s="75">
        <f>'Annual Raw'!S29+'Annual Raw'!S31+'Annual Raw'!S34+'Annual Raw'!S36</f>
        <v>194.47</v>
      </c>
      <c r="S55" s="75">
        <f>'Annual Raw'!T29+'Annual Raw'!T31+'Annual Raw'!T34+'Annual Raw'!T36</f>
        <v>256.7</v>
      </c>
      <c r="T55" s="75">
        <f>'Annual Raw'!U29+'Annual Raw'!U31+'Annual Raw'!U34+'Annual Raw'!U36</f>
        <v>-68.53</v>
      </c>
      <c r="U55" s="75">
        <f>'Annual Raw'!V29+'Annual Raw'!V31+'Annual Raw'!V34+'Annual Raw'!V36</f>
        <v>47.57</v>
      </c>
      <c r="V55" s="75">
        <f>'Annual Raw'!W29+'Annual Raw'!W31+'Annual Raw'!W34+'Annual Raw'!W36</f>
        <v>108.56</v>
      </c>
      <c r="W55" s="75">
        <f>'Annual Raw'!X29+'Annual Raw'!X31+'Annual Raw'!X34+'Annual Raw'!X36</f>
        <v>329.88</v>
      </c>
      <c r="X55" s="75">
        <f>'Annual Raw'!Y29+'Annual Raw'!Y31+'Annual Raw'!Y34+'Annual Raw'!Y36</f>
        <v>-6.13</v>
      </c>
      <c r="Y55" s="75">
        <f>'Annual Raw'!Z29+'Annual Raw'!Z31+'Annual Raw'!Z34+'Annual Raw'!Z36</f>
        <v>-2.97</v>
      </c>
      <c r="Z55" s="75">
        <f>'Annual Raw'!AA29+'Annual Raw'!AA31+'Annual Raw'!AA34+'Annual Raw'!AA36</f>
        <v>-1.1399999999999999</v>
      </c>
      <c r="AA55" s="76">
        <f t="shared" si="648"/>
        <v>1441.74</v>
      </c>
      <c r="AB55" s="76">
        <f t="shared" si="649"/>
        <v>0</v>
      </c>
      <c r="AC55" s="76">
        <f t="shared" si="650"/>
        <v>0</v>
      </c>
      <c r="AD55" s="76">
        <f t="shared" si="651"/>
        <v>0</v>
      </c>
      <c r="AH55" s="75">
        <f>'QTR Raw'!C26+'QTR Raw'!C31+'QTR Raw'!C32+'QTR Raw'!C33+'QTR Raw'!C36+'QTR Raw'!C37+'QTR Raw'!C39</f>
        <v>0</v>
      </c>
      <c r="AI55" s="75">
        <f>'QTR Raw'!D26+'QTR Raw'!D31+'QTR Raw'!D32+'QTR Raw'!D33+'QTR Raw'!D36+'QTR Raw'!D37+'QTR Raw'!D39</f>
        <v>0</v>
      </c>
      <c r="AJ55" s="75">
        <f>'QTR Raw'!E26+'QTR Raw'!E31+'QTR Raw'!E32+'QTR Raw'!E33+'QTR Raw'!E36+'QTR Raw'!E37+'QTR Raw'!E39</f>
        <v>0</v>
      </c>
      <c r="AK55" s="75">
        <f>'QTR Raw'!F26+'QTR Raw'!F31+'QTR Raw'!F32+'QTR Raw'!F33+'QTR Raw'!F36+'QTR Raw'!F37+'QTR Raw'!F39</f>
        <v>0</v>
      </c>
      <c r="AL55" s="75">
        <f>'QTR Raw'!G26+'QTR Raw'!G31+'QTR Raw'!G32+'QTR Raw'!G33+'QTR Raw'!G36+'QTR Raw'!G37+'QTR Raw'!G39</f>
        <v>0</v>
      </c>
      <c r="AM55" s="75">
        <f>'QTR Raw'!H26+'QTR Raw'!H31+'QTR Raw'!H32+'QTR Raw'!H33+'QTR Raw'!H36+'QTR Raw'!H37+'QTR Raw'!H39</f>
        <v>2.42</v>
      </c>
      <c r="AN55" s="75">
        <f>'QTR Raw'!I26+'QTR Raw'!I31+'QTR Raw'!I32+'QTR Raw'!I33+'QTR Raw'!I36+'QTR Raw'!I37+'QTR Raw'!I39</f>
        <v>0</v>
      </c>
      <c r="AO55" s="75">
        <f>'QTR Raw'!J26+'QTR Raw'!J31+'QTR Raw'!J32+'QTR Raw'!J33+'QTR Raw'!J36+'QTR Raw'!J37+'QTR Raw'!J39</f>
        <v>0</v>
      </c>
      <c r="AP55" s="75">
        <f>'QTR Raw'!K26+'QTR Raw'!K31+'QTR Raw'!K32+'QTR Raw'!K33+'QTR Raw'!K36+'QTR Raw'!K37+'QTR Raw'!K39</f>
        <v>0</v>
      </c>
      <c r="AQ55" s="75">
        <f>'QTR Raw'!L26+'QTR Raw'!L31+'QTR Raw'!L32+'QTR Raw'!L33+'QTR Raw'!L36+'QTR Raw'!L37+'QTR Raw'!L39</f>
        <v>0</v>
      </c>
      <c r="AR55" s="75">
        <f>'QTR Raw'!M26+'QTR Raw'!M31+'QTR Raw'!M32+'QTR Raw'!M33+'QTR Raw'!M36+'QTR Raw'!M37+'QTR Raw'!M39</f>
        <v>0</v>
      </c>
      <c r="AS55" s="75">
        <f>'QTR Raw'!N26+'QTR Raw'!N31+'QTR Raw'!N32+'QTR Raw'!N33+'QTR Raw'!N36+'QTR Raw'!N37+'QTR Raw'!N39</f>
        <v>0</v>
      </c>
      <c r="AT55" s="75">
        <f>'QTR Raw'!O26+'QTR Raw'!O31+'QTR Raw'!O32+'QTR Raw'!O33+'QTR Raw'!O36+'QTR Raw'!O37+'QTR Raw'!O39</f>
        <v>0</v>
      </c>
      <c r="AU55" s="75">
        <f>'QTR Raw'!P26+'QTR Raw'!P31+'QTR Raw'!P32+'QTR Raw'!P33+'QTR Raw'!P36+'QTR Raw'!P37+'QTR Raw'!P39</f>
        <v>0</v>
      </c>
      <c r="AV55" s="75">
        <f>'QTR Raw'!Q26+'QTR Raw'!Q31+'QTR Raw'!Q32+'QTR Raw'!Q33+'QTR Raw'!Q36+'QTR Raw'!Q37+'QTR Raw'!Q39</f>
        <v>0</v>
      </c>
      <c r="AW55" s="75">
        <f>'QTR Raw'!R26+'QTR Raw'!R31+'QTR Raw'!R32+'QTR Raw'!R33+'QTR Raw'!R36+'QTR Raw'!R37+'QTR Raw'!R39</f>
        <v>0</v>
      </c>
      <c r="AX55" s="75">
        <f>'QTR Raw'!S26+'QTR Raw'!S31+'QTR Raw'!S32+'QTR Raw'!S33+'QTR Raw'!S36+'QTR Raw'!S37+'QTR Raw'!S39</f>
        <v>0</v>
      </c>
      <c r="AY55" s="75">
        <f>'QTR Raw'!T26+'QTR Raw'!T31+'QTR Raw'!T32+'QTR Raw'!T33+'QTR Raw'!T36+'QTR Raw'!T37+'QTR Raw'!T39</f>
        <v>0</v>
      </c>
      <c r="AZ55" s="75">
        <f>'QTR Raw'!U26+'QTR Raw'!U31+'QTR Raw'!U32+'QTR Raw'!U33+'QTR Raw'!U36+'QTR Raw'!U37+'QTR Raw'!U39</f>
        <v>0</v>
      </c>
      <c r="BA55" s="75">
        <f>'QTR Raw'!V26+'QTR Raw'!V31+'QTR Raw'!V32+'QTR Raw'!V33+'QTR Raw'!V36+'QTR Raw'!V37+'QTR Raw'!V39</f>
        <v>0</v>
      </c>
      <c r="BB55" s="75">
        <f>'QTR Raw'!W26+'QTR Raw'!W31+'QTR Raw'!W32+'QTR Raw'!W33+'QTR Raw'!W36+'QTR Raw'!W37+'QTR Raw'!W39</f>
        <v>0</v>
      </c>
      <c r="BC55" s="75">
        <f>'QTR Raw'!X26+'QTR Raw'!X31+'QTR Raw'!X32+'QTR Raw'!X33+'QTR Raw'!X36+'QTR Raw'!X37+'QTR Raw'!X39</f>
        <v>0</v>
      </c>
      <c r="BD55" s="75">
        <f>'QTR Raw'!Y26+'QTR Raw'!Y31+'QTR Raw'!Y32+'QTR Raw'!Y33+'QTR Raw'!Y36+'QTR Raw'!Y37+'QTR Raw'!Y39</f>
        <v>89.89</v>
      </c>
      <c r="BE55" s="75">
        <f>'QTR Raw'!Z26+'QTR Raw'!Z31+'QTR Raw'!Z32+'QTR Raw'!Z33+'QTR Raw'!Z36+'QTR Raw'!Z37+'QTR Raw'!Z39</f>
        <v>56.89</v>
      </c>
      <c r="BF55" s="75">
        <f>'QTR Raw'!AA26+'QTR Raw'!AA31+'QTR Raw'!AA32+'QTR Raw'!AA33+'QTR Raw'!AA36+'QTR Raw'!AA37+'QTR Raw'!AA39</f>
        <v>57.72</v>
      </c>
      <c r="BG55" s="75">
        <f>'QTR Raw'!AB26+'QTR Raw'!AB31+'QTR Raw'!AB32+'QTR Raw'!AB33+'QTR Raw'!AB36+'QTR Raw'!AB37+'QTR Raw'!AB39</f>
        <v>72.61</v>
      </c>
      <c r="BH55" s="75">
        <f>'QTR Raw'!AC26+'QTR Raw'!AC31+'QTR Raw'!AC32+'QTR Raw'!AC33+'QTR Raw'!AC36+'QTR Raw'!AC37+'QTR Raw'!AC39</f>
        <v>69.27</v>
      </c>
      <c r="BI55" s="75">
        <f>'QTR Raw'!AD26+'QTR Raw'!AD31+'QTR Raw'!AD32+'QTR Raw'!AD33+'QTR Raw'!AD36+'QTR Raw'!AD37+'QTR Raw'!AD39</f>
        <v>27.17</v>
      </c>
      <c r="BJ55" s="75">
        <f>'QTR Raw'!AE26+'QTR Raw'!AE31+'QTR Raw'!AE32+'QTR Raw'!AE33+'QTR Raw'!AE36+'QTR Raw'!AE37+'QTR Raw'!AE39</f>
        <v>60.66</v>
      </c>
      <c r="BK55" s="75">
        <f>'QTR Raw'!AF26+'QTR Raw'!AF31+'QTR Raw'!AF32+'QTR Raw'!AF33+'QTR Raw'!AF36+'QTR Raw'!AF37+'QTR Raw'!AF39</f>
        <v>56.47</v>
      </c>
      <c r="BL55" s="75">
        <f>'QTR Raw'!AG26+'QTR Raw'!AG31+'QTR Raw'!AG32+'QTR Raw'!AG33+'QTR Raw'!AG36+'QTR Raw'!AG37+'QTR Raw'!AG39</f>
        <v>-95.7</v>
      </c>
      <c r="BM55" s="75">
        <f>'QTR Raw'!AH26+'QTR Raw'!AH31+'QTR Raw'!AH32+'QTR Raw'!AH33+'QTR Raw'!AH36+'QTR Raw'!AH37+'QTR Raw'!AH39</f>
        <v>55.43</v>
      </c>
      <c r="BN55" s="75">
        <f>'QTR Raw'!AI26+'QTR Raw'!AI31+'QTR Raw'!AI32+'QTR Raw'!AI33+'QTR Raw'!AI36+'QTR Raw'!AI37+'QTR Raw'!AI39</f>
        <v>1.53</v>
      </c>
      <c r="BO55" s="75">
        <f>'QTR Raw'!AJ26+'QTR Raw'!AJ31+'QTR Raw'!AJ32+'QTR Raw'!AJ33+'QTR Raw'!AJ36+'QTR Raw'!AJ37+'QTR Raw'!AJ39</f>
        <v>-4.75</v>
      </c>
      <c r="BP55" s="75">
        <f>'QTR Raw'!AK26+'QTR Raw'!AK31+'QTR Raw'!AK32+'QTR Raw'!AK33+'QTR Raw'!AK36+'QTR Raw'!AK37+'QTR Raw'!AK39</f>
        <v>-4.6399999999999997</v>
      </c>
      <c r="BQ55" s="75">
        <f>'QTR Raw'!AL26+'QTR Raw'!AL31+'QTR Raw'!AL32+'QTR Raw'!AL33+'QTR Raw'!AL36+'QTR Raw'!AL37+'QTR Raw'!AL39</f>
        <v>65.240000000000009</v>
      </c>
      <c r="BR55" s="75">
        <f>'QTR Raw'!AM26+'QTR Raw'!AM31+'QTR Raw'!AM32+'QTR Raw'!AM33+'QTR Raw'!AM36+'QTR Raw'!AM37+'QTR Raw'!AM39</f>
        <v>1.94</v>
      </c>
      <c r="BS55" s="75">
        <f>'QTR Raw'!AN26+'QTR Raw'!AN31+'QTR Raw'!AN32+'QTR Raw'!AN33+'QTR Raw'!AN36+'QTR Raw'!AN37+'QTR Raw'!AN39</f>
        <v>-0.05</v>
      </c>
      <c r="BT55" s="75">
        <f>'QTR Raw'!AO26+'QTR Raw'!AO31+'QTR Raw'!AO32+'QTR Raw'!AO33+'QTR Raw'!AO36+'QTR Raw'!AO37+'QTR Raw'!AO39</f>
        <v>41.43</v>
      </c>
      <c r="BU55" s="75">
        <f>'QTR Raw'!AP26+'QTR Raw'!AP31+'QTR Raw'!AP32+'QTR Raw'!AP33+'QTR Raw'!AP36+'QTR Raw'!AP37+'QTR Raw'!AP39</f>
        <v>2.93</v>
      </c>
      <c r="BV55" s="75">
        <f>'QTR Raw'!AQ26+'QTR Raw'!AQ31+'QTR Raw'!AQ32+'QTR Raw'!AQ33+'QTR Raw'!AQ36+'QTR Raw'!AQ37+'QTR Raw'!AQ39</f>
        <v>-6.78</v>
      </c>
      <c r="BW55" s="75">
        <f>'QTR Raw'!AR26+'QTR Raw'!AR31+'QTR Raw'!AR32+'QTR Raw'!AR33+'QTR Raw'!AR36+'QTR Raw'!AR37+'QTR Raw'!AR39</f>
        <v>40.97</v>
      </c>
      <c r="BX55" s="75">
        <f>'QTR Raw'!AS26+'QTR Raw'!AS31+'QTR Raw'!AS32+'QTR Raw'!AS33+'QTR Raw'!AS36+'QTR Raw'!AS37+'QTR Raw'!AS39</f>
        <v>-0.59</v>
      </c>
      <c r="BY55" s="75">
        <f>'QTR Raw'!AT26+'QTR Raw'!AT31+'QTR Raw'!AT32+'QTR Raw'!AT33+'QTR Raw'!AT36+'QTR Raw'!AT37+'QTR Raw'!AT39</f>
        <v>-0.28000000000000003</v>
      </c>
      <c r="BZ55" s="75">
        <f>'QTR Raw'!AU26+'QTR Raw'!AU31+'QTR Raw'!AU32+'QTR Raw'!AU33+'QTR Raw'!AU36+'QTR Raw'!AU37+'QTR Raw'!AU39</f>
        <v>-0.18</v>
      </c>
      <c r="CA55" s="75">
        <f>'QTR Raw'!AV26+'QTR Raw'!AV31+'QTR Raw'!AV32+'QTR Raw'!AV33+'QTR Raw'!AV36+'QTR Raw'!AV37+'QTR Raw'!AV39</f>
        <v>0.87</v>
      </c>
      <c r="CB55" s="75">
        <f>'QTR Raw'!AW26+'QTR Raw'!AW31+'QTR Raw'!AW32+'QTR Raw'!AW33+'QTR Raw'!AW36+'QTR Raw'!AW37+'QTR Raw'!AW39</f>
        <v>-6.54</v>
      </c>
      <c r="CC55" s="75">
        <f>'QTR Raw'!AX26+'QTR Raw'!AX31+'QTR Raw'!AX32+'QTR Raw'!AX33+'QTR Raw'!AX36+'QTR Raw'!AX37+'QTR Raw'!AX39</f>
        <v>-0.31</v>
      </c>
      <c r="CD55" s="75">
        <f>'QTR Raw'!AY26+'QTR Raw'!AY31+'QTR Raw'!AY32+'QTR Raw'!AY33+'QTR Raw'!AY36+'QTR Raw'!AY37+'QTR Raw'!AY39</f>
        <v>0.86</v>
      </c>
      <c r="CE55" s="75">
        <f>'QTR Raw'!AZ26+'QTR Raw'!AZ31+'QTR Raw'!AZ32+'QTR Raw'!AZ33+'QTR Raw'!AZ36+'QTR Raw'!AZ37+'QTR Raw'!AZ39</f>
        <v>-0.02</v>
      </c>
      <c r="CF55" s="75">
        <f>'QTR Raw'!BA26+'QTR Raw'!BA31+'QTR Raw'!BA32+'QTR Raw'!BA33+'QTR Raw'!BA36+'QTR Raw'!BA37+'QTR Raw'!BA39</f>
        <v>-3.5</v>
      </c>
      <c r="CG55" s="75">
        <f>'QTR Raw'!BB26+'QTR Raw'!BB31+'QTR Raw'!BB32+'QTR Raw'!BB33+'QTR Raw'!BB36+'QTR Raw'!BB37+'QTR Raw'!BB39</f>
        <v>17.32</v>
      </c>
      <c r="CH55" s="75">
        <f>'QTR Raw'!BC26+'QTR Raw'!BC31+'QTR Raw'!BC32+'QTR Raw'!BC33+'QTR Raw'!BC36+'QTR Raw'!BC37+'QTR Raw'!BC39</f>
        <v>-0.34</v>
      </c>
      <c r="CI55" s="75">
        <f>'QTR Raw'!BD26+'QTR Raw'!BD31+'QTR Raw'!BD32+'QTR Raw'!BD33+'QTR Raw'!BD36+'QTR Raw'!BD37+'QTR Raw'!BD39</f>
        <v>0.16</v>
      </c>
      <c r="CJ55" s="75">
        <f>-1.47-65.94</f>
        <v>-67.41</v>
      </c>
      <c r="CK55" s="75">
        <f>'QTR Raw'!BF26+'QTR Raw'!BF31+'QTR Raw'!BF32+'QTR Raw'!BF33+'QTR Raw'!BF36+'QTR Raw'!BF37+'QTR Raw'!BF39</f>
        <v>1441.74</v>
      </c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B55" s="123"/>
      <c r="DC55" s="23">
        <v>0</v>
      </c>
    </row>
    <row r="56" spans="1:107" s="26" customFormat="1" x14ac:dyDescent="0.2">
      <c r="A56" s="35" t="s">
        <v>25</v>
      </c>
      <c r="B56" s="26">
        <f>B49+B53+B54+B55</f>
        <v>65.325899999999891</v>
      </c>
      <c r="C56" s="26">
        <f>C49+C53+C54+C55</f>
        <v>97.174099999999967</v>
      </c>
      <c r="D56" s="26">
        <f>D49+D53+D54+D55</f>
        <v>124.19349999999996</v>
      </c>
      <c r="E56" s="26">
        <f t="shared" ref="E56:U56" si="669">E49+E53+E54+E55</f>
        <v>154.31909999999985</v>
      </c>
      <c r="F56" s="26">
        <f t="shared" si="669"/>
        <v>218.67700000000002</v>
      </c>
      <c r="G56" s="26">
        <f t="shared" si="669"/>
        <v>340.30619999999965</v>
      </c>
      <c r="H56" s="26">
        <f t="shared" si="669"/>
        <v>491.66900000000061</v>
      </c>
      <c r="I56" s="26">
        <f t="shared" si="669"/>
        <v>547.41299999999967</v>
      </c>
      <c r="J56" s="26">
        <f t="shared" si="669"/>
        <v>354.6391000000001</v>
      </c>
      <c r="K56" s="26">
        <f t="shared" si="669"/>
        <v>63.230300000000412</v>
      </c>
      <c r="L56" s="26">
        <f t="shared" si="669"/>
        <v>184.70999999999995</v>
      </c>
      <c r="M56" s="26">
        <f t="shared" si="669"/>
        <v>140.93999999999988</v>
      </c>
      <c r="N56" s="26">
        <f t="shared" si="669"/>
        <v>179.30999999999969</v>
      </c>
      <c r="O56" s="26">
        <f t="shared" si="669"/>
        <v>228.51000000000045</v>
      </c>
      <c r="P56" s="26">
        <f t="shared" si="669"/>
        <v>299.88000000000147</v>
      </c>
      <c r="Q56" s="26">
        <f t="shared" si="669"/>
        <v>374.47000000000099</v>
      </c>
      <c r="R56" s="26">
        <f t="shared" si="669"/>
        <v>419.95</v>
      </c>
      <c r="S56" s="26">
        <f t="shared" si="669"/>
        <v>510.89000000000055</v>
      </c>
      <c r="T56" s="26">
        <f t="shared" si="669"/>
        <v>303.4000000000002</v>
      </c>
      <c r="U56" s="26">
        <f t="shared" si="669"/>
        <v>219.22000000000014</v>
      </c>
      <c r="V56" s="26">
        <f>V49+V53+V54+V55</f>
        <v>519.70999999999981</v>
      </c>
      <c r="W56" s="26">
        <f>W49+W53+W54+W55</f>
        <v>1016.2300000000013</v>
      </c>
      <c r="X56" s="26">
        <f>X49+X53+X54+X55</f>
        <v>1242.0500000000004</v>
      </c>
      <c r="Y56" s="26">
        <f>Y49+Y53+Y54+Y55</f>
        <v>1871.640000000001</v>
      </c>
      <c r="Z56" s="26">
        <f>Z49+Z53+Z54+Z55</f>
        <v>1668.2599999999995</v>
      </c>
      <c r="AA56" s="27">
        <f t="shared" ref="AA56:AD56" si="670">AA49+AA53+AA54+AA55</f>
        <v>3191.2331579222428</v>
      </c>
      <c r="AB56" s="27">
        <f t="shared" si="670"/>
        <v>2240.5203119432372</v>
      </c>
      <c r="AC56" s="27">
        <f t="shared" si="670"/>
        <v>2479.7274274193942</v>
      </c>
      <c r="AD56" s="27">
        <f t="shared" si="670"/>
        <v>2947.0192232300842</v>
      </c>
      <c r="AH56" s="26">
        <f t="shared" ref="AH56" si="671">AH49+AH53+AH54+AH55</f>
        <v>51.630000000000123</v>
      </c>
      <c r="AI56" s="26">
        <f t="shared" ref="AI56" si="672">AI49+AI53+AI54+AI55</f>
        <v>21.369999999999763</v>
      </c>
      <c r="AJ56" s="26">
        <f t="shared" ref="AJ56:AL56" si="673">AJ49+AJ53+AJ54+AJ55</f>
        <v>16.770000000000259</v>
      </c>
      <c r="AK56" s="26">
        <f t="shared" si="673"/>
        <v>43.059999999999974</v>
      </c>
      <c r="AL56" s="26">
        <f t="shared" si="673"/>
        <v>39.630000000000223</v>
      </c>
      <c r="AM56" s="26">
        <f t="shared" ref="AM56:AN56" si="674">AM49+AM53+AM54+AM55</f>
        <v>38.030000000000186</v>
      </c>
      <c r="AN56" s="26">
        <f t="shared" si="674"/>
        <v>58.589999999999925</v>
      </c>
      <c r="AO56" s="26">
        <f t="shared" ref="AO56:CC56" si="675">AO49+AO53+AO54+AO55</f>
        <v>51.680000000000035</v>
      </c>
      <c r="AP56" s="26">
        <f t="shared" si="675"/>
        <v>47.689999999999941</v>
      </c>
      <c r="AQ56" s="26">
        <f t="shared" si="675"/>
        <v>44.979999999999869</v>
      </c>
      <c r="AR56" s="26">
        <f t="shared" si="675"/>
        <v>84.16</v>
      </c>
      <c r="AS56" s="26">
        <f t="shared" si="675"/>
        <v>54.290000000000035</v>
      </c>
      <c r="AT56" s="26">
        <f t="shared" si="675"/>
        <v>57.45000000000033</v>
      </c>
      <c r="AU56" s="26">
        <f t="shared" si="675"/>
        <v>58.740000000000116</v>
      </c>
      <c r="AV56" s="26">
        <f t="shared" si="675"/>
        <v>129.39999999999986</v>
      </c>
      <c r="AW56" s="26">
        <f t="shared" si="675"/>
        <v>85.449999999999974</v>
      </c>
      <c r="AX56" s="26">
        <f t="shared" si="675"/>
        <v>55.639999999999702</v>
      </c>
      <c r="AY56" s="26">
        <f t="shared" si="675"/>
        <v>70.569999999999538</v>
      </c>
      <c r="AZ56" s="26">
        <f t="shared" si="675"/>
        <v>162.80999999999986</v>
      </c>
      <c r="BA56" s="26">
        <f t="shared" si="675"/>
        <v>89.980000000000302</v>
      </c>
      <c r="BB56" s="26">
        <f t="shared" si="675"/>
        <v>75.059999999999349</v>
      </c>
      <c r="BC56" s="26">
        <f t="shared" si="675"/>
        <v>83.389999999999645</v>
      </c>
      <c r="BD56" s="26">
        <f t="shared" si="675"/>
        <v>171.51999999999992</v>
      </c>
      <c r="BE56" s="26">
        <f t="shared" si="675"/>
        <v>102.49000000000004</v>
      </c>
      <c r="BF56" s="26">
        <f t="shared" si="675"/>
        <v>102.14999999999976</v>
      </c>
      <c r="BG56" s="26">
        <f t="shared" si="675"/>
        <v>108.34000000000002</v>
      </c>
      <c r="BH56" s="26">
        <f t="shared" si="675"/>
        <v>197.91000000000008</v>
      </c>
      <c r="BI56" s="26">
        <f t="shared" si="675"/>
        <v>116.19000000000011</v>
      </c>
      <c r="BJ56" s="26">
        <f t="shared" si="675"/>
        <v>130.39999999999998</v>
      </c>
      <c r="BK56" s="26">
        <f t="shared" si="675"/>
        <v>135.27999999999989</v>
      </c>
      <c r="BL56" s="26">
        <f t="shared" si="675"/>
        <v>38.659999999999869</v>
      </c>
      <c r="BM56" s="26">
        <f t="shared" si="675"/>
        <v>64.64</v>
      </c>
      <c r="BN56" s="26">
        <f t="shared" si="675"/>
        <v>16.280000000000058</v>
      </c>
      <c r="BO56" s="26">
        <f t="shared" si="675"/>
        <v>80.739999999999881</v>
      </c>
      <c r="BP56" s="26">
        <f t="shared" si="675"/>
        <v>57.559999999999846</v>
      </c>
      <c r="BQ56" s="26">
        <f t="shared" si="675"/>
        <v>141.33000000000007</v>
      </c>
      <c r="BR56" s="26">
        <f t="shared" si="675"/>
        <v>70.260000000000119</v>
      </c>
      <c r="BS56" s="26">
        <f t="shared" si="675"/>
        <v>119.92000000000006</v>
      </c>
      <c r="BT56" s="26">
        <f t="shared" si="675"/>
        <v>188.19999999999982</v>
      </c>
      <c r="BU56" s="26">
        <f t="shared" si="675"/>
        <v>79.659999999999883</v>
      </c>
      <c r="BV56" s="26">
        <f t="shared" si="675"/>
        <v>145.67000000000002</v>
      </c>
      <c r="BW56" s="26">
        <f t="shared" si="675"/>
        <v>197.55999999999969</v>
      </c>
      <c r="BX56" s="26">
        <f t="shared" si="675"/>
        <v>305.32000000000045</v>
      </c>
      <c r="BY56" s="26">
        <f t="shared" si="675"/>
        <v>244.88999999999967</v>
      </c>
      <c r="BZ56" s="26">
        <f t="shared" si="675"/>
        <v>295.63000000000022</v>
      </c>
      <c r="CA56" s="26">
        <f t="shared" si="675"/>
        <v>362.86999999999995</v>
      </c>
      <c r="CB56" s="26">
        <f t="shared" si="675"/>
        <v>338.6599999999998</v>
      </c>
      <c r="CC56" s="26">
        <f t="shared" si="675"/>
        <v>459.28999999999968</v>
      </c>
      <c r="CD56" s="26">
        <f t="shared" ref="CD56:CE56" si="676">CD49+CD53+CD54+CD55</f>
        <v>443.49000000000012</v>
      </c>
      <c r="CE56" s="26">
        <f t="shared" si="676"/>
        <v>440.45000000000022</v>
      </c>
      <c r="CF56" s="26">
        <f t="shared" ref="CF56:CG56" si="677">CF49+CF53+CF54+CF55</f>
        <v>528.41000000000031</v>
      </c>
      <c r="CG56" s="26">
        <f t="shared" si="677"/>
        <v>474.63000000000028</v>
      </c>
      <c r="CH56" s="26">
        <f t="shared" ref="CH56:CJ56" si="678">CH49+CH53+CH54+CH55</f>
        <v>351.73999999999995</v>
      </c>
      <c r="CI56" s="26">
        <f t="shared" si="678"/>
        <v>409.03999999999979</v>
      </c>
      <c r="CJ56" s="26">
        <f t="shared" si="678"/>
        <v>432.85000000000014</v>
      </c>
      <c r="CK56" s="26">
        <f t="shared" ref="CK56" si="679">CK49+CK53+CK54+CK55</f>
        <v>1783.6499999999999</v>
      </c>
      <c r="CL56" s="27">
        <f t="shared" ref="CL56:CZ56" si="680">CL49+CL53+CL54+CL55</f>
        <v>452.3852826773043</v>
      </c>
      <c r="CM56" s="27">
        <f t="shared" si="680"/>
        <v>473.54084908955429</v>
      </c>
      <c r="CN56" s="27">
        <f t="shared" si="680"/>
        <v>481.65702615538305</v>
      </c>
      <c r="CO56" s="27">
        <f t="shared" si="680"/>
        <v>507.49037256533819</v>
      </c>
      <c r="CP56" s="27">
        <f t="shared" si="680"/>
        <v>572.64897333722638</v>
      </c>
      <c r="CQ56" s="27">
        <f t="shared" si="680"/>
        <v>576.37760074233131</v>
      </c>
      <c r="CR56" s="27">
        <f t="shared" si="680"/>
        <v>584.00336529834044</v>
      </c>
      <c r="CS56" s="27">
        <f t="shared" si="680"/>
        <v>590.74977605717379</v>
      </c>
      <c r="CT56" s="27">
        <f t="shared" si="680"/>
        <v>637.50671527696386</v>
      </c>
      <c r="CU56" s="27">
        <f t="shared" si="680"/>
        <v>628.2411864901195</v>
      </c>
      <c r="CV56" s="27">
        <f t="shared" si="680"/>
        <v>623.22974959513476</v>
      </c>
      <c r="CW56" s="27">
        <f t="shared" si="680"/>
        <v>698.35250311696086</v>
      </c>
      <c r="CX56" s="27">
        <f t="shared" si="680"/>
        <v>748.7337201772483</v>
      </c>
      <c r="CY56" s="27">
        <f t="shared" si="680"/>
        <v>745.68998372461147</v>
      </c>
      <c r="CZ56" s="27">
        <f t="shared" si="680"/>
        <v>754.24301621126415</v>
      </c>
      <c r="DB56" s="121"/>
      <c r="DC56" s="26">
        <v>0</v>
      </c>
    </row>
    <row r="57" spans="1:107" s="25" customFormat="1" x14ac:dyDescent="0.2">
      <c r="A57" s="151" t="s">
        <v>486</v>
      </c>
      <c r="AA57" s="17"/>
      <c r="AB57" s="17"/>
      <c r="AC57" s="17"/>
      <c r="AD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B57" s="119"/>
    </row>
    <row r="58" spans="1:107" s="1" customFormat="1" x14ac:dyDescent="0.2">
      <c r="AA58" s="20"/>
      <c r="AB58" s="20"/>
      <c r="AC58" s="20"/>
      <c r="AD58" s="20"/>
      <c r="BU58" s="183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B58" s="119"/>
    </row>
    <row r="59" spans="1:107" s="22" customFormat="1" x14ac:dyDescent="0.2">
      <c r="A59" s="22" t="s">
        <v>434</v>
      </c>
      <c r="B59" s="22">
        <f>'Annual Raw'!C35</f>
        <v>65.325900000000004</v>
      </c>
      <c r="C59" s="22">
        <f>'Annual Raw'!D35</f>
        <v>97.174099999999996</v>
      </c>
      <c r="D59" s="22">
        <f>'Annual Raw'!E35</f>
        <v>124.1935</v>
      </c>
      <c r="E59" s="22">
        <f>'Annual Raw'!F35</f>
        <v>154.31909999999999</v>
      </c>
      <c r="F59" s="22">
        <f>'Annual Raw'!G35</f>
        <v>218.67699999999999</v>
      </c>
      <c r="G59" s="22">
        <f>'Annual Raw'!H35</f>
        <v>340.30619999999999</v>
      </c>
      <c r="H59" s="22">
        <f>'Annual Raw'!I35</f>
        <v>491.66899999999998</v>
      </c>
      <c r="I59" s="22">
        <f>'Annual Raw'!J35</f>
        <v>547.41300000000001</v>
      </c>
      <c r="J59" s="22">
        <f>'Annual Raw'!K35</f>
        <v>354.63909999999998</v>
      </c>
      <c r="K59" s="22">
        <f>'Annual Raw'!L35</f>
        <v>63.2303</v>
      </c>
      <c r="L59" s="22">
        <f>'Annual Raw'!M35</f>
        <v>184.71</v>
      </c>
      <c r="M59" s="22">
        <f>'Annual Raw'!N35</f>
        <v>140.94</v>
      </c>
      <c r="N59" s="22">
        <f>'Annual Raw'!O35</f>
        <v>176.89</v>
      </c>
      <c r="O59" s="22">
        <f>'Annual Raw'!P35</f>
        <v>228.51</v>
      </c>
      <c r="P59" s="22">
        <f>'Annual Raw'!Q35</f>
        <v>299.88</v>
      </c>
      <c r="Q59" s="22">
        <f>'Annual Raw'!R35</f>
        <v>374.47</v>
      </c>
      <c r="R59" s="22">
        <f>'Annual Raw'!S35</f>
        <v>225.48</v>
      </c>
      <c r="S59" s="22">
        <f>'Annual Raw'!T35</f>
        <v>254.19</v>
      </c>
      <c r="T59" s="22">
        <f>'Annual Raw'!U35</f>
        <v>302.23</v>
      </c>
      <c r="U59" s="22">
        <f>'Annual Raw'!V35</f>
        <v>230.44</v>
      </c>
      <c r="V59" s="22">
        <f>'Annual Raw'!W35</f>
        <v>532.49</v>
      </c>
      <c r="W59" s="22">
        <f>'Annual Raw'!X35</f>
        <v>1025.6099999999999</v>
      </c>
      <c r="X59" s="22">
        <f>'Annual Raw'!Y35</f>
        <v>1248.18</v>
      </c>
      <c r="Y59" s="22">
        <f>'Annual Raw'!Z35</f>
        <v>1871.64</v>
      </c>
      <c r="Z59" s="22">
        <f>'Annual Raw'!AA35</f>
        <v>1668.26</v>
      </c>
      <c r="AA59" s="21">
        <f t="shared" ref="AA59:AD59" si="681">+AA56</f>
        <v>3191.2331579222428</v>
      </c>
      <c r="AB59" s="21">
        <f t="shared" si="681"/>
        <v>2240.5203119432372</v>
      </c>
      <c r="AC59" s="21">
        <f t="shared" si="681"/>
        <v>2479.7274274193942</v>
      </c>
      <c r="AD59" s="21">
        <f t="shared" si="681"/>
        <v>2947.0192232300842</v>
      </c>
      <c r="AH59" s="22">
        <f>'QTR Raw'!C42</f>
        <v>51.63</v>
      </c>
      <c r="AI59" s="22">
        <f>'QTR Raw'!D42</f>
        <v>21.37</v>
      </c>
      <c r="AJ59" s="22">
        <f>'QTR Raw'!E42</f>
        <v>16.77</v>
      </c>
      <c r="AK59" s="22">
        <f>'QTR Raw'!F42</f>
        <v>43.06</v>
      </c>
      <c r="AL59" s="22">
        <f>'QTR Raw'!G42</f>
        <v>39.630000000000003</v>
      </c>
      <c r="AM59" s="22">
        <f>'QTR Raw'!H42</f>
        <v>38.03</v>
      </c>
      <c r="AN59" s="22">
        <f>'QTR Raw'!I42</f>
        <v>58.59</v>
      </c>
      <c r="AO59" s="22">
        <f>'QTR Raw'!J42</f>
        <v>51.68</v>
      </c>
      <c r="AP59" s="22">
        <f>'QTR Raw'!K42</f>
        <v>47.69</v>
      </c>
      <c r="AQ59" s="22">
        <f>'QTR Raw'!L42</f>
        <v>44.98</v>
      </c>
      <c r="AR59" s="22">
        <f>'QTR Raw'!M42</f>
        <v>84.16</v>
      </c>
      <c r="AS59" s="22">
        <f>'QTR Raw'!N42</f>
        <v>54.29</v>
      </c>
      <c r="AT59" s="22">
        <f>'QTR Raw'!O42</f>
        <v>57.45</v>
      </c>
      <c r="AU59" s="22">
        <f>'QTR Raw'!P42</f>
        <v>58.74</v>
      </c>
      <c r="AV59" s="22">
        <f>'QTR Raw'!Q42</f>
        <v>129.4</v>
      </c>
      <c r="AW59" s="22">
        <f>'QTR Raw'!R42</f>
        <v>85.45</v>
      </c>
      <c r="AX59" s="22">
        <f>'QTR Raw'!S42</f>
        <v>55.64</v>
      </c>
      <c r="AY59" s="22">
        <f>'QTR Raw'!T42</f>
        <v>70.569999999999993</v>
      </c>
      <c r="AZ59" s="22">
        <f>'QTR Raw'!U42</f>
        <v>162.81</v>
      </c>
      <c r="BA59" s="22">
        <f>'QTR Raw'!V42</f>
        <v>89.98</v>
      </c>
      <c r="BB59" s="22">
        <f>'QTR Raw'!W42</f>
        <v>75.06</v>
      </c>
      <c r="BC59" s="22">
        <f>'QTR Raw'!X42</f>
        <v>83.39</v>
      </c>
      <c r="BD59" s="22">
        <f>'QTR Raw'!Y42</f>
        <v>171.52</v>
      </c>
      <c r="BE59" s="22">
        <f>'QTR Raw'!Z42</f>
        <v>102.49</v>
      </c>
      <c r="BF59" s="22">
        <f>'QTR Raw'!AA42</f>
        <v>102.15</v>
      </c>
      <c r="BG59" s="22">
        <f>'QTR Raw'!AB42</f>
        <v>108.34</v>
      </c>
      <c r="BH59" s="22">
        <f>'QTR Raw'!AC42</f>
        <v>197.91</v>
      </c>
      <c r="BI59" s="22">
        <f>'QTR Raw'!AD42</f>
        <v>116.19</v>
      </c>
      <c r="BJ59" s="22">
        <f>'QTR Raw'!AE42</f>
        <v>130.4</v>
      </c>
      <c r="BK59" s="22">
        <f>'QTR Raw'!AF42</f>
        <v>135.28</v>
      </c>
      <c r="BL59" s="22">
        <f>'QTR Raw'!AG42</f>
        <v>38.660000000000203</v>
      </c>
      <c r="BM59" s="22">
        <f>'QTR Raw'!AH42</f>
        <v>64.6400000000001</v>
      </c>
      <c r="BN59" s="22">
        <f>'QTR Raw'!AI42</f>
        <v>16.28</v>
      </c>
      <c r="BO59" s="22">
        <f>'QTR Raw'!AJ42</f>
        <v>80.739999999999995</v>
      </c>
      <c r="BP59" s="22">
        <f>'QTR Raw'!AK42</f>
        <v>57.559999999999903</v>
      </c>
      <c r="BQ59" s="22">
        <f>'QTR Raw'!AL42</f>
        <v>141.33000000000001</v>
      </c>
      <c r="BR59" s="22">
        <f>'QTR Raw'!AM42</f>
        <v>70.260000000000204</v>
      </c>
      <c r="BS59" s="22">
        <f>'QTR Raw'!AN42</f>
        <v>119.92</v>
      </c>
      <c r="BT59" s="22">
        <f>'QTR Raw'!AO42</f>
        <v>188.2</v>
      </c>
      <c r="BU59" s="22">
        <f>'QTR Raw'!AP42</f>
        <v>79.66</v>
      </c>
      <c r="BV59" s="22">
        <f>'QTR Raw'!AQ42</f>
        <v>145.66999999999999</v>
      </c>
      <c r="BW59" s="22">
        <f>'QTR Raw'!AR42</f>
        <v>197.56</v>
      </c>
      <c r="BX59" s="22">
        <f>'QTR Raw'!AS42</f>
        <v>305.32</v>
      </c>
      <c r="BY59" s="22">
        <f>'QTR Raw'!AT42</f>
        <v>244.89</v>
      </c>
      <c r="BZ59" s="22">
        <f>'QTR Raw'!AU42</f>
        <v>295.63</v>
      </c>
      <c r="CA59" s="22">
        <f>'QTR Raw'!AV42</f>
        <v>362.87</v>
      </c>
      <c r="CB59" s="22">
        <f>'QTR Raw'!AW42</f>
        <v>338.66</v>
      </c>
      <c r="CC59" s="22">
        <f>'QTR Raw'!AX42</f>
        <v>459.29</v>
      </c>
      <c r="CD59" s="22">
        <f>'QTR Raw'!AY42</f>
        <v>443.49</v>
      </c>
      <c r="CE59" s="22">
        <f>'QTR Raw'!AZ42</f>
        <v>440.45</v>
      </c>
      <c r="CF59" s="22">
        <f>'QTR Raw'!BA42</f>
        <v>528.41</v>
      </c>
      <c r="CG59" s="22">
        <f>'QTR Raw'!BB42</f>
        <v>474.63</v>
      </c>
      <c r="CH59" s="22">
        <f>'QTR Raw'!BC42</f>
        <v>351.74000000000098</v>
      </c>
      <c r="CI59" s="22">
        <f>'QTR Raw'!BD42</f>
        <v>409.04</v>
      </c>
      <c r="CJ59" s="22">
        <v>432.85</v>
      </c>
      <c r="CK59" s="22">
        <f>'QTR Raw'!BF42</f>
        <v>1783.65</v>
      </c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B59" s="119"/>
      <c r="DC59" s="22">
        <v>0</v>
      </c>
    </row>
    <row r="60" spans="1:107" s="25" customFormat="1" x14ac:dyDescent="0.2">
      <c r="A60" s="36" t="s">
        <v>435</v>
      </c>
      <c r="B60" s="25">
        <f t="shared" ref="B60:V60" si="682">B59-B56</f>
        <v>1.1368683772161603E-13</v>
      </c>
      <c r="C60" s="25">
        <f>C59-C56</f>
        <v>0</v>
      </c>
      <c r="D60" s="25">
        <f t="shared" si="682"/>
        <v>0</v>
      </c>
      <c r="E60" s="25">
        <f t="shared" si="682"/>
        <v>0</v>
      </c>
      <c r="F60" s="25">
        <f t="shared" si="682"/>
        <v>0</v>
      </c>
      <c r="G60" s="25">
        <f t="shared" si="682"/>
        <v>0</v>
      </c>
      <c r="H60" s="25">
        <f t="shared" si="682"/>
        <v>-6.2527760746888816E-13</v>
      </c>
      <c r="I60" s="25">
        <f t="shared" si="682"/>
        <v>0</v>
      </c>
      <c r="J60" s="25">
        <f t="shared" si="682"/>
        <v>0</v>
      </c>
      <c r="K60" s="25">
        <f t="shared" si="682"/>
        <v>-4.1211478674085811E-13</v>
      </c>
      <c r="L60" s="25">
        <f t="shared" si="682"/>
        <v>0</v>
      </c>
      <c r="M60" s="25">
        <f t="shared" si="682"/>
        <v>0</v>
      </c>
      <c r="N60" s="25">
        <f t="shared" si="682"/>
        <v>-2.4199999999997033</v>
      </c>
      <c r="O60" s="25">
        <f t="shared" si="682"/>
        <v>-4.5474735088646412E-13</v>
      </c>
      <c r="P60" s="25">
        <f t="shared" si="682"/>
        <v>-1.4779288903810084E-12</v>
      </c>
      <c r="Q60" s="25">
        <f t="shared" si="682"/>
        <v>-9.6633812063373625E-13</v>
      </c>
      <c r="R60" s="25">
        <f t="shared" si="682"/>
        <v>-194.47</v>
      </c>
      <c r="S60" s="25">
        <f t="shared" si="682"/>
        <v>-256.70000000000056</v>
      </c>
      <c r="T60" s="25">
        <f t="shared" si="682"/>
        <v>-1.1700000000001864</v>
      </c>
      <c r="U60" s="25">
        <f t="shared" si="682"/>
        <v>11.219999999999857</v>
      </c>
      <c r="V60" s="25">
        <f t="shared" si="682"/>
        <v>12.7800000000002</v>
      </c>
      <c r="W60" s="25">
        <f t="shared" ref="W60" si="683">W59-W56</f>
        <v>9.3799999999986312</v>
      </c>
      <c r="X60" s="25">
        <f t="shared" ref="X60:Y60" si="684">X59-X56</f>
        <v>6.1299999999996544</v>
      </c>
      <c r="Y60" s="25">
        <f t="shared" si="684"/>
        <v>0</v>
      </c>
      <c r="Z60" s="25">
        <f t="shared" ref="Z60" si="685">Z59-Z56</f>
        <v>0</v>
      </c>
      <c r="AA60" s="17">
        <f t="shared" ref="AA60:AD60" si="686">AA59-AA56</f>
        <v>0</v>
      </c>
      <c r="AB60" s="17">
        <f t="shared" si="686"/>
        <v>0</v>
      </c>
      <c r="AC60" s="17">
        <f t="shared" si="686"/>
        <v>0</v>
      </c>
      <c r="AD60" s="17">
        <f t="shared" si="686"/>
        <v>0</v>
      </c>
      <c r="AH60" s="25">
        <f t="shared" ref="AH60" si="687">AH59-AH56</f>
        <v>-1.2079226507921703E-13</v>
      </c>
      <c r="AI60" s="25">
        <f t="shared" ref="AI60" si="688">AI59-AI56</f>
        <v>2.3803181647963356E-13</v>
      </c>
      <c r="AJ60" s="25">
        <f t="shared" ref="AJ60:AL60" si="689">AJ59-AJ56</f>
        <v>-2.5934809855243657E-13</v>
      </c>
      <c r="AK60" s="25">
        <f t="shared" si="689"/>
        <v>0</v>
      </c>
      <c r="AL60" s="25">
        <f t="shared" si="689"/>
        <v>-2.2026824808563106E-13</v>
      </c>
      <c r="AM60" s="25">
        <f t="shared" ref="AM60:AN60" si="690">AM59-AM56</f>
        <v>-1.8474111129762605E-13</v>
      </c>
      <c r="AN60" s="25">
        <f t="shared" si="690"/>
        <v>7.815970093361102E-14</v>
      </c>
      <c r="AO60" s="25">
        <f t="shared" ref="AO60:CC60" si="691">AO59-AO56</f>
        <v>0</v>
      </c>
      <c r="AP60" s="25">
        <f t="shared" si="691"/>
        <v>5.6843418860808015E-14</v>
      </c>
      <c r="AQ60" s="25">
        <f t="shared" si="691"/>
        <v>1.2789769243681803E-13</v>
      </c>
      <c r="AR60" s="25">
        <f t="shared" si="691"/>
        <v>0</v>
      </c>
      <c r="AS60" s="25">
        <f t="shared" si="691"/>
        <v>0</v>
      </c>
      <c r="AT60" s="25">
        <f t="shared" si="691"/>
        <v>-3.2684965844964609E-13</v>
      </c>
      <c r="AU60" s="25">
        <f t="shared" si="691"/>
        <v>-1.1368683772161603E-13</v>
      </c>
      <c r="AV60" s="25">
        <f t="shared" si="691"/>
        <v>0</v>
      </c>
      <c r="AW60" s="25">
        <f t="shared" si="691"/>
        <v>0</v>
      </c>
      <c r="AX60" s="25">
        <f t="shared" si="691"/>
        <v>2.9842794901924208E-13</v>
      </c>
      <c r="AY60" s="25">
        <f t="shared" si="691"/>
        <v>4.5474735088646412E-13</v>
      </c>
      <c r="AZ60" s="25">
        <f t="shared" si="691"/>
        <v>0</v>
      </c>
      <c r="BA60" s="25">
        <f t="shared" si="691"/>
        <v>-2.9842794901924208E-13</v>
      </c>
      <c r="BB60" s="25">
        <f t="shared" si="691"/>
        <v>6.5369931689929217E-13</v>
      </c>
      <c r="BC60" s="25">
        <f t="shared" si="691"/>
        <v>3.5527136788005009E-13</v>
      </c>
      <c r="BD60" s="25">
        <f t="shared" si="691"/>
        <v>0</v>
      </c>
      <c r="BE60" s="25">
        <f t="shared" si="691"/>
        <v>0</v>
      </c>
      <c r="BF60" s="25">
        <f t="shared" si="691"/>
        <v>2.4158453015843406E-13</v>
      </c>
      <c r="BG60" s="25">
        <f t="shared" si="691"/>
        <v>0</v>
      </c>
      <c r="BH60" s="25">
        <f t="shared" si="691"/>
        <v>0</v>
      </c>
      <c r="BI60" s="25">
        <f t="shared" si="691"/>
        <v>-1.1368683772161603E-13</v>
      </c>
      <c r="BJ60" s="25">
        <f t="shared" si="691"/>
        <v>0</v>
      </c>
      <c r="BK60" s="25">
        <f t="shared" si="691"/>
        <v>0</v>
      </c>
      <c r="BL60" s="25">
        <f t="shared" si="691"/>
        <v>3.3395508580724709E-13</v>
      </c>
      <c r="BM60" s="25">
        <f t="shared" si="691"/>
        <v>0</v>
      </c>
      <c r="BN60" s="25">
        <f t="shared" si="691"/>
        <v>-5.6843418860808015E-14</v>
      </c>
      <c r="BO60" s="25">
        <f t="shared" si="691"/>
        <v>1.1368683772161603E-13</v>
      </c>
      <c r="BP60" s="25">
        <f t="shared" si="691"/>
        <v>5.6843418860808015E-14</v>
      </c>
      <c r="BQ60" s="25">
        <f t="shared" si="691"/>
        <v>0</v>
      </c>
      <c r="BR60" s="25">
        <f t="shared" si="691"/>
        <v>0</v>
      </c>
      <c r="BS60" s="25">
        <f t="shared" si="691"/>
        <v>0</v>
      </c>
      <c r="BT60" s="25">
        <f t="shared" si="691"/>
        <v>0</v>
      </c>
      <c r="BU60" s="25">
        <f t="shared" si="691"/>
        <v>1.1368683772161603E-13</v>
      </c>
      <c r="BV60" s="25">
        <f t="shared" si="691"/>
        <v>0</v>
      </c>
      <c r="BW60" s="25">
        <f t="shared" si="691"/>
        <v>3.1263880373444408E-13</v>
      </c>
      <c r="BX60" s="25">
        <f t="shared" si="691"/>
        <v>-4.5474735088646412E-13</v>
      </c>
      <c r="BY60" s="25">
        <f t="shared" si="691"/>
        <v>3.1263880373444408E-13</v>
      </c>
      <c r="BZ60" s="25">
        <f t="shared" si="691"/>
        <v>0</v>
      </c>
      <c r="CA60" s="25">
        <f t="shared" si="691"/>
        <v>0</v>
      </c>
      <c r="CB60" s="25">
        <f t="shared" si="691"/>
        <v>0</v>
      </c>
      <c r="CC60" s="25">
        <f t="shared" si="691"/>
        <v>0</v>
      </c>
      <c r="CD60" s="25">
        <f t="shared" ref="CD60:CE60" si="692">CD59-CD56</f>
        <v>0</v>
      </c>
      <c r="CE60" s="25">
        <f t="shared" si="692"/>
        <v>0</v>
      </c>
      <c r="CF60" s="25">
        <f t="shared" ref="CF60:CG60" si="693">CF59-CF56</f>
        <v>0</v>
      </c>
      <c r="CG60" s="25">
        <f t="shared" si="693"/>
        <v>0</v>
      </c>
      <c r="CH60" s="25">
        <f t="shared" ref="CH60:CJ60" si="694">CH59-CH56</f>
        <v>1.0231815394945443E-12</v>
      </c>
      <c r="CI60" s="25">
        <f t="shared" si="694"/>
        <v>0</v>
      </c>
      <c r="CJ60" s="25">
        <f t="shared" si="694"/>
        <v>0</v>
      </c>
      <c r="CK60" s="25">
        <f t="shared" ref="CK60" si="695">CK59-CK56</f>
        <v>0</v>
      </c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B60" s="119"/>
      <c r="DC60" s="25">
        <v>0</v>
      </c>
    </row>
    <row r="61" spans="1:107" s="1" customFormat="1" x14ac:dyDescent="0.2">
      <c r="A61" s="150" t="s">
        <v>487</v>
      </c>
      <c r="AA61" s="20"/>
      <c r="AB61" s="20"/>
      <c r="AC61" s="20"/>
      <c r="AD61" s="20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B61" s="119"/>
    </row>
    <row r="62" spans="1:107" s="38" customFormat="1" x14ac:dyDescent="0.2">
      <c r="A62" s="38" t="s">
        <v>350</v>
      </c>
      <c r="B62" s="39">
        <f t="shared" ref="B62:AD62" si="696">(B56-B55)/B128</f>
        <v>0.14589897207689578</v>
      </c>
      <c r="C62" s="39">
        <f t="shared" si="696"/>
        <v>0.15882987723457681</v>
      </c>
      <c r="D62" s="39">
        <f t="shared" si="696"/>
        <v>0.16699845320766984</v>
      </c>
      <c r="E62" s="39">
        <f t="shared" si="696"/>
        <v>0.20771071522063309</v>
      </c>
      <c r="F62" s="39">
        <f t="shared" si="696"/>
        <v>0.2418651166499784</v>
      </c>
      <c r="G62" s="39">
        <f t="shared" si="696"/>
        <v>0.28457459841259913</v>
      </c>
      <c r="H62" s="39">
        <f t="shared" si="696"/>
        <v>0.30231544452180303</v>
      </c>
      <c r="I62" s="39">
        <f t="shared" si="696"/>
        <v>0.25834124132614145</v>
      </c>
      <c r="J62" s="39">
        <f t="shared" si="696"/>
        <v>0.14631936386397648</v>
      </c>
      <c r="K62" s="39">
        <f t="shared" si="696"/>
        <v>2.6088297265391865E-2</v>
      </c>
      <c r="L62" s="39">
        <f t="shared" si="696"/>
        <v>7.2822825782694556E-2</v>
      </c>
      <c r="M62" s="39">
        <f t="shared" si="696"/>
        <v>5.4173521317322865E-2</v>
      </c>
      <c r="N62" s="39">
        <f t="shared" si="696"/>
        <v>6.6063879054064037E-2</v>
      </c>
      <c r="O62" s="39">
        <f t="shared" si="696"/>
        <v>8.1263024630331804E-2</v>
      </c>
      <c r="P62" s="39">
        <f t="shared" si="696"/>
        <v>9.9675923617690065E-2</v>
      </c>
      <c r="Q62" s="39">
        <f t="shared" si="696"/>
        <v>0.11393494994979798</v>
      </c>
      <c r="R62" s="39">
        <f t="shared" si="696"/>
        <v>6.2513689078402726E-2</v>
      </c>
      <c r="S62" s="39">
        <f t="shared" si="696"/>
        <v>6.3431420500484254E-2</v>
      </c>
      <c r="T62" s="39">
        <f t="shared" si="696"/>
        <v>0.10565862998599482</v>
      </c>
      <c r="U62" s="39">
        <f t="shared" si="696"/>
        <v>4.7596204504239757E-2</v>
      </c>
      <c r="V62" s="39">
        <f t="shared" si="696"/>
        <v>0.10163923079014826</v>
      </c>
      <c r="W62" s="39">
        <f t="shared" si="696"/>
        <v>0.13895384266541982</v>
      </c>
      <c r="X62" s="39">
        <f t="shared" si="696"/>
        <v>0.20996871109914891</v>
      </c>
      <c r="Y62" s="39">
        <f t="shared" si="696"/>
        <v>0.26494756480199017</v>
      </c>
      <c r="Z62" s="39">
        <f t="shared" ref="Z62" si="697">(Z56-Z55)/Z128</f>
        <v>0.21304264043215979</v>
      </c>
      <c r="AA62" s="40">
        <f t="shared" si="696"/>
        <v>0.17815848457487146</v>
      </c>
      <c r="AB62" s="40">
        <f t="shared" si="696"/>
        <v>0.19092723421483265</v>
      </c>
      <c r="AC62" s="40">
        <f t="shared" si="696"/>
        <v>0.17638354380000842</v>
      </c>
      <c r="AD62" s="40">
        <f t="shared" si="696"/>
        <v>0.17704011589671725</v>
      </c>
      <c r="AE62" s="39"/>
      <c r="AF62" s="39"/>
      <c r="AG62" s="39"/>
      <c r="AH62" s="39"/>
      <c r="AI62" s="39"/>
      <c r="AJ62" s="39"/>
      <c r="AK62" s="39">
        <f t="shared" ref="AK62:BP62" si="698">(SUM(AH56:AK56)-SUM(AH55:AK55))/AK128</f>
        <v>5.0224978258403642E-2</v>
      </c>
      <c r="AL62" s="39">
        <f t="shared" si="698"/>
        <v>4.5463438861589246E-2</v>
      </c>
      <c r="AM62" s="39">
        <f t="shared" si="698"/>
        <v>5.0104422855065764E-2</v>
      </c>
      <c r="AN62" s="39">
        <f t="shared" si="698"/>
        <v>6.6063879054064273E-2</v>
      </c>
      <c r="AO62" s="39">
        <f t="shared" si="698"/>
        <v>6.7971303366505115E-2</v>
      </c>
      <c r="AP62" s="39">
        <f t="shared" si="698"/>
        <v>6.9706474415991787E-2</v>
      </c>
      <c r="AQ62" s="39">
        <f t="shared" si="698"/>
        <v>7.1915830058364633E-2</v>
      </c>
      <c r="AR62" s="39">
        <f t="shared" si="698"/>
        <v>8.1263024630331596E-2</v>
      </c>
      <c r="AS62" s="39">
        <f t="shared" si="698"/>
        <v>8.0634413366500651E-2</v>
      </c>
      <c r="AT62" s="39">
        <f t="shared" si="698"/>
        <v>8.2640885418453602E-2</v>
      </c>
      <c r="AU62" s="39">
        <f t="shared" si="698"/>
        <v>8.5635879361833936E-2</v>
      </c>
      <c r="AV62" s="39">
        <f t="shared" si="698"/>
        <v>9.9675923617689691E-2</v>
      </c>
      <c r="AW62" s="39">
        <f t="shared" si="698"/>
        <v>0.10699418228830003</v>
      </c>
      <c r="AX62" s="39">
        <f t="shared" si="698"/>
        <v>0.10428736597031935</v>
      </c>
      <c r="AY62" s="39">
        <f t="shared" si="698"/>
        <v>0.10567246678564318</v>
      </c>
      <c r="AZ62" s="39">
        <f t="shared" si="698"/>
        <v>0.11407100079810377</v>
      </c>
      <c r="BA62" s="39">
        <f t="shared" si="698"/>
        <v>0.11237087726372445</v>
      </c>
      <c r="BB62" s="39">
        <f t="shared" si="698"/>
        <v>0.11881111352989035</v>
      </c>
      <c r="BC62" s="39">
        <f t="shared" si="698"/>
        <v>0.11965851756586084</v>
      </c>
      <c r="BD62" s="39">
        <f t="shared" si="698"/>
        <v>9.1508196812211964E-2</v>
      </c>
      <c r="BE62" s="39">
        <f t="shared" si="698"/>
        <v>7.7015565943634484E-2</v>
      </c>
      <c r="BF62" s="39">
        <f t="shared" si="698"/>
        <v>6.8744221900580132E-2</v>
      </c>
      <c r="BG62" s="39">
        <f t="shared" si="698"/>
        <v>5.4312329283718284E-2</v>
      </c>
      <c r="BH62" s="39">
        <f t="shared" si="698"/>
        <v>6.348382460098019E-2</v>
      </c>
      <c r="BI62" s="39">
        <f t="shared" si="698"/>
        <v>7.2224876379589215E-2</v>
      </c>
      <c r="BJ62" s="39">
        <f t="shared" si="698"/>
        <v>7.7939839214257997E-2</v>
      </c>
      <c r="BK62" s="39">
        <f t="shared" si="698"/>
        <v>8.5539700595865173E-2</v>
      </c>
      <c r="BL62" s="39">
        <f t="shared" si="698"/>
        <v>0.10565862998599471</v>
      </c>
      <c r="BM62" s="39">
        <f t="shared" si="698"/>
        <v>8.1489643629262754E-2</v>
      </c>
      <c r="BN62" s="39">
        <f t="shared" si="698"/>
        <v>6.6155751837117249E-2</v>
      </c>
      <c r="BO62" s="39">
        <f t="shared" si="698"/>
        <v>6.6520970435124213E-2</v>
      </c>
      <c r="BP62" s="39">
        <f t="shared" si="698"/>
        <v>4.7596204504239653E-2</v>
      </c>
      <c r="BQ62" s="39">
        <f t="shared" ref="BQ62:CV62" si="699">(SUM(BN56:BQ56)-SUM(BN55:BQ55))/BQ128</f>
        <v>6.3646867020126924E-2</v>
      </c>
      <c r="BR62" s="39">
        <f t="shared" si="699"/>
        <v>7.8387277699208571E-2</v>
      </c>
      <c r="BS62" s="39">
        <f t="shared" si="699"/>
        <v>8.4907794264083084E-2</v>
      </c>
      <c r="BT62" s="39">
        <f t="shared" si="699"/>
        <v>0.1016392307901483</v>
      </c>
      <c r="BU62" s="39">
        <f t="shared" si="699"/>
        <v>9.9831509024570567E-2</v>
      </c>
      <c r="BV62" s="39">
        <f t="shared" si="699"/>
        <v>0.11888033100088931</v>
      </c>
      <c r="BW62" s="39">
        <f t="shared" si="699"/>
        <v>0.12188640811141742</v>
      </c>
      <c r="BX62" s="39">
        <f t="shared" si="699"/>
        <v>0.14003291891136799</v>
      </c>
      <c r="BY62" s="39">
        <f t="shared" si="699"/>
        <v>0.16590860868391105</v>
      </c>
      <c r="BZ62" s="39">
        <f t="shared" si="699"/>
        <v>0.18691999627456463</v>
      </c>
      <c r="CA62" s="39">
        <f t="shared" si="699"/>
        <v>0.21092513657293113</v>
      </c>
      <c r="CB62" s="39">
        <f t="shared" si="699"/>
        <v>0.20996871109914877</v>
      </c>
      <c r="CC62" s="39">
        <f t="shared" si="699"/>
        <v>0.22839399177687308</v>
      </c>
      <c r="CD62" s="39">
        <f t="shared" si="699"/>
        <v>0.25379006493649836</v>
      </c>
      <c r="CE62" s="39">
        <f t="shared" si="699"/>
        <v>0.24887828570501752</v>
      </c>
      <c r="CF62" s="39">
        <f t="shared" si="699"/>
        <v>0.26494756480199</v>
      </c>
      <c r="CG62" s="39">
        <f t="shared" si="699"/>
        <v>0.24798841858906531</v>
      </c>
      <c r="CH62" s="39">
        <f t="shared" si="699"/>
        <v>0.24766309023911898</v>
      </c>
      <c r="CI62" s="39">
        <f t="shared" si="699"/>
        <v>0.23018477333077311</v>
      </c>
      <c r="CJ62" s="39">
        <f t="shared" si="699"/>
        <v>0.21384805294031276</v>
      </c>
      <c r="CK62" s="39">
        <f t="shared" si="699"/>
        <v>0.16325368869445317</v>
      </c>
      <c r="CL62" s="40">
        <f t="shared" si="699"/>
        <v>0.16582875286889587</v>
      </c>
      <c r="CM62" s="40">
        <f t="shared" si="699"/>
        <v>0.16453840274709761</v>
      </c>
      <c r="CN62" s="40">
        <f t="shared" si="699"/>
        <v>0.15582279732672727</v>
      </c>
      <c r="CO62" s="40">
        <f t="shared" si="699"/>
        <v>0.16319409850692396</v>
      </c>
      <c r="CP62" s="40">
        <f t="shared" si="699"/>
        <v>0.16537249023438047</v>
      </c>
      <c r="CQ62" s="40">
        <f t="shared" si="699"/>
        <v>0.16595614204680084</v>
      </c>
      <c r="CR62" s="40">
        <f t="shared" si="699"/>
        <v>0.16635912722551685</v>
      </c>
      <c r="CS62" s="40">
        <f t="shared" si="699"/>
        <v>0.16529094959665139</v>
      </c>
      <c r="CT62" s="40">
        <f t="shared" si="699"/>
        <v>0.16253402836517886</v>
      </c>
      <c r="CU62" s="40">
        <f t="shared" si="699"/>
        <v>0.15925515599215442</v>
      </c>
      <c r="CV62" s="40">
        <f t="shared" si="699"/>
        <v>0.15549121741062821</v>
      </c>
      <c r="CW62" s="40">
        <f t="shared" ref="CW62:CZ62" si="700">(SUM(CT56:CW56)-SUM(CT55:CW55))/CW128</f>
        <v>0.15543204699900351</v>
      </c>
      <c r="CX62" s="40">
        <f t="shared" si="700"/>
        <v>0.15513596922303854</v>
      </c>
      <c r="CY62" s="40">
        <f t="shared" si="700"/>
        <v>0.15523329074657463</v>
      </c>
      <c r="CZ62" s="40">
        <f t="shared" si="700"/>
        <v>0.15597051474873957</v>
      </c>
      <c r="DB62" s="122"/>
      <c r="DC62" s="38" t="e">
        <v>#DIV/0!</v>
      </c>
    </row>
    <row r="63" spans="1:107" s="38" customFormat="1" x14ac:dyDescent="0.2">
      <c r="A63" s="38" t="s">
        <v>351</v>
      </c>
      <c r="B63" s="39">
        <f t="shared" ref="B63:AD63" si="701">+B42/B137</f>
        <v>0.18040092972498592</v>
      </c>
      <c r="C63" s="39">
        <f t="shared" si="701"/>
        <v>0.19253931574934832</v>
      </c>
      <c r="D63" s="39">
        <f t="shared" si="701"/>
        <v>0.20101647907978665</v>
      </c>
      <c r="E63" s="39">
        <f t="shared" si="701"/>
        <v>0.27267350258188694</v>
      </c>
      <c r="F63" s="39">
        <f t="shared" si="701"/>
        <v>0.33278918141893965</v>
      </c>
      <c r="G63" s="39">
        <f t="shared" si="701"/>
        <v>0.37987861072543327</v>
      </c>
      <c r="H63" s="39">
        <f t="shared" si="701"/>
        <v>0.43477178797134702</v>
      </c>
      <c r="I63" s="39">
        <f t="shared" si="701"/>
        <v>0.35498524898896788</v>
      </c>
      <c r="J63" s="39">
        <f t="shared" si="701"/>
        <v>0.20595294894669103</v>
      </c>
      <c r="K63" s="39">
        <f t="shared" si="701"/>
        <v>2.0502754544739061E-2</v>
      </c>
      <c r="L63" s="39">
        <f t="shared" si="701"/>
        <v>0.10772621361519931</v>
      </c>
      <c r="M63" s="39">
        <f t="shared" si="701"/>
        <v>8.9160624308713243E-2</v>
      </c>
      <c r="N63" s="39">
        <f t="shared" si="701"/>
        <v>0.11569684049647165</v>
      </c>
      <c r="O63" s="39">
        <f t="shared" si="701"/>
        <v>0.14418246650225428</v>
      </c>
      <c r="P63" s="39">
        <f t="shared" si="701"/>
        <v>0.15713790857823823</v>
      </c>
      <c r="Q63" s="39">
        <f t="shared" si="701"/>
        <v>0.14389694191018723</v>
      </c>
      <c r="R63" s="39">
        <f t="shared" si="701"/>
        <v>7.3203423767092726E-2</v>
      </c>
      <c r="S63" s="39">
        <f t="shared" si="701"/>
        <v>9.2508170911555013E-2</v>
      </c>
      <c r="T63" s="39">
        <f t="shared" si="701"/>
        <v>0.11848655073366073</v>
      </c>
      <c r="U63" s="39">
        <f t="shared" si="701"/>
        <v>4.0264753021034987E-2</v>
      </c>
      <c r="V63" s="39">
        <f t="shared" si="701"/>
        <v>0.10203723434498747</v>
      </c>
      <c r="W63" s="39">
        <f t="shared" si="701"/>
        <v>0.16305591153599341</v>
      </c>
      <c r="X63" s="39">
        <f t="shared" si="701"/>
        <v>0.23043770817212272</v>
      </c>
      <c r="Y63" s="39">
        <f t="shared" si="701"/>
        <v>0.30634875766741115</v>
      </c>
      <c r="Z63" s="39">
        <f t="shared" ref="Z63" si="702">+Z42/Z137</f>
        <v>0.23794951244195048</v>
      </c>
      <c r="AA63" s="40">
        <f t="shared" si="701"/>
        <v>0.19111870142441317</v>
      </c>
      <c r="AB63" s="40">
        <f t="shared" si="701"/>
        <v>0.20545301137715008</v>
      </c>
      <c r="AC63" s="40">
        <f t="shared" si="701"/>
        <v>0.1850797506240644</v>
      </c>
      <c r="AD63" s="40">
        <f t="shared" si="701"/>
        <v>0.18518416116403311</v>
      </c>
      <c r="AE63" s="39"/>
      <c r="AF63" s="39"/>
      <c r="AG63" s="39"/>
      <c r="AH63" s="39"/>
      <c r="AI63" s="39"/>
      <c r="AJ63" s="39"/>
      <c r="AK63" s="39">
        <f t="shared" ref="AK63:BP63" si="703">+SUM(AH42:AK42)/AK137</f>
        <v>8.4023577066189417E-2</v>
      </c>
      <c r="AL63" s="39">
        <f t="shared" si="703"/>
        <v>7.2207551002640882E-2</v>
      </c>
      <c r="AM63" s="39">
        <f t="shared" si="703"/>
        <v>8.2134256428803273E-2</v>
      </c>
      <c r="AN63" s="39">
        <f t="shared" si="703"/>
        <v>0.11117243386997495</v>
      </c>
      <c r="AO63" s="39">
        <f t="shared" si="703"/>
        <v>0.11416842073835232</v>
      </c>
      <c r="AP63" s="39">
        <f t="shared" si="703"/>
        <v>0.11113466650673794</v>
      </c>
      <c r="AQ63" s="39">
        <f t="shared" si="703"/>
        <v>0.11419291387389763</v>
      </c>
      <c r="AR63" s="39">
        <f t="shared" si="703"/>
        <v>0.13913699125053008</v>
      </c>
      <c r="AS63" s="39">
        <f t="shared" si="703"/>
        <v>0.13774889260936443</v>
      </c>
      <c r="AT63" s="39">
        <f t="shared" si="703"/>
        <v>0.12842048905359851</v>
      </c>
      <c r="AU63" s="39">
        <f t="shared" si="703"/>
        <v>0.13294922973510581</v>
      </c>
      <c r="AV63" s="39">
        <f t="shared" si="703"/>
        <v>0.15316678444250467</v>
      </c>
      <c r="AW63" s="39">
        <f t="shared" si="703"/>
        <v>0.15927449918787231</v>
      </c>
      <c r="AX63" s="39">
        <f t="shared" si="703"/>
        <v>0.1467913013740392</v>
      </c>
      <c r="AY63" s="39">
        <f t="shared" si="703"/>
        <v>0.13313173686977228</v>
      </c>
      <c r="AZ63" s="39">
        <f t="shared" si="703"/>
        <v>0.13999618833734218</v>
      </c>
      <c r="BA63" s="39">
        <f t="shared" si="703"/>
        <v>0.13336689488521933</v>
      </c>
      <c r="BB63" s="39">
        <f t="shared" si="703"/>
        <v>0.14189088352021911</v>
      </c>
      <c r="BC63" s="39">
        <f t="shared" si="703"/>
        <v>0.14331719836106976</v>
      </c>
      <c r="BD63" s="39">
        <f t="shared" si="703"/>
        <v>0.12336369401528076</v>
      </c>
      <c r="BE63" s="39">
        <f t="shared" si="703"/>
        <v>0.10478737155044242</v>
      </c>
      <c r="BF63" s="39">
        <f t="shared" si="703"/>
        <v>9.3360939990522376E-2</v>
      </c>
      <c r="BG63" s="39">
        <f t="shared" si="703"/>
        <v>7.6545748504873792E-2</v>
      </c>
      <c r="BH63" s="39">
        <f t="shared" si="703"/>
        <v>9.1348971778467805E-2</v>
      </c>
      <c r="BI63" s="39">
        <f t="shared" si="703"/>
        <v>0.10217329125399342</v>
      </c>
      <c r="BJ63" s="39">
        <f t="shared" si="703"/>
        <v>0.11011784219560652</v>
      </c>
      <c r="BK63" s="39">
        <f t="shared" si="703"/>
        <v>0.12054538662682111</v>
      </c>
      <c r="BL63" s="39">
        <f t="shared" si="703"/>
        <v>0.12495853616355317</v>
      </c>
      <c r="BM63" s="39">
        <f t="shared" si="703"/>
        <v>8.5185463596348293E-2</v>
      </c>
      <c r="BN63" s="39">
        <f t="shared" si="703"/>
        <v>5.6536343397258083E-2</v>
      </c>
      <c r="BO63" s="39">
        <f t="shared" si="703"/>
        <v>5.4188630237151938E-2</v>
      </c>
      <c r="BP63" s="39">
        <f t="shared" si="703"/>
        <v>3.8345931377170392E-2</v>
      </c>
      <c r="BQ63" s="39">
        <f t="shared" ref="BQ63:CV63" si="704">+SUM(BN42:BQ42)/BQ137</f>
        <v>6.11413369764469E-2</v>
      </c>
      <c r="BR63" s="39">
        <f t="shared" si="704"/>
        <v>7.9688812436768203E-2</v>
      </c>
      <c r="BS63" s="39">
        <f t="shared" si="704"/>
        <v>9.1737752483562099E-2</v>
      </c>
      <c r="BT63" s="39">
        <f t="shared" si="704"/>
        <v>0.11363125094247738</v>
      </c>
      <c r="BU63" s="39">
        <f t="shared" si="704"/>
        <v>0.1316872128683467</v>
      </c>
      <c r="BV63" s="39">
        <f t="shared" si="704"/>
        <v>0.15761136640945053</v>
      </c>
      <c r="BW63" s="39">
        <f t="shared" si="704"/>
        <v>0.15769886591213381</v>
      </c>
      <c r="BX63" s="39">
        <f t="shared" si="704"/>
        <v>0.1749196766415422</v>
      </c>
      <c r="BY63" s="39">
        <f t="shared" si="704"/>
        <v>0.18517832687151589</v>
      </c>
      <c r="BZ63" s="39">
        <f t="shared" si="704"/>
        <v>0.20468659774611159</v>
      </c>
      <c r="CA63" s="39">
        <f t="shared" si="704"/>
        <v>0.2308383510399783</v>
      </c>
      <c r="CB63" s="39">
        <f t="shared" si="704"/>
        <v>0.23043770817212256</v>
      </c>
      <c r="CC63" s="39">
        <f t="shared" si="704"/>
        <v>0.25699848061100361</v>
      </c>
      <c r="CD63" s="39">
        <f t="shared" si="704"/>
        <v>0.28980474897423036</v>
      </c>
      <c r="CE63" s="39">
        <f t="shared" si="704"/>
        <v>0.28560327807455876</v>
      </c>
      <c r="CF63" s="39">
        <f t="shared" si="704"/>
        <v>0.30758826356107077</v>
      </c>
      <c r="CG63" s="39">
        <f t="shared" si="704"/>
        <v>0.28722667327149703</v>
      </c>
      <c r="CH63" s="39">
        <f t="shared" si="704"/>
        <v>0.28294504144235816</v>
      </c>
      <c r="CI63" s="39">
        <f t="shared" si="704"/>
        <v>0.26199040688536801</v>
      </c>
      <c r="CJ63" s="39">
        <f t="shared" si="704"/>
        <v>0.24152151135732969</v>
      </c>
      <c r="CK63" s="39">
        <f t="shared" si="704"/>
        <v>0.18136085304591607</v>
      </c>
      <c r="CL63" s="40">
        <f t="shared" si="704"/>
        <v>0.18405059333938034</v>
      </c>
      <c r="CM63" s="40">
        <f t="shared" si="704"/>
        <v>0.18017620465580586</v>
      </c>
      <c r="CN63" s="40">
        <f t="shared" si="704"/>
        <v>0.16715819484245936</v>
      </c>
      <c r="CO63" s="40">
        <f t="shared" si="704"/>
        <v>0.17520605177838935</v>
      </c>
      <c r="CP63" s="40">
        <f t="shared" si="704"/>
        <v>0.17796791107045704</v>
      </c>
      <c r="CQ63" s="40">
        <f t="shared" si="704"/>
        <v>0.17863309589567128</v>
      </c>
      <c r="CR63" s="40">
        <f t="shared" si="704"/>
        <v>0.17901575853813731</v>
      </c>
      <c r="CS63" s="40">
        <f t="shared" si="704"/>
        <v>0.17708499211884915</v>
      </c>
      <c r="CT63" s="40">
        <f t="shared" si="704"/>
        <v>0.17316782343011627</v>
      </c>
      <c r="CU63" s="40">
        <f t="shared" si="704"/>
        <v>0.16851150332683149</v>
      </c>
      <c r="CV63" s="40">
        <f t="shared" si="704"/>
        <v>0.16315737354285925</v>
      </c>
      <c r="CW63" s="40">
        <f t="shared" ref="CW63:CZ63" si="705">+SUM(CT42:CW42)/CW137</f>
        <v>0.16286959537267651</v>
      </c>
      <c r="CX63" s="40">
        <f t="shared" si="705"/>
        <v>0.16240352660131513</v>
      </c>
      <c r="CY63" s="40">
        <f t="shared" si="705"/>
        <v>0.1623790178472525</v>
      </c>
      <c r="CZ63" s="40">
        <f t="shared" si="705"/>
        <v>0.16314533456879282</v>
      </c>
      <c r="DB63" s="122"/>
      <c r="DC63" s="38" t="e">
        <v>#DIV/0!</v>
      </c>
    </row>
    <row r="64" spans="1:107" s="1" customFormat="1" x14ac:dyDescent="0.2">
      <c r="A64" s="150" t="s">
        <v>488</v>
      </c>
      <c r="AA64" s="20"/>
      <c r="AB64" s="20"/>
      <c r="AC64" s="20"/>
      <c r="AD64" s="20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B64" s="119"/>
    </row>
    <row r="65" spans="1:107" s="8" customFormat="1" x14ac:dyDescent="0.2">
      <c r="A65" s="12" t="s">
        <v>26</v>
      </c>
      <c r="AA65" s="58"/>
      <c r="AB65" s="58"/>
      <c r="AC65" s="58"/>
      <c r="AD65" s="58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B65" s="132"/>
    </row>
    <row r="66" spans="1:107" s="9" customFormat="1" x14ac:dyDescent="0.2">
      <c r="A66" s="9" t="s">
        <v>453</v>
      </c>
      <c r="X66" s="9">
        <f>X18-SUM(BY18:CB18)</f>
        <v>0</v>
      </c>
      <c r="Y66" s="9">
        <f>Y18-SUM(CC18:CF18)</f>
        <v>0</v>
      </c>
      <c r="Z66" s="9">
        <f>Z18-SUM(CD18:CG18)</f>
        <v>1084.7099999999991</v>
      </c>
      <c r="AA66" s="15">
        <f>AA18-SUM(CK18:CN18)</f>
        <v>0</v>
      </c>
      <c r="AB66" s="15">
        <f>AB18-SUM(CO18:CR18)</f>
        <v>0</v>
      </c>
      <c r="AC66" s="15">
        <f>AC18-SUM(CS18:CV18)</f>
        <v>0</v>
      </c>
      <c r="AD66" s="15">
        <f>AD18-SUM(CW18:CZ18)</f>
        <v>0</v>
      </c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B66" s="133"/>
      <c r="DC66" s="9">
        <v>0</v>
      </c>
    </row>
    <row r="67" spans="1:107" s="9" customFormat="1" x14ac:dyDescent="0.2">
      <c r="A67" s="9" t="s">
        <v>454</v>
      </c>
      <c r="X67" s="9">
        <f>X24-SUM(BY24:CB24)</f>
        <v>0</v>
      </c>
      <c r="Y67" s="9">
        <f>Y24-SUM(CC24:CF24)</f>
        <v>0</v>
      </c>
      <c r="Z67" s="9">
        <f>Z24-SUM(CD24:CG24)</f>
        <v>87.56999999999789</v>
      </c>
      <c r="AA67" s="15">
        <f>AA24-SUM(CK24:CN24)</f>
        <v>0</v>
      </c>
      <c r="AB67" s="15">
        <f>AB24-SUM(CO24:CR24)</f>
        <v>0</v>
      </c>
      <c r="AC67" s="15">
        <f>AC24-SUM(CS24:CV24)</f>
        <v>0</v>
      </c>
      <c r="AD67" s="15">
        <f>AD24-SUM(CW24:CZ24)</f>
        <v>0</v>
      </c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B67" s="133"/>
      <c r="DC67" s="9">
        <v>0</v>
      </c>
    </row>
    <row r="68" spans="1:107" s="9" customFormat="1" x14ac:dyDescent="0.2">
      <c r="A68" s="9" t="s">
        <v>455</v>
      </c>
      <c r="X68" s="9">
        <f>X36-SUM(BY36:CB36)</f>
        <v>0</v>
      </c>
      <c r="Y68" s="9">
        <f>Y36-SUM(CC36:CF36)</f>
        <v>-8.7699999999995271</v>
      </c>
      <c r="Z68" s="9">
        <f>Z36-SUM(CD36:CG36)</f>
        <v>-289.55000000000155</v>
      </c>
      <c r="AA68" s="15">
        <f>AA36-SUM(CK36:CN36)</f>
        <v>0</v>
      </c>
      <c r="AB68" s="15">
        <f>AB36-SUM(CO36:CR36)</f>
        <v>0</v>
      </c>
      <c r="AC68" s="15">
        <f>AC36-SUM(CS36:CV36)</f>
        <v>0</v>
      </c>
      <c r="AD68" s="15">
        <f>AD36-SUM(CW36:CZ36)</f>
        <v>0</v>
      </c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B68" s="133"/>
      <c r="DC68" s="9">
        <v>0</v>
      </c>
    </row>
    <row r="69" spans="1:107" s="9" customFormat="1" x14ac:dyDescent="0.2">
      <c r="A69" s="9" t="s">
        <v>456</v>
      </c>
      <c r="X69" s="9">
        <f>X49-SUM(BY49:CB49)</f>
        <v>0</v>
      </c>
      <c r="Y69" s="9">
        <f>Y49-SUM(CC49:CF49)</f>
        <v>0</v>
      </c>
      <c r="Z69" s="9">
        <f>Z49-SUM(CD49:CG49)</f>
        <v>-202.92000000000144</v>
      </c>
      <c r="AA69" s="15">
        <f>AA49-SUM(CK49:CN49)</f>
        <v>0</v>
      </c>
      <c r="AB69" s="15">
        <f>AB49-SUM(CO49:CR49)</f>
        <v>0</v>
      </c>
      <c r="AC69" s="15">
        <f>AC49-SUM(CS49:CV49)</f>
        <v>0</v>
      </c>
      <c r="AD69" s="15">
        <f>AD49-SUM(CW49:CZ49)</f>
        <v>0</v>
      </c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B69" s="133"/>
      <c r="DC69" s="9">
        <v>0</v>
      </c>
    </row>
    <row r="70" spans="1:107" s="8" customFormat="1" x14ac:dyDescent="0.2">
      <c r="A70" s="149" t="s">
        <v>489</v>
      </c>
      <c r="AA70" s="58"/>
      <c r="AB70" s="58"/>
      <c r="AC70" s="58"/>
      <c r="AD70" s="58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B70" s="132"/>
    </row>
    <row r="71" spans="1:107" s="3" customFormat="1" x14ac:dyDescent="0.2">
      <c r="A71" s="3" t="s">
        <v>27</v>
      </c>
      <c r="B71" s="3">
        <f>'Annual Raw'!C104</f>
        <v>42.381700000000002</v>
      </c>
      <c r="C71" s="3">
        <f>'Annual Raw'!D104</f>
        <v>42.381700000000002</v>
      </c>
      <c r="D71" s="3">
        <f>'Annual Raw'!E104</f>
        <v>42.381700000000002</v>
      </c>
      <c r="E71" s="3">
        <f t="shared" ref="E71:Z71" si="706">+F71</f>
        <v>42.38</v>
      </c>
      <c r="F71" s="3">
        <f t="shared" si="706"/>
        <v>42.38</v>
      </c>
      <c r="G71" s="3">
        <f t="shared" si="706"/>
        <v>42.38</v>
      </c>
      <c r="H71" s="3">
        <f t="shared" si="706"/>
        <v>42.38</v>
      </c>
      <c r="I71" s="3">
        <f t="shared" si="706"/>
        <v>42.38</v>
      </c>
      <c r="J71" s="3">
        <f t="shared" si="706"/>
        <v>42.38</v>
      </c>
      <c r="K71" s="3">
        <f t="shared" si="706"/>
        <v>42.38</v>
      </c>
      <c r="L71" s="3">
        <f t="shared" si="706"/>
        <v>42.38</v>
      </c>
      <c r="M71" s="3">
        <f t="shared" si="706"/>
        <v>42.38</v>
      </c>
      <c r="N71" s="3">
        <f t="shared" si="706"/>
        <v>42.38</v>
      </c>
      <c r="O71" s="3">
        <f t="shared" si="706"/>
        <v>42.38</v>
      </c>
      <c r="P71" s="3">
        <f t="shared" si="706"/>
        <v>42.38</v>
      </c>
      <c r="Q71" s="3">
        <f t="shared" si="706"/>
        <v>42.38</v>
      </c>
      <c r="R71" s="3">
        <f t="shared" si="706"/>
        <v>42.38</v>
      </c>
      <c r="S71" s="3">
        <f t="shared" si="706"/>
        <v>42.38</v>
      </c>
      <c r="T71" s="3">
        <f t="shared" si="706"/>
        <v>42.38</v>
      </c>
      <c r="U71" s="3">
        <f t="shared" si="706"/>
        <v>42.38</v>
      </c>
      <c r="V71" s="3">
        <f t="shared" si="706"/>
        <v>42.38</v>
      </c>
      <c r="W71" s="3">
        <f t="shared" si="706"/>
        <v>42.38</v>
      </c>
      <c r="X71" s="3">
        <f t="shared" si="706"/>
        <v>42.38</v>
      </c>
      <c r="Y71" s="3">
        <f t="shared" si="706"/>
        <v>42.38</v>
      </c>
      <c r="Z71" s="3">
        <f t="shared" si="706"/>
        <v>42.38</v>
      </c>
      <c r="AA71" s="37">
        <f>+CK71</f>
        <v>42.38</v>
      </c>
      <c r="AB71" s="37">
        <f>CR71</f>
        <v>42.38</v>
      </c>
      <c r="AC71" s="37">
        <f>CV71</f>
        <v>42.38</v>
      </c>
      <c r="AD71" s="37">
        <f>CZ71</f>
        <v>42.38</v>
      </c>
      <c r="AH71" s="3">
        <f t="shared" ref="AH71:CG71" si="707">+AI71</f>
        <v>42.38</v>
      </c>
      <c r="AI71" s="3">
        <f t="shared" si="707"/>
        <v>42.38</v>
      </c>
      <c r="AJ71" s="3">
        <f t="shared" si="707"/>
        <v>42.38</v>
      </c>
      <c r="AK71" s="3">
        <f t="shared" si="707"/>
        <v>42.38</v>
      </c>
      <c r="AL71" s="3">
        <f t="shared" si="707"/>
        <v>42.38</v>
      </c>
      <c r="AM71" s="3">
        <f t="shared" si="707"/>
        <v>42.38</v>
      </c>
      <c r="AN71" s="3">
        <f t="shared" si="707"/>
        <v>42.38</v>
      </c>
      <c r="AO71" s="3">
        <f t="shared" si="707"/>
        <v>42.38</v>
      </c>
      <c r="AP71" s="3">
        <f t="shared" si="707"/>
        <v>42.38</v>
      </c>
      <c r="AQ71" s="3">
        <f t="shared" si="707"/>
        <v>42.38</v>
      </c>
      <c r="AR71" s="3">
        <f t="shared" si="707"/>
        <v>42.38</v>
      </c>
      <c r="AS71" s="3">
        <f t="shared" si="707"/>
        <v>42.38</v>
      </c>
      <c r="AT71" s="3">
        <f t="shared" si="707"/>
        <v>42.38</v>
      </c>
      <c r="AU71" s="3">
        <f t="shared" si="707"/>
        <v>42.38</v>
      </c>
      <c r="AV71" s="3">
        <f t="shared" si="707"/>
        <v>42.38</v>
      </c>
      <c r="AW71" s="3">
        <f t="shared" si="707"/>
        <v>42.38</v>
      </c>
      <c r="AX71" s="3">
        <f t="shared" si="707"/>
        <v>42.38</v>
      </c>
      <c r="AY71" s="3">
        <f t="shared" si="707"/>
        <v>42.38</v>
      </c>
      <c r="AZ71" s="3">
        <f t="shared" si="707"/>
        <v>42.38</v>
      </c>
      <c r="BA71" s="3">
        <f t="shared" si="707"/>
        <v>42.38</v>
      </c>
      <c r="BB71" s="3">
        <f t="shared" si="707"/>
        <v>42.38</v>
      </c>
      <c r="BC71" s="3">
        <f t="shared" si="707"/>
        <v>42.38</v>
      </c>
      <c r="BD71" s="3">
        <f t="shared" si="707"/>
        <v>42.38</v>
      </c>
      <c r="BE71" s="3">
        <f t="shared" si="707"/>
        <v>42.38</v>
      </c>
      <c r="BF71" s="3">
        <f t="shared" si="707"/>
        <v>42.38</v>
      </c>
      <c r="BG71" s="3">
        <f t="shared" si="707"/>
        <v>42.38</v>
      </c>
      <c r="BH71" s="3">
        <f t="shared" si="707"/>
        <v>42.38</v>
      </c>
      <c r="BI71" s="3">
        <f t="shared" si="707"/>
        <v>42.38</v>
      </c>
      <c r="BJ71" s="3">
        <f t="shared" si="707"/>
        <v>42.38</v>
      </c>
      <c r="BK71" s="3">
        <f t="shared" si="707"/>
        <v>42.38</v>
      </c>
      <c r="BL71" s="3">
        <f t="shared" si="707"/>
        <v>42.38</v>
      </c>
      <c r="BM71" s="3">
        <f t="shared" si="707"/>
        <v>42.38</v>
      </c>
      <c r="BN71" s="3">
        <f t="shared" si="707"/>
        <v>42.38</v>
      </c>
      <c r="BO71" s="3">
        <f t="shared" si="707"/>
        <v>42.38</v>
      </c>
      <c r="BP71" s="3">
        <f t="shared" si="707"/>
        <v>42.38</v>
      </c>
      <c r="BQ71" s="3">
        <f t="shared" si="707"/>
        <v>42.38</v>
      </c>
      <c r="BR71" s="3">
        <f t="shared" si="707"/>
        <v>42.38</v>
      </c>
      <c r="BS71" s="3">
        <f t="shared" si="707"/>
        <v>42.38</v>
      </c>
      <c r="BT71" s="3">
        <f t="shared" si="707"/>
        <v>42.38</v>
      </c>
      <c r="BU71" s="3">
        <f t="shared" si="707"/>
        <v>42.38</v>
      </c>
      <c r="BV71" s="3">
        <f t="shared" si="707"/>
        <v>42.38</v>
      </c>
      <c r="BW71" s="3">
        <f t="shared" si="707"/>
        <v>42.38</v>
      </c>
      <c r="BX71" s="3">
        <f t="shared" si="707"/>
        <v>42.38</v>
      </c>
      <c r="BY71" s="3">
        <f t="shared" si="707"/>
        <v>42.38</v>
      </c>
      <c r="BZ71" s="3">
        <f t="shared" si="707"/>
        <v>42.38</v>
      </c>
      <c r="CA71" s="3">
        <f t="shared" si="707"/>
        <v>42.38</v>
      </c>
      <c r="CB71" s="3">
        <f t="shared" si="707"/>
        <v>42.38</v>
      </c>
      <c r="CC71" s="3">
        <f t="shared" si="707"/>
        <v>42.38</v>
      </c>
      <c r="CD71" s="3">
        <f t="shared" si="707"/>
        <v>42.38</v>
      </c>
      <c r="CE71" s="3">
        <f t="shared" si="707"/>
        <v>42.38</v>
      </c>
      <c r="CF71" s="3">
        <f t="shared" si="707"/>
        <v>42.38</v>
      </c>
      <c r="CG71" s="3">
        <f t="shared" si="707"/>
        <v>42.38</v>
      </c>
      <c r="CH71" s="3">
        <f>+CI71</f>
        <v>42.38</v>
      </c>
      <c r="CI71" s="3">
        <f t="shared" ref="CI71:CJ71" si="708">+CJ71</f>
        <v>42.38</v>
      </c>
      <c r="CJ71" s="3">
        <f t="shared" si="708"/>
        <v>42.38</v>
      </c>
      <c r="CK71" s="3">
        <f>'QTR Raw'!BF45</f>
        <v>42.38</v>
      </c>
      <c r="CL71" s="37">
        <f t="shared" ref="CL71:CL72" si="709">+CK71</f>
        <v>42.38</v>
      </c>
      <c r="CM71" s="37">
        <f t="shared" ref="CM71:CM72" si="710">+CL71</f>
        <v>42.38</v>
      </c>
      <c r="CN71" s="37">
        <f t="shared" ref="CN71:CN72" si="711">+CM71</f>
        <v>42.38</v>
      </c>
      <c r="CO71" s="37">
        <f t="shared" ref="CO71:CO72" si="712">+CN71</f>
        <v>42.38</v>
      </c>
      <c r="CP71" s="37">
        <f t="shared" ref="CP71:CP72" si="713">+CO71</f>
        <v>42.38</v>
      </c>
      <c r="CQ71" s="37">
        <f t="shared" ref="CQ71:CQ72" si="714">+CP71</f>
        <v>42.38</v>
      </c>
      <c r="CR71" s="37">
        <f t="shared" ref="CR71:CR72" si="715">+CQ71</f>
        <v>42.38</v>
      </c>
      <c r="CS71" s="37">
        <f t="shared" ref="CS71:CS72" si="716">+CR71</f>
        <v>42.38</v>
      </c>
      <c r="CT71" s="37">
        <f t="shared" ref="CT71:CT72" si="717">+CS71</f>
        <v>42.38</v>
      </c>
      <c r="CU71" s="37">
        <f t="shared" ref="CU71:CU72" si="718">+CT71</f>
        <v>42.38</v>
      </c>
      <c r="CV71" s="37">
        <f t="shared" ref="CV71:CV72" si="719">+CU71</f>
        <v>42.38</v>
      </c>
      <c r="CW71" s="37">
        <f t="shared" ref="CW71:CW72" si="720">+CV71</f>
        <v>42.38</v>
      </c>
      <c r="CX71" s="37">
        <f t="shared" ref="CX71:CX72" si="721">+CW71</f>
        <v>42.38</v>
      </c>
      <c r="CY71" s="37">
        <f t="shared" ref="CY71:CY72" si="722">+CX71</f>
        <v>42.38</v>
      </c>
      <c r="CZ71" s="37">
        <f t="shared" ref="CZ71:CZ72" si="723">+CY71</f>
        <v>42.38</v>
      </c>
      <c r="DB71" s="134"/>
      <c r="DC71" s="3">
        <v>0</v>
      </c>
    </row>
    <row r="72" spans="1:107" s="3" customFormat="1" x14ac:dyDescent="0.2">
      <c r="A72" s="3" t="s">
        <v>28</v>
      </c>
      <c r="B72" s="3">
        <f>'Annual Raw'!C105</f>
        <v>10</v>
      </c>
      <c r="C72" s="3">
        <f>'Annual Raw'!D105</f>
        <v>10</v>
      </c>
      <c r="D72" s="3">
        <f>'Annual Raw'!E105</f>
        <v>10</v>
      </c>
      <c r="E72" s="3">
        <f t="shared" ref="E72:Z72" si="724">+F72</f>
        <v>2</v>
      </c>
      <c r="F72" s="3">
        <f t="shared" si="724"/>
        <v>2</v>
      </c>
      <c r="G72" s="3">
        <f t="shared" si="724"/>
        <v>2</v>
      </c>
      <c r="H72" s="3">
        <f t="shared" si="724"/>
        <v>2</v>
      </c>
      <c r="I72" s="3">
        <f t="shared" si="724"/>
        <v>2</v>
      </c>
      <c r="J72" s="3">
        <f t="shared" si="724"/>
        <v>2</v>
      </c>
      <c r="K72" s="3">
        <f t="shared" si="724"/>
        <v>2</v>
      </c>
      <c r="L72" s="3">
        <f t="shared" si="724"/>
        <v>2</v>
      </c>
      <c r="M72" s="3">
        <f t="shared" si="724"/>
        <v>2</v>
      </c>
      <c r="N72" s="3">
        <f t="shared" si="724"/>
        <v>2</v>
      </c>
      <c r="O72" s="3">
        <f t="shared" si="724"/>
        <v>2</v>
      </c>
      <c r="P72" s="3">
        <f t="shared" si="724"/>
        <v>2</v>
      </c>
      <c r="Q72" s="3">
        <f t="shared" si="724"/>
        <v>2</v>
      </c>
      <c r="R72" s="3">
        <f t="shared" si="724"/>
        <v>2</v>
      </c>
      <c r="S72" s="3">
        <f t="shared" si="724"/>
        <v>2</v>
      </c>
      <c r="T72" s="3">
        <f t="shared" si="724"/>
        <v>2</v>
      </c>
      <c r="U72" s="3">
        <f t="shared" si="724"/>
        <v>2</v>
      </c>
      <c r="V72" s="3">
        <f t="shared" si="724"/>
        <v>2</v>
      </c>
      <c r="W72" s="3">
        <f t="shared" si="724"/>
        <v>2</v>
      </c>
      <c r="X72" s="3">
        <f t="shared" si="724"/>
        <v>2</v>
      </c>
      <c r="Y72" s="3">
        <f t="shared" si="724"/>
        <v>2</v>
      </c>
      <c r="Z72" s="3">
        <f t="shared" si="724"/>
        <v>2</v>
      </c>
      <c r="AA72" s="37">
        <f>+CK72</f>
        <v>2</v>
      </c>
      <c r="AB72" s="37">
        <f>CR72</f>
        <v>2</v>
      </c>
      <c r="AC72" s="37">
        <f>CV72</f>
        <v>2</v>
      </c>
      <c r="AD72" s="37">
        <f>CZ72</f>
        <v>2</v>
      </c>
      <c r="AH72" s="3">
        <f t="shared" ref="AH72:CG72" si="725">AI72</f>
        <v>2</v>
      </c>
      <c r="AI72" s="3">
        <f t="shared" si="725"/>
        <v>2</v>
      </c>
      <c r="AJ72" s="3">
        <f t="shared" si="725"/>
        <v>2</v>
      </c>
      <c r="AK72" s="3">
        <f t="shared" si="725"/>
        <v>2</v>
      </c>
      <c r="AL72" s="3">
        <f t="shared" si="725"/>
        <v>2</v>
      </c>
      <c r="AM72" s="3">
        <f t="shared" si="725"/>
        <v>2</v>
      </c>
      <c r="AN72" s="3">
        <f t="shared" si="725"/>
        <v>2</v>
      </c>
      <c r="AO72" s="3">
        <f t="shared" si="725"/>
        <v>2</v>
      </c>
      <c r="AP72" s="3">
        <f t="shared" si="725"/>
        <v>2</v>
      </c>
      <c r="AQ72" s="3">
        <f t="shared" si="725"/>
        <v>2</v>
      </c>
      <c r="AR72" s="3">
        <f t="shared" si="725"/>
        <v>2</v>
      </c>
      <c r="AS72" s="3">
        <f t="shared" si="725"/>
        <v>2</v>
      </c>
      <c r="AT72" s="3">
        <f t="shared" si="725"/>
        <v>2</v>
      </c>
      <c r="AU72" s="3">
        <f t="shared" si="725"/>
        <v>2</v>
      </c>
      <c r="AV72" s="3">
        <f t="shared" si="725"/>
        <v>2</v>
      </c>
      <c r="AW72" s="3">
        <f t="shared" si="725"/>
        <v>2</v>
      </c>
      <c r="AX72" s="3">
        <f t="shared" si="725"/>
        <v>2</v>
      </c>
      <c r="AY72" s="3">
        <f t="shared" si="725"/>
        <v>2</v>
      </c>
      <c r="AZ72" s="3">
        <f t="shared" si="725"/>
        <v>2</v>
      </c>
      <c r="BA72" s="3">
        <f t="shared" si="725"/>
        <v>2</v>
      </c>
      <c r="BB72" s="3">
        <f t="shared" si="725"/>
        <v>2</v>
      </c>
      <c r="BC72" s="3">
        <f t="shared" si="725"/>
        <v>2</v>
      </c>
      <c r="BD72" s="3">
        <f t="shared" si="725"/>
        <v>2</v>
      </c>
      <c r="BE72" s="3">
        <f t="shared" si="725"/>
        <v>2</v>
      </c>
      <c r="BF72" s="3">
        <f t="shared" si="725"/>
        <v>2</v>
      </c>
      <c r="BG72" s="3">
        <f t="shared" si="725"/>
        <v>2</v>
      </c>
      <c r="BH72" s="3">
        <f t="shared" si="725"/>
        <v>2</v>
      </c>
      <c r="BI72" s="3">
        <f t="shared" si="725"/>
        <v>2</v>
      </c>
      <c r="BJ72" s="3">
        <f t="shared" si="725"/>
        <v>2</v>
      </c>
      <c r="BK72" s="3">
        <f t="shared" si="725"/>
        <v>2</v>
      </c>
      <c r="BL72" s="3">
        <f t="shared" si="725"/>
        <v>2</v>
      </c>
      <c r="BM72" s="3">
        <f t="shared" si="725"/>
        <v>2</v>
      </c>
      <c r="BN72" s="3">
        <f t="shared" si="725"/>
        <v>2</v>
      </c>
      <c r="BO72" s="3">
        <f t="shared" si="725"/>
        <v>2</v>
      </c>
      <c r="BP72" s="3">
        <f t="shared" si="725"/>
        <v>2</v>
      </c>
      <c r="BQ72" s="3">
        <f t="shared" si="725"/>
        <v>2</v>
      </c>
      <c r="BR72" s="3">
        <f t="shared" si="725"/>
        <v>2</v>
      </c>
      <c r="BS72" s="3">
        <f t="shared" si="725"/>
        <v>2</v>
      </c>
      <c r="BT72" s="3">
        <f t="shared" si="725"/>
        <v>2</v>
      </c>
      <c r="BU72" s="3">
        <f t="shared" si="725"/>
        <v>2</v>
      </c>
      <c r="BV72" s="3">
        <f t="shared" si="725"/>
        <v>2</v>
      </c>
      <c r="BW72" s="3">
        <f t="shared" si="725"/>
        <v>2</v>
      </c>
      <c r="BX72" s="3">
        <f t="shared" si="725"/>
        <v>2</v>
      </c>
      <c r="BY72" s="3">
        <f t="shared" si="725"/>
        <v>2</v>
      </c>
      <c r="BZ72" s="3">
        <f t="shared" si="725"/>
        <v>2</v>
      </c>
      <c r="CA72" s="3">
        <f t="shared" si="725"/>
        <v>2</v>
      </c>
      <c r="CB72" s="3">
        <f t="shared" si="725"/>
        <v>2</v>
      </c>
      <c r="CC72" s="3">
        <f t="shared" si="725"/>
        <v>2</v>
      </c>
      <c r="CD72" s="3">
        <f t="shared" si="725"/>
        <v>2</v>
      </c>
      <c r="CE72" s="3">
        <f t="shared" si="725"/>
        <v>2</v>
      </c>
      <c r="CF72" s="3">
        <f t="shared" si="725"/>
        <v>2</v>
      </c>
      <c r="CG72" s="3">
        <f t="shared" si="725"/>
        <v>2</v>
      </c>
      <c r="CH72" s="3">
        <f>CI72</f>
        <v>2</v>
      </c>
      <c r="CI72" s="3">
        <f t="shared" ref="CI72:CJ72" si="726">CJ72</f>
        <v>2</v>
      </c>
      <c r="CJ72" s="3">
        <f t="shared" si="726"/>
        <v>2</v>
      </c>
      <c r="CK72" s="3">
        <f>'QTR Raw'!BF46</f>
        <v>2</v>
      </c>
      <c r="CL72" s="37">
        <f t="shared" si="709"/>
        <v>2</v>
      </c>
      <c r="CM72" s="37">
        <f t="shared" si="710"/>
        <v>2</v>
      </c>
      <c r="CN72" s="37">
        <f t="shared" si="711"/>
        <v>2</v>
      </c>
      <c r="CO72" s="37">
        <f t="shared" si="712"/>
        <v>2</v>
      </c>
      <c r="CP72" s="37">
        <f t="shared" si="713"/>
        <v>2</v>
      </c>
      <c r="CQ72" s="37">
        <f t="shared" si="714"/>
        <v>2</v>
      </c>
      <c r="CR72" s="37">
        <f t="shared" si="715"/>
        <v>2</v>
      </c>
      <c r="CS72" s="37">
        <f t="shared" si="716"/>
        <v>2</v>
      </c>
      <c r="CT72" s="37">
        <f t="shared" si="717"/>
        <v>2</v>
      </c>
      <c r="CU72" s="37">
        <f t="shared" si="718"/>
        <v>2</v>
      </c>
      <c r="CV72" s="37">
        <f t="shared" si="719"/>
        <v>2</v>
      </c>
      <c r="CW72" s="37">
        <f t="shared" si="720"/>
        <v>2</v>
      </c>
      <c r="CX72" s="37">
        <f t="shared" si="721"/>
        <v>2</v>
      </c>
      <c r="CY72" s="37">
        <f t="shared" si="722"/>
        <v>2</v>
      </c>
      <c r="CZ72" s="37">
        <f t="shared" si="723"/>
        <v>2</v>
      </c>
      <c r="DB72" s="134"/>
      <c r="DC72" s="3">
        <v>0</v>
      </c>
    </row>
    <row r="73" spans="1:107" s="3" customFormat="1" x14ac:dyDescent="0.2">
      <c r="A73" s="3" t="s">
        <v>29</v>
      </c>
      <c r="B73" s="3">
        <f>B71/B72</f>
        <v>4.2381700000000002</v>
      </c>
      <c r="C73" s="3">
        <f t="shared" ref="C73:W73" si="727">C71/C72</f>
        <v>4.2381700000000002</v>
      </c>
      <c r="D73" s="3">
        <f t="shared" si="727"/>
        <v>4.2381700000000002</v>
      </c>
      <c r="E73" s="3">
        <f t="shared" si="727"/>
        <v>21.19</v>
      </c>
      <c r="F73" s="3">
        <f t="shared" si="727"/>
        <v>21.19</v>
      </c>
      <c r="G73" s="3">
        <f t="shared" si="727"/>
        <v>21.19</v>
      </c>
      <c r="H73" s="3">
        <f t="shared" si="727"/>
        <v>21.19</v>
      </c>
      <c r="I73" s="3">
        <f t="shared" si="727"/>
        <v>21.19</v>
      </c>
      <c r="J73" s="3">
        <f t="shared" si="727"/>
        <v>21.19</v>
      </c>
      <c r="K73" s="3">
        <f t="shared" si="727"/>
        <v>21.19</v>
      </c>
      <c r="L73" s="3">
        <f t="shared" si="727"/>
        <v>21.19</v>
      </c>
      <c r="M73" s="3">
        <f t="shared" si="727"/>
        <v>21.19</v>
      </c>
      <c r="N73" s="3">
        <f t="shared" si="727"/>
        <v>21.19</v>
      </c>
      <c r="O73" s="3">
        <f t="shared" si="727"/>
        <v>21.19</v>
      </c>
      <c r="P73" s="3">
        <f t="shared" si="727"/>
        <v>21.19</v>
      </c>
      <c r="Q73" s="3">
        <f t="shared" si="727"/>
        <v>21.19</v>
      </c>
      <c r="R73" s="3">
        <f t="shared" si="727"/>
        <v>21.19</v>
      </c>
      <c r="S73" s="3">
        <f t="shared" si="727"/>
        <v>21.19</v>
      </c>
      <c r="T73" s="3">
        <f t="shared" si="727"/>
        <v>21.19</v>
      </c>
      <c r="U73" s="3">
        <f t="shared" si="727"/>
        <v>21.19</v>
      </c>
      <c r="V73" s="3">
        <f>V71/V72</f>
        <v>21.19</v>
      </c>
      <c r="W73" s="3">
        <f t="shared" si="727"/>
        <v>21.19</v>
      </c>
      <c r="X73" s="3">
        <f t="shared" ref="X73:Y73" si="728">X71/X72</f>
        <v>21.19</v>
      </c>
      <c r="Y73" s="3">
        <f t="shared" si="728"/>
        <v>21.19</v>
      </c>
      <c r="Z73" s="3">
        <f t="shared" ref="Z73" si="729">Z71/Z72</f>
        <v>21.19</v>
      </c>
      <c r="AA73" s="37">
        <f t="shared" ref="AA73:AD73" si="730">AA71/AA72</f>
        <v>21.19</v>
      </c>
      <c r="AB73" s="37">
        <f t="shared" si="730"/>
        <v>21.19</v>
      </c>
      <c r="AC73" s="37">
        <f t="shared" si="730"/>
        <v>21.19</v>
      </c>
      <c r="AD73" s="37">
        <f t="shared" si="730"/>
        <v>21.19</v>
      </c>
      <c r="AH73" s="3">
        <f t="shared" ref="AH73" si="731">AH71/AH72</f>
        <v>21.19</v>
      </c>
      <c r="AI73" s="3">
        <f t="shared" ref="AI73" si="732">AI71/AI72</f>
        <v>21.19</v>
      </c>
      <c r="AJ73" s="3">
        <f t="shared" ref="AJ73:AL73" si="733">AJ71/AJ72</f>
        <v>21.19</v>
      </c>
      <c r="AK73" s="3">
        <f t="shared" si="733"/>
        <v>21.19</v>
      </c>
      <c r="AL73" s="3">
        <f t="shared" si="733"/>
        <v>21.19</v>
      </c>
      <c r="AM73" s="3">
        <f t="shared" ref="AM73:AN73" si="734">AM71/AM72</f>
        <v>21.19</v>
      </c>
      <c r="AN73" s="3">
        <f t="shared" si="734"/>
        <v>21.19</v>
      </c>
      <c r="AO73" s="3">
        <f t="shared" ref="AO73:CC73" si="735">AO71/AO72</f>
        <v>21.19</v>
      </c>
      <c r="AP73" s="3">
        <f t="shared" si="735"/>
        <v>21.19</v>
      </c>
      <c r="AQ73" s="3">
        <f t="shared" si="735"/>
        <v>21.19</v>
      </c>
      <c r="AR73" s="3">
        <f t="shared" si="735"/>
        <v>21.19</v>
      </c>
      <c r="AS73" s="3">
        <f t="shared" si="735"/>
        <v>21.19</v>
      </c>
      <c r="AT73" s="3">
        <f t="shared" si="735"/>
        <v>21.19</v>
      </c>
      <c r="AU73" s="3">
        <f t="shared" si="735"/>
        <v>21.19</v>
      </c>
      <c r="AV73" s="3">
        <f t="shared" si="735"/>
        <v>21.19</v>
      </c>
      <c r="AW73" s="3">
        <f t="shared" si="735"/>
        <v>21.19</v>
      </c>
      <c r="AX73" s="3">
        <f t="shared" si="735"/>
        <v>21.19</v>
      </c>
      <c r="AY73" s="3">
        <f t="shared" si="735"/>
        <v>21.19</v>
      </c>
      <c r="AZ73" s="3">
        <f t="shared" si="735"/>
        <v>21.19</v>
      </c>
      <c r="BA73" s="3">
        <f t="shared" si="735"/>
        <v>21.19</v>
      </c>
      <c r="BB73" s="3">
        <f t="shared" si="735"/>
        <v>21.19</v>
      </c>
      <c r="BC73" s="3">
        <f t="shared" si="735"/>
        <v>21.19</v>
      </c>
      <c r="BD73" s="3">
        <f t="shared" si="735"/>
        <v>21.19</v>
      </c>
      <c r="BE73" s="3">
        <f t="shared" si="735"/>
        <v>21.19</v>
      </c>
      <c r="BF73" s="3">
        <f t="shared" si="735"/>
        <v>21.19</v>
      </c>
      <c r="BG73" s="3">
        <f t="shared" si="735"/>
        <v>21.19</v>
      </c>
      <c r="BH73" s="3">
        <f t="shared" si="735"/>
        <v>21.19</v>
      </c>
      <c r="BI73" s="3">
        <f t="shared" si="735"/>
        <v>21.19</v>
      </c>
      <c r="BJ73" s="3">
        <f t="shared" si="735"/>
        <v>21.19</v>
      </c>
      <c r="BK73" s="3">
        <f t="shared" si="735"/>
        <v>21.19</v>
      </c>
      <c r="BL73" s="3">
        <f t="shared" si="735"/>
        <v>21.19</v>
      </c>
      <c r="BM73" s="3">
        <f t="shared" si="735"/>
        <v>21.19</v>
      </c>
      <c r="BN73" s="3">
        <f t="shared" si="735"/>
        <v>21.19</v>
      </c>
      <c r="BO73" s="3">
        <f t="shared" si="735"/>
        <v>21.19</v>
      </c>
      <c r="BP73" s="3">
        <f t="shared" si="735"/>
        <v>21.19</v>
      </c>
      <c r="BQ73" s="3">
        <f t="shared" si="735"/>
        <v>21.19</v>
      </c>
      <c r="BR73" s="3">
        <f t="shared" si="735"/>
        <v>21.19</v>
      </c>
      <c r="BS73" s="3">
        <f t="shared" si="735"/>
        <v>21.19</v>
      </c>
      <c r="BT73" s="3">
        <f t="shared" si="735"/>
        <v>21.19</v>
      </c>
      <c r="BU73" s="3">
        <f t="shared" si="735"/>
        <v>21.19</v>
      </c>
      <c r="BV73" s="3">
        <f t="shared" si="735"/>
        <v>21.19</v>
      </c>
      <c r="BW73" s="3">
        <f t="shared" si="735"/>
        <v>21.19</v>
      </c>
      <c r="BX73" s="3">
        <f t="shared" si="735"/>
        <v>21.19</v>
      </c>
      <c r="BY73" s="3">
        <f t="shared" si="735"/>
        <v>21.19</v>
      </c>
      <c r="BZ73" s="3">
        <f t="shared" si="735"/>
        <v>21.19</v>
      </c>
      <c r="CA73" s="3">
        <f t="shared" si="735"/>
        <v>21.19</v>
      </c>
      <c r="CB73" s="3">
        <f t="shared" si="735"/>
        <v>21.19</v>
      </c>
      <c r="CC73" s="3">
        <f t="shared" si="735"/>
        <v>21.19</v>
      </c>
      <c r="CD73" s="3">
        <f t="shared" ref="CD73:CE73" si="736">CD71/CD72</f>
        <v>21.19</v>
      </c>
      <c r="CE73" s="3">
        <f t="shared" si="736"/>
        <v>21.19</v>
      </c>
      <c r="CF73" s="3">
        <f t="shared" ref="CF73:CG73" si="737">CF71/CF72</f>
        <v>21.19</v>
      </c>
      <c r="CG73" s="3">
        <f t="shared" si="737"/>
        <v>21.19</v>
      </c>
      <c r="CH73" s="3">
        <f t="shared" ref="CH73:CI73" si="738">CH71/CH72</f>
        <v>21.19</v>
      </c>
      <c r="CI73" s="3">
        <f t="shared" si="738"/>
        <v>21.19</v>
      </c>
      <c r="CJ73" s="3">
        <f t="shared" ref="CJ73:CK73" si="739">CJ71/CJ72</f>
        <v>21.19</v>
      </c>
      <c r="CK73" s="3">
        <f t="shared" si="739"/>
        <v>21.19</v>
      </c>
      <c r="CL73" s="37">
        <f t="shared" ref="CL73:CZ73" si="740">CL71/CL72</f>
        <v>21.19</v>
      </c>
      <c r="CM73" s="37">
        <f t="shared" si="740"/>
        <v>21.19</v>
      </c>
      <c r="CN73" s="37">
        <f t="shared" si="740"/>
        <v>21.19</v>
      </c>
      <c r="CO73" s="37">
        <f t="shared" si="740"/>
        <v>21.19</v>
      </c>
      <c r="CP73" s="37">
        <f t="shared" si="740"/>
        <v>21.19</v>
      </c>
      <c r="CQ73" s="37">
        <f t="shared" si="740"/>
        <v>21.19</v>
      </c>
      <c r="CR73" s="37">
        <f t="shared" si="740"/>
        <v>21.19</v>
      </c>
      <c r="CS73" s="37">
        <f t="shared" si="740"/>
        <v>21.19</v>
      </c>
      <c r="CT73" s="37">
        <f t="shared" si="740"/>
        <v>21.19</v>
      </c>
      <c r="CU73" s="37">
        <f t="shared" si="740"/>
        <v>21.19</v>
      </c>
      <c r="CV73" s="37">
        <f t="shared" si="740"/>
        <v>21.19</v>
      </c>
      <c r="CW73" s="37">
        <f t="shared" si="740"/>
        <v>21.19</v>
      </c>
      <c r="CX73" s="37">
        <f t="shared" si="740"/>
        <v>21.19</v>
      </c>
      <c r="CY73" s="37">
        <f t="shared" si="740"/>
        <v>21.19</v>
      </c>
      <c r="CZ73" s="37">
        <f t="shared" si="740"/>
        <v>21.19</v>
      </c>
      <c r="DB73" s="134"/>
      <c r="DC73" s="3" t="e">
        <v>#DIV/0!</v>
      </c>
    </row>
    <row r="74" spans="1:107" s="53" customFormat="1" x14ac:dyDescent="0.2">
      <c r="A74" s="53" t="s">
        <v>30</v>
      </c>
      <c r="B74" s="53">
        <f t="shared" ref="B74:AD74" si="741">(B56-B55)/B73</f>
        <v>15.41370449981947</v>
      </c>
      <c r="C74" s="53">
        <f t="shared" si="741"/>
        <v>19.19418050715284</v>
      </c>
      <c r="D74" s="53">
        <f t="shared" si="741"/>
        <v>23.805722752980639</v>
      </c>
      <c r="E74" s="53">
        <f t="shared" si="741"/>
        <v>7.1033506370929604</v>
      </c>
      <c r="F74" s="53">
        <f t="shared" si="741"/>
        <v>10.319820670127418</v>
      </c>
      <c r="G74" s="53">
        <f t="shared" si="741"/>
        <v>16.059754601226977</v>
      </c>
      <c r="H74" s="53">
        <f t="shared" si="741"/>
        <v>23.202878716375675</v>
      </c>
      <c r="I74" s="53">
        <f t="shared" si="741"/>
        <v>25.833553563001399</v>
      </c>
      <c r="J74" s="53">
        <f t="shared" si="741"/>
        <v>16.736153846153851</v>
      </c>
      <c r="K74" s="53">
        <f t="shared" si="741"/>
        <v>2.983968853232676</v>
      </c>
      <c r="L74" s="53">
        <f t="shared" si="741"/>
        <v>8.7168475696083032</v>
      </c>
      <c r="M74" s="53">
        <f t="shared" si="741"/>
        <v>6.6512505899008909</v>
      </c>
      <c r="N74" s="53">
        <f t="shared" si="741"/>
        <v>8.3478055686644499</v>
      </c>
      <c r="O74" s="53">
        <f t="shared" si="741"/>
        <v>10.783860311467693</v>
      </c>
      <c r="P74" s="53">
        <f t="shared" si="741"/>
        <v>14.151958470976945</v>
      </c>
      <c r="Q74" s="53">
        <f t="shared" si="741"/>
        <v>17.672015101463</v>
      </c>
      <c r="R74" s="53">
        <f t="shared" si="741"/>
        <v>10.640868334119867</v>
      </c>
      <c r="S74" s="53">
        <f t="shared" si="741"/>
        <v>11.995752713544151</v>
      </c>
      <c r="T74" s="53">
        <f t="shared" si="741"/>
        <v>17.55214723926381</v>
      </c>
      <c r="U74" s="53">
        <f t="shared" si="741"/>
        <v>8.1005191127890583</v>
      </c>
      <c r="V74" s="53">
        <f t="shared" si="741"/>
        <v>19.403020292590835</v>
      </c>
      <c r="W74" s="53">
        <f t="shared" si="741"/>
        <v>32.39027843322328</v>
      </c>
      <c r="X74" s="53">
        <f t="shared" si="741"/>
        <v>58.904200094384166</v>
      </c>
      <c r="Y74" s="53">
        <f t="shared" si="741"/>
        <v>88.466729589429022</v>
      </c>
      <c r="Z74" s="53">
        <f t="shared" ref="Z74" si="742">(Z56-Z55)/Z73</f>
        <v>78.782444549315699</v>
      </c>
      <c r="AA74" s="54">
        <f t="shared" si="741"/>
        <v>82.562206603220517</v>
      </c>
      <c r="AB74" s="54">
        <f t="shared" si="741"/>
        <v>105.73479527811406</v>
      </c>
      <c r="AC74" s="54">
        <f t="shared" si="741"/>
        <v>117.02347463045749</v>
      </c>
      <c r="AD74" s="54">
        <f t="shared" si="741"/>
        <v>139.07594257810683</v>
      </c>
      <c r="AH74" s="53">
        <f t="shared" ref="AH74:BM74" si="743">(AH56-AH55)/AH73</f>
        <v>2.4365266635205343</v>
      </c>
      <c r="AI74" s="53">
        <f t="shared" si="743"/>
        <v>1.0084945729117396</v>
      </c>
      <c r="AJ74" s="53">
        <f t="shared" si="743"/>
        <v>0.79141104294479747</v>
      </c>
      <c r="AK74" s="53">
        <f t="shared" si="743"/>
        <v>2.032090608777724</v>
      </c>
      <c r="AL74" s="53">
        <f t="shared" si="743"/>
        <v>1.8702218027371507</v>
      </c>
      <c r="AM74" s="53">
        <f t="shared" si="743"/>
        <v>1.6805096743747137</v>
      </c>
      <c r="AN74" s="53">
        <f t="shared" si="743"/>
        <v>2.7649834827748903</v>
      </c>
      <c r="AO74" s="53">
        <f t="shared" si="743"/>
        <v>2.4388862671071276</v>
      </c>
      <c r="AP74" s="53">
        <f t="shared" si="743"/>
        <v>2.2505899008966463</v>
      </c>
      <c r="AQ74" s="53">
        <f t="shared" si="743"/>
        <v>2.122699386503061</v>
      </c>
      <c r="AR74" s="53">
        <f t="shared" si="743"/>
        <v>3.9716847569608302</v>
      </c>
      <c r="AS74" s="53">
        <f t="shared" si="743"/>
        <v>2.5620575743275142</v>
      </c>
      <c r="AT74" s="53">
        <f t="shared" si="743"/>
        <v>2.7111845210004875</v>
      </c>
      <c r="AU74" s="53">
        <f t="shared" si="743"/>
        <v>2.7720622935346912</v>
      </c>
      <c r="AV74" s="53">
        <f t="shared" si="743"/>
        <v>6.1066540821141979</v>
      </c>
      <c r="AW74" s="53">
        <f t="shared" si="743"/>
        <v>4.0325625294950438</v>
      </c>
      <c r="AX74" s="53">
        <f t="shared" si="743"/>
        <v>2.6257668711656299</v>
      </c>
      <c r="AY74" s="53">
        <f t="shared" si="743"/>
        <v>3.3303445021236211</v>
      </c>
      <c r="AZ74" s="53">
        <f t="shared" si="743"/>
        <v>7.6833411986786153</v>
      </c>
      <c r="BA74" s="53">
        <f t="shared" si="743"/>
        <v>4.2463426144407883</v>
      </c>
      <c r="BB74" s="53">
        <f t="shared" si="743"/>
        <v>3.5422369042000632</v>
      </c>
      <c r="BC74" s="53">
        <f t="shared" si="743"/>
        <v>3.9353468617272127</v>
      </c>
      <c r="BD74" s="53">
        <f t="shared" si="743"/>
        <v>3.8522888154789956</v>
      </c>
      <c r="BE74" s="53">
        <f t="shared" si="743"/>
        <v>2.1519584709768775</v>
      </c>
      <c r="BF74" s="53">
        <f t="shared" si="743"/>
        <v>2.0967437470504842</v>
      </c>
      <c r="BG74" s="53">
        <f t="shared" si="743"/>
        <v>1.6861727229825396</v>
      </c>
      <c r="BH74" s="53">
        <f t="shared" si="743"/>
        <v>6.0707881075979282</v>
      </c>
      <c r="BI74" s="53">
        <f t="shared" si="743"/>
        <v>4.2010382255781078</v>
      </c>
      <c r="BJ74" s="53">
        <f t="shared" si="743"/>
        <v>3.2911750825861246</v>
      </c>
      <c r="BK74" s="53">
        <f t="shared" si="743"/>
        <v>3.7192071731948979</v>
      </c>
      <c r="BL74" s="53">
        <f t="shared" si="743"/>
        <v>6.3407267579046653</v>
      </c>
      <c r="BM74" s="53">
        <f t="shared" si="743"/>
        <v>0.43463898065125062</v>
      </c>
      <c r="BN74" s="53">
        <f t="shared" ref="BN74:CS74" si="744">(BN56-BN55)/BN73</f>
        <v>0.69608305804625092</v>
      </c>
      <c r="BO74" s="53">
        <f t="shared" si="744"/>
        <v>4.0344502123643169</v>
      </c>
      <c r="BP74" s="53">
        <f t="shared" si="744"/>
        <v>2.9353468617272225</v>
      </c>
      <c r="BQ74" s="53">
        <f t="shared" si="744"/>
        <v>3.5908447380840047</v>
      </c>
      <c r="BR74" s="53">
        <f t="shared" si="744"/>
        <v>3.2241623407267634</v>
      </c>
      <c r="BS74" s="53">
        <f t="shared" si="744"/>
        <v>5.661632845681928</v>
      </c>
      <c r="BT74" s="53">
        <f t="shared" si="744"/>
        <v>6.9263803680981502</v>
      </c>
      <c r="BU74" s="53">
        <f t="shared" si="744"/>
        <v>3.6210476639924432</v>
      </c>
      <c r="BV74" s="53">
        <f t="shared" si="744"/>
        <v>7.1944313355356302</v>
      </c>
      <c r="BW74" s="53">
        <f t="shared" si="744"/>
        <v>7.3898065125058841</v>
      </c>
      <c r="BX74" s="53">
        <f t="shared" si="744"/>
        <v>14.436526663520548</v>
      </c>
      <c r="BY74" s="53">
        <f t="shared" si="744"/>
        <v>11.570080226521929</v>
      </c>
      <c r="BZ74" s="53">
        <f t="shared" si="744"/>
        <v>13.959886739027853</v>
      </c>
      <c r="CA74" s="53">
        <f t="shared" si="744"/>
        <v>17.083529966965546</v>
      </c>
      <c r="CB74" s="53">
        <f t="shared" si="744"/>
        <v>16.290703161868798</v>
      </c>
      <c r="CC74" s="53">
        <f t="shared" si="744"/>
        <v>21.689476168003758</v>
      </c>
      <c r="CD74" s="53">
        <f t="shared" si="744"/>
        <v>20.888626710712604</v>
      </c>
      <c r="CE74" s="53">
        <f t="shared" si="744"/>
        <v>20.786691835771599</v>
      </c>
      <c r="CF74" s="53">
        <f t="shared" si="744"/>
        <v>25.101934874941023</v>
      </c>
      <c r="CG74" s="53">
        <f t="shared" si="744"/>
        <v>21.581406323737625</v>
      </c>
      <c r="CH74" s="53">
        <f t="shared" si="744"/>
        <v>16.61538461538461</v>
      </c>
      <c r="CI74" s="53">
        <f t="shared" si="744"/>
        <v>19.295894289759307</v>
      </c>
      <c r="CJ74" s="53">
        <f t="shared" ref="CJ74:CK74" si="745">(CJ56-CJ55)/CJ73</f>
        <v>23.608305804624827</v>
      </c>
      <c r="CK74" s="53">
        <f t="shared" si="745"/>
        <v>16.135441245870688</v>
      </c>
      <c r="CL74" s="54">
        <f t="shared" si="744"/>
        <v>21.348998710585384</v>
      </c>
      <c r="CM74" s="54">
        <f t="shared" si="744"/>
        <v>22.347373718242295</v>
      </c>
      <c r="CN74" s="54">
        <f t="shared" si="744"/>
        <v>22.730392928522086</v>
      </c>
      <c r="CO74" s="54">
        <f t="shared" si="744"/>
        <v>23.949522065376978</v>
      </c>
      <c r="CP74" s="54">
        <f t="shared" si="744"/>
        <v>27.024491426957354</v>
      </c>
      <c r="CQ74" s="54">
        <f t="shared" si="744"/>
        <v>27.200453078920777</v>
      </c>
      <c r="CR74" s="54">
        <f t="shared" si="744"/>
        <v>27.560328706858915</v>
      </c>
      <c r="CS74" s="54">
        <f t="shared" si="744"/>
        <v>27.878705807322969</v>
      </c>
      <c r="CT74" s="54">
        <f t="shared" ref="CT74:CZ74" si="746">(CT56-CT55)/CT73</f>
        <v>30.085262636949686</v>
      </c>
      <c r="CU74" s="54">
        <f t="shared" si="746"/>
        <v>29.648003137806487</v>
      </c>
      <c r="CV74" s="54">
        <f t="shared" si="746"/>
        <v>29.411503048378233</v>
      </c>
      <c r="CW74" s="54">
        <f t="shared" si="746"/>
        <v>32.956701421281778</v>
      </c>
      <c r="CX74" s="54">
        <f t="shared" si="746"/>
        <v>35.334295430733754</v>
      </c>
      <c r="CY74" s="54">
        <f t="shared" si="746"/>
        <v>35.190655201727772</v>
      </c>
      <c r="CZ74" s="54">
        <f t="shared" si="746"/>
        <v>35.594290524363572</v>
      </c>
      <c r="DB74" s="132"/>
      <c r="DC74" s="53" t="e">
        <v>#DIV/0!</v>
      </c>
    </row>
    <row r="75" spans="1:107" s="3" customFormat="1" x14ac:dyDescent="0.2">
      <c r="A75" s="3" t="s">
        <v>31</v>
      </c>
      <c r="B75" s="3">
        <f>'Annual Raw'!C110</f>
        <v>1</v>
      </c>
      <c r="C75" s="3">
        <f>'Annual Raw'!D110</f>
        <v>1.2</v>
      </c>
      <c r="D75" s="3">
        <f>'Annual Raw'!E110</f>
        <v>1.2</v>
      </c>
      <c r="E75" s="3">
        <f>'Annual Raw'!F110</f>
        <v>1.4</v>
      </c>
      <c r="F75" s="3">
        <f>'Annual Raw'!G110</f>
        <v>1.6</v>
      </c>
      <c r="G75" s="3">
        <f>'Annual Raw'!H110</f>
        <v>2</v>
      </c>
      <c r="H75" s="3">
        <f>'Annual Raw'!I110</f>
        <v>2.2000000000000002</v>
      </c>
      <c r="I75" s="3">
        <f>'Annual Raw'!J110</f>
        <v>2.2000000000000002</v>
      </c>
      <c r="J75" s="3">
        <f>'Annual Raw'!K110</f>
        <v>2</v>
      </c>
      <c r="K75" s="3">
        <f>'Annual Raw'!L110</f>
        <v>2</v>
      </c>
      <c r="L75" s="3">
        <f>'Annual Raw'!M110</f>
        <v>3</v>
      </c>
      <c r="M75" s="3">
        <f>'Annual Raw'!N110</f>
        <v>3</v>
      </c>
      <c r="N75" s="3">
        <f>'Annual Raw'!O110</f>
        <v>3</v>
      </c>
      <c r="O75" s="3">
        <f>'Annual Raw'!P110</f>
        <v>3.7</v>
      </c>
      <c r="P75" s="3">
        <f>'Annual Raw'!Q110</f>
        <v>3.7</v>
      </c>
      <c r="Q75" s="3">
        <f>'Annual Raw'!R110</f>
        <v>4</v>
      </c>
      <c r="R75" s="3">
        <f>'Annual Raw'!S110</f>
        <v>4.4000000000000004</v>
      </c>
      <c r="S75" s="3">
        <f>'Annual Raw'!T110</f>
        <v>4.8</v>
      </c>
      <c r="T75" s="3">
        <f>'Annual Raw'!U110</f>
        <v>4.8</v>
      </c>
      <c r="U75" s="3">
        <f>'Annual Raw'!V110</f>
        <v>5</v>
      </c>
      <c r="V75" s="3">
        <f>'Annual Raw'!W110</f>
        <v>5.2</v>
      </c>
      <c r="W75" s="3">
        <f>'Annual Raw'!X110</f>
        <v>5.5</v>
      </c>
      <c r="X75" s="3">
        <f>'Annual Raw'!Y110</f>
        <v>29.3</v>
      </c>
      <c r="Y75" s="3">
        <f>'Annual Raw'!Z110</f>
        <v>44.16</v>
      </c>
      <c r="Z75" s="3">
        <f>'Annual Raw'!AA110</f>
        <v>39.369999999999997</v>
      </c>
      <c r="AA75" s="37"/>
      <c r="AB75" s="37"/>
      <c r="AC75" s="37"/>
      <c r="AD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B75" s="134"/>
      <c r="DC75" s="3">
        <v>0</v>
      </c>
    </row>
    <row r="76" spans="1:107" s="3" customFormat="1" x14ac:dyDescent="0.2">
      <c r="A76" s="3" t="s">
        <v>32</v>
      </c>
      <c r="B76" s="3">
        <f>B75/B74</f>
        <v>6.4877330430962415E-2</v>
      </c>
      <c r="C76" s="3">
        <f t="shared" ref="C76:U76" si="747">C75/C74</f>
        <v>6.2518949405149751E-2</v>
      </c>
      <c r="D76" s="3">
        <f t="shared" si="747"/>
        <v>5.0408047361206527E-2</v>
      </c>
      <c r="E76" s="3">
        <f t="shared" si="747"/>
        <v>0.19709008769598746</v>
      </c>
      <c r="F76" s="3">
        <f t="shared" si="747"/>
        <v>0.15504145383373652</v>
      </c>
      <c r="G76" s="3">
        <f t="shared" si="747"/>
        <v>0.124534904153965</v>
      </c>
      <c r="H76" s="3">
        <f t="shared" si="747"/>
        <v>9.4815821213051765E-2</v>
      </c>
      <c r="I76" s="3">
        <f t="shared" si="747"/>
        <v>8.5160564327116883E-2</v>
      </c>
      <c r="J76" s="3">
        <f t="shared" si="747"/>
        <v>0.11950176954543362</v>
      </c>
      <c r="K76" s="3">
        <f t="shared" si="747"/>
        <v>0.67024828286438187</v>
      </c>
      <c r="L76" s="3">
        <f t="shared" si="747"/>
        <v>0.34416111742731859</v>
      </c>
      <c r="M76" s="3">
        <f t="shared" si="747"/>
        <v>0.45104299702000888</v>
      </c>
      <c r="N76" s="3">
        <f t="shared" si="747"/>
        <v>0.35937588331731646</v>
      </c>
      <c r="O76" s="3">
        <f t="shared" si="747"/>
        <v>0.34310533455866205</v>
      </c>
      <c r="P76" s="3">
        <f t="shared" si="747"/>
        <v>0.26144791249833138</v>
      </c>
      <c r="Q76" s="3">
        <f t="shared" si="747"/>
        <v>0.22634656981867649</v>
      </c>
      <c r="R76" s="3">
        <f t="shared" si="747"/>
        <v>0.41350008869966298</v>
      </c>
      <c r="S76" s="3">
        <f t="shared" si="747"/>
        <v>0.40014162634249878</v>
      </c>
      <c r="T76" s="3">
        <f t="shared" si="747"/>
        <v>0.27347081440055915</v>
      </c>
      <c r="U76" s="3">
        <f t="shared" si="747"/>
        <v>0.61724439265948094</v>
      </c>
      <c r="V76" s="3">
        <f>V75/V74</f>
        <v>0.26799951355952828</v>
      </c>
      <c r="W76" s="3">
        <f t="shared" ref="W76" si="748">W75/W74</f>
        <v>0.16980403584177137</v>
      </c>
      <c r="X76" s="3">
        <f t="shared" ref="X76:Y76" si="749">X75/X74</f>
        <v>0.49741784037558667</v>
      </c>
      <c r="Y76" s="3">
        <f t="shared" si="749"/>
        <v>0.49917070750716119</v>
      </c>
      <c r="Z76" s="3">
        <f t="shared" ref="Z76" si="750">Z75/Z74</f>
        <v>0.49973062178028044</v>
      </c>
      <c r="AA76" s="37">
        <f t="shared" ref="AA76:AD76" si="751">AA75/AA74</f>
        <v>0</v>
      </c>
      <c r="AB76" s="37">
        <f t="shared" si="751"/>
        <v>0</v>
      </c>
      <c r="AC76" s="37">
        <f t="shared" si="751"/>
        <v>0</v>
      </c>
      <c r="AD76" s="37">
        <f t="shared" si="751"/>
        <v>0</v>
      </c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B76" s="134"/>
      <c r="DC76" s="3" t="e">
        <v>#DIV/0!</v>
      </c>
    </row>
    <row r="77" spans="1:107" s="3" customFormat="1" x14ac:dyDescent="0.2">
      <c r="A77" s="3" t="s">
        <v>33</v>
      </c>
      <c r="B77" s="3">
        <f>+B74</f>
        <v>15.41370449981947</v>
      </c>
      <c r="C77" s="3">
        <f t="shared" ref="C77:U77" si="752">+C74</f>
        <v>19.19418050715284</v>
      </c>
      <c r="D77" s="3">
        <f t="shared" si="752"/>
        <v>23.805722752980639</v>
      </c>
      <c r="E77" s="3">
        <f t="shared" si="752"/>
        <v>7.1033506370929604</v>
      </c>
      <c r="F77" s="3">
        <f t="shared" si="752"/>
        <v>10.319820670127418</v>
      </c>
      <c r="G77" s="3">
        <f t="shared" si="752"/>
        <v>16.059754601226977</v>
      </c>
      <c r="H77" s="3">
        <f t="shared" si="752"/>
        <v>23.202878716375675</v>
      </c>
      <c r="I77" s="3">
        <f t="shared" si="752"/>
        <v>25.833553563001399</v>
      </c>
      <c r="J77" s="3">
        <f t="shared" si="752"/>
        <v>16.736153846153851</v>
      </c>
      <c r="K77" s="3">
        <f t="shared" si="752"/>
        <v>2.983968853232676</v>
      </c>
      <c r="L77" s="3">
        <f t="shared" si="752"/>
        <v>8.7168475696083032</v>
      </c>
      <c r="M77" s="3">
        <f t="shared" si="752"/>
        <v>6.6512505899008909</v>
      </c>
      <c r="N77" s="3">
        <f t="shared" si="752"/>
        <v>8.3478055686644499</v>
      </c>
      <c r="O77" s="3">
        <f t="shared" si="752"/>
        <v>10.783860311467693</v>
      </c>
      <c r="P77" s="3">
        <f t="shared" si="752"/>
        <v>14.151958470976945</v>
      </c>
      <c r="Q77" s="3">
        <f t="shared" si="752"/>
        <v>17.672015101463</v>
      </c>
      <c r="R77" s="3">
        <f t="shared" si="752"/>
        <v>10.640868334119867</v>
      </c>
      <c r="S77" s="3">
        <f t="shared" si="752"/>
        <v>11.995752713544151</v>
      </c>
      <c r="T77" s="3">
        <f>+T74</f>
        <v>17.55214723926381</v>
      </c>
      <c r="U77" s="3">
        <f t="shared" si="752"/>
        <v>8.1005191127890583</v>
      </c>
      <c r="V77" s="3">
        <f>+V74</f>
        <v>19.403020292590835</v>
      </c>
      <c r="W77" s="3">
        <f t="shared" ref="W77" si="753">+W74</f>
        <v>32.39027843322328</v>
      </c>
      <c r="X77" s="3">
        <f t="shared" ref="X77:Y77" si="754">+X74</f>
        <v>58.904200094384166</v>
      </c>
      <c r="Y77" s="3">
        <f t="shared" si="754"/>
        <v>88.466729589429022</v>
      </c>
      <c r="Z77" s="3">
        <f t="shared" ref="Z77" si="755">+Z74</f>
        <v>78.782444549315699</v>
      </c>
      <c r="AA77" s="37">
        <f t="shared" ref="AA77:AD77" si="756">+AA74</f>
        <v>82.562206603220517</v>
      </c>
      <c r="AB77" s="37">
        <f t="shared" si="756"/>
        <v>105.73479527811406</v>
      </c>
      <c r="AC77" s="37">
        <f t="shared" si="756"/>
        <v>117.02347463045749</v>
      </c>
      <c r="AD77" s="37">
        <f t="shared" si="756"/>
        <v>139.07594257810683</v>
      </c>
      <c r="AK77" s="3">
        <f>SUM(AH74:AK74)</f>
        <v>6.268522888154795</v>
      </c>
      <c r="AL77" s="3">
        <f t="shared" ref="AL77" si="757">SUM(AI74:AL74)</f>
        <v>5.702218027371412</v>
      </c>
      <c r="AM77" s="3">
        <f t="shared" ref="AM77" si="758">SUM(AJ74:AM74)</f>
        <v>6.3742331288343852</v>
      </c>
      <c r="AN77" s="3">
        <f t="shared" ref="AN77" si="759">SUM(AK74:AN74)</f>
        <v>8.3478055686644801</v>
      </c>
      <c r="AO77" s="3">
        <f t="shared" ref="AO77" si="760">SUM(AL74:AO74)</f>
        <v>8.7546012269938824</v>
      </c>
      <c r="AP77" s="3">
        <f t="shared" ref="AP77" si="761">SUM(AM74:AP74)</f>
        <v>9.1349693251533779</v>
      </c>
      <c r="AQ77" s="3">
        <f t="shared" ref="AQ77" si="762">SUM(AN74:AQ74)</f>
        <v>9.5771590372817261</v>
      </c>
      <c r="AR77" s="3">
        <f t="shared" ref="AR77" si="763">SUM(AO74:AR74)</f>
        <v>10.783860311467665</v>
      </c>
      <c r="AS77" s="3">
        <f t="shared" ref="AS77" si="764">SUM(AP74:AS74)</f>
        <v>10.907031618688052</v>
      </c>
      <c r="AT77" s="3">
        <f t="shared" ref="AT77" si="765">SUM(AQ74:AT74)</f>
        <v>11.367626238791892</v>
      </c>
      <c r="AU77" s="3">
        <f t="shared" ref="AU77" si="766">SUM(AR74:AU74)</f>
        <v>12.016989145823523</v>
      </c>
      <c r="AV77" s="3">
        <f t="shared" ref="AV77" si="767">SUM(AS74:AV74)</f>
        <v>14.15195847097689</v>
      </c>
      <c r="AW77" s="3">
        <f t="shared" ref="AW77" si="768">SUM(AT74:AW74)</f>
        <v>15.622463426144419</v>
      </c>
      <c r="AX77" s="3">
        <f t="shared" ref="AX77" si="769">SUM(AU74:AX74)</f>
        <v>15.537045776309562</v>
      </c>
      <c r="AY77" s="3">
        <f t="shared" ref="AY77" si="770">SUM(AV74:AY74)</f>
        <v>16.095327984898496</v>
      </c>
      <c r="AZ77" s="3">
        <f t="shared" ref="AZ77" si="771">SUM(AW74:AZ74)</f>
        <v>17.672015101462911</v>
      </c>
      <c r="BA77" s="3">
        <f t="shared" ref="BA77" si="772">SUM(AX74:BA74)</f>
        <v>17.885795186408654</v>
      </c>
      <c r="BB77" s="3">
        <f t="shared" ref="BB77" si="773">SUM(AY74:BB74)</f>
        <v>18.802265219443086</v>
      </c>
      <c r="BC77" s="3">
        <f t="shared" ref="BC77" si="774">SUM(AZ74:BC74)</f>
        <v>19.407267579046678</v>
      </c>
      <c r="BD77" s="3">
        <f t="shared" ref="BD77" si="775">SUM(BA74:BD74)</f>
        <v>15.576215195847061</v>
      </c>
      <c r="BE77" s="3">
        <f t="shared" ref="BE77" si="776">SUM(BB74:BE74)</f>
        <v>13.48183105238315</v>
      </c>
      <c r="BF77" s="3">
        <f t="shared" ref="BF77" si="777">SUM(BC74:BF74)</f>
        <v>12.03633789523357</v>
      </c>
      <c r="BG77" s="3">
        <f t="shared" ref="BG77" si="778">SUM(BD74:BG74)</f>
        <v>9.7871637564888978</v>
      </c>
      <c r="BH77" s="3">
        <f t="shared" ref="BH77" si="779">SUM(BE74:BH74)</f>
        <v>12.005663048607829</v>
      </c>
      <c r="BI77" s="3">
        <f t="shared" ref="BI77" si="780">SUM(BF74:BI74)</f>
        <v>14.054742803209059</v>
      </c>
      <c r="BJ77" s="3">
        <f t="shared" ref="BJ77" si="781">SUM(BG74:BJ74)</f>
        <v>15.249174138744699</v>
      </c>
      <c r="BK77" s="3">
        <f t="shared" ref="BK77" si="782">SUM(BH74:BK74)</f>
        <v>17.282208588957062</v>
      </c>
      <c r="BL77" s="3">
        <f t="shared" ref="BL77" si="783">SUM(BI74:BL74)</f>
        <v>17.552147239263796</v>
      </c>
      <c r="BM77" s="3">
        <f t="shared" ref="BM77" si="784">SUM(BJ74:BM74)</f>
        <v>13.785747994336939</v>
      </c>
      <c r="BN77" s="3">
        <f t="shared" ref="BN77" si="785">SUM(BK74:BN74)</f>
        <v>11.190655969797064</v>
      </c>
      <c r="BO77" s="3">
        <f t="shared" ref="BO77" si="786">SUM(BL74:BO74)</f>
        <v>11.505899008966484</v>
      </c>
      <c r="BP77" s="3">
        <f t="shared" ref="BP77" si="787">SUM(BM74:BP74)</f>
        <v>8.1005191127890406</v>
      </c>
      <c r="BQ77" s="3">
        <f t="shared" ref="BQ77" si="788">SUM(BN74:BQ74)</f>
        <v>11.256724870221795</v>
      </c>
      <c r="BR77" s="3">
        <f t="shared" ref="BR77" si="789">SUM(BO74:BR74)</f>
        <v>13.784804152902309</v>
      </c>
      <c r="BS77" s="3">
        <f t="shared" ref="BS77" si="790">SUM(BP74:BS74)</f>
        <v>15.41198678621992</v>
      </c>
      <c r="BT77" s="3">
        <f t="shared" ref="BT77" si="791">SUM(BQ74:BT74)</f>
        <v>19.403020292590845</v>
      </c>
      <c r="BU77" s="3">
        <f t="shared" ref="BU77" si="792">SUM(BR74:BU74)</f>
        <v>19.433223218499283</v>
      </c>
      <c r="BV77" s="3">
        <f t="shared" ref="BV77" si="793">SUM(BS74:BV74)</f>
        <v>23.403492213308152</v>
      </c>
      <c r="BW77" s="3">
        <f t="shared" ref="BW77" si="794">SUM(BT74:BW74)</f>
        <v>25.131665880132108</v>
      </c>
      <c r="BX77" s="3">
        <f t="shared" ref="BX77" si="795">SUM(BU74:BX74)</f>
        <v>32.641812175554506</v>
      </c>
      <c r="BY77" s="3">
        <f t="shared" ref="BY77" si="796">SUM(BV74:BY74)</f>
        <v>40.590844738083995</v>
      </c>
      <c r="BZ77" s="3">
        <f t="shared" ref="BZ77" si="797">SUM(BW74:BZ74)</f>
        <v>47.356300141576213</v>
      </c>
      <c r="CA77" s="3">
        <f t="shared" ref="CA77" si="798">SUM(BX74:CA74)</f>
        <v>57.050023596035871</v>
      </c>
      <c r="CB77" s="3">
        <f t="shared" ref="CB77" si="799">SUM(BY74:CB74)</f>
        <v>58.90420009438413</v>
      </c>
      <c r="CC77" s="3">
        <f t="shared" ref="CC77" si="800">SUM(BZ74:CC74)</f>
        <v>69.02359603586595</v>
      </c>
      <c r="CD77" s="3">
        <f t="shared" ref="CD77" si="801">SUM(CA74:CD74)</f>
        <v>75.952336007550713</v>
      </c>
      <c r="CE77" s="3">
        <f t="shared" ref="CE77" si="802">SUM(CB74:CE74)</f>
        <v>79.655497876356748</v>
      </c>
      <c r="CF77" s="3">
        <f t="shared" ref="CF77" si="803">SUM(CC74:CF74)</f>
        <v>88.466729589428979</v>
      </c>
      <c r="CG77" s="3">
        <f t="shared" ref="CG77:CK77" si="804">SUM(CD74:CG74)</f>
        <v>88.358659745162853</v>
      </c>
      <c r="CH77" s="3">
        <f t="shared" si="804"/>
        <v>84.085417649834852</v>
      </c>
      <c r="CI77" s="3">
        <f t="shared" si="804"/>
        <v>82.594620103822564</v>
      </c>
      <c r="CJ77" s="3">
        <f t="shared" si="804"/>
        <v>81.100991033506375</v>
      </c>
      <c r="CK77" s="3">
        <f t="shared" si="804"/>
        <v>75.655025955639431</v>
      </c>
      <c r="CL77" s="37">
        <f t="shared" ref="CL77" si="805">SUM(CI74:CL74)</f>
        <v>80.388640050840209</v>
      </c>
      <c r="CM77" s="37">
        <f t="shared" ref="CM77" si="806">SUM(CJ74:CM74)</f>
        <v>83.440119479323187</v>
      </c>
      <c r="CN77" s="37">
        <f t="shared" ref="CN77" si="807">SUM(CK74:CN74)</f>
        <v>82.56220660322046</v>
      </c>
      <c r="CO77" s="37">
        <f t="shared" ref="CO77" si="808">SUM(CL74:CO74)</f>
        <v>90.376287422726747</v>
      </c>
      <c r="CP77" s="37">
        <f t="shared" ref="CP77" si="809">SUM(CM74:CP74)</f>
        <v>96.05178013909871</v>
      </c>
      <c r="CQ77" s="37">
        <f t="shared" ref="CQ77" si="810">SUM(CN74:CQ74)</f>
        <v>100.90485949977719</v>
      </c>
      <c r="CR77" s="37">
        <f t="shared" ref="CR77" si="811">SUM(CO74:CR74)</f>
        <v>105.73479527811402</v>
      </c>
      <c r="CS77" s="37">
        <f t="shared" ref="CS77" si="812">SUM(CP74:CS74)</f>
        <v>109.66397902006001</v>
      </c>
      <c r="CT77" s="37">
        <f t="shared" ref="CT77" si="813">SUM(CQ74:CT74)</f>
        <v>112.72475023005234</v>
      </c>
      <c r="CU77" s="37">
        <f t="shared" ref="CU77" si="814">SUM(CR74:CU74)</f>
        <v>115.17230028893806</v>
      </c>
      <c r="CV77" s="37">
        <f t="shared" ref="CV77" si="815">SUM(CS74:CV74)</f>
        <v>117.02347463045737</v>
      </c>
      <c r="CW77" s="37">
        <f t="shared" ref="CW77" si="816">SUM(CT74:CW74)</f>
        <v>122.10147024441619</v>
      </c>
      <c r="CX77" s="37">
        <f t="shared" ref="CX77" si="817">SUM(CU74:CX74)</f>
        <v>127.35050303820026</v>
      </c>
      <c r="CY77" s="37">
        <f t="shared" ref="CY77" si="818">SUM(CV74:CY74)</f>
        <v>132.89315510212154</v>
      </c>
      <c r="CZ77" s="37">
        <f t="shared" ref="CZ77" si="819">SUM(CW74:CZ74)</f>
        <v>139.07594257810686</v>
      </c>
      <c r="DB77" s="134"/>
      <c r="DC77" s="3" t="e">
        <v>#DIV/0!</v>
      </c>
    </row>
    <row r="78" spans="1:107" s="97" customFormat="1" x14ac:dyDescent="0.2">
      <c r="A78" s="97" t="s">
        <v>425</v>
      </c>
      <c r="C78" s="101">
        <f t="shared" ref="C78:AA78" si="820">+C77/B77-1</f>
        <v>0.24526719111409245</v>
      </c>
      <c r="D78" s="101">
        <f t="shared" si="820"/>
        <v>0.24025731362218239</v>
      </c>
      <c r="E78" s="101">
        <f t="shared" si="820"/>
        <v>-0.70161163721846787</v>
      </c>
      <c r="F78" s="101">
        <f t="shared" si="820"/>
        <v>0.45281025777305506</v>
      </c>
      <c r="G78" s="101">
        <f t="shared" si="820"/>
        <v>0.55620481349204387</v>
      </c>
      <c r="H78" s="101">
        <f t="shared" si="820"/>
        <v>0.44478413851995957</v>
      </c>
      <c r="I78" s="101">
        <f t="shared" si="820"/>
        <v>0.11337708905788046</v>
      </c>
      <c r="J78" s="101">
        <f t="shared" si="820"/>
        <v>-0.35215440627095018</v>
      </c>
      <c r="K78" s="101">
        <f t="shared" si="820"/>
        <v>-0.82170522088511844</v>
      </c>
      <c r="L78" s="101">
        <f t="shared" si="820"/>
        <v>1.9212260577602631</v>
      </c>
      <c r="M78" s="101">
        <f t="shared" si="820"/>
        <v>-0.23696605489686584</v>
      </c>
      <c r="N78" s="101">
        <f t="shared" si="820"/>
        <v>0.25507308074357771</v>
      </c>
      <c r="O78" s="101">
        <f t="shared" si="820"/>
        <v>0.29181977500141798</v>
      </c>
      <c r="P78" s="101">
        <f t="shared" si="820"/>
        <v>0.31232768806617184</v>
      </c>
      <c r="Q78" s="101">
        <f t="shared" si="820"/>
        <v>0.24873282646391592</v>
      </c>
      <c r="R78" s="101">
        <f t="shared" si="820"/>
        <v>-0.39786898816994842</v>
      </c>
      <c r="S78" s="101">
        <f t="shared" si="820"/>
        <v>0.1273283661522111</v>
      </c>
      <c r="T78" s="101">
        <f t="shared" si="820"/>
        <v>0.46319682127542117</v>
      </c>
      <c r="U78" s="101">
        <f t="shared" si="820"/>
        <v>-0.53848842524130869</v>
      </c>
      <c r="V78" s="101">
        <f t="shared" si="820"/>
        <v>1.395281095251963</v>
      </c>
      <c r="W78" s="101">
        <f t="shared" si="820"/>
        <v>0.6693420892618307</v>
      </c>
      <c r="X78" s="101">
        <f t="shared" si="820"/>
        <v>0.81857652801048753</v>
      </c>
      <c r="Y78" s="101">
        <f t="shared" si="820"/>
        <v>0.50187472960630708</v>
      </c>
      <c r="Z78" s="101">
        <f t="shared" si="820"/>
        <v>-0.10946810269869534</v>
      </c>
      <c r="AA78" s="174">
        <f t="shared" si="820"/>
        <v>4.7977212125460023E-2</v>
      </c>
      <c r="AB78" s="174">
        <f t="shared" ref="AB78" si="821">+AB77/AA77-1</f>
        <v>0.28066823342376179</v>
      </c>
      <c r="AC78" s="174">
        <f t="shared" ref="AC78" si="822">+AC77/AB77-1</f>
        <v>0.10676409144833388</v>
      </c>
      <c r="AD78" s="174">
        <f t="shared" ref="AD78" si="823">+AD77/AC77-1</f>
        <v>0.18844482286385467</v>
      </c>
      <c r="AK78" s="176"/>
      <c r="AL78" s="176"/>
      <c r="AM78" s="176"/>
      <c r="AN78" s="176"/>
      <c r="AO78" s="176">
        <f t="shared" ref="AO78:CK78" si="824">+IF(AK77&lt;0,1-AO77/AK77,AO77/AK77-1)</f>
        <v>0.396597154257323</v>
      </c>
      <c r="AP78" s="176">
        <f t="shared" si="824"/>
        <v>0.60200281387072518</v>
      </c>
      <c r="AQ78" s="176">
        <f t="shared" si="824"/>
        <v>0.50248019545420042</v>
      </c>
      <c r="AR78" s="176">
        <f t="shared" si="824"/>
        <v>0.29181977500140976</v>
      </c>
      <c r="AS78" s="176">
        <f t="shared" si="824"/>
        <v>0.24586275672470137</v>
      </c>
      <c r="AT78" s="176">
        <f t="shared" si="824"/>
        <v>0.2444077078059621</v>
      </c>
      <c r="AU78" s="176">
        <f t="shared" si="824"/>
        <v>0.25475510002956891</v>
      </c>
      <c r="AV78" s="176">
        <f t="shared" si="824"/>
        <v>0.31232768806617006</v>
      </c>
      <c r="AW78" s="176">
        <f t="shared" si="824"/>
        <v>0.43232952578747197</v>
      </c>
      <c r="AX78" s="176">
        <f t="shared" si="824"/>
        <v>0.36678013948853927</v>
      </c>
      <c r="AY78" s="176">
        <f t="shared" si="824"/>
        <v>0.33938108702481351</v>
      </c>
      <c r="AZ78" s="176">
        <f t="shared" si="824"/>
        <v>0.24873282646391459</v>
      </c>
      <c r="BA78" s="176">
        <f t="shared" si="824"/>
        <v>0.14487675205412964</v>
      </c>
      <c r="BB78" s="176">
        <f t="shared" si="824"/>
        <v>0.21015703307717848</v>
      </c>
      <c r="BC78" s="176">
        <f t="shared" si="824"/>
        <v>0.20577024570456848</v>
      </c>
      <c r="BD78" s="176">
        <f t="shared" si="824"/>
        <v>-0.118594279915614</v>
      </c>
      <c r="BE78" s="176">
        <f t="shared" si="824"/>
        <v>-0.24622691292876142</v>
      </c>
      <c r="BF78" s="176">
        <f t="shared" si="824"/>
        <v>-0.35984639325335077</v>
      </c>
      <c r="BG78" s="176">
        <f t="shared" si="824"/>
        <v>-0.49569594397432104</v>
      </c>
      <c r="BH78" s="176">
        <f t="shared" si="824"/>
        <v>-0.22923104890019841</v>
      </c>
      <c r="BI78" s="176">
        <f t="shared" si="824"/>
        <v>4.2495099411933079E-2</v>
      </c>
      <c r="BJ78" s="176">
        <f t="shared" si="824"/>
        <v>0.26692805332288172</v>
      </c>
      <c r="BK78" s="176">
        <f t="shared" si="824"/>
        <v>0.76580355851294946</v>
      </c>
      <c r="BL78" s="176">
        <f t="shared" si="824"/>
        <v>0.4619889937106918</v>
      </c>
      <c r="BM78" s="176">
        <f t="shared" si="824"/>
        <v>-1.9139077295011186E-2</v>
      </c>
      <c r="BN78" s="176">
        <f t="shared" si="824"/>
        <v>-0.26614675208120675</v>
      </c>
      <c r="BO78" s="176">
        <f t="shared" si="824"/>
        <v>-0.33423445564020726</v>
      </c>
      <c r="BP78" s="176">
        <f t="shared" si="824"/>
        <v>-0.53848842524130924</v>
      </c>
      <c r="BQ78" s="176">
        <f t="shared" si="824"/>
        <v>-0.18345200602492107</v>
      </c>
      <c r="BR78" s="176">
        <f t="shared" si="824"/>
        <v>0.23181377303588824</v>
      </c>
      <c r="BS78" s="176">
        <f t="shared" si="824"/>
        <v>0.3394856650670619</v>
      </c>
      <c r="BT78" s="176">
        <f t="shared" si="824"/>
        <v>1.3952810952519696</v>
      </c>
      <c r="BU78" s="176">
        <f t="shared" si="824"/>
        <v>0.72636565631157546</v>
      </c>
      <c r="BV78" s="176">
        <f t="shared" si="824"/>
        <v>0.6977747346799037</v>
      </c>
      <c r="BW78" s="176">
        <f t="shared" si="824"/>
        <v>0.63065711311163941</v>
      </c>
      <c r="BX78" s="176">
        <f t="shared" si="824"/>
        <v>0.68230572783655585</v>
      </c>
      <c r="BY78" s="176">
        <f t="shared" si="824"/>
        <v>1.0887345491634091</v>
      </c>
      <c r="BZ78" s="176">
        <f t="shared" si="824"/>
        <v>1.0234715276657536</v>
      </c>
      <c r="CA78" s="176">
        <f t="shared" si="824"/>
        <v>1.270045442595864</v>
      </c>
      <c r="CB78" s="176">
        <f t="shared" si="824"/>
        <v>0.80456280360860477</v>
      </c>
      <c r="CC78" s="176">
        <f t="shared" si="824"/>
        <v>0.70047202715900081</v>
      </c>
      <c r="CD78" s="176">
        <f t="shared" si="824"/>
        <v>0.6038486068481681</v>
      </c>
      <c r="CE78" s="176">
        <f t="shared" si="824"/>
        <v>0.39623952551514141</v>
      </c>
      <c r="CF78" s="176">
        <f t="shared" si="824"/>
        <v>0.50187472960630708</v>
      </c>
      <c r="CG78" s="176">
        <f t="shared" si="824"/>
        <v>0.28012252069929877</v>
      </c>
      <c r="CH78" s="176">
        <f t="shared" si="824"/>
        <v>0.10708138906320941</v>
      </c>
      <c r="CI78" s="176">
        <f t="shared" si="824"/>
        <v>3.6897920492920511E-2</v>
      </c>
      <c r="CJ78" s="176">
        <f t="shared" si="824"/>
        <v>-8.3259984743493276E-2</v>
      </c>
      <c r="CK78" s="176">
        <f t="shared" si="824"/>
        <v>-0.14377350025636704</v>
      </c>
      <c r="CL78" s="102">
        <f t="shared" ref="CL78:CZ78" si="825">+IF(CH77&lt;0,1-CL77/CH77,CL77/CH77-1)</f>
        <v>-4.3964550600075425E-2</v>
      </c>
      <c r="CM78" s="102">
        <f t="shared" si="825"/>
        <v>1.0236736659576806E-2</v>
      </c>
      <c r="CN78" s="102">
        <f t="shared" si="825"/>
        <v>1.8017234451677577E-2</v>
      </c>
      <c r="CO78" s="102">
        <f t="shared" si="825"/>
        <v>0.19458405150398295</v>
      </c>
      <c r="CP78" s="102">
        <f t="shared" si="825"/>
        <v>0.19484270511794533</v>
      </c>
      <c r="CQ78" s="102">
        <f t="shared" si="825"/>
        <v>0.20930866505748269</v>
      </c>
      <c r="CR78" s="102">
        <f t="shared" si="825"/>
        <v>0.28066823342376224</v>
      </c>
      <c r="CS78" s="102">
        <f t="shared" si="825"/>
        <v>0.21341540073578003</v>
      </c>
      <c r="CT78" s="102">
        <f t="shared" si="825"/>
        <v>0.17358314512035533</v>
      </c>
      <c r="CU78" s="102">
        <f t="shared" si="825"/>
        <v>0.14139498196508926</v>
      </c>
      <c r="CV78" s="102">
        <f t="shared" si="825"/>
        <v>0.10676409144833321</v>
      </c>
      <c r="CW78" s="102">
        <f t="shared" si="825"/>
        <v>0.11341455357990515</v>
      </c>
      <c r="CX78" s="102">
        <f t="shared" si="825"/>
        <v>0.12974748472096165</v>
      </c>
      <c r="CY78" s="102">
        <f t="shared" si="825"/>
        <v>0.15386386109095973</v>
      </c>
      <c r="CZ78" s="102">
        <f t="shared" si="825"/>
        <v>0.188444822863856</v>
      </c>
      <c r="DB78" s="135"/>
      <c r="DC78" s="97" t="e">
        <v>#DIV/0!</v>
      </c>
    </row>
    <row r="79" spans="1:107" s="144" customFormat="1" x14ac:dyDescent="0.2">
      <c r="A79" s="144" t="s">
        <v>424</v>
      </c>
      <c r="AA79" s="145"/>
      <c r="AB79" s="145"/>
      <c r="AC79" s="145"/>
      <c r="AD79" s="145"/>
      <c r="CL79" s="145"/>
      <c r="CM79" s="145"/>
      <c r="CN79" s="145">
        <v>90.2</v>
      </c>
      <c r="CO79" s="145"/>
      <c r="CP79" s="145"/>
      <c r="CQ79" s="145"/>
      <c r="CR79" s="145">
        <v>104.4</v>
      </c>
      <c r="CS79" s="145"/>
      <c r="CT79" s="145"/>
      <c r="CU79" s="145"/>
      <c r="CV79" s="145">
        <v>118.9</v>
      </c>
      <c r="CW79" s="145"/>
      <c r="CX79" s="145"/>
      <c r="CY79" s="145"/>
      <c r="CZ79" s="145"/>
      <c r="DB79" s="146"/>
    </row>
    <row r="80" spans="1:107" s="144" customFormat="1" x14ac:dyDescent="0.2">
      <c r="A80" s="144" t="s">
        <v>436</v>
      </c>
      <c r="AA80" s="145"/>
      <c r="AB80" s="145"/>
      <c r="AC80" s="145"/>
      <c r="AD80" s="145"/>
      <c r="CL80" s="145"/>
      <c r="CM80" s="145"/>
      <c r="CN80" s="145">
        <f>CN77/CN79-1</f>
        <v>-8.4676201738132395E-2</v>
      </c>
      <c r="CO80" s="145"/>
      <c r="CP80" s="145"/>
      <c r="CQ80" s="145"/>
      <c r="CR80" s="145">
        <f>CR77/CR79-1</f>
        <v>1.2785395384233844E-2</v>
      </c>
      <c r="CS80" s="145"/>
      <c r="CT80" s="145"/>
      <c r="CU80" s="145"/>
      <c r="CV80" s="145">
        <f>CV77/CV79-1</f>
        <v>-1.5782383259399735E-2</v>
      </c>
      <c r="CW80" s="145"/>
      <c r="CX80" s="145"/>
      <c r="CY80" s="145"/>
      <c r="CZ80" s="145"/>
      <c r="DB80" s="146"/>
    </row>
    <row r="81" spans="1:107" s="3" customFormat="1" x14ac:dyDescent="0.2">
      <c r="A81" s="3" t="s">
        <v>34</v>
      </c>
      <c r="B81" s="3">
        <f>'Annual Raw'!C112</f>
        <v>52.11</v>
      </c>
      <c r="C81" s="3">
        <f>'Annual Raw'!D112</f>
        <v>52.11</v>
      </c>
      <c r="D81" s="3">
        <f>'Annual Raw'!E112</f>
        <v>52.11</v>
      </c>
      <c r="E81" s="3">
        <f>'Annual Raw'!F112</f>
        <v>52.11</v>
      </c>
      <c r="F81" s="3">
        <f>'Annual Raw'!G112</f>
        <v>52.11</v>
      </c>
      <c r="G81" s="3">
        <f>'Annual Raw'!H112</f>
        <v>52.11</v>
      </c>
      <c r="H81" s="3">
        <f>'Annual Raw'!I112</f>
        <v>52.11</v>
      </c>
      <c r="I81" s="3">
        <f>'Annual Raw'!J112</f>
        <v>52.11</v>
      </c>
      <c r="J81" s="3">
        <f>'Annual Raw'!K112</f>
        <v>52.11</v>
      </c>
      <c r="K81" s="3">
        <f>'Annual Raw'!L112</f>
        <v>75</v>
      </c>
      <c r="L81" s="3">
        <f>'Annual Raw'!M112</f>
        <v>75</v>
      </c>
      <c r="M81" s="3">
        <f>'Annual Raw'!N112</f>
        <v>75</v>
      </c>
      <c r="N81" s="3">
        <f>'Annual Raw'!O112</f>
        <v>75</v>
      </c>
      <c r="O81" s="3">
        <f>'Annual Raw'!P112</f>
        <v>75</v>
      </c>
      <c r="P81" s="3">
        <f>'Annual Raw'!Q112</f>
        <v>75</v>
      </c>
      <c r="Q81" s="3">
        <f>'Annual Raw'!R112</f>
        <v>75</v>
      </c>
      <c r="R81" s="3">
        <f>'Annual Raw'!S112</f>
        <v>75</v>
      </c>
      <c r="S81" s="3">
        <f>'Annual Raw'!T112</f>
        <v>75</v>
      </c>
      <c r="T81" s="3">
        <f>'Annual Raw'!U112</f>
        <v>75</v>
      </c>
      <c r="U81" s="3">
        <f>'Annual Raw'!V112</f>
        <v>75</v>
      </c>
      <c r="V81" s="3">
        <f>'Annual Raw'!W112</f>
        <v>75</v>
      </c>
      <c r="W81" s="3">
        <f>'Annual Raw'!X112</f>
        <v>75</v>
      </c>
      <c r="X81" s="3">
        <f>'Annual Raw'!Y112</f>
        <v>75</v>
      </c>
      <c r="Y81" s="3">
        <f>'Annual Raw'!Z112</f>
        <v>75</v>
      </c>
      <c r="Z81" s="3">
        <f>'Annual Raw'!AA112</f>
        <v>75</v>
      </c>
      <c r="AA81" s="37"/>
      <c r="AB81" s="37"/>
      <c r="AC81" s="37"/>
      <c r="AD81" s="37"/>
      <c r="AH81" s="3">
        <f>'QTR Raw'!C49</f>
        <v>75</v>
      </c>
      <c r="AI81" s="3">
        <f>'QTR Raw'!D49</f>
        <v>75</v>
      </c>
      <c r="AJ81" s="3">
        <f>'QTR Raw'!E49</f>
        <v>75</v>
      </c>
      <c r="AK81" s="3">
        <f>'QTR Raw'!F49</f>
        <v>75</v>
      </c>
      <c r="AL81" s="3">
        <f>'QTR Raw'!G49</f>
        <v>75</v>
      </c>
      <c r="AM81" s="3">
        <f>'QTR Raw'!H49</f>
        <v>75</v>
      </c>
      <c r="AN81" s="3">
        <f>'QTR Raw'!I49</f>
        <v>75</v>
      </c>
      <c r="AO81" s="3">
        <f>'QTR Raw'!J49</f>
        <v>75</v>
      </c>
      <c r="AP81" s="3">
        <f>'QTR Raw'!K49</f>
        <v>75</v>
      </c>
      <c r="AQ81" s="3">
        <f>'QTR Raw'!L49</f>
        <v>75</v>
      </c>
      <c r="AR81" s="3">
        <f>'QTR Raw'!M49</f>
        <v>75</v>
      </c>
      <c r="AS81" s="3">
        <f>'QTR Raw'!N49</f>
        <v>75</v>
      </c>
      <c r="AT81" s="3">
        <f>'QTR Raw'!O49</f>
        <v>75</v>
      </c>
      <c r="AU81" s="3">
        <f>'QTR Raw'!P49</f>
        <v>75</v>
      </c>
      <c r="AV81" s="3">
        <f>'QTR Raw'!Q49</f>
        <v>75</v>
      </c>
      <c r="AW81" s="3">
        <f>'QTR Raw'!R49</f>
        <v>75</v>
      </c>
      <c r="AX81" s="3">
        <f>'QTR Raw'!S49</f>
        <v>75</v>
      </c>
      <c r="AY81" s="3">
        <f>'QTR Raw'!T49</f>
        <v>75</v>
      </c>
      <c r="AZ81" s="3">
        <f>'QTR Raw'!U49</f>
        <v>75</v>
      </c>
      <c r="BA81" s="3">
        <f>'QTR Raw'!V49</f>
        <v>75</v>
      </c>
      <c r="BB81" s="3">
        <f>'QTR Raw'!W49</f>
        <v>75</v>
      </c>
      <c r="BC81" s="3">
        <f>'QTR Raw'!X49</f>
        <v>75</v>
      </c>
      <c r="BD81" s="3">
        <f>'QTR Raw'!Y49</f>
        <v>75</v>
      </c>
      <c r="BE81" s="3">
        <f>'QTR Raw'!Z49</f>
        <v>75</v>
      </c>
      <c r="BF81" s="3">
        <f>'QTR Raw'!AA49</f>
        <v>75</v>
      </c>
      <c r="BG81" s="3">
        <f>'QTR Raw'!AB49</f>
        <v>75</v>
      </c>
      <c r="BH81" s="3">
        <f>'QTR Raw'!AC49</f>
        <v>75</v>
      </c>
      <c r="BI81" s="3">
        <f>'QTR Raw'!AD49</f>
        <v>75</v>
      </c>
      <c r="BJ81" s="3">
        <f>'QTR Raw'!AE49</f>
        <v>75</v>
      </c>
      <c r="BK81" s="3">
        <f>'QTR Raw'!AF49</f>
        <v>75</v>
      </c>
      <c r="BL81" s="3">
        <f>'QTR Raw'!AG49</f>
        <v>75</v>
      </c>
      <c r="BM81" s="3">
        <f>'QTR Raw'!AH49</f>
        <v>75</v>
      </c>
      <c r="BN81" s="3">
        <f>'QTR Raw'!AI49</f>
        <v>75</v>
      </c>
      <c r="BO81" s="3">
        <f>'QTR Raw'!AJ49</f>
        <v>75</v>
      </c>
      <c r="BP81" s="3">
        <f>'QTR Raw'!AK49</f>
        <v>75</v>
      </c>
      <c r="BQ81" s="3">
        <f>'QTR Raw'!AL49</f>
        <v>75</v>
      </c>
      <c r="BR81" s="3">
        <f>'QTR Raw'!AM49</f>
        <v>75</v>
      </c>
      <c r="BS81" s="3">
        <f>'QTR Raw'!AN49</f>
        <v>75</v>
      </c>
      <c r="BT81" s="3">
        <f>'QTR Raw'!AO49</f>
        <v>75</v>
      </c>
      <c r="BU81" s="3">
        <f>'QTR Raw'!AP49</f>
        <v>75</v>
      </c>
      <c r="BV81" s="3">
        <f>'QTR Raw'!AQ49</f>
        <v>75</v>
      </c>
      <c r="BW81" s="3">
        <f>'QTR Raw'!AR49</f>
        <v>75</v>
      </c>
      <c r="BX81" s="3">
        <f>'QTR Raw'!AS49</f>
        <v>75</v>
      </c>
      <c r="BY81" s="3">
        <f>'QTR Raw'!AT49</f>
        <v>75</v>
      </c>
      <c r="BZ81" s="3">
        <f>'QTR Raw'!AU49</f>
        <v>75</v>
      </c>
      <c r="CA81" s="3">
        <f>'QTR Raw'!AV49</f>
        <v>75</v>
      </c>
      <c r="CB81" s="3">
        <f>'QTR Raw'!AW49</f>
        <v>75</v>
      </c>
      <c r="CC81" s="3">
        <f>'QTR Raw'!AX49</f>
        <v>75</v>
      </c>
      <c r="CD81" s="3">
        <f>'QTR Raw'!AY49</f>
        <v>75</v>
      </c>
      <c r="CE81" s="3">
        <f>'QTR Raw'!AZ49</f>
        <v>75</v>
      </c>
      <c r="CF81" s="3">
        <f>'QTR Raw'!BA49</f>
        <v>75</v>
      </c>
      <c r="CG81" s="3">
        <f>'QTR Raw'!BB49</f>
        <v>75</v>
      </c>
      <c r="CH81" s="3">
        <f>'QTR Raw'!BC49</f>
        <v>75</v>
      </c>
      <c r="CI81" s="3">
        <f>'QTR Raw'!BD49</f>
        <v>75</v>
      </c>
      <c r="CJ81" s="3">
        <f>'QTR Raw'!BE49</f>
        <v>75</v>
      </c>
      <c r="CK81" s="3">
        <f>'QTR Raw'!BF49</f>
        <v>75</v>
      </c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B81" s="134"/>
      <c r="DC81" s="3">
        <v>0</v>
      </c>
    </row>
    <row r="82" spans="1:107" s="3" customFormat="1" x14ac:dyDescent="0.2">
      <c r="A82" s="3" t="s">
        <v>35</v>
      </c>
      <c r="B82" s="3">
        <f>'Annual Raw'!C113</f>
        <v>0</v>
      </c>
      <c r="C82" s="3">
        <f>'Annual Raw'!D113</f>
        <v>0</v>
      </c>
      <c r="D82" s="3">
        <f>'Annual Raw'!E113</f>
        <v>0</v>
      </c>
      <c r="E82" s="3">
        <f>'Annual Raw'!F113</f>
        <v>0</v>
      </c>
      <c r="F82" s="3">
        <f>'Annual Raw'!G113</f>
        <v>0</v>
      </c>
      <c r="G82" s="3">
        <f>'Annual Raw'!H113</f>
        <v>0</v>
      </c>
      <c r="H82" s="3">
        <f>'Annual Raw'!I113</f>
        <v>0</v>
      </c>
      <c r="I82" s="3">
        <f>'Annual Raw'!J113</f>
        <v>0</v>
      </c>
      <c r="J82" s="3">
        <f>'Annual Raw'!K113</f>
        <v>0</v>
      </c>
      <c r="K82" s="3">
        <f>'Annual Raw'!L113</f>
        <v>0</v>
      </c>
      <c r="L82" s="3">
        <f>'Annual Raw'!M113</f>
        <v>0</v>
      </c>
      <c r="M82" s="3">
        <f>'Annual Raw'!N113</f>
        <v>0</v>
      </c>
      <c r="N82" s="3">
        <f>'Annual Raw'!O113</f>
        <v>0</v>
      </c>
      <c r="O82" s="3">
        <f>'Annual Raw'!P113</f>
        <v>0</v>
      </c>
      <c r="P82" s="3">
        <f>'Annual Raw'!Q113</f>
        <v>0</v>
      </c>
      <c r="Q82" s="3">
        <f>'Annual Raw'!R113</f>
        <v>0</v>
      </c>
      <c r="R82" s="3">
        <f>'Annual Raw'!S113</f>
        <v>0</v>
      </c>
      <c r="S82" s="3">
        <f>'Annual Raw'!T113</f>
        <v>0</v>
      </c>
      <c r="T82" s="3">
        <f>'Annual Raw'!U113</f>
        <v>0</v>
      </c>
      <c r="U82" s="3">
        <f>'Annual Raw'!V113</f>
        <v>0</v>
      </c>
      <c r="V82" s="3">
        <f>'Annual Raw'!W113</f>
        <v>0</v>
      </c>
      <c r="W82" s="3">
        <f>'Annual Raw'!X113</f>
        <v>0</v>
      </c>
      <c r="X82" s="3">
        <f>'Annual Raw'!Y113</f>
        <v>0</v>
      </c>
      <c r="Y82" s="3">
        <f>'Annual Raw'!Z113</f>
        <v>0</v>
      </c>
      <c r="Z82" s="3">
        <f>'Annual Raw'!AA113</f>
        <v>0</v>
      </c>
      <c r="AA82" s="37"/>
      <c r="AB82" s="37"/>
      <c r="AC82" s="37"/>
      <c r="AD82" s="37"/>
      <c r="AH82" s="3">
        <f>'QTR Raw'!C50</f>
        <v>0</v>
      </c>
      <c r="AI82" s="3">
        <f>'QTR Raw'!D50</f>
        <v>0</v>
      </c>
      <c r="AJ82" s="3">
        <f>'QTR Raw'!E50</f>
        <v>0</v>
      </c>
      <c r="AK82" s="3">
        <f>'QTR Raw'!F50</f>
        <v>0</v>
      </c>
      <c r="AL82" s="3">
        <f>'QTR Raw'!G50</f>
        <v>0</v>
      </c>
      <c r="AM82" s="3">
        <f>'QTR Raw'!H50</f>
        <v>0</v>
      </c>
      <c r="AN82" s="3">
        <f>'QTR Raw'!I50</f>
        <v>0</v>
      </c>
      <c r="AO82" s="3">
        <f>'QTR Raw'!J50</f>
        <v>0</v>
      </c>
      <c r="AP82" s="3">
        <f>'QTR Raw'!K50</f>
        <v>0</v>
      </c>
      <c r="AQ82" s="3">
        <f>'QTR Raw'!L50</f>
        <v>0</v>
      </c>
      <c r="AR82" s="3">
        <f>'QTR Raw'!M50</f>
        <v>0</v>
      </c>
      <c r="AS82" s="3">
        <f>'QTR Raw'!N50</f>
        <v>0</v>
      </c>
      <c r="AT82" s="3">
        <f>'QTR Raw'!O50</f>
        <v>0</v>
      </c>
      <c r="AU82" s="3">
        <f>'QTR Raw'!P50</f>
        <v>0</v>
      </c>
      <c r="AV82" s="3">
        <f>'QTR Raw'!Q50</f>
        <v>0</v>
      </c>
      <c r="AW82" s="3">
        <f>'QTR Raw'!R50</f>
        <v>0</v>
      </c>
      <c r="AX82" s="3">
        <f>'QTR Raw'!S50</f>
        <v>0</v>
      </c>
      <c r="AY82" s="3">
        <f>'QTR Raw'!T50</f>
        <v>0</v>
      </c>
      <c r="AZ82" s="3">
        <f>'QTR Raw'!U50</f>
        <v>0</v>
      </c>
      <c r="BA82" s="3">
        <f>'QTR Raw'!V50</f>
        <v>0</v>
      </c>
      <c r="BB82" s="3">
        <f>'QTR Raw'!W50</f>
        <v>0</v>
      </c>
      <c r="BC82" s="3">
        <f>'QTR Raw'!X50</f>
        <v>0</v>
      </c>
      <c r="BD82" s="3">
        <f>'QTR Raw'!Y50</f>
        <v>0</v>
      </c>
      <c r="BE82" s="3">
        <f>'QTR Raw'!Z50</f>
        <v>0</v>
      </c>
      <c r="BF82" s="3">
        <f>'QTR Raw'!AA50</f>
        <v>0</v>
      </c>
      <c r="BG82" s="3">
        <f>'QTR Raw'!AB50</f>
        <v>0</v>
      </c>
      <c r="BH82" s="3">
        <f>'QTR Raw'!AC50</f>
        <v>0</v>
      </c>
      <c r="BI82" s="3">
        <f>'QTR Raw'!AD50</f>
        <v>0</v>
      </c>
      <c r="BJ82" s="3">
        <f>'QTR Raw'!AE50</f>
        <v>0</v>
      </c>
      <c r="BK82" s="3">
        <f>'QTR Raw'!AF50</f>
        <v>0</v>
      </c>
      <c r="BL82" s="3">
        <f>'QTR Raw'!AG50</f>
        <v>0</v>
      </c>
      <c r="BM82" s="3">
        <f>'QTR Raw'!AH50</f>
        <v>0</v>
      </c>
      <c r="BN82" s="3">
        <f>'QTR Raw'!AI50</f>
        <v>0</v>
      </c>
      <c r="BO82" s="3">
        <f>'QTR Raw'!AJ50</f>
        <v>0</v>
      </c>
      <c r="BP82" s="3">
        <f>'QTR Raw'!AK50</f>
        <v>0</v>
      </c>
      <c r="BQ82" s="3">
        <f>'QTR Raw'!AL50</f>
        <v>0</v>
      </c>
      <c r="BR82" s="3">
        <f>'QTR Raw'!AM50</f>
        <v>0</v>
      </c>
      <c r="BS82" s="3">
        <f>'QTR Raw'!AN50</f>
        <v>0</v>
      </c>
      <c r="BT82" s="3">
        <f>'QTR Raw'!AO50</f>
        <v>0</v>
      </c>
      <c r="BU82" s="3">
        <f>'QTR Raw'!AP50</f>
        <v>0</v>
      </c>
      <c r="BV82" s="3">
        <f>'QTR Raw'!AQ50</f>
        <v>0</v>
      </c>
      <c r="BW82" s="3">
        <f>'QTR Raw'!AR50</f>
        <v>0</v>
      </c>
      <c r="BX82" s="3">
        <f>'QTR Raw'!AS50</f>
        <v>0</v>
      </c>
      <c r="BY82" s="3">
        <f>'QTR Raw'!AT50</f>
        <v>0</v>
      </c>
      <c r="BZ82" s="3">
        <f>'QTR Raw'!AU50</f>
        <v>0</v>
      </c>
      <c r="CA82" s="3">
        <f>'QTR Raw'!AV50</f>
        <v>0</v>
      </c>
      <c r="CB82" s="3">
        <f>'QTR Raw'!AW50</f>
        <v>0</v>
      </c>
      <c r="CC82" s="3">
        <f>'QTR Raw'!AX50</f>
        <v>0</v>
      </c>
      <c r="CD82" s="3">
        <f>'QTR Raw'!AY50</f>
        <v>0</v>
      </c>
      <c r="CE82" s="3">
        <f>'QTR Raw'!AZ50</f>
        <v>0</v>
      </c>
      <c r="CF82" s="3">
        <f>'QTR Raw'!BA50</f>
        <v>0</v>
      </c>
      <c r="CG82" s="3">
        <f>'QTR Raw'!BB50</f>
        <v>0</v>
      </c>
      <c r="CH82" s="3">
        <f>'QTR Raw'!BC50</f>
        <v>0</v>
      </c>
      <c r="CI82" s="3">
        <f>'QTR Raw'!BD50</f>
        <v>0</v>
      </c>
      <c r="CJ82" s="3">
        <f>'QTR Raw'!BE50</f>
        <v>0</v>
      </c>
      <c r="CK82" s="3">
        <f>'QTR Raw'!BF50</f>
        <v>0</v>
      </c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B82" s="134"/>
      <c r="DC82" s="3">
        <v>0</v>
      </c>
    </row>
    <row r="83" spans="1:107" s="3" customFormat="1" x14ac:dyDescent="0.2">
      <c r="AA83" s="37"/>
      <c r="AB83" s="37"/>
      <c r="AC83" s="37"/>
      <c r="AD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B83" s="134"/>
    </row>
    <row r="84" spans="1:107" s="13" customFormat="1" x14ac:dyDescent="0.2">
      <c r="A84" s="13" t="s">
        <v>36</v>
      </c>
      <c r="AA84" s="37"/>
      <c r="AB84" s="37"/>
      <c r="AC84" s="37"/>
      <c r="AD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B84" s="134"/>
    </row>
    <row r="85" spans="1:107" s="13" customFormat="1" x14ac:dyDescent="0.2">
      <c r="A85" s="13" t="s">
        <v>457</v>
      </c>
      <c r="B85" s="13">
        <f>'Annual Raw'!C106</f>
        <v>40.799999999999997</v>
      </c>
      <c r="C85" s="13">
        <f>'Annual Raw'!D106</f>
        <v>49.73</v>
      </c>
      <c r="D85" s="13">
        <f>'Annual Raw'!E106</f>
        <v>134.75</v>
      </c>
      <c r="E85" s="13">
        <f>'Annual Raw'!F106</f>
        <v>194.02</v>
      </c>
      <c r="F85" s="13">
        <f>'Annual Raw'!G106</f>
        <v>385.79</v>
      </c>
      <c r="G85" s="13">
        <f>'Annual Raw'!H106</f>
        <v>742.3</v>
      </c>
      <c r="H85" s="13">
        <f>'Annual Raw'!I106</f>
        <v>1512.35</v>
      </c>
      <c r="I85" s="13">
        <f>'Annual Raw'!J106</f>
        <v>453.45</v>
      </c>
      <c r="J85" s="13">
        <f>'Annual Raw'!K106</f>
        <v>767.25</v>
      </c>
      <c r="K85" s="13">
        <f>'Annual Raw'!L106</f>
        <v>792.25</v>
      </c>
      <c r="L85" s="13">
        <f>'Annual Raw'!M106</f>
        <v>583.6</v>
      </c>
      <c r="M85" s="13">
        <f>'Annual Raw'!N106</f>
        <v>700.4</v>
      </c>
      <c r="N85" s="13">
        <f>'Annual Raw'!O106</f>
        <v>692.8</v>
      </c>
      <c r="O85" s="13">
        <f>'Annual Raw'!P106</f>
        <v>1286.2</v>
      </c>
      <c r="P85" s="13">
        <f>'Annual Raw'!Q106</f>
        <v>1118.0999999999999</v>
      </c>
      <c r="Q85" s="13">
        <f>'Annual Raw'!R106</f>
        <v>1039.0999999999999</v>
      </c>
      <c r="R85" s="13">
        <f>'Annual Raw'!S106</f>
        <v>1399.5</v>
      </c>
      <c r="S85" s="13">
        <f>'Annual Raw'!T106</f>
        <v>1332</v>
      </c>
      <c r="T85" s="13">
        <f>'Annual Raw'!U106</f>
        <v>1284.0999999999999</v>
      </c>
      <c r="U85" s="13">
        <f>'Annual Raw'!V106</f>
        <v>1212.1500000000001</v>
      </c>
      <c r="V85" s="13">
        <f>'Annual Raw'!W106</f>
        <v>2234.85</v>
      </c>
      <c r="W85" s="13">
        <f>'Annual Raw'!X106</f>
        <v>2683.15</v>
      </c>
      <c r="X85" s="13">
        <f>'Annual Raw'!Y106</f>
        <v>4673.95</v>
      </c>
      <c r="Y85" s="13">
        <f>'Annual Raw'!Z106</f>
        <v>6913.95</v>
      </c>
      <c r="Z85" s="13">
        <f>'Annual Raw'!AA106</f>
        <v>5170.3</v>
      </c>
      <c r="AA85" s="37">
        <f>+CK85</f>
        <v>5936.5</v>
      </c>
      <c r="AB85" s="37">
        <f>+CO85</f>
        <v>6535</v>
      </c>
      <c r="AC85" s="37">
        <f>+CS85</f>
        <v>6535</v>
      </c>
      <c r="AD85" s="37">
        <f>+CW85</f>
        <v>6535</v>
      </c>
      <c r="AI85" s="13">
        <f>'QTR Share Price'!HP21</f>
        <v>797.75</v>
      </c>
      <c r="AJ85" s="13">
        <f>'QTR Share Price'!HQ21</f>
        <v>700.4</v>
      </c>
      <c r="AK85" s="13">
        <f>'QTR Share Price'!HR21</f>
        <v>489.2</v>
      </c>
      <c r="AL85" s="13">
        <f>'QTR Share Price'!HS21</f>
        <v>610.85</v>
      </c>
      <c r="AM85" s="13">
        <f>'QTR Share Price'!HT21</f>
        <v>543.9</v>
      </c>
      <c r="AN85" s="13">
        <f>'QTR Share Price'!HU21</f>
        <v>692.8</v>
      </c>
      <c r="AO85" s="13">
        <f>'QTR Share Price'!HV21</f>
        <v>849.95</v>
      </c>
      <c r="AP85" s="13">
        <f>'QTR Share Price'!HW21</f>
        <v>1122.05</v>
      </c>
      <c r="AQ85" s="13">
        <f>'QTR Share Price'!HX21</f>
        <v>1147.3</v>
      </c>
      <c r="AR85" s="13">
        <f>'QTR Share Price'!HY21</f>
        <v>1286.2</v>
      </c>
      <c r="AS85" s="13">
        <f>'QTR Share Price'!HZ21</f>
        <v>1257</v>
      </c>
      <c r="AT85" s="13">
        <f>'QTR Share Price'!IA21</f>
        <v>1322.75</v>
      </c>
      <c r="AU85" s="13">
        <f>'QTR Share Price'!IB21</f>
        <v>1057.9000000000001</v>
      </c>
      <c r="AV85" s="13">
        <f>'QTR Share Price'!IC21</f>
        <v>1118.0999999999999</v>
      </c>
      <c r="AW85" s="13">
        <f>'QTR Share Price'!ID21</f>
        <v>1276.5</v>
      </c>
      <c r="AX85" s="13">
        <f>'QTR Share Price'!IE21</f>
        <v>1224.7</v>
      </c>
      <c r="AY85" s="13">
        <f>'QTR Share Price'!IF21</f>
        <v>1134.7</v>
      </c>
      <c r="AZ85" s="13">
        <f>'QTR Share Price'!IG21</f>
        <v>1039.0999999999999</v>
      </c>
      <c r="BA85" s="13">
        <f>'QTR Share Price'!IH21</f>
        <v>1279.6500000000001</v>
      </c>
      <c r="BB85" s="13">
        <f>'QTR Share Price'!II21</f>
        <v>1451.1</v>
      </c>
      <c r="BC85" s="13">
        <f>'QTR Share Price'!IJ21</f>
        <v>1396.05</v>
      </c>
      <c r="BD85" s="13">
        <f>'QTR Share Price'!IK21</f>
        <v>1399.5</v>
      </c>
      <c r="BE85" s="13">
        <f>'QTR Share Price'!IL21</f>
        <v>1286.5999999999999</v>
      </c>
      <c r="BF85" s="13">
        <f>'QTR Share Price'!IM21</f>
        <v>1180.5999999999999</v>
      </c>
      <c r="BG85" s="13">
        <f>'QTR Share Price'!IN21</f>
        <v>1402.55</v>
      </c>
      <c r="BH85" s="13">
        <f>'QTR Share Price'!IO21</f>
        <v>1332</v>
      </c>
      <c r="BI85" s="13">
        <f>'QTR Share Price'!IP21</f>
        <v>1319.85</v>
      </c>
      <c r="BJ85" s="13">
        <f>'QTR Share Price'!IQ21</f>
        <v>1603.35</v>
      </c>
      <c r="BK85" s="13">
        <f>'QTR Share Price'!IR21</f>
        <v>1521</v>
      </c>
      <c r="BL85" s="13">
        <f>'QTR Share Price'!IS21</f>
        <v>1284.0999999999999</v>
      </c>
      <c r="BM85" s="13">
        <f>'QTR Share Price'!IT21</f>
        <v>932.65</v>
      </c>
      <c r="BN85" s="13">
        <f>'QTR Share Price'!IU21</f>
        <v>943.6</v>
      </c>
      <c r="BO85" s="13">
        <f>'QTR Share Price'!IV21</f>
        <v>859.45</v>
      </c>
      <c r="BP85" s="13">
        <f>'QTR Share Price'!IW21</f>
        <v>1212.1500000000001</v>
      </c>
      <c r="BQ85" s="13">
        <f>'QTR Share Price'!IX21</f>
        <v>1417.4</v>
      </c>
      <c r="BR85" s="13">
        <f>'QTR Share Price'!IY21</f>
        <v>1806.05</v>
      </c>
      <c r="BS85" s="13">
        <f>'QTR Share Price'!IZ21</f>
        <v>1869.05</v>
      </c>
      <c r="BT85" s="13">
        <f>'QTR Share Price'!JA21</f>
        <v>2234.85</v>
      </c>
      <c r="BU85" s="13">
        <f>'QTR Share Price'!JB21</f>
        <v>2154.3000000000002</v>
      </c>
      <c r="BV85" s="13">
        <f>'QTR Share Price'!JC21</f>
        <v>2296.25</v>
      </c>
      <c r="BW85" s="13">
        <f>'QTR Share Price'!JD21</f>
        <v>3090.4</v>
      </c>
      <c r="BX85" s="13">
        <f>'QTR Share Price'!JE21</f>
        <v>2683.15</v>
      </c>
      <c r="BY85" s="13">
        <f>'QTR Share Price'!JF21</f>
        <v>3365.5</v>
      </c>
      <c r="BZ85" s="13">
        <f>'QTR Share Price'!JG21</f>
        <v>4421.25</v>
      </c>
      <c r="CA85" s="13">
        <f>'QTR Share Price'!JH21</f>
        <v>4100.3500000000004</v>
      </c>
      <c r="CB85" s="13">
        <f>'QTR Share Price'!JI21</f>
        <v>4673.95</v>
      </c>
      <c r="CC85" s="13">
        <f>'QTR Share Price'!JJ21</f>
        <v>6363.3</v>
      </c>
      <c r="CD85" s="13">
        <f>'QTR Share Price'!JK21</f>
        <v>8492.6</v>
      </c>
      <c r="CE85" s="13">
        <f>'QTR Share Price'!JL21</f>
        <v>8061.5</v>
      </c>
      <c r="CF85" s="13">
        <f>'QTR Share Price'!JM21</f>
        <v>6913.95</v>
      </c>
      <c r="CG85" s="13">
        <f>'QTR Share Price'!JN21</f>
        <v>5542.55</v>
      </c>
      <c r="CH85" s="13">
        <f>'QTR Share Price'!JO21</f>
        <v>6076.95</v>
      </c>
      <c r="CI85" s="13">
        <f>'QTR Share Price'!JP21</f>
        <v>5184.95</v>
      </c>
      <c r="CJ85" s="13">
        <f>'QTR Share Price'!JQ21</f>
        <v>5170.3</v>
      </c>
      <c r="CK85" s="13">
        <f>'QTR Share Price'!JR21</f>
        <v>5936.5</v>
      </c>
      <c r="CL85" s="37">
        <v>6535</v>
      </c>
      <c r="CM85" s="37">
        <f t="shared" ref="CM85" si="826">+CL85</f>
        <v>6535</v>
      </c>
      <c r="CN85" s="37">
        <f t="shared" ref="CN85" si="827">+CM85</f>
        <v>6535</v>
      </c>
      <c r="CO85" s="37">
        <f t="shared" ref="CO85" si="828">+CN85</f>
        <v>6535</v>
      </c>
      <c r="CP85" s="37">
        <f t="shared" ref="CP85" si="829">+CO85</f>
        <v>6535</v>
      </c>
      <c r="CQ85" s="37">
        <f t="shared" ref="CQ85" si="830">+CP85</f>
        <v>6535</v>
      </c>
      <c r="CR85" s="37">
        <f t="shared" ref="CR85" si="831">+CQ85</f>
        <v>6535</v>
      </c>
      <c r="CS85" s="37">
        <f t="shared" ref="CS85" si="832">+CR85</f>
        <v>6535</v>
      </c>
      <c r="CT85" s="37">
        <f t="shared" ref="CT85" si="833">+CS85</f>
        <v>6535</v>
      </c>
      <c r="CU85" s="37">
        <f t="shared" ref="CU85" si="834">+CT85</f>
        <v>6535</v>
      </c>
      <c r="CV85" s="37">
        <f t="shared" ref="CV85" si="835">+CU85</f>
        <v>6535</v>
      </c>
      <c r="CW85" s="37">
        <f t="shared" ref="CW85" si="836">+CV85</f>
        <v>6535</v>
      </c>
      <c r="CX85" s="37">
        <f t="shared" ref="CX85" si="837">+CW85</f>
        <v>6535</v>
      </c>
      <c r="CY85" s="37">
        <f t="shared" ref="CY85" si="838">+CX85</f>
        <v>6535</v>
      </c>
      <c r="CZ85" s="37">
        <f t="shared" ref="CZ85" si="839">+CY85</f>
        <v>6535</v>
      </c>
      <c r="DB85" s="134"/>
      <c r="DC85" s="13">
        <v>0</v>
      </c>
    </row>
    <row r="86" spans="1:107" s="13" customFormat="1" x14ac:dyDescent="0.2">
      <c r="A86" s="13" t="s">
        <v>458</v>
      </c>
      <c r="B86" s="13">
        <f>'Annual Raw'!C107</f>
        <v>66.8</v>
      </c>
      <c r="C86" s="13">
        <f>'Annual Raw'!D107</f>
        <v>58.39</v>
      </c>
      <c r="D86" s="13">
        <f>'Annual Raw'!E107</f>
        <v>135.38999999999999</v>
      </c>
      <c r="E86" s="13">
        <f>'Annual Raw'!F107</f>
        <v>200</v>
      </c>
      <c r="F86" s="13">
        <f>'Annual Raw'!G107</f>
        <v>410.2</v>
      </c>
      <c r="G86" s="13">
        <f>'Annual Raw'!H107</f>
        <v>789</v>
      </c>
      <c r="H86" s="13">
        <f>'Annual Raw'!I107</f>
        <v>1670</v>
      </c>
      <c r="I86" s="13">
        <f>'Annual Raw'!J107</f>
        <v>1528</v>
      </c>
      <c r="J86" s="13">
        <f>'Annual Raw'!K107</f>
        <v>834</v>
      </c>
      <c r="K86" s="13">
        <f>'Annual Raw'!L107</f>
        <v>974.9</v>
      </c>
      <c r="L86" s="13">
        <f>'Annual Raw'!M107</f>
        <v>907.5</v>
      </c>
      <c r="M86" s="13">
        <f>'Annual Raw'!N107</f>
        <v>915</v>
      </c>
      <c r="N86" s="13">
        <f>'Annual Raw'!O107</f>
        <v>737</v>
      </c>
      <c r="O86" s="13">
        <f>'Annual Raw'!P107</f>
        <v>1396.7</v>
      </c>
      <c r="P86" s="13">
        <f>'Annual Raw'!Q107</f>
        <v>1525</v>
      </c>
      <c r="Q86" s="13">
        <f>'Annual Raw'!R107</f>
        <v>1432.7</v>
      </c>
      <c r="R86" s="13">
        <f>'Annual Raw'!S107</f>
        <v>1619.45</v>
      </c>
      <c r="S86" s="13">
        <f>'Annual Raw'!T107</f>
        <v>1744.4</v>
      </c>
      <c r="T86" s="13">
        <f>'Annual Raw'!U107</f>
        <v>1669</v>
      </c>
      <c r="U86" s="13">
        <f>'Annual Raw'!V107</f>
        <v>1411.8</v>
      </c>
      <c r="V86" s="13">
        <f>'Annual Raw'!W107</f>
        <v>2370</v>
      </c>
      <c r="W86" s="13">
        <f>'Annual Raw'!X107</f>
        <v>3445.65</v>
      </c>
      <c r="X86" s="13">
        <f>'Annual Raw'!Y107</f>
        <v>4953.2</v>
      </c>
      <c r="Y86" s="13">
        <f>'Annual Raw'!Z107</f>
        <v>9200</v>
      </c>
      <c r="Z86" s="13">
        <f>'Annual Raw'!AA107</f>
        <v>6947.45</v>
      </c>
      <c r="AA86" s="37">
        <f>MAX(CH86:CK86)</f>
        <v>6555</v>
      </c>
      <c r="AB86" s="37">
        <f>+MAX(CL86:CO86)</f>
        <v>7830.4984576086081</v>
      </c>
      <c r="AC86" s="37">
        <f>+MAX(CP86:CS86)</f>
        <v>9501.6474239000563</v>
      </c>
      <c r="AD86" s="37">
        <f>+MAX(CT86:CW86)</f>
        <v>10579.272524755337</v>
      </c>
      <c r="AI86" s="13">
        <f>'QTR Share Price'!HP19</f>
        <v>822.25</v>
      </c>
      <c r="AJ86" s="13">
        <f>'QTR Share Price'!HQ19</f>
        <v>830</v>
      </c>
      <c r="AK86" s="13">
        <f>'QTR Share Price'!HR19</f>
        <v>737</v>
      </c>
      <c r="AL86" s="13">
        <f>'QTR Share Price'!HS19</f>
        <v>694.4</v>
      </c>
      <c r="AM86" s="13">
        <f>'QTR Share Price'!HT19</f>
        <v>627.20000000000005</v>
      </c>
      <c r="AN86" s="13">
        <f>'QTR Share Price'!HU19</f>
        <v>720.2</v>
      </c>
      <c r="AO86" s="13">
        <f>'QTR Share Price'!HV19</f>
        <v>858</v>
      </c>
      <c r="AP86" s="13">
        <f>'QTR Share Price'!HW19</f>
        <v>1125</v>
      </c>
      <c r="AQ86" s="13">
        <f>'QTR Share Price'!HX19</f>
        <v>1263.5</v>
      </c>
      <c r="AR86" s="13">
        <f>'QTR Share Price'!HY19</f>
        <v>1396.7</v>
      </c>
      <c r="AS86" s="13">
        <f>'QTR Share Price'!HZ19</f>
        <v>1525</v>
      </c>
      <c r="AT86" s="13">
        <f>'QTR Share Price'!IA19</f>
        <v>1431.85</v>
      </c>
      <c r="AU86" s="13">
        <f>'QTR Share Price'!IB19</f>
        <v>1444.4</v>
      </c>
      <c r="AV86" s="13">
        <f>'QTR Share Price'!IC19</f>
        <v>1299.05</v>
      </c>
      <c r="AW86" s="13">
        <f>'QTR Share Price'!ID19</f>
        <v>1295.1500000000001</v>
      </c>
      <c r="AX86" s="13">
        <f>'QTR Share Price'!IE19</f>
        <v>1432.7</v>
      </c>
      <c r="AY86" s="13">
        <f>'QTR Share Price'!IF19</f>
        <v>1322.1</v>
      </c>
      <c r="AZ86" s="13">
        <f>'QTR Share Price'!IG19</f>
        <v>1189</v>
      </c>
      <c r="BA86" s="13">
        <f>'QTR Share Price'!IH19</f>
        <v>1292.9000000000001</v>
      </c>
      <c r="BB86" s="13">
        <f>'QTR Share Price'!II19</f>
        <v>1619.45</v>
      </c>
      <c r="BC86" s="13">
        <f>'QTR Share Price'!IJ19</f>
        <v>1548.4</v>
      </c>
      <c r="BD86" s="13">
        <f>'QTR Share Price'!IK19</f>
        <v>1444</v>
      </c>
      <c r="BE86" s="13">
        <f>'QTR Share Price'!IL19</f>
        <v>1744.4</v>
      </c>
      <c r="BF86" s="13">
        <f>'QTR Share Price'!IM19</f>
        <v>1380</v>
      </c>
      <c r="BG86" s="13">
        <f>'QTR Share Price'!IN19</f>
        <v>1516.55</v>
      </c>
      <c r="BH86" s="13">
        <f>'QTR Share Price'!IO19</f>
        <v>1465</v>
      </c>
      <c r="BI86" s="13">
        <f>'QTR Share Price'!IP19</f>
        <v>1359</v>
      </c>
      <c r="BJ86" s="13">
        <f>'QTR Share Price'!IQ19</f>
        <v>1639.7</v>
      </c>
      <c r="BK86" s="13">
        <f>'QTR Share Price'!IR19</f>
        <v>1669</v>
      </c>
      <c r="BL86" s="13">
        <f>'QTR Share Price'!IS19</f>
        <v>1580.05</v>
      </c>
      <c r="BM86" s="13">
        <f>'QTR Share Price'!IT19</f>
        <v>1411.8</v>
      </c>
      <c r="BN86" s="13">
        <f>'QTR Share Price'!IU19</f>
        <v>1100</v>
      </c>
      <c r="BO86" s="13">
        <f>'QTR Share Price'!IV19</f>
        <v>1016.75</v>
      </c>
      <c r="BP86" s="13">
        <f>'QTR Share Price'!IW19</f>
        <v>1260</v>
      </c>
      <c r="BQ86" s="13">
        <f>'QTR Share Price'!IX19</f>
        <v>1699.9</v>
      </c>
      <c r="BR86" s="13">
        <f>'QTR Share Price'!IY19</f>
        <v>1856.1</v>
      </c>
      <c r="BS86" s="13">
        <f>'QTR Share Price'!IZ19</f>
        <v>1941</v>
      </c>
      <c r="BT86" s="13">
        <f>'QTR Share Price'!JA19</f>
        <v>2370</v>
      </c>
      <c r="BU86" s="13">
        <f>'QTR Share Price'!JB19</f>
        <v>2469.6</v>
      </c>
      <c r="BV86" s="13">
        <f>'QTR Share Price'!JC19</f>
        <v>2488.4499999999998</v>
      </c>
      <c r="BW86" s="13">
        <f>'QTR Share Price'!JD19</f>
        <v>3445.65</v>
      </c>
      <c r="BX86" s="13">
        <f>'QTR Share Price'!JE19</f>
        <v>3328</v>
      </c>
      <c r="BY86" s="13">
        <f>'QTR Share Price'!JF19</f>
        <v>3433.7</v>
      </c>
      <c r="BZ86" s="13">
        <f>'QTR Share Price'!JG19</f>
        <v>4444.5</v>
      </c>
      <c r="CA86" s="13">
        <f>'QTR Share Price'!JH19</f>
        <v>4675.8500000000004</v>
      </c>
      <c r="CB86" s="13">
        <f>'QTR Share Price'!JI19</f>
        <v>4953.2</v>
      </c>
      <c r="CC86" s="13">
        <f>'QTR Share Price'!JJ19</f>
        <v>6470</v>
      </c>
      <c r="CD86" s="13">
        <f>'QTR Share Price'!JK19</f>
        <v>9200</v>
      </c>
      <c r="CE86" s="13">
        <f>'QTR Share Price'!JL19</f>
        <v>8809</v>
      </c>
      <c r="CF86" s="13">
        <f>'QTR Share Price'!JM19</f>
        <v>8941.4500000000007</v>
      </c>
      <c r="CG86" s="13">
        <f>'QTR Share Price'!JN19</f>
        <v>6947.45</v>
      </c>
      <c r="CH86" s="13">
        <f>'QTR Share Price'!JO19</f>
        <v>6299.8</v>
      </c>
      <c r="CI86" s="13">
        <f>'QTR Share Price'!JP19</f>
        <v>6143.5</v>
      </c>
      <c r="CJ86" s="13">
        <f>'QTR Share Price'!JQ19</f>
        <v>5359.95</v>
      </c>
      <c r="CK86" s="13">
        <f>'QTR Share Price'!JR19</f>
        <v>6555</v>
      </c>
      <c r="CL86" s="37">
        <f t="shared" ref="CL86:CZ86" si="840">+CL77*CL94</f>
        <v>6965.135876659866</v>
      </c>
      <c r="CM86" s="37">
        <f t="shared" si="840"/>
        <v>7229.5260794394462</v>
      </c>
      <c r="CN86" s="37">
        <f t="shared" si="840"/>
        <v>7153.4608236264658</v>
      </c>
      <c r="CO86" s="37">
        <f t="shared" si="840"/>
        <v>7830.4984576086081</v>
      </c>
      <c r="CP86" s="37">
        <f t="shared" si="840"/>
        <v>8322.241792382325</v>
      </c>
      <c r="CQ86" s="37">
        <f t="shared" si="840"/>
        <v>8742.7285321251729</v>
      </c>
      <c r="CR86" s="37">
        <f t="shared" si="840"/>
        <v>9161.2100358597963</v>
      </c>
      <c r="CS86" s="37">
        <f t="shared" si="840"/>
        <v>9501.6474239000563</v>
      </c>
      <c r="CT86" s="37">
        <f t="shared" si="840"/>
        <v>9766.8426971561112</v>
      </c>
      <c r="CU86" s="37">
        <f t="shared" si="840"/>
        <v>9978.9064752506838</v>
      </c>
      <c r="CV86" s="37">
        <f t="shared" si="840"/>
        <v>10139.298301905719</v>
      </c>
      <c r="CW86" s="37">
        <f t="shared" si="840"/>
        <v>10579.272524755337</v>
      </c>
      <c r="CX86" s="37">
        <f t="shared" si="840"/>
        <v>11034.065970777408</v>
      </c>
      <c r="CY86" s="37">
        <f t="shared" si="840"/>
        <v>11514.299554998335</v>
      </c>
      <c r="CZ86" s="37">
        <f t="shared" si="840"/>
        <v>12049.996574372139</v>
      </c>
      <c r="DB86" s="134"/>
      <c r="DC86" s="13">
        <v>0</v>
      </c>
    </row>
    <row r="87" spans="1:107" s="13" customFormat="1" x14ac:dyDescent="0.2">
      <c r="A87" s="13" t="s">
        <v>459</v>
      </c>
      <c r="B87" s="13">
        <f>'Annual Raw'!C108</f>
        <v>35.6</v>
      </c>
      <c r="C87" s="13">
        <f>'Annual Raw'!D108</f>
        <v>40.75</v>
      </c>
      <c r="D87" s="13">
        <f>'Annual Raw'!E108</f>
        <v>49.47</v>
      </c>
      <c r="E87" s="13">
        <f>'Annual Raw'!F108</f>
        <v>119.4</v>
      </c>
      <c r="F87" s="13">
        <f>'Annual Raw'!G108</f>
        <v>177</v>
      </c>
      <c r="G87" s="13">
        <f>'Annual Raw'!H108</f>
        <v>382</v>
      </c>
      <c r="H87" s="13">
        <f>'Annual Raw'!I108</f>
        <v>638</v>
      </c>
      <c r="I87" s="13">
        <f>'Annual Raw'!J108</f>
        <v>379.15</v>
      </c>
      <c r="J87" s="13">
        <f>'Annual Raw'!K108</f>
        <v>344</v>
      </c>
      <c r="K87" s="13">
        <f>'Annual Raw'!L108</f>
        <v>669.2</v>
      </c>
      <c r="L87" s="13">
        <f>'Annual Raw'!M108</f>
        <v>541.1</v>
      </c>
      <c r="M87" s="13">
        <f>'Annual Raw'!N108</f>
        <v>580</v>
      </c>
      <c r="N87" s="13">
        <f>'Annual Raw'!O108</f>
        <v>448.1</v>
      </c>
      <c r="O87" s="13">
        <f>'Annual Raw'!P108</f>
        <v>568.04999999999995</v>
      </c>
      <c r="P87" s="13">
        <f>'Annual Raw'!Q108</f>
        <v>1021.05</v>
      </c>
      <c r="Q87" s="13">
        <f>'Annual Raw'!R108</f>
        <v>950</v>
      </c>
      <c r="R87" s="13">
        <f>'Annual Raw'!S108</f>
        <v>1029.55</v>
      </c>
      <c r="S87" s="13">
        <f>'Annual Raw'!T108</f>
        <v>1123</v>
      </c>
      <c r="T87" s="13">
        <f>'Annual Raw'!U108</f>
        <v>1209.95</v>
      </c>
      <c r="U87" s="13">
        <f>'Annual Raw'!V108</f>
        <v>722.45</v>
      </c>
      <c r="V87" s="13">
        <f>'Annual Raw'!W108</f>
        <v>1214.1500000000001</v>
      </c>
      <c r="W87" s="13">
        <f>'Annual Raw'!X108</f>
        <v>1944.6</v>
      </c>
      <c r="X87" s="13">
        <f>'Annual Raw'!Y108</f>
        <v>2662.95</v>
      </c>
      <c r="Y87" s="13">
        <f>'Annual Raw'!Z108</f>
        <v>4342.1499999999996</v>
      </c>
      <c r="Z87" s="13">
        <f>'Annual Raw'!AA108</f>
        <v>4590.05</v>
      </c>
      <c r="AA87" s="37">
        <f>MIN(CH87:CK87)</f>
        <v>4590.05</v>
      </c>
      <c r="AB87" s="37">
        <f>+MIN(CL87:CO87)</f>
        <v>4421.3752027962119</v>
      </c>
      <c r="AC87" s="37">
        <f>+MIN(CP87:CS87)</f>
        <v>5282.8479076504291</v>
      </c>
      <c r="AD87" s="37">
        <f>+MIN(CT87:CW87)</f>
        <v>6199.8612626528784</v>
      </c>
      <c r="AI87" s="13">
        <f>+'QTR Share Price'!HP20</f>
        <v>707.5</v>
      </c>
      <c r="AJ87" s="13">
        <f>+'QTR Share Price'!HQ20</f>
        <v>676.95</v>
      </c>
      <c r="AK87" s="13">
        <f>+'QTR Share Price'!HR20</f>
        <v>484.3</v>
      </c>
      <c r="AL87" s="13">
        <f>+'QTR Share Price'!HS20</f>
        <v>469</v>
      </c>
      <c r="AM87" s="13">
        <f>+'QTR Share Price'!HT20</f>
        <v>448.1</v>
      </c>
      <c r="AN87" s="13">
        <f>+'QTR Share Price'!HU20</f>
        <v>535.15</v>
      </c>
      <c r="AO87" s="13">
        <f>+'QTR Share Price'!HV20</f>
        <v>568.04999999999995</v>
      </c>
      <c r="AP87" s="13">
        <f>+'QTR Share Price'!HW20</f>
        <v>807.3</v>
      </c>
      <c r="AQ87" s="13">
        <f>+'QTR Share Price'!HX20</f>
        <v>956.1</v>
      </c>
      <c r="AR87" s="13">
        <f>+'QTR Share Price'!HY20</f>
        <v>988.25</v>
      </c>
      <c r="AS87" s="13">
        <f>+'QTR Share Price'!HZ20</f>
        <v>1184</v>
      </c>
      <c r="AT87" s="13">
        <f>+'QTR Share Price'!IA20</f>
        <v>1245</v>
      </c>
      <c r="AU87" s="13">
        <f>+'QTR Share Price'!IB20</f>
        <v>1021.05</v>
      </c>
      <c r="AV87" s="13">
        <f>+'QTR Share Price'!IC20</f>
        <v>1045</v>
      </c>
      <c r="AW87" s="13">
        <f>+'QTR Share Price'!ID20</f>
        <v>963.05</v>
      </c>
      <c r="AX87" s="13">
        <f>+'QTR Share Price'!IE20</f>
        <v>1182.75</v>
      </c>
      <c r="AY87" s="13">
        <f>+'QTR Share Price'!IF20</f>
        <v>1109.55</v>
      </c>
      <c r="AZ87" s="13">
        <f>+'QTR Share Price'!IG20</f>
        <v>950</v>
      </c>
      <c r="BA87" s="13">
        <f>+'QTR Share Price'!IH20</f>
        <v>1029.55</v>
      </c>
      <c r="BB87" s="13">
        <f>+'QTR Share Price'!II20</f>
        <v>1280.7</v>
      </c>
      <c r="BC87" s="13">
        <f>+'QTR Share Price'!IJ20</f>
        <v>1175</v>
      </c>
      <c r="BD87" s="13">
        <f>+'QTR Share Price'!IK20</f>
        <v>1306.6500000000001</v>
      </c>
      <c r="BE87" s="13">
        <f>+'QTR Share Price'!IL20</f>
        <v>1267.1500000000001</v>
      </c>
      <c r="BF87" s="13">
        <f>+'QTR Share Price'!IM20</f>
        <v>1123</v>
      </c>
      <c r="BG87" s="13">
        <f>+'QTR Share Price'!IN20</f>
        <v>1130</v>
      </c>
      <c r="BH87" s="13">
        <f>+'QTR Share Price'!IO20</f>
        <v>1191</v>
      </c>
      <c r="BI87" s="13">
        <f>+'QTR Share Price'!IP20</f>
        <v>1209.95</v>
      </c>
      <c r="BJ87" s="13">
        <f>+'QTR Share Price'!IQ20</f>
        <v>1306.3499999999999</v>
      </c>
      <c r="BK87" s="13">
        <f>+'QTR Share Price'!IR20</f>
        <v>1307.0999999999999</v>
      </c>
      <c r="BL87" s="13">
        <f>+'QTR Share Price'!IS20</f>
        <v>1230</v>
      </c>
      <c r="BM87" s="13">
        <f>+'QTR Share Price'!IT20</f>
        <v>795</v>
      </c>
      <c r="BN87" s="13">
        <f>+'QTR Share Price'!IU20</f>
        <v>722.45</v>
      </c>
      <c r="BO87" s="13">
        <f>+'QTR Share Price'!IV20</f>
        <v>848.5</v>
      </c>
      <c r="BP87" s="13">
        <f>+'QTR Share Price'!IW20</f>
        <v>848.5</v>
      </c>
      <c r="BQ87" s="13">
        <f>+'QTR Share Price'!IX20</f>
        <v>1214.1500000000001</v>
      </c>
      <c r="BR87" s="13">
        <f>+'QTR Share Price'!IY20</f>
        <v>1300</v>
      </c>
      <c r="BS87" s="13">
        <f>+'QTR Share Price'!IZ20</f>
        <v>1619.3</v>
      </c>
      <c r="BT87" s="13">
        <f>+'QTR Share Price'!JA20</f>
        <v>1801</v>
      </c>
      <c r="BU87" s="13">
        <f>+'QTR Share Price'!JB20</f>
        <v>1944.6</v>
      </c>
      <c r="BV87" s="13">
        <f>+'QTR Share Price'!JC20</f>
        <v>2001</v>
      </c>
      <c r="BW87" s="13">
        <f>+'QTR Share Price'!JD20</f>
        <v>2261.0500000000002</v>
      </c>
      <c r="BX87" s="13">
        <f>+'QTR Share Price'!JE20</f>
        <v>2640.45</v>
      </c>
      <c r="BY87" s="13">
        <f>+'QTR Share Price'!JF20</f>
        <v>2662.95</v>
      </c>
      <c r="BZ87" s="13">
        <f>+'QTR Share Price'!JG20</f>
        <v>3143.2</v>
      </c>
      <c r="CA87" s="13">
        <f>+'QTR Share Price'!JH20</f>
        <v>4089.65</v>
      </c>
      <c r="CB87" s="13">
        <f>+'QTR Share Price'!JI20</f>
        <v>3847.5</v>
      </c>
      <c r="CC87" s="13">
        <f>+'QTR Share Price'!JJ20</f>
        <v>4342.1499999999996</v>
      </c>
      <c r="CD87" s="13">
        <f>+'QTR Share Price'!JK20</f>
        <v>6247.45</v>
      </c>
      <c r="CE87" s="13">
        <f>+'QTR Share Price'!JL20</f>
        <v>7067.8</v>
      </c>
      <c r="CF87" s="13">
        <f>+'QTR Share Price'!JM20</f>
        <v>6606.2</v>
      </c>
      <c r="CG87" s="13">
        <f>+'QTR Share Price'!JN20</f>
        <v>4893.1000000000004</v>
      </c>
      <c r="CH87" s="13">
        <f>+'QTR Share Price'!JO20</f>
        <v>4590.05</v>
      </c>
      <c r="CI87" s="13">
        <f>+'QTR Share Price'!JP20</f>
        <v>4940.5</v>
      </c>
      <c r="CJ87" s="13">
        <f>+'QTR Share Price'!JQ20</f>
        <v>4896</v>
      </c>
      <c r="CK87" s="13">
        <f>+'QTR Share Price'!JR20</f>
        <v>4640.5</v>
      </c>
      <c r="CL87" s="37">
        <f t="shared" ref="CL87:CZ87" si="841">+CL95*CL77</f>
        <v>4421.3752027962119</v>
      </c>
      <c r="CM87" s="37">
        <f t="shared" si="841"/>
        <v>4589.2065713627753</v>
      </c>
      <c r="CN87" s="37">
        <f t="shared" si="841"/>
        <v>4540.9213631771254</v>
      </c>
      <c r="CO87" s="37">
        <f t="shared" si="841"/>
        <v>4970.6958082499714</v>
      </c>
      <c r="CP87" s="37">
        <f t="shared" si="841"/>
        <v>5282.8479076504291</v>
      </c>
      <c r="CQ87" s="37">
        <f t="shared" si="841"/>
        <v>5549.7672724877457</v>
      </c>
      <c r="CR87" s="37">
        <f t="shared" si="841"/>
        <v>5815.4137402962715</v>
      </c>
      <c r="CS87" s="37">
        <f t="shared" si="841"/>
        <v>6031.5188461033003</v>
      </c>
      <c r="CT87" s="37">
        <f t="shared" si="841"/>
        <v>6199.8612626528784</v>
      </c>
      <c r="CU87" s="37">
        <f t="shared" si="841"/>
        <v>6334.4765158915934</v>
      </c>
      <c r="CV87" s="37">
        <f t="shared" si="841"/>
        <v>6436.2911046751551</v>
      </c>
      <c r="CW87" s="37">
        <f t="shared" si="841"/>
        <v>6715.5808634428904</v>
      </c>
      <c r="CX87" s="37">
        <f t="shared" si="841"/>
        <v>7004.2776671010142</v>
      </c>
      <c r="CY87" s="37">
        <f t="shared" si="841"/>
        <v>7309.1235306166845</v>
      </c>
      <c r="CZ87" s="37">
        <f t="shared" si="841"/>
        <v>7649.1768417958774</v>
      </c>
      <c r="DB87" s="134"/>
      <c r="DC87" s="13">
        <v>0</v>
      </c>
    </row>
    <row r="88" spans="1:107" s="14" customFormat="1" x14ac:dyDescent="0.2">
      <c r="AA88" s="16"/>
      <c r="AB88" s="16"/>
      <c r="AC88" s="16"/>
      <c r="AD88" s="16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B88" s="134"/>
    </row>
    <row r="89" spans="1:107" s="51" customFormat="1" x14ac:dyDescent="0.2">
      <c r="A89" s="51" t="s">
        <v>346</v>
      </c>
      <c r="AA89" s="48">
        <f t="shared" ref="AA89" si="842">+AA86/AA85-1</f>
        <v>0.10418596816305903</v>
      </c>
      <c r="AB89" s="48">
        <f t="shared" ref="AB89:AD89" si="843">+AB86/AB85-1</f>
        <v>0.19824000881539527</v>
      </c>
      <c r="AC89" s="48">
        <f t="shared" si="843"/>
        <v>0.45396288047437738</v>
      </c>
      <c r="AD89" s="48">
        <f t="shared" si="843"/>
        <v>0.61886343148513201</v>
      </c>
      <c r="CL89" s="48">
        <f t="shared" ref="CL89:CZ89" si="844">+CL86/CL85-1</f>
        <v>6.5820333077255766E-2</v>
      </c>
      <c r="CM89" s="48">
        <f t="shared" si="844"/>
        <v>0.10627790044980046</v>
      </c>
      <c r="CN89" s="48">
        <f t="shared" si="844"/>
        <v>9.4638228557990089E-2</v>
      </c>
      <c r="CO89" s="48">
        <f t="shared" si="844"/>
        <v>0.19824000881539527</v>
      </c>
      <c r="CP89" s="48">
        <f t="shared" si="844"/>
        <v>0.27348764994373753</v>
      </c>
      <c r="CQ89" s="48">
        <f t="shared" si="844"/>
        <v>0.3378314509755429</v>
      </c>
      <c r="CR89" s="48">
        <f t="shared" si="844"/>
        <v>0.40186840640547761</v>
      </c>
      <c r="CS89" s="48">
        <f t="shared" si="844"/>
        <v>0.45396288047437738</v>
      </c>
      <c r="CT89" s="48">
        <f t="shared" si="844"/>
        <v>0.49454364149290142</v>
      </c>
      <c r="CU89" s="48">
        <f t="shared" si="844"/>
        <v>0.52699410485855913</v>
      </c>
      <c r="CV89" s="48">
        <f t="shared" si="844"/>
        <v>0.55153761314548122</v>
      </c>
      <c r="CW89" s="48">
        <f t="shared" si="844"/>
        <v>0.61886343148513201</v>
      </c>
      <c r="CX89" s="48">
        <f t="shared" si="844"/>
        <v>0.68845691978231183</v>
      </c>
      <c r="CY89" s="48">
        <f t="shared" si="844"/>
        <v>0.76194331369523116</v>
      </c>
      <c r="CZ89" s="48">
        <f t="shared" si="844"/>
        <v>0.8439168438212914</v>
      </c>
      <c r="DB89" s="129"/>
    </row>
    <row r="90" spans="1:107" s="51" customFormat="1" x14ac:dyDescent="0.2">
      <c r="A90" s="51" t="s">
        <v>347</v>
      </c>
      <c r="AA90" s="48">
        <f t="shared" ref="AA90" si="845">+AA87/AA85-1</f>
        <v>-0.22680872568011456</v>
      </c>
      <c r="AB90" s="48">
        <f t="shared" ref="AB90:AD90" si="846">+AB87/AB85-1</f>
        <v>-0.32343149153845263</v>
      </c>
      <c r="AC90" s="48">
        <f t="shared" si="846"/>
        <v>-0.1916070531521914</v>
      </c>
      <c r="AD90" s="48">
        <f t="shared" si="846"/>
        <v>-5.1283662945236674E-2</v>
      </c>
      <c r="CL90" s="48">
        <f t="shared" ref="CL90:CZ90" si="847">+CL87/CL85-1</f>
        <v>-0.32343149153845263</v>
      </c>
      <c r="CM90" s="48">
        <f t="shared" si="847"/>
        <v>-0.29774956826889432</v>
      </c>
      <c r="CN90" s="48">
        <f t="shared" si="847"/>
        <v>-0.30513827648398995</v>
      </c>
      <c r="CO90" s="48">
        <f t="shared" si="847"/>
        <v>-0.23937325045907099</v>
      </c>
      <c r="CP90" s="48">
        <f t="shared" si="847"/>
        <v>-0.1916070531521914</v>
      </c>
      <c r="CQ90" s="48">
        <f t="shared" si="847"/>
        <v>-0.1507624678672157</v>
      </c>
      <c r="CR90" s="48">
        <f t="shared" si="847"/>
        <v>-0.11011266407096076</v>
      </c>
      <c r="CS90" s="48">
        <f t="shared" si="847"/>
        <v>-7.7043787895439864E-2</v>
      </c>
      <c r="CT90" s="48">
        <f t="shared" si="847"/>
        <v>-5.1283662945236674E-2</v>
      </c>
      <c r="CU90" s="48">
        <f t="shared" si="847"/>
        <v>-3.0684542327223618E-2</v>
      </c>
      <c r="CV90" s="48">
        <f t="shared" si="847"/>
        <v>-1.5104651159119298E-2</v>
      </c>
      <c r="CW90" s="48">
        <f t="shared" si="847"/>
        <v>2.7632878874199074E-2</v>
      </c>
      <c r="CX90" s="48">
        <f t="shared" si="847"/>
        <v>7.1809895501302901E-2</v>
      </c>
      <c r="CY90" s="48">
        <f t="shared" si="847"/>
        <v>0.11845807660546059</v>
      </c>
      <c r="CZ90" s="48">
        <f t="shared" si="847"/>
        <v>0.17049377839263613</v>
      </c>
      <c r="DB90" s="129"/>
    </row>
    <row r="91" spans="1:107" s="14" customFormat="1" x14ac:dyDescent="0.2">
      <c r="AA91" s="16"/>
      <c r="AB91" s="16"/>
      <c r="AC91" s="16"/>
      <c r="AD91" s="16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B91" s="134"/>
    </row>
    <row r="92" spans="1:107" s="13" customFormat="1" x14ac:dyDescent="0.2">
      <c r="A92" s="13" t="s">
        <v>40</v>
      </c>
      <c r="AA92" s="37"/>
      <c r="AB92" s="37"/>
      <c r="AC92" s="37"/>
      <c r="AD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B92" s="134"/>
    </row>
    <row r="93" spans="1:107" s="13" customFormat="1" x14ac:dyDescent="0.2">
      <c r="A93" s="13" t="s">
        <v>460</v>
      </c>
      <c r="B93" s="13">
        <f t="shared" ref="B93:D93" si="848">+B85/B77</f>
        <v>2.6469950815832664</v>
      </c>
      <c r="C93" s="13">
        <f t="shared" si="848"/>
        <v>2.5908894615984139</v>
      </c>
      <c r="D93" s="13">
        <f t="shared" si="848"/>
        <v>5.6604036516021505</v>
      </c>
      <c r="E93" s="13">
        <f t="shared" ref="E93:AD93" si="849">+E85/E77</f>
        <v>27.313870581982492</v>
      </c>
      <c r="F93" s="13">
        <f t="shared" si="849"/>
        <v>37.383401546573261</v>
      </c>
      <c r="G93" s="13">
        <f t="shared" si="849"/>
        <v>46.221129676744106</v>
      </c>
      <c r="H93" s="13">
        <f t="shared" si="849"/>
        <v>65.179412368890368</v>
      </c>
      <c r="I93" s="13">
        <f t="shared" si="849"/>
        <v>17.55275358824143</v>
      </c>
      <c r="J93" s="13">
        <f t="shared" si="849"/>
        <v>45.843866341866971</v>
      </c>
      <c r="K93" s="13">
        <f t="shared" si="849"/>
        <v>265.50210104965328</v>
      </c>
      <c r="L93" s="13">
        <f t="shared" si="849"/>
        <v>66.950809376861045</v>
      </c>
      <c r="M93" s="13">
        <f t="shared" si="849"/>
        <v>105.30350503760474</v>
      </c>
      <c r="N93" s="13">
        <f t="shared" si="849"/>
        <v>82.991870654078951</v>
      </c>
      <c r="O93" s="13">
        <f t="shared" si="849"/>
        <v>119.2708327863111</v>
      </c>
      <c r="P93" s="13">
        <f t="shared" si="849"/>
        <v>79.006732693076842</v>
      </c>
      <c r="Q93" s="13">
        <f t="shared" si="849"/>
        <v>58.799180174646679</v>
      </c>
      <c r="R93" s="13">
        <f t="shared" si="849"/>
        <v>131.52122139435872</v>
      </c>
      <c r="S93" s="13">
        <f t="shared" si="849"/>
        <v>111.03930131004343</v>
      </c>
      <c r="T93" s="13">
        <f t="shared" si="849"/>
        <v>73.159140160782911</v>
      </c>
      <c r="U93" s="13">
        <f t="shared" si="849"/>
        <v>149.63855811243798</v>
      </c>
      <c r="V93" s="13">
        <f t="shared" si="849"/>
        <v>115.18052170740611</v>
      </c>
      <c r="W93" s="13">
        <f t="shared" si="849"/>
        <v>82.838127048881617</v>
      </c>
      <c r="X93" s="13">
        <f t="shared" si="849"/>
        <v>79.348331570767002</v>
      </c>
      <c r="Y93" s="13">
        <f t="shared" si="849"/>
        <v>78.153109446764887</v>
      </c>
      <c r="Z93" s="13">
        <f t="shared" ref="Z93" si="850">+Z85/Z77</f>
        <v>65.627564993410829</v>
      </c>
      <c r="AA93" s="37">
        <f t="shared" si="849"/>
        <v>71.90335922742203</v>
      </c>
      <c r="AB93" s="37">
        <f t="shared" si="849"/>
        <v>61.805576705482807</v>
      </c>
      <c r="AC93" s="37">
        <f t="shared" si="849"/>
        <v>55.843496534661497</v>
      </c>
      <c r="AD93" s="37">
        <f t="shared" si="849"/>
        <v>46.988716228400612</v>
      </c>
      <c r="AK93" s="13">
        <f t="shared" ref="AK93:BP93" si="851">+AK85/AK77</f>
        <v>78.040713694195532</v>
      </c>
      <c r="AL93" s="13">
        <f t="shared" si="851"/>
        <v>107.12498137879646</v>
      </c>
      <c r="AM93" s="13">
        <f t="shared" si="851"/>
        <v>85.327911453320098</v>
      </c>
      <c r="AN93" s="13">
        <f t="shared" si="851"/>
        <v>82.991870654078639</v>
      </c>
      <c r="AO93" s="13">
        <f t="shared" si="851"/>
        <v>97.086089698668346</v>
      </c>
      <c r="AP93" s="13">
        <f t="shared" si="851"/>
        <v>122.83018804566818</v>
      </c>
      <c r="AQ93" s="13">
        <f t="shared" si="851"/>
        <v>119.79544200256247</v>
      </c>
      <c r="AR93" s="13">
        <f t="shared" si="851"/>
        <v>119.27083278631142</v>
      </c>
      <c r="AS93" s="13">
        <f t="shared" si="851"/>
        <v>115.24675493250268</v>
      </c>
      <c r="AT93" s="13">
        <f t="shared" si="851"/>
        <v>116.36114455330446</v>
      </c>
      <c r="AU93" s="13">
        <f t="shared" si="851"/>
        <v>88.033698554822351</v>
      </c>
      <c r="AV93" s="13">
        <f t="shared" si="851"/>
        <v>79.00673269307714</v>
      </c>
      <c r="AW93" s="13">
        <f t="shared" si="851"/>
        <v>81.709264741420924</v>
      </c>
      <c r="AX93" s="13">
        <f t="shared" si="851"/>
        <v>78.824508702123239</v>
      </c>
      <c r="AY93" s="13">
        <f t="shared" si="851"/>
        <v>70.49871870052209</v>
      </c>
      <c r="AZ93" s="13">
        <f t="shared" si="851"/>
        <v>58.79918017464697</v>
      </c>
      <c r="BA93" s="13">
        <f t="shared" si="851"/>
        <v>71.545602902374796</v>
      </c>
      <c r="BB93" s="13">
        <f t="shared" si="851"/>
        <v>77.176871141007169</v>
      </c>
      <c r="BC93" s="13">
        <f t="shared" si="851"/>
        <v>71.934392325649412</v>
      </c>
      <c r="BD93" s="13">
        <f t="shared" si="851"/>
        <v>89.848527540447407</v>
      </c>
      <c r="BE93" s="13">
        <f t="shared" si="851"/>
        <v>95.432140856903175</v>
      </c>
      <c r="BF93" s="13">
        <f t="shared" si="851"/>
        <v>98.086312487747733</v>
      </c>
      <c r="BG93" s="13">
        <f t="shared" si="851"/>
        <v>143.30505087034106</v>
      </c>
      <c r="BH93" s="13">
        <f t="shared" si="851"/>
        <v>110.94764150943401</v>
      </c>
      <c r="BI93" s="13">
        <f t="shared" si="851"/>
        <v>93.907801692297369</v>
      </c>
      <c r="BJ93" s="13">
        <f t="shared" si="851"/>
        <v>105.14339894160238</v>
      </c>
      <c r="BK93" s="13">
        <f t="shared" si="851"/>
        <v>88.009584664536703</v>
      </c>
      <c r="BL93" s="13">
        <f t="shared" si="851"/>
        <v>73.159140160782968</v>
      </c>
      <c r="BM93" s="13">
        <f t="shared" si="851"/>
        <v>67.653202451047576</v>
      </c>
      <c r="BN93" s="13">
        <f t="shared" si="851"/>
        <v>84.320347488719349</v>
      </c>
      <c r="BO93" s="13">
        <f t="shared" si="851"/>
        <v>74.696466510807667</v>
      </c>
      <c r="BP93" s="13">
        <f t="shared" si="851"/>
        <v>149.63855811243832</v>
      </c>
      <c r="BQ93" s="13">
        <f t="shared" ref="BQ93:CZ93" si="852">+BQ85/BQ77</f>
        <v>125.9158428709178</v>
      </c>
      <c r="BR93" s="13">
        <f t="shared" si="852"/>
        <v>131.01745806230747</v>
      </c>
      <c r="BS93" s="13">
        <f t="shared" si="852"/>
        <v>121.27248912976908</v>
      </c>
      <c r="BT93" s="13">
        <f t="shared" si="852"/>
        <v>115.18052170740604</v>
      </c>
      <c r="BU93" s="13">
        <f t="shared" si="852"/>
        <v>110.85654581218589</v>
      </c>
      <c r="BV93" s="13">
        <f t="shared" si="852"/>
        <v>98.115699104694357</v>
      </c>
      <c r="BW93" s="13">
        <f t="shared" si="852"/>
        <v>122.96837045104608</v>
      </c>
      <c r="BX93" s="13">
        <f t="shared" si="852"/>
        <v>82.199786751098785</v>
      </c>
      <c r="BY93" s="13">
        <f t="shared" si="852"/>
        <v>82.912785425289513</v>
      </c>
      <c r="BZ93" s="13">
        <f t="shared" si="852"/>
        <v>93.361389863275804</v>
      </c>
      <c r="CA93" s="13">
        <f t="shared" si="852"/>
        <v>71.87288876572724</v>
      </c>
      <c r="CB93" s="13">
        <f t="shared" si="852"/>
        <v>79.348331570767058</v>
      </c>
      <c r="CC93" s="13">
        <f t="shared" si="852"/>
        <v>92.190212701950657</v>
      </c>
      <c r="CD93" s="13">
        <f t="shared" si="852"/>
        <v>111.81486240470232</v>
      </c>
      <c r="CE93" s="13">
        <f t="shared" si="852"/>
        <v>101.20456484388889</v>
      </c>
      <c r="CF93" s="13">
        <f t="shared" si="852"/>
        <v>78.153109446764915</v>
      </c>
      <c r="CG93" s="13">
        <f t="shared" si="852"/>
        <v>62.727864093744635</v>
      </c>
      <c r="CH93" s="13">
        <f t="shared" ref="CH93:CI93" si="853">+CH85/CH77</f>
        <v>72.271152000538763</v>
      </c>
      <c r="CI93" s="13">
        <f t="shared" si="853"/>
        <v>62.775880480864821</v>
      </c>
      <c r="CJ93" s="13">
        <f t="shared" ref="CJ93:CK93" si="854">+CJ85/CJ77</f>
        <v>63.751378794667538</v>
      </c>
      <c r="CK93" s="13">
        <f t="shared" si="854"/>
        <v>78.468018813196707</v>
      </c>
      <c r="CL93" s="37">
        <f t="shared" si="852"/>
        <v>81.292580591823281</v>
      </c>
      <c r="CM93" s="37">
        <f t="shared" si="852"/>
        <v>78.319638571699315</v>
      </c>
      <c r="CN93" s="37">
        <f t="shared" si="852"/>
        <v>79.152438735147527</v>
      </c>
      <c r="CO93" s="37">
        <f t="shared" si="852"/>
        <v>72.308790130237824</v>
      </c>
      <c r="CP93" s="37">
        <f t="shared" si="852"/>
        <v>68.036219532175764</v>
      </c>
      <c r="CQ93" s="37">
        <f t="shared" si="852"/>
        <v>64.763977001666902</v>
      </c>
      <c r="CR93" s="37">
        <f t="shared" si="852"/>
        <v>61.805576705482828</v>
      </c>
      <c r="CS93" s="37">
        <f t="shared" si="852"/>
        <v>59.591126078004166</v>
      </c>
      <c r="CT93" s="37">
        <f t="shared" si="852"/>
        <v>57.973071456473932</v>
      </c>
      <c r="CU93" s="37">
        <f t="shared" si="852"/>
        <v>56.741073883263113</v>
      </c>
      <c r="CV93" s="37">
        <f t="shared" si="852"/>
        <v>55.843496534661547</v>
      </c>
      <c r="CW93" s="37">
        <f t="shared" si="852"/>
        <v>53.52105905783597</v>
      </c>
      <c r="CX93" s="37">
        <f t="shared" si="852"/>
        <v>51.315070173219112</v>
      </c>
      <c r="CY93" s="37">
        <f t="shared" si="852"/>
        <v>49.174842714646886</v>
      </c>
      <c r="CZ93" s="37">
        <f t="shared" si="852"/>
        <v>46.988716228400598</v>
      </c>
      <c r="DB93" s="134"/>
      <c r="DC93" s="13" t="e">
        <v>#DIV/0!</v>
      </c>
    </row>
    <row r="94" spans="1:107" s="13" customFormat="1" x14ac:dyDescent="0.2">
      <c r="A94" s="13" t="s">
        <v>461</v>
      </c>
      <c r="B94" s="13">
        <f t="shared" ref="B94:D94" si="855">+B86/B77</f>
        <v>4.333805672788289</v>
      </c>
      <c r="C94" s="13">
        <f t="shared" si="855"/>
        <v>3.0420678798055785</v>
      </c>
      <c r="D94" s="13">
        <f t="shared" si="855"/>
        <v>5.6872879435281263</v>
      </c>
      <c r="E94" s="13">
        <f t="shared" ref="E94:AD94" si="856">+E86/E77</f>
        <v>28.155726813712494</v>
      </c>
      <c r="F94" s="13">
        <f t="shared" si="856"/>
        <v>39.748752726624197</v>
      </c>
      <c r="G94" s="13">
        <f t="shared" si="856"/>
        <v>49.129019688739191</v>
      </c>
      <c r="H94" s="13">
        <f t="shared" si="856"/>
        <v>71.973827920816561</v>
      </c>
      <c r="I94" s="13">
        <f t="shared" si="856"/>
        <v>59.147882859924813</v>
      </c>
      <c r="J94" s="13">
        <f t="shared" si="856"/>
        <v>49.832237900445818</v>
      </c>
      <c r="K94" s="13">
        <f t="shared" si="856"/>
        <v>326.71252548224294</v>
      </c>
      <c r="L94" s="13">
        <f t="shared" si="856"/>
        <v>104.10873802176388</v>
      </c>
      <c r="M94" s="13">
        <f t="shared" si="856"/>
        <v>137.56811409110273</v>
      </c>
      <c r="N94" s="13">
        <f t="shared" si="856"/>
        <v>88.286675334954083</v>
      </c>
      <c r="O94" s="13">
        <f t="shared" si="856"/>
        <v>129.5176272373198</v>
      </c>
      <c r="P94" s="13">
        <f t="shared" si="856"/>
        <v>107.75893690809605</v>
      </c>
      <c r="Q94" s="13">
        <f t="shared" si="856"/>
        <v>81.071682644804454</v>
      </c>
      <c r="R94" s="13">
        <f t="shared" si="856"/>
        <v>152.19152696469754</v>
      </c>
      <c r="S94" s="13">
        <f t="shared" si="856"/>
        <v>145.4181360399698</v>
      </c>
      <c r="T94" s="13">
        <f t="shared" si="856"/>
        <v>95.088081090527751</v>
      </c>
      <c r="U94" s="13">
        <f t="shared" si="856"/>
        <v>174.28512671133103</v>
      </c>
      <c r="V94" s="13">
        <f t="shared" si="856"/>
        <v>122.14593214155424</v>
      </c>
      <c r="W94" s="13">
        <f t="shared" si="856"/>
        <v>106.37914110876355</v>
      </c>
      <c r="X94" s="13">
        <f t="shared" si="856"/>
        <v>84.089080100626475</v>
      </c>
      <c r="Y94" s="13">
        <f t="shared" si="856"/>
        <v>103.99389739732526</v>
      </c>
      <c r="Z94" s="13">
        <f t="shared" ref="Z94" si="857">+Z86/Z77</f>
        <v>88.185255481011154</v>
      </c>
      <c r="AA94" s="60">
        <f t="shared" si="856"/>
        <v>79.394680322707217</v>
      </c>
      <c r="AB94" s="60">
        <f t="shared" si="856"/>
        <v>74.057914776418301</v>
      </c>
      <c r="AC94" s="60">
        <f t="shared" si="856"/>
        <v>81.194371077297333</v>
      </c>
      <c r="AD94" s="60">
        <f t="shared" si="856"/>
        <v>76.06831439458972</v>
      </c>
      <c r="AK94" s="13">
        <f t="shared" ref="AK94:BP94" si="858">+AK86/AK77</f>
        <v>117.57155763005336</v>
      </c>
      <c r="AL94" s="13">
        <f t="shared" si="858"/>
        <v>121.77717454274578</v>
      </c>
      <c r="AM94" s="13">
        <f t="shared" si="858"/>
        <v>98.396150144369145</v>
      </c>
      <c r="AN94" s="13">
        <f t="shared" si="858"/>
        <v>86.274170388376803</v>
      </c>
      <c r="AO94" s="13">
        <f t="shared" si="858"/>
        <v>98.005606166783267</v>
      </c>
      <c r="AP94" s="13">
        <f t="shared" si="858"/>
        <v>123.15312290127598</v>
      </c>
      <c r="AQ94" s="13">
        <f t="shared" si="858"/>
        <v>131.92847639696475</v>
      </c>
      <c r="AR94" s="13">
        <f t="shared" si="858"/>
        <v>129.51762723732014</v>
      </c>
      <c r="AS94" s="13">
        <f t="shared" si="858"/>
        <v>139.81805988231233</v>
      </c>
      <c r="AT94" s="13">
        <f t="shared" si="858"/>
        <v>125.95857480903344</v>
      </c>
      <c r="AU94" s="13">
        <f t="shared" si="858"/>
        <v>120.19649701539407</v>
      </c>
      <c r="AV94" s="13">
        <f t="shared" si="858"/>
        <v>91.79294884620505</v>
      </c>
      <c r="AW94" s="13">
        <f t="shared" si="858"/>
        <v>82.903058542774232</v>
      </c>
      <c r="AX94" s="13">
        <f t="shared" si="858"/>
        <v>92.211867083801707</v>
      </c>
      <c r="AY94" s="13">
        <f t="shared" si="858"/>
        <v>82.141848941535414</v>
      </c>
      <c r="AZ94" s="13">
        <f t="shared" si="858"/>
        <v>67.281517878601917</v>
      </c>
      <c r="BA94" s="13">
        <f t="shared" si="858"/>
        <v>72.286414248021231</v>
      </c>
      <c r="BB94" s="13">
        <f t="shared" si="858"/>
        <v>86.130579539179976</v>
      </c>
      <c r="BC94" s="13">
        <f t="shared" si="858"/>
        <v>79.784544305028874</v>
      </c>
      <c r="BD94" s="13">
        <f t="shared" si="858"/>
        <v>92.705447494395173</v>
      </c>
      <c r="BE94" s="13">
        <f t="shared" si="858"/>
        <v>129.38895267432142</v>
      </c>
      <c r="BF94" s="13">
        <f t="shared" si="858"/>
        <v>114.65281317388776</v>
      </c>
      <c r="BG94" s="13">
        <f t="shared" si="858"/>
        <v>154.95296060562245</v>
      </c>
      <c r="BH94" s="13">
        <f t="shared" si="858"/>
        <v>122.02574685534596</v>
      </c>
      <c r="BI94" s="13">
        <f t="shared" si="858"/>
        <v>96.693338258008197</v>
      </c>
      <c r="BJ94" s="13">
        <f t="shared" si="858"/>
        <v>107.52713458979352</v>
      </c>
      <c r="BK94" s="13">
        <f t="shared" si="858"/>
        <v>96.573304934327268</v>
      </c>
      <c r="BL94" s="13">
        <f t="shared" si="858"/>
        <v>90.020325061167455</v>
      </c>
      <c r="BM94" s="13">
        <f t="shared" si="858"/>
        <v>102.41011228262367</v>
      </c>
      <c r="BN94" s="13">
        <f t="shared" si="858"/>
        <v>98.296293172521487</v>
      </c>
      <c r="BO94" s="13">
        <f t="shared" si="858"/>
        <v>88.367714613838714</v>
      </c>
      <c r="BP94" s="13">
        <f t="shared" si="858"/>
        <v>155.54558695018954</v>
      </c>
      <c r="BQ94" s="13">
        <f t="shared" ref="BQ94:CG94" si="859">+BQ86/BQ77</f>
        <v>151.01195237496341</v>
      </c>
      <c r="BR94" s="13">
        <f t="shared" si="859"/>
        <v>134.64826771653546</v>
      </c>
      <c r="BS94" s="13">
        <f t="shared" si="859"/>
        <v>125.940933308837</v>
      </c>
      <c r="BT94" s="13">
        <f t="shared" si="859"/>
        <v>122.14593214155417</v>
      </c>
      <c r="BU94" s="13">
        <f t="shared" si="859"/>
        <v>127.0813375749776</v>
      </c>
      <c r="BV94" s="13">
        <f t="shared" si="859"/>
        <v>106.32814869333768</v>
      </c>
      <c r="BW94" s="13">
        <f t="shared" si="859"/>
        <v>137.10392364892795</v>
      </c>
      <c r="BX94" s="13">
        <f t="shared" si="859"/>
        <v>101.95512375665048</v>
      </c>
      <c r="BY94" s="13">
        <f t="shared" si="859"/>
        <v>84.592967260382281</v>
      </c>
      <c r="BZ94" s="13">
        <f t="shared" si="859"/>
        <v>93.852348826085233</v>
      </c>
      <c r="CA94" s="13">
        <f t="shared" si="859"/>
        <v>81.960527012383267</v>
      </c>
      <c r="CB94" s="13">
        <f t="shared" si="859"/>
        <v>84.089080100626532</v>
      </c>
      <c r="CC94" s="13">
        <f t="shared" si="859"/>
        <v>93.736060877472497</v>
      </c>
      <c r="CD94" s="13">
        <f t="shared" si="859"/>
        <v>121.12859832363013</v>
      </c>
      <c r="CE94" s="13">
        <f t="shared" si="859"/>
        <v>110.58872563540497</v>
      </c>
      <c r="CF94" s="13">
        <f t="shared" si="859"/>
        <v>101.07132976992548</v>
      </c>
      <c r="CG94" s="13">
        <f t="shared" si="859"/>
        <v>78.627833650230698</v>
      </c>
      <c r="CH94" s="13">
        <f t="shared" ref="CH94:CI94" si="860">+CH86/CH77</f>
        <v>74.921433181611519</v>
      </c>
      <c r="CI94" s="13">
        <f t="shared" si="860"/>
        <v>74.381357917471334</v>
      </c>
      <c r="CJ94" s="13">
        <f t="shared" ref="CJ94:CK94" si="861">+CJ86/CJ77</f>
        <v>66.089821242573592</v>
      </c>
      <c r="CK94" s="13">
        <f t="shared" si="861"/>
        <v>86.643285323086729</v>
      </c>
      <c r="CL94" s="60">
        <f>+CK94</f>
        <v>86.643285323086729</v>
      </c>
      <c r="CM94" s="60">
        <f t="shared" ref="CM94:CM95" si="862">+CL94</f>
        <v>86.643285323086729</v>
      </c>
      <c r="CN94" s="60">
        <f t="shared" ref="CN94:CN95" si="863">+CM94</f>
        <v>86.643285323086729</v>
      </c>
      <c r="CO94" s="60">
        <f t="shared" ref="CO94:CO95" si="864">+CN94</f>
        <v>86.643285323086729</v>
      </c>
      <c r="CP94" s="60">
        <f t="shared" ref="CP94:CP95" si="865">+CO94</f>
        <v>86.643285323086729</v>
      </c>
      <c r="CQ94" s="60">
        <f t="shared" ref="CQ94:CQ95" si="866">+CP94</f>
        <v>86.643285323086729</v>
      </c>
      <c r="CR94" s="60">
        <f t="shared" ref="CR94:CR95" si="867">+CQ94</f>
        <v>86.643285323086729</v>
      </c>
      <c r="CS94" s="60">
        <f t="shared" ref="CS94:CS95" si="868">+CR94</f>
        <v>86.643285323086729</v>
      </c>
      <c r="CT94" s="60">
        <f t="shared" ref="CT94:CT95" si="869">+CS94</f>
        <v>86.643285323086729</v>
      </c>
      <c r="CU94" s="60">
        <f t="shared" ref="CU94:CU95" si="870">+CT94</f>
        <v>86.643285323086729</v>
      </c>
      <c r="CV94" s="60">
        <f t="shared" ref="CV94:CV95" si="871">+CU94</f>
        <v>86.643285323086729</v>
      </c>
      <c r="CW94" s="60">
        <f t="shared" ref="CW94:CW95" si="872">+CV94</f>
        <v>86.643285323086729</v>
      </c>
      <c r="CX94" s="60">
        <f t="shared" ref="CX94:CX95" si="873">+CW94</f>
        <v>86.643285323086729</v>
      </c>
      <c r="CY94" s="60">
        <f t="shared" ref="CY94:CY95" si="874">+CX94</f>
        <v>86.643285323086729</v>
      </c>
      <c r="CZ94" s="60">
        <f t="shared" ref="CZ94:CZ95" si="875">+CY94</f>
        <v>86.643285323086729</v>
      </c>
      <c r="DB94" s="136"/>
      <c r="DC94" s="13" t="e">
        <v>#DIV/0!</v>
      </c>
    </row>
    <row r="95" spans="1:107" s="13" customFormat="1" x14ac:dyDescent="0.2">
      <c r="A95" s="13" t="s">
        <v>462</v>
      </c>
      <c r="B95" s="13">
        <f t="shared" ref="B95:D95" si="876">+B87/B77</f>
        <v>2.3096329633422621</v>
      </c>
      <c r="C95" s="13">
        <f t="shared" si="876"/>
        <v>2.123039323549877</v>
      </c>
      <c r="D95" s="13">
        <f t="shared" si="876"/>
        <v>2.0780717524657391</v>
      </c>
      <c r="E95" s="13">
        <f t="shared" ref="E95:AD95" si="877">+E87/E77</f>
        <v>16.808968907786362</v>
      </c>
      <c r="F95" s="13">
        <f t="shared" si="877"/>
        <v>17.151460830357102</v>
      </c>
      <c r="G95" s="13">
        <f t="shared" si="877"/>
        <v>23.786166693407313</v>
      </c>
      <c r="H95" s="13">
        <f t="shared" si="877"/>
        <v>27.496588151785012</v>
      </c>
      <c r="I95" s="13">
        <f t="shared" si="877"/>
        <v>14.676649074830165</v>
      </c>
      <c r="J95" s="13">
        <f t="shared" si="877"/>
        <v>20.554304361814584</v>
      </c>
      <c r="K95" s="13">
        <f t="shared" si="877"/>
        <v>224.2650754464222</v>
      </c>
      <c r="L95" s="13">
        <f t="shared" si="877"/>
        <v>62.075193546640698</v>
      </c>
      <c r="M95" s="13">
        <f t="shared" si="877"/>
        <v>87.20164609053505</v>
      </c>
      <c r="N95" s="13">
        <f t="shared" si="877"/>
        <v>53.678777771496506</v>
      </c>
      <c r="O95" s="13">
        <f t="shared" si="877"/>
        <v>52.675941971904848</v>
      </c>
      <c r="P95" s="13">
        <f t="shared" si="877"/>
        <v>72.149024609843579</v>
      </c>
      <c r="Q95" s="13">
        <f t="shared" si="877"/>
        <v>53.757310331935663</v>
      </c>
      <c r="R95" s="13">
        <f t="shared" si="877"/>
        <v>96.754321891076813</v>
      </c>
      <c r="S95" s="13">
        <f t="shared" si="877"/>
        <v>93.61646799638045</v>
      </c>
      <c r="T95" s="13">
        <f t="shared" si="877"/>
        <v>68.93458580915761</v>
      </c>
      <c r="U95" s="13">
        <f t="shared" si="877"/>
        <v>89.18564229536841</v>
      </c>
      <c r="V95" s="13">
        <f t="shared" si="877"/>
        <v>62.575309497750247</v>
      </c>
      <c r="W95" s="13">
        <f t="shared" si="877"/>
        <v>60.036532381437922</v>
      </c>
      <c r="X95" s="13">
        <f t="shared" si="877"/>
        <v>45.208151468538169</v>
      </c>
      <c r="Y95" s="13">
        <f t="shared" si="877"/>
        <v>49.082293650412588</v>
      </c>
      <c r="Z95" s="13">
        <f t="shared" ref="Z95" si="878">+Z87/Z77</f>
        <v>58.262345453456348</v>
      </c>
      <c r="AA95" s="60">
        <f t="shared" si="877"/>
        <v>55.595049948930935</v>
      </c>
      <c r="AB95" s="60">
        <f t="shared" si="877"/>
        <v>41.815706846234256</v>
      </c>
      <c r="AC95" s="60">
        <f t="shared" si="877"/>
        <v>45.143488725940394</v>
      </c>
      <c r="AD95" s="60">
        <f t="shared" si="877"/>
        <v>44.578962743113941</v>
      </c>
      <c r="AK95" s="13">
        <f t="shared" ref="AK95:BP95" si="879">+AK87/AK77</f>
        <v>77.259030339531677</v>
      </c>
      <c r="AL95" s="13">
        <f t="shared" si="879"/>
        <v>82.248696515765801</v>
      </c>
      <c r="AM95" s="13">
        <f t="shared" si="879"/>
        <v>70.298652550529042</v>
      </c>
      <c r="AN95" s="13">
        <f t="shared" si="879"/>
        <v>64.106667985753731</v>
      </c>
      <c r="AO95" s="13">
        <f t="shared" si="879"/>
        <v>64.885879467414028</v>
      </c>
      <c r="AP95" s="13">
        <f t="shared" si="879"/>
        <v>88.374680993955636</v>
      </c>
      <c r="AQ95" s="13">
        <f t="shared" si="879"/>
        <v>99.831275253769704</v>
      </c>
      <c r="AR95" s="13">
        <f t="shared" si="879"/>
        <v>91.641580237188819</v>
      </c>
      <c r="AS95" s="13">
        <f t="shared" si="879"/>
        <v>108.55382485289036</v>
      </c>
      <c r="AT95" s="13">
        <f t="shared" si="879"/>
        <v>109.52154599800721</v>
      </c>
      <c r="AU95" s="13">
        <f t="shared" si="879"/>
        <v>84.967206644674675</v>
      </c>
      <c r="AV95" s="13">
        <f t="shared" si="879"/>
        <v>73.841369881285772</v>
      </c>
      <c r="AW95" s="13">
        <f t="shared" si="879"/>
        <v>61.645207527791158</v>
      </c>
      <c r="AX95" s="13">
        <f t="shared" si="879"/>
        <v>76.124510220818365</v>
      </c>
      <c r="AY95" s="13">
        <f t="shared" si="879"/>
        <v>68.936153462733998</v>
      </c>
      <c r="AZ95" s="13">
        <f t="shared" si="879"/>
        <v>53.757310331935933</v>
      </c>
      <c r="BA95" s="13">
        <f t="shared" si="879"/>
        <v>57.562439313984264</v>
      </c>
      <c r="BB95" s="13">
        <f t="shared" si="879"/>
        <v>68.114133326640399</v>
      </c>
      <c r="BC95" s="13">
        <f t="shared" si="879"/>
        <v>60.544329345394544</v>
      </c>
      <c r="BD95" s="13">
        <f t="shared" si="879"/>
        <v>83.887515906199084</v>
      </c>
      <c r="BE95" s="13">
        <f t="shared" si="879"/>
        <v>93.989458485018559</v>
      </c>
      <c r="BF95" s="13">
        <f t="shared" si="879"/>
        <v>93.300803763968091</v>
      </c>
      <c r="BG95" s="13">
        <f t="shared" si="879"/>
        <v>115.45735088480654</v>
      </c>
      <c r="BH95" s="13">
        <f t="shared" si="879"/>
        <v>99.203183962264191</v>
      </c>
      <c r="BI95" s="13">
        <f t="shared" si="879"/>
        <v>86.088377207709371</v>
      </c>
      <c r="BJ95" s="13">
        <f t="shared" si="879"/>
        <v>85.666934360783529</v>
      </c>
      <c r="BK95" s="13">
        <f t="shared" si="879"/>
        <v>75.632694355697524</v>
      </c>
      <c r="BL95" s="13">
        <f t="shared" si="879"/>
        <v>70.07689619014333</v>
      </c>
      <c r="BM95" s="13">
        <f t="shared" si="879"/>
        <v>57.668252772833135</v>
      </c>
      <c r="BN95" s="13">
        <f t="shared" si="879"/>
        <v>64.558324547716509</v>
      </c>
      <c r="BO95" s="13">
        <f t="shared" si="879"/>
        <v>73.744780771912616</v>
      </c>
      <c r="BP95" s="13">
        <f t="shared" si="879"/>
        <v>104.74637343431415</v>
      </c>
      <c r="BQ95" s="13">
        <f t="shared" ref="BQ95:CG95" si="880">+BQ87/BQ77</f>
        <v>107.8599693958832</v>
      </c>
      <c r="BR95" s="13">
        <f t="shared" si="880"/>
        <v>94.306744265662473</v>
      </c>
      <c r="BS95" s="13">
        <f t="shared" si="880"/>
        <v>105.06756996754237</v>
      </c>
      <c r="BT95" s="13">
        <f t="shared" si="880"/>
        <v>92.820600753982731</v>
      </c>
      <c r="BU95" s="13">
        <f t="shared" si="880"/>
        <v>100.06574710410651</v>
      </c>
      <c r="BV95" s="13">
        <f t="shared" si="880"/>
        <v>85.500060493628055</v>
      </c>
      <c r="BW95" s="13">
        <f t="shared" si="880"/>
        <v>89.968170466068386</v>
      </c>
      <c r="BX95" s="13">
        <f t="shared" si="880"/>
        <v>80.891648594725879</v>
      </c>
      <c r="BY95" s="13">
        <f t="shared" si="880"/>
        <v>65.604695275077901</v>
      </c>
      <c r="BZ95" s="13">
        <f t="shared" si="880"/>
        <v>66.373428468928125</v>
      </c>
      <c r="CA95" s="13">
        <f t="shared" si="880"/>
        <v>71.685334066788542</v>
      </c>
      <c r="CB95" s="13">
        <f t="shared" si="880"/>
        <v>65.317922895736203</v>
      </c>
      <c r="CC95" s="13">
        <f t="shared" si="880"/>
        <v>62.908197332166488</v>
      </c>
      <c r="CD95" s="13">
        <f t="shared" si="880"/>
        <v>82.254876260539461</v>
      </c>
      <c r="CE95" s="13">
        <f t="shared" si="880"/>
        <v>88.729594170270786</v>
      </c>
      <c r="CF95" s="13">
        <f t="shared" si="880"/>
        <v>74.674400541979395</v>
      </c>
      <c r="CG95" s="13">
        <f t="shared" si="880"/>
        <v>55.377707336352742</v>
      </c>
      <c r="CH95" s="13">
        <f t="shared" ref="CH95:CI95" si="881">+CH87/CH77</f>
        <v>54.587943168871391</v>
      </c>
      <c r="CI95" s="13">
        <f t="shared" si="881"/>
        <v>59.816244614839611</v>
      </c>
      <c r="CJ95" s="13">
        <f t="shared" ref="CJ95:CK95" si="882">+CJ87/CJ77</f>
        <v>60.369175981798392</v>
      </c>
      <c r="CK95" s="13">
        <f t="shared" si="882"/>
        <v>61.337630136046378</v>
      </c>
      <c r="CL95" s="60">
        <v>55</v>
      </c>
      <c r="CM95" s="60">
        <f t="shared" si="862"/>
        <v>55</v>
      </c>
      <c r="CN95" s="60">
        <f t="shared" si="863"/>
        <v>55</v>
      </c>
      <c r="CO95" s="60">
        <f t="shared" si="864"/>
        <v>55</v>
      </c>
      <c r="CP95" s="60">
        <f t="shared" si="865"/>
        <v>55</v>
      </c>
      <c r="CQ95" s="60">
        <f t="shared" si="866"/>
        <v>55</v>
      </c>
      <c r="CR95" s="60">
        <f t="shared" si="867"/>
        <v>55</v>
      </c>
      <c r="CS95" s="60">
        <f t="shared" si="868"/>
        <v>55</v>
      </c>
      <c r="CT95" s="60">
        <f t="shared" si="869"/>
        <v>55</v>
      </c>
      <c r="CU95" s="60">
        <f t="shared" si="870"/>
        <v>55</v>
      </c>
      <c r="CV95" s="60">
        <f t="shared" si="871"/>
        <v>55</v>
      </c>
      <c r="CW95" s="60">
        <f t="shared" si="872"/>
        <v>55</v>
      </c>
      <c r="CX95" s="60">
        <f t="shared" si="873"/>
        <v>55</v>
      </c>
      <c r="CY95" s="60">
        <f t="shared" si="874"/>
        <v>55</v>
      </c>
      <c r="CZ95" s="60">
        <f t="shared" si="875"/>
        <v>55</v>
      </c>
      <c r="DB95" s="136"/>
      <c r="DC95" s="13" t="e">
        <v>#DIV/0!</v>
      </c>
    </row>
    <row r="96" spans="1:107" s="13" customFormat="1" x14ac:dyDescent="0.2">
      <c r="AA96" s="60"/>
      <c r="AB96" s="60"/>
      <c r="AC96" s="60"/>
      <c r="AD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B96" s="136"/>
    </row>
    <row r="97" spans="1:107" s="13" customFormat="1" x14ac:dyDescent="0.2">
      <c r="A97" s="13" t="s">
        <v>463</v>
      </c>
      <c r="B97" s="13">
        <f t="shared" ref="B97:AC97" si="883">+B86/C77</f>
        <v>3.4802215168866693</v>
      </c>
      <c r="C97" s="13">
        <f t="shared" si="883"/>
        <v>2.4527715711840412</v>
      </c>
      <c r="D97" s="13">
        <f t="shared" si="883"/>
        <v>19.060019266542671</v>
      </c>
      <c r="E97" s="13">
        <f t="shared" si="883"/>
        <v>19.380181729217064</v>
      </c>
      <c r="F97" s="13">
        <f t="shared" si="883"/>
        <v>25.542108841978219</v>
      </c>
      <c r="G97" s="13">
        <f t="shared" si="883"/>
        <v>34.00440133504447</v>
      </c>
      <c r="H97" s="13">
        <f t="shared" si="883"/>
        <v>64.644610193765999</v>
      </c>
      <c r="I97" s="13">
        <f t="shared" si="883"/>
        <v>91.299351932711289</v>
      </c>
      <c r="J97" s="13">
        <f t="shared" si="883"/>
        <v>279.49353395444729</v>
      </c>
      <c r="K97" s="13">
        <f t="shared" si="883"/>
        <v>111.84089112663096</v>
      </c>
      <c r="L97" s="13">
        <f t="shared" si="883"/>
        <v>136.4405065985527</v>
      </c>
      <c r="M97" s="13">
        <f t="shared" si="883"/>
        <v>109.60964441178152</v>
      </c>
      <c r="N97" s="13">
        <f t="shared" si="883"/>
        <v>68.342873397225375</v>
      </c>
      <c r="O97" s="13">
        <f t="shared" si="883"/>
        <v>98.693053888221471</v>
      </c>
      <c r="P97" s="13">
        <f t="shared" si="883"/>
        <v>86.294629743370407</v>
      </c>
      <c r="Q97" s="13">
        <f t="shared" si="883"/>
        <v>134.64126751818344</v>
      </c>
      <c r="R97" s="13">
        <f t="shared" si="883"/>
        <v>135.0019493292416</v>
      </c>
      <c r="S97" s="13">
        <f t="shared" si="883"/>
        <v>99.383851800069877</v>
      </c>
      <c r="T97" s="13">
        <f t="shared" si="883"/>
        <v>206.03617826973476</v>
      </c>
      <c r="U97" s="13">
        <f t="shared" si="883"/>
        <v>72.761867931411928</v>
      </c>
      <c r="V97" s="13">
        <f t="shared" si="883"/>
        <v>73.170102717272385</v>
      </c>
      <c r="W97" s="13">
        <f t="shared" si="883"/>
        <v>58.495828726625945</v>
      </c>
      <c r="X97" s="13">
        <f t="shared" si="883"/>
        <v>55.989410063959937</v>
      </c>
      <c r="Y97" s="13">
        <f t="shared" si="883"/>
        <v>116.77728525218645</v>
      </c>
      <c r="Z97" s="13">
        <f t="shared" si="883"/>
        <v>84.148065874598359</v>
      </c>
      <c r="AA97" s="37">
        <f t="shared" si="883"/>
        <v>61.9947291973129</v>
      </c>
      <c r="AB97" s="37">
        <f t="shared" si="883"/>
        <v>66.91391177997528</v>
      </c>
      <c r="AC97" s="37">
        <f t="shared" si="883"/>
        <v>68.319849197238469</v>
      </c>
      <c r="AD97" s="37" t="e">
        <f>+AD86/#REF!</f>
        <v>#REF!</v>
      </c>
      <c r="AK97" s="13">
        <f t="shared" ref="AK97:BP97" si="884">+AK86/AO77</f>
        <v>84.184302733006135</v>
      </c>
      <c r="AL97" s="13">
        <f t="shared" si="884"/>
        <v>76.015580926796474</v>
      </c>
      <c r="AM97" s="13">
        <f t="shared" si="884"/>
        <v>65.489149502316039</v>
      </c>
      <c r="AN97" s="13">
        <f t="shared" si="884"/>
        <v>66.784989715986228</v>
      </c>
      <c r="AO97" s="13">
        <f t="shared" si="884"/>
        <v>78.66484942886818</v>
      </c>
      <c r="AP97" s="13">
        <f t="shared" si="884"/>
        <v>98.965252407837838</v>
      </c>
      <c r="AQ97" s="13">
        <f t="shared" si="884"/>
        <v>105.14280945648741</v>
      </c>
      <c r="AR97" s="13">
        <f t="shared" si="884"/>
        <v>98.693053888221854</v>
      </c>
      <c r="AS97" s="13">
        <f t="shared" si="884"/>
        <v>97.615847027549464</v>
      </c>
      <c r="AT97" s="13">
        <f t="shared" si="884"/>
        <v>92.157159128876572</v>
      </c>
      <c r="AU97" s="13">
        <f t="shared" si="884"/>
        <v>89.740327215152988</v>
      </c>
      <c r="AV97" s="13">
        <f t="shared" si="884"/>
        <v>73.508877880738282</v>
      </c>
      <c r="AW97" s="13">
        <f t="shared" si="884"/>
        <v>72.412212401055541</v>
      </c>
      <c r="AX97" s="13">
        <f t="shared" si="884"/>
        <v>76.19826564931499</v>
      </c>
      <c r="AY97" s="13">
        <f t="shared" si="884"/>
        <v>68.123964108549899</v>
      </c>
      <c r="AZ97" s="13">
        <f t="shared" si="884"/>
        <v>76.334333151548378</v>
      </c>
      <c r="BA97" s="13">
        <f t="shared" si="884"/>
        <v>95.899436432372241</v>
      </c>
      <c r="BB97" s="13">
        <f t="shared" si="884"/>
        <v>134.54673789453082</v>
      </c>
      <c r="BC97" s="13">
        <f t="shared" si="884"/>
        <v>158.2072231062252</v>
      </c>
      <c r="BD97" s="13">
        <f t="shared" si="884"/>
        <v>120.27657232704408</v>
      </c>
      <c r="BE97" s="13">
        <f t="shared" si="884"/>
        <v>124.1146867235243</v>
      </c>
      <c r="BF97" s="13">
        <f t="shared" si="884"/>
        <v>90.496704112895685</v>
      </c>
      <c r="BG97" s="13">
        <f t="shared" si="884"/>
        <v>87.752094426695024</v>
      </c>
      <c r="BH97" s="13">
        <f t="shared" si="884"/>
        <v>83.46557147850406</v>
      </c>
      <c r="BI97" s="13">
        <f t="shared" si="884"/>
        <v>98.580069834314756</v>
      </c>
      <c r="BJ97" s="13">
        <f t="shared" si="884"/>
        <v>146.52402901362137</v>
      </c>
      <c r="BK97" s="13">
        <f t="shared" si="884"/>
        <v>145.05602723432193</v>
      </c>
      <c r="BL97" s="13">
        <f t="shared" si="884"/>
        <v>195.05540052432301</v>
      </c>
      <c r="BM97" s="13">
        <f t="shared" si="884"/>
        <v>125.41836247012962</v>
      </c>
      <c r="BN97" s="13">
        <f t="shared" si="884"/>
        <v>79.798014378637475</v>
      </c>
      <c r="BO97" s="13">
        <f t="shared" si="884"/>
        <v>65.971377610386412</v>
      </c>
      <c r="BP97" s="13">
        <f t="shared" si="884"/>
        <v>64.938343670193362</v>
      </c>
      <c r="BQ97" s="13">
        <f t="shared" ref="BQ97:CK97" si="885">+BQ86/BU77</f>
        <v>87.473909031302412</v>
      </c>
      <c r="BR97" s="13">
        <f t="shared" si="885"/>
        <v>79.308676802710153</v>
      </c>
      <c r="BS97" s="13">
        <f t="shared" si="885"/>
        <v>77.233240695534704</v>
      </c>
      <c r="BT97" s="13">
        <f t="shared" si="885"/>
        <v>72.606263011797367</v>
      </c>
      <c r="BU97" s="13">
        <f t="shared" si="885"/>
        <v>60.841305864298015</v>
      </c>
      <c r="BV97" s="13">
        <f t="shared" si="885"/>
        <v>52.547390580778888</v>
      </c>
      <c r="BW97" s="13">
        <f t="shared" si="885"/>
        <v>60.396995177394132</v>
      </c>
      <c r="BX97" s="13">
        <f t="shared" si="885"/>
        <v>56.498517841977936</v>
      </c>
      <c r="BY97" s="13">
        <f t="shared" si="885"/>
        <v>49.746756141418437</v>
      </c>
      <c r="BZ97" s="13">
        <f t="shared" si="885"/>
        <v>58.516962527105882</v>
      </c>
      <c r="CA97" s="13">
        <f t="shared" si="885"/>
        <v>58.700907340482281</v>
      </c>
      <c r="CB97" s="13">
        <f t="shared" si="885"/>
        <v>55.989410063959966</v>
      </c>
      <c r="CC97" s="13">
        <f t="shared" si="885"/>
        <v>73.224288583148152</v>
      </c>
      <c r="CD97" s="13">
        <f t="shared" si="885"/>
        <v>109.41255044141496</v>
      </c>
      <c r="CE97" s="13">
        <f t="shared" si="885"/>
        <v>106.6534356466192</v>
      </c>
      <c r="CF97" s="13">
        <f t="shared" si="885"/>
        <v>110.25081057648107</v>
      </c>
      <c r="CG97" s="13">
        <f t="shared" si="885"/>
        <v>91.830647233848808</v>
      </c>
      <c r="CH97" s="13">
        <f t="shared" si="885"/>
        <v>78.366794064631719</v>
      </c>
      <c r="CI97" s="13">
        <f t="shared" si="885"/>
        <v>73.627651042882135</v>
      </c>
      <c r="CJ97" s="13">
        <f t="shared" si="885"/>
        <v>64.920139862043456</v>
      </c>
      <c r="CK97" s="13">
        <f t="shared" si="885"/>
        <v>72.530087116099295</v>
      </c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B97" s="134"/>
      <c r="DC97" s="13" t="e">
        <v>#DIV/0!</v>
      </c>
    </row>
    <row r="98" spans="1:107" s="98" customFormat="1" x14ac:dyDescent="0.2">
      <c r="A98" s="98" t="s">
        <v>426</v>
      </c>
      <c r="AA98" s="99"/>
      <c r="AB98" s="99"/>
      <c r="AC98" s="99"/>
      <c r="AD98" s="99"/>
      <c r="AK98" s="175"/>
      <c r="AL98" s="175"/>
      <c r="AM98" s="175"/>
      <c r="AN98" s="175">
        <f t="shared" ref="AN98:CH98" si="886">+CORREL(AK77:AN77,AK94:AN94)</f>
        <v>-0.8810898544672493</v>
      </c>
      <c r="AO98" s="175">
        <f t="shared" si="886"/>
        <v>-0.76240149289772774</v>
      </c>
      <c r="AP98" s="175">
        <f t="shared" si="886"/>
        <v>0.37964906052209457</v>
      </c>
      <c r="AQ98" s="175">
        <f t="shared" si="886"/>
        <v>0.97763193182265073</v>
      </c>
      <c r="AR98" s="175">
        <f t="shared" si="886"/>
        <v>0.68705348483570283</v>
      </c>
      <c r="AS98" s="175">
        <f t="shared" si="886"/>
        <v>0.72521947936259701</v>
      </c>
      <c r="AT98" s="175">
        <f t="shared" si="886"/>
        <v>-0.1911970957697742</v>
      </c>
      <c r="AU98" s="175">
        <f t="shared" si="886"/>
        <v>-0.80000340197579334</v>
      </c>
      <c r="AV98" s="175">
        <f t="shared" si="886"/>
        <v>-0.98821700606978091</v>
      </c>
      <c r="AW98" s="175">
        <f t="shared" si="886"/>
        <v>-0.99001144308576239</v>
      </c>
      <c r="AX98" s="175">
        <f t="shared" si="886"/>
        <v>-0.93778035725487185</v>
      </c>
      <c r="AY98" s="175">
        <f t="shared" si="886"/>
        <v>-0.690527127701411</v>
      </c>
      <c r="AZ98" s="175">
        <f t="shared" si="886"/>
        <v>-0.9417321618673421</v>
      </c>
      <c r="BA98" s="175">
        <f t="shared" si="886"/>
        <v>-0.94835376499664548</v>
      </c>
      <c r="BB98" s="175">
        <f t="shared" si="886"/>
        <v>4.078646146441086E-2</v>
      </c>
      <c r="BC98" s="175">
        <f t="shared" si="886"/>
        <v>0.79916458984705552</v>
      </c>
      <c r="BD98" s="175">
        <f t="shared" si="886"/>
        <v>-0.55384341691583916</v>
      </c>
      <c r="BE98" s="175">
        <f t="shared" si="886"/>
        <v>-0.90847003626154532</v>
      </c>
      <c r="BF98" s="175">
        <f t="shared" si="886"/>
        <v>-0.86167297944007448</v>
      </c>
      <c r="BG98" s="175">
        <f t="shared" si="886"/>
        <v>-0.88818351058909484</v>
      </c>
      <c r="BH98" s="175">
        <f t="shared" si="886"/>
        <v>-0.70519965631589276</v>
      </c>
      <c r="BI98" s="175">
        <f t="shared" si="886"/>
        <v>-0.98256014091928667</v>
      </c>
      <c r="BJ98" s="175">
        <f t="shared" si="886"/>
        <v>-0.91411092611322886</v>
      </c>
      <c r="BK98" s="175">
        <f t="shared" si="886"/>
        <v>-0.76187999240198256</v>
      </c>
      <c r="BL98" s="175">
        <f t="shared" si="886"/>
        <v>-0.51603597154748271</v>
      </c>
      <c r="BM98" s="175">
        <f t="shared" si="886"/>
        <v>-0.76859951795876158</v>
      </c>
      <c r="BN98" s="175">
        <f t="shared" si="886"/>
        <v>-0.64536997335810964</v>
      </c>
      <c r="BO98" s="175">
        <f t="shared" si="886"/>
        <v>-0.21124813915293505</v>
      </c>
      <c r="BP98" s="175">
        <f t="shared" si="886"/>
        <v>-0.78986193885777345</v>
      </c>
      <c r="BQ98" s="175">
        <f t="shared" si="886"/>
        <v>-0.64384024447203181</v>
      </c>
      <c r="BR98" s="175">
        <f t="shared" si="886"/>
        <v>-0.36413875352432656</v>
      </c>
      <c r="BS98" s="175">
        <f t="shared" si="886"/>
        <v>-0.96003075833164131</v>
      </c>
      <c r="BT98" s="175">
        <f t="shared" si="886"/>
        <v>-0.91254090786223885</v>
      </c>
      <c r="BU98" s="175">
        <f t="shared" si="886"/>
        <v>-0.76473944089313461</v>
      </c>
      <c r="BV98" s="175">
        <f t="shared" si="886"/>
        <v>-0.8324263282922918</v>
      </c>
      <c r="BW98" s="175">
        <f t="shared" si="886"/>
        <v>0.11347928590356571</v>
      </c>
      <c r="BX98" s="175">
        <f t="shared" si="886"/>
        <v>-0.54717006522991818</v>
      </c>
      <c r="BY98" s="175">
        <f t="shared" si="886"/>
        <v>-0.76325796537716195</v>
      </c>
      <c r="BZ98" s="175">
        <f t="shared" si="886"/>
        <v>-0.84097614288859979</v>
      </c>
      <c r="CA98" s="175">
        <f t="shared" si="886"/>
        <v>-0.7414264031671508</v>
      </c>
      <c r="CB98" s="175">
        <f t="shared" si="886"/>
        <v>-0.39396357381997649</v>
      </c>
      <c r="CC98" s="175">
        <f t="shared" si="886"/>
        <v>1.7972918781124312E-2</v>
      </c>
      <c r="CD98" s="175">
        <f t="shared" si="886"/>
        <v>0.94060163515051842</v>
      </c>
      <c r="CE98" s="175">
        <f t="shared" si="886"/>
        <v>0.88468611327299462</v>
      </c>
      <c r="CF98" s="175">
        <f t="shared" si="886"/>
        <v>0.11931855112713226</v>
      </c>
      <c r="CG98" s="175">
        <f t="shared" si="886"/>
        <v>-0.85841162826893636</v>
      </c>
      <c r="CH98" s="175">
        <f t="shared" si="886"/>
        <v>-0.44570560820309557</v>
      </c>
      <c r="CI98" s="175">
        <f>+CORREL(CF77:CI77,CF94:CI94)</f>
        <v>0.69119712575204106</v>
      </c>
      <c r="CJ98" s="175">
        <f>+CORREL(CG77:CJ77,CG94:CJ94)</f>
        <v>0.85982025192352718</v>
      </c>
      <c r="CK98" s="175">
        <f>+CORREL(CH77:CK77,CH94:CK94)</f>
        <v>-0.68723601019219582</v>
      </c>
      <c r="CL98" s="99"/>
      <c r="CM98" s="99"/>
      <c r="CN98" s="99"/>
      <c r="CO98" s="99"/>
      <c r="CP98" s="99"/>
      <c r="CQ98" s="99"/>
      <c r="CR98" s="99"/>
      <c r="CS98" s="99"/>
      <c r="CT98" s="99"/>
      <c r="CU98" s="99"/>
      <c r="CV98" s="99"/>
      <c r="CW98" s="99"/>
      <c r="CX98" s="99"/>
      <c r="CY98" s="99"/>
      <c r="CZ98" s="99"/>
      <c r="DB98" s="137"/>
    </row>
    <row r="99" spans="1:107" s="4" customFormat="1" x14ac:dyDescent="0.2">
      <c r="A99" s="3"/>
      <c r="AA99" s="17"/>
      <c r="AB99" s="17"/>
      <c r="AC99" s="17"/>
      <c r="AD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B99" s="119"/>
    </row>
    <row r="100" spans="1:107" s="162" customFormat="1" x14ac:dyDescent="0.2">
      <c r="A100" s="49" t="s">
        <v>505</v>
      </c>
      <c r="E100" s="162">
        <f t="shared" ref="E100:AD100" si="887">+E$128/E$73</f>
        <v>34.198286927796126</v>
      </c>
      <c r="F100" s="162">
        <f t="shared" si="887"/>
        <v>42.667668711656439</v>
      </c>
      <c r="G100" s="162">
        <f t="shared" si="887"/>
        <v>56.434252005663041</v>
      </c>
      <c r="H100" s="162">
        <f t="shared" si="887"/>
        <v>76.750556866446431</v>
      </c>
      <c r="I100" s="162">
        <f t="shared" si="887"/>
        <v>99.99779141104294</v>
      </c>
      <c r="J100" s="162">
        <f t="shared" si="887"/>
        <v>114.38099103350638</v>
      </c>
      <c r="K100" s="162">
        <f t="shared" si="887"/>
        <v>114.37959414818309</v>
      </c>
      <c r="L100" s="162">
        <f t="shared" si="887"/>
        <v>119.69938650306747</v>
      </c>
      <c r="M100" s="162">
        <f t="shared" si="887"/>
        <v>122.77678150070788</v>
      </c>
      <c r="N100" s="162">
        <f t="shared" si="887"/>
        <v>126.35960358659744</v>
      </c>
      <c r="O100" s="162">
        <f t="shared" si="887"/>
        <v>132.70316186880603</v>
      </c>
      <c r="P100" s="162">
        <f t="shared" si="887"/>
        <v>141.97970740915525</v>
      </c>
      <c r="Q100" s="162">
        <f t="shared" si="887"/>
        <v>155.10618216139687</v>
      </c>
      <c r="R100" s="162">
        <f t="shared" si="887"/>
        <v>170.21661160924964</v>
      </c>
      <c r="S100" s="162">
        <f t="shared" si="887"/>
        <v>189.11373289287397</v>
      </c>
      <c r="T100" s="162">
        <f t="shared" si="887"/>
        <v>166.12128362435109</v>
      </c>
      <c r="U100" s="162">
        <f t="shared" si="887"/>
        <v>170.19254365266633</v>
      </c>
      <c r="V100" s="162">
        <f t="shared" si="887"/>
        <v>190.90089664936286</v>
      </c>
      <c r="W100" s="162">
        <f t="shared" si="887"/>
        <v>233.10099103350635</v>
      </c>
      <c r="X100" s="162">
        <f t="shared" si="887"/>
        <v>280.53798961774419</v>
      </c>
      <c r="Y100" s="162">
        <f t="shared" si="887"/>
        <v>333.90278433223216</v>
      </c>
      <c r="Z100" s="162">
        <f t="shared" si="887"/>
        <v>369.79660217083529</v>
      </c>
      <c r="AA100" s="21">
        <f t="shared" si="887"/>
        <v>463.4200094384143</v>
      </c>
      <c r="AB100" s="21">
        <f t="shared" si="887"/>
        <v>553.79629686114106</v>
      </c>
      <c r="AC100" s="21">
        <f t="shared" si="887"/>
        <v>663.46027588120091</v>
      </c>
      <c r="AD100" s="21">
        <f t="shared" si="887"/>
        <v>785.56174612561722</v>
      </c>
      <c r="AK100" s="162">
        <f t="shared" ref="AK100:BP100" si="888">+AK$128/AK$73</f>
        <v>124.80887210948561</v>
      </c>
      <c r="AL100" s="162">
        <f t="shared" si="888"/>
        <v>125.42425672487022</v>
      </c>
      <c r="AM100" s="162">
        <f t="shared" si="888"/>
        <v>127.21897121283625</v>
      </c>
      <c r="AN100" s="162">
        <f t="shared" si="888"/>
        <v>126.35960358659744</v>
      </c>
      <c r="AO100" s="162">
        <f t="shared" si="888"/>
        <v>128.79848985370455</v>
      </c>
      <c r="AP100" s="162">
        <f t="shared" si="888"/>
        <v>131.04907975460122</v>
      </c>
      <c r="AQ100" s="162">
        <f t="shared" si="888"/>
        <v>133.17177914110431</v>
      </c>
      <c r="AR100" s="162">
        <f t="shared" si="888"/>
        <v>132.70316186880603</v>
      </c>
      <c r="AS100" s="162">
        <f t="shared" si="888"/>
        <v>135.26521944313353</v>
      </c>
      <c r="AT100" s="162">
        <f t="shared" si="888"/>
        <v>137.5545068428504</v>
      </c>
      <c r="AU100" s="162">
        <f t="shared" si="888"/>
        <v>140.3265691363851</v>
      </c>
      <c r="AV100" s="162">
        <f t="shared" si="888"/>
        <v>141.97970740915525</v>
      </c>
      <c r="AW100" s="162">
        <f t="shared" si="888"/>
        <v>146.01226993865029</v>
      </c>
      <c r="AX100" s="162">
        <f t="shared" si="888"/>
        <v>148.98301085417651</v>
      </c>
      <c r="AY100" s="162">
        <f t="shared" si="888"/>
        <v>152.31335535630012</v>
      </c>
      <c r="AZ100" s="162">
        <f t="shared" si="888"/>
        <v>154.92118924020764</v>
      </c>
      <c r="BA100" s="162">
        <f t="shared" si="888"/>
        <v>159.16753185464844</v>
      </c>
      <c r="BB100" s="162">
        <f t="shared" si="888"/>
        <v>158.25342142520057</v>
      </c>
      <c r="BC100" s="162">
        <f t="shared" si="888"/>
        <v>162.18876828692777</v>
      </c>
      <c r="BD100" s="162">
        <f t="shared" si="888"/>
        <v>170.21661160924964</v>
      </c>
      <c r="BE100" s="162">
        <f t="shared" si="888"/>
        <v>175.05332704105712</v>
      </c>
      <c r="BF100" s="162">
        <f t="shared" si="888"/>
        <v>175.08872109485606</v>
      </c>
      <c r="BG100" s="162">
        <f t="shared" si="888"/>
        <v>180.20151014629542</v>
      </c>
      <c r="BH100" s="162">
        <f t="shared" si="888"/>
        <v>189.113732892874</v>
      </c>
      <c r="BI100" s="162">
        <f t="shared" si="888"/>
        <v>194.59697970740916</v>
      </c>
      <c r="BJ100" s="162">
        <f t="shared" si="888"/>
        <v>195.65313827277018</v>
      </c>
      <c r="BK100" s="162">
        <f t="shared" si="888"/>
        <v>202.03728173666823</v>
      </c>
      <c r="BL100" s="162">
        <f t="shared" si="888"/>
        <v>166.12128362435109</v>
      </c>
      <c r="BM100" s="162">
        <f t="shared" si="888"/>
        <v>169.17177914110428</v>
      </c>
      <c r="BN100" s="162">
        <f t="shared" si="888"/>
        <v>169.15620575743276</v>
      </c>
      <c r="BO100" s="162">
        <f t="shared" si="888"/>
        <v>172.9664936290703</v>
      </c>
      <c r="BP100" s="162">
        <f t="shared" si="888"/>
        <v>170.19254365266636</v>
      </c>
      <c r="BQ100" s="162">
        <f t="shared" ref="BQ100:CZ100" si="889">+BQ$128/BQ$73</f>
        <v>176.86219915054269</v>
      </c>
      <c r="BR100" s="162">
        <f t="shared" si="889"/>
        <v>175.8551203397829</v>
      </c>
      <c r="BS100" s="162">
        <f t="shared" si="889"/>
        <v>181.51439358187824</v>
      </c>
      <c r="BT100" s="162">
        <f t="shared" si="889"/>
        <v>190.90089664936289</v>
      </c>
      <c r="BU100" s="162">
        <f t="shared" si="889"/>
        <v>194.66021708352994</v>
      </c>
      <c r="BV100" s="162">
        <f t="shared" si="889"/>
        <v>196.86597451628126</v>
      </c>
      <c r="BW100" s="162">
        <f t="shared" si="889"/>
        <v>206.1892402076451</v>
      </c>
      <c r="BX100" s="162">
        <f t="shared" si="889"/>
        <v>233.10099103350635</v>
      </c>
      <c r="BY100" s="162">
        <f t="shared" si="889"/>
        <v>244.65785747994332</v>
      </c>
      <c r="BZ100" s="162">
        <f t="shared" si="889"/>
        <v>253.35063709296836</v>
      </c>
      <c r="CA100" s="162">
        <f t="shared" si="889"/>
        <v>270.47522416234068</v>
      </c>
      <c r="CB100" s="162">
        <f t="shared" si="889"/>
        <v>280.53798961774424</v>
      </c>
      <c r="CC100" s="162">
        <f t="shared" si="889"/>
        <v>302.21283624351111</v>
      </c>
      <c r="CD100" s="162">
        <f t="shared" si="889"/>
        <v>299.27229825389333</v>
      </c>
      <c r="CE100" s="162">
        <f t="shared" si="889"/>
        <v>320.05804624823026</v>
      </c>
      <c r="CF100" s="162">
        <f t="shared" si="889"/>
        <v>333.90278433223222</v>
      </c>
      <c r="CG100" s="162">
        <f t="shared" si="889"/>
        <v>356.30155733836716</v>
      </c>
      <c r="CH100" s="162">
        <f t="shared" si="889"/>
        <v>339.51533742331287</v>
      </c>
      <c r="CI100" s="162">
        <f t="shared" si="889"/>
        <v>358.8187824445493</v>
      </c>
      <c r="CJ100" s="162">
        <f t="shared" si="889"/>
        <v>379.24587069372342</v>
      </c>
      <c r="CK100" s="162">
        <f t="shared" si="889"/>
        <v>463.4200094384143</v>
      </c>
      <c r="CL100" s="21">
        <f t="shared" si="889"/>
        <v>484.7690081489996</v>
      </c>
      <c r="CM100" s="21">
        <f t="shared" si="889"/>
        <v>507.11638186724196</v>
      </c>
      <c r="CN100" s="21">
        <f t="shared" si="889"/>
        <v>529.84677479576408</v>
      </c>
      <c r="CO100" s="21">
        <f t="shared" si="889"/>
        <v>553.79629686114106</v>
      </c>
      <c r="CP100" s="21">
        <f t="shared" si="889"/>
        <v>580.82078828809836</v>
      </c>
      <c r="CQ100" s="21">
        <f t="shared" si="889"/>
        <v>608.02124136701912</v>
      </c>
      <c r="CR100" s="21">
        <f t="shared" si="889"/>
        <v>635.58157007387797</v>
      </c>
      <c r="CS100" s="21">
        <f t="shared" si="889"/>
        <v>663.46027588120091</v>
      </c>
      <c r="CT100" s="21">
        <f t="shared" si="889"/>
        <v>693.54553851815069</v>
      </c>
      <c r="CU100" s="21">
        <f t="shared" si="889"/>
        <v>723.19354165595712</v>
      </c>
      <c r="CV100" s="21">
        <f t="shared" si="889"/>
        <v>752.60504470433534</v>
      </c>
      <c r="CW100" s="21">
        <f t="shared" si="889"/>
        <v>785.56174612561722</v>
      </c>
      <c r="CX100" s="21">
        <f t="shared" si="889"/>
        <v>820.89604155635107</v>
      </c>
      <c r="CY100" s="21">
        <f t="shared" si="889"/>
        <v>856.08669675807892</v>
      </c>
      <c r="CZ100" s="21">
        <f t="shared" si="889"/>
        <v>891.68098728244252</v>
      </c>
      <c r="DB100" s="22"/>
      <c r="DC100" s="162" t="e">
        <v>#DIV/0!</v>
      </c>
    </row>
    <row r="101" spans="1:107" s="162" customFormat="1" x14ac:dyDescent="0.2">
      <c r="A101" s="49" t="s">
        <v>501</v>
      </c>
      <c r="AA101" s="21"/>
      <c r="AB101" s="21"/>
      <c r="AC101" s="21"/>
      <c r="AD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B101" s="22"/>
    </row>
    <row r="102" spans="1:107" s="162" customFormat="1" x14ac:dyDescent="0.2">
      <c r="A102" s="49" t="s">
        <v>502</v>
      </c>
      <c r="E102" s="162">
        <f t="shared" ref="E102:AD102" si="890">+E85/E$100</f>
        <v>5.6733835940273938</v>
      </c>
      <c r="F102" s="162">
        <f t="shared" si="890"/>
        <v>9.0417407758349242</v>
      </c>
      <c r="G102" s="162">
        <f t="shared" si="890"/>
        <v>13.153359415936123</v>
      </c>
      <c r="H102" s="162">
        <f t="shared" si="890"/>
        <v>19.704743023971002</v>
      </c>
      <c r="I102" s="162">
        <f t="shared" si="890"/>
        <v>4.534600150678175</v>
      </c>
      <c r="J102" s="162">
        <f t="shared" si="890"/>
        <v>6.7078453602071377</v>
      </c>
      <c r="K102" s="162">
        <f t="shared" si="890"/>
        <v>6.9264977367694645</v>
      </c>
      <c r="L102" s="162">
        <f t="shared" si="890"/>
        <v>4.8755471272615454</v>
      </c>
      <c r="M102" s="162">
        <f t="shared" si="890"/>
        <v>5.7046616749434973</v>
      </c>
      <c r="N102" s="162">
        <f t="shared" si="890"/>
        <v>5.4827649053615977</v>
      </c>
      <c r="O102" s="162">
        <f t="shared" si="890"/>
        <v>9.6923086223941848</v>
      </c>
      <c r="P102" s="162">
        <f t="shared" si="890"/>
        <v>7.8750690531983842</v>
      </c>
      <c r="Q102" s="162">
        <f t="shared" si="890"/>
        <v>6.6992816502875225</v>
      </c>
      <c r="R102" s="162">
        <f t="shared" si="890"/>
        <v>8.2218767414587077</v>
      </c>
      <c r="S102" s="162">
        <f t="shared" si="890"/>
        <v>7.0433806134773373</v>
      </c>
      <c r="T102" s="162">
        <f t="shared" si="890"/>
        <v>7.729894520341694</v>
      </c>
      <c r="U102" s="162">
        <f t="shared" si="890"/>
        <v>7.1222274136391635</v>
      </c>
      <c r="V102" s="162">
        <f t="shared" si="890"/>
        <v>11.706859628348733</v>
      </c>
      <c r="W102" s="162">
        <f t="shared" si="890"/>
        <v>11.510676072648355</v>
      </c>
      <c r="X102" s="162">
        <f t="shared" si="890"/>
        <v>16.660666907781852</v>
      </c>
      <c r="Y102" s="162">
        <f t="shared" si="890"/>
        <v>20.706476029623769</v>
      </c>
      <c r="Z102" s="162">
        <f t="shared" ref="Z102" si="891">+Z85/Z$100</f>
        <v>13.981469731329419</v>
      </c>
      <c r="AA102" s="21">
        <f t="shared" si="890"/>
        <v>12.810193515800108</v>
      </c>
      <c r="AB102" s="21">
        <f t="shared" si="890"/>
        <v>11.800367819430519</v>
      </c>
      <c r="AC102" s="21">
        <f t="shared" si="890"/>
        <v>9.8498738169670847</v>
      </c>
      <c r="AD102" s="21">
        <f t="shared" si="890"/>
        <v>8.3188877669140027</v>
      </c>
      <c r="AK102" s="162">
        <f t="shared" ref="AK102:CH104" si="892">+AK85/AK$100</f>
        <v>3.9195931485612734</v>
      </c>
      <c r="AL102" s="162">
        <f t="shared" si="892"/>
        <v>4.8702700414638</v>
      </c>
      <c r="AM102" s="162">
        <f t="shared" si="892"/>
        <v>4.2753057567967589</v>
      </c>
      <c r="AN102" s="162">
        <f t="shared" si="892"/>
        <v>5.4827649053615977</v>
      </c>
      <c r="AO102" s="162">
        <f t="shared" si="892"/>
        <v>6.5990680555759127</v>
      </c>
      <c r="AP102" s="162">
        <f t="shared" si="892"/>
        <v>8.5620593605168303</v>
      </c>
      <c r="AQ102" s="162">
        <f t="shared" si="892"/>
        <v>8.6151886488229596</v>
      </c>
      <c r="AR102" s="162">
        <f t="shared" si="892"/>
        <v>9.6923086223941848</v>
      </c>
      <c r="AS102" s="162">
        <f t="shared" si="892"/>
        <v>9.2928544763752203</v>
      </c>
      <c r="AT102" s="162">
        <f t="shared" si="892"/>
        <v>9.6161880141897509</v>
      </c>
      <c r="AU102" s="162">
        <f t="shared" si="892"/>
        <v>7.53884318921682</v>
      </c>
      <c r="AV102" s="162">
        <f t="shared" si="892"/>
        <v>7.8750690531983842</v>
      </c>
      <c r="AW102" s="162">
        <f t="shared" si="892"/>
        <v>8.7424159663865559</v>
      </c>
      <c r="AX102" s="162">
        <f t="shared" si="892"/>
        <v>8.2204003864489454</v>
      </c>
      <c r="AY102" s="162">
        <f t="shared" si="892"/>
        <v>7.4497735103113243</v>
      </c>
      <c r="AZ102" s="162">
        <f t="shared" si="892"/>
        <v>6.7072813286300024</v>
      </c>
      <c r="BA102" s="162">
        <f t="shared" si="892"/>
        <v>8.0396421625019272</v>
      </c>
      <c r="BB102" s="162">
        <f t="shared" si="892"/>
        <v>9.1694699990159201</v>
      </c>
      <c r="BC102" s="162">
        <f t="shared" si="892"/>
        <v>8.6075627476882435</v>
      </c>
      <c r="BD102" s="162">
        <f t="shared" si="892"/>
        <v>8.2218767414587077</v>
      </c>
      <c r="BE102" s="162">
        <f t="shared" si="892"/>
        <v>7.3497603373070417</v>
      </c>
      <c r="BF102" s="162">
        <f t="shared" si="892"/>
        <v>6.7428672310673745</v>
      </c>
      <c r="BG102" s="162">
        <f t="shared" si="892"/>
        <v>7.7832311108899637</v>
      </c>
      <c r="BH102" s="162">
        <f t="shared" si="892"/>
        <v>7.0433806134773365</v>
      </c>
      <c r="BI102" s="162">
        <f t="shared" si="892"/>
        <v>6.7824793683051565</v>
      </c>
      <c r="BJ102" s="162">
        <f t="shared" si="892"/>
        <v>8.194859607949077</v>
      </c>
      <c r="BK102" s="162">
        <f t="shared" si="892"/>
        <v>7.5283135217709178</v>
      </c>
      <c r="BL102" s="162">
        <f t="shared" si="892"/>
        <v>7.729894520341694</v>
      </c>
      <c r="BM102" s="162">
        <f t="shared" si="892"/>
        <v>5.5130353581142346</v>
      </c>
      <c r="BN102" s="162">
        <f t="shared" si="892"/>
        <v>5.5782759832832092</v>
      </c>
      <c r="BO102" s="162">
        <f t="shared" si="892"/>
        <v>4.9688814403736812</v>
      </c>
      <c r="BP102" s="162">
        <f t="shared" si="892"/>
        <v>7.1222274136391617</v>
      </c>
      <c r="BQ102" s="162">
        <f t="shared" si="892"/>
        <v>8.0141489069325011</v>
      </c>
      <c r="BR102" s="162">
        <f t="shared" si="892"/>
        <v>10.270101868574512</v>
      </c>
      <c r="BS102" s="162">
        <f t="shared" si="892"/>
        <v>10.296979556923684</v>
      </c>
      <c r="BT102" s="162">
        <f t="shared" si="892"/>
        <v>11.706859628348731</v>
      </c>
      <c r="BU102" s="162">
        <f t="shared" si="892"/>
        <v>11.066976253681954</v>
      </c>
      <c r="BV102" s="162">
        <f t="shared" si="892"/>
        <v>11.664026785949723</v>
      </c>
      <c r="BW102" s="162">
        <f t="shared" si="892"/>
        <v>14.988172985592165</v>
      </c>
      <c r="BX102" s="162">
        <f t="shared" si="892"/>
        <v>11.510676072648355</v>
      </c>
      <c r="BY102" s="162">
        <f t="shared" si="892"/>
        <v>13.755944872017441</v>
      </c>
      <c r="BZ102" s="162">
        <f t="shared" si="892"/>
        <v>17.451110645431687</v>
      </c>
      <c r="CA102" s="162">
        <f t="shared" si="892"/>
        <v>15.159798878802105</v>
      </c>
      <c r="CB102" s="162">
        <f t="shared" si="892"/>
        <v>16.660666907781849</v>
      </c>
      <c r="CC102" s="162">
        <f t="shared" si="892"/>
        <v>21.055690681757493</v>
      </c>
      <c r="CD102" s="162">
        <f t="shared" si="892"/>
        <v>28.377501190555037</v>
      </c>
      <c r="CE102" s="162">
        <f t="shared" si="892"/>
        <v>25.187618603869346</v>
      </c>
      <c r="CF102" s="162">
        <f t="shared" si="892"/>
        <v>20.706476029623765</v>
      </c>
      <c r="CG102" s="162">
        <f t="shared" si="892"/>
        <v>15.555783818077545</v>
      </c>
      <c r="CH102" s="162">
        <f t="shared" si="892"/>
        <v>17.898896839594514</v>
      </c>
      <c r="CI102" s="162">
        <f>+CI85/CI$100</f>
        <v>14.450051819127571</v>
      </c>
      <c r="CJ102" s="162">
        <f>+CJ85/CJ$100</f>
        <v>13.633108227499996</v>
      </c>
      <c r="CK102" s="162">
        <f>+CK85/CK$100</f>
        <v>12.810193515800108</v>
      </c>
      <c r="CL102" s="21">
        <f t="shared" ref="CL102:CZ102" si="893">+CL85/CL$100</f>
        <v>13.48064725703626</v>
      </c>
      <c r="CM102" s="21">
        <f t="shared" si="893"/>
        <v>12.886588234317381</v>
      </c>
      <c r="CN102" s="21">
        <f t="shared" si="893"/>
        <v>12.333754418943091</v>
      </c>
      <c r="CO102" s="21">
        <f t="shared" si="893"/>
        <v>11.800367819430519</v>
      </c>
      <c r="CP102" s="21">
        <f t="shared" si="893"/>
        <v>11.251319050168902</v>
      </c>
      <c r="CQ102" s="21">
        <f t="shared" si="893"/>
        <v>10.747979766804374</v>
      </c>
      <c r="CR102" s="21">
        <f t="shared" si="893"/>
        <v>10.28192179839386</v>
      </c>
      <c r="CS102" s="21">
        <f t="shared" si="893"/>
        <v>9.8498738169670847</v>
      </c>
      <c r="CT102" s="21">
        <f t="shared" si="893"/>
        <v>9.4225968405230738</v>
      </c>
      <c r="CU102" s="21">
        <f t="shared" si="893"/>
        <v>9.036308572441424</v>
      </c>
      <c r="CV102" s="21">
        <f t="shared" si="893"/>
        <v>8.6831732606407215</v>
      </c>
      <c r="CW102" s="21">
        <f t="shared" si="893"/>
        <v>8.3188877669140027</v>
      </c>
      <c r="CX102" s="21">
        <f t="shared" si="893"/>
        <v>7.9608131470705841</v>
      </c>
      <c r="CY102" s="21">
        <f t="shared" si="893"/>
        <v>7.6335726565398581</v>
      </c>
      <c r="CZ102" s="21">
        <f t="shared" si="893"/>
        <v>7.3288542575260944</v>
      </c>
      <c r="DB102" s="22"/>
      <c r="DC102" s="162" t="e">
        <v>#DIV/0!</v>
      </c>
    </row>
    <row r="103" spans="1:107" s="162" customFormat="1" x14ac:dyDescent="0.2">
      <c r="A103" s="49" t="s">
        <v>503</v>
      </c>
      <c r="E103" s="162">
        <f t="shared" ref="E103:AD103" si="894">+E86/E$100</f>
        <v>5.8482461540329789</v>
      </c>
      <c r="F103" s="162">
        <f t="shared" si="894"/>
        <v>9.6138367149161095</v>
      </c>
      <c r="G103" s="162">
        <f t="shared" si="894"/>
        <v>13.980871048327632</v>
      </c>
      <c r="H103" s="162">
        <f t="shared" si="894"/>
        <v>21.758799781817419</v>
      </c>
      <c r="I103" s="162">
        <f t="shared" si="894"/>
        <v>15.280337479846182</v>
      </c>
      <c r="J103" s="162">
        <f t="shared" si="894"/>
        <v>7.2914213495115714</v>
      </c>
      <c r="K103" s="162">
        <f t="shared" si="894"/>
        <v>8.523373485107669</v>
      </c>
      <c r="L103" s="162">
        <f t="shared" si="894"/>
        <v>7.5814924914150996</v>
      </c>
      <c r="M103" s="162">
        <f t="shared" si="894"/>
        <v>7.4525491612982577</v>
      </c>
      <c r="N103" s="162">
        <f t="shared" si="894"/>
        <v>5.8325602414138249</v>
      </c>
      <c r="O103" s="162">
        <f t="shared" si="894"/>
        <v>10.524994132248452</v>
      </c>
      <c r="P103" s="162">
        <f t="shared" si="894"/>
        <v>10.740971564374865</v>
      </c>
      <c r="Q103" s="162">
        <f t="shared" si="894"/>
        <v>9.2368981044816998</v>
      </c>
      <c r="R103" s="162">
        <f t="shared" si="894"/>
        <v>9.5140537970384464</v>
      </c>
      <c r="S103" s="162">
        <f t="shared" si="894"/>
        <v>9.2240789355479489</v>
      </c>
      <c r="T103" s="162">
        <f t="shared" si="894"/>
        <v>10.046876376022341</v>
      </c>
      <c r="U103" s="162">
        <f t="shared" si="894"/>
        <v>8.2953105329998511</v>
      </c>
      <c r="V103" s="162">
        <f t="shared" si="894"/>
        <v>12.414818587013221</v>
      </c>
      <c r="W103" s="162">
        <f t="shared" si="894"/>
        <v>14.781790436509626</v>
      </c>
      <c r="X103" s="162">
        <f t="shared" si="894"/>
        <v>17.656075766241631</v>
      </c>
      <c r="Y103" s="162">
        <f t="shared" si="894"/>
        <v>27.552929869689347</v>
      </c>
      <c r="Z103" s="162">
        <f t="shared" ref="Z103" si="895">+Z86/Z$100</f>
        <v>18.787219674859209</v>
      </c>
      <c r="AA103" s="21">
        <f t="shared" si="894"/>
        <v>14.144835929599884</v>
      </c>
      <c r="AB103" s="21">
        <f t="shared" si="894"/>
        <v>14.139672839979333</v>
      </c>
      <c r="AC103" s="21">
        <f t="shared" si="894"/>
        <v>14.321350907226615</v>
      </c>
      <c r="AD103" s="21">
        <f t="shared" si="894"/>
        <v>13.467143196486088</v>
      </c>
      <c r="AK103" s="162">
        <f t="shared" si="892"/>
        <v>5.9050289257760804</v>
      </c>
      <c r="AL103" s="162">
        <f t="shared" si="892"/>
        <v>5.5364091295612061</v>
      </c>
      <c r="AM103" s="162">
        <f t="shared" si="892"/>
        <v>4.9300823141440109</v>
      </c>
      <c r="AN103" s="162">
        <f t="shared" si="892"/>
        <v>5.6996063580274585</v>
      </c>
      <c r="AO103" s="162">
        <f t="shared" si="892"/>
        <v>6.6615687883806496</v>
      </c>
      <c r="AP103" s="162">
        <f t="shared" si="892"/>
        <v>8.5845700107672869</v>
      </c>
      <c r="AQ103" s="162">
        <f t="shared" si="892"/>
        <v>9.4877458884230883</v>
      </c>
      <c r="AR103" s="162">
        <f t="shared" si="892"/>
        <v>10.524994132248452</v>
      </c>
      <c r="AS103" s="162">
        <f t="shared" si="892"/>
        <v>11.274147236652516</v>
      </c>
      <c r="AT103" s="162">
        <f t="shared" si="892"/>
        <v>10.409328148265049</v>
      </c>
      <c r="AU103" s="162">
        <f t="shared" si="892"/>
        <v>10.293132718125319</v>
      </c>
      <c r="AV103" s="162">
        <f t="shared" si="892"/>
        <v>9.1495469578368311</v>
      </c>
      <c r="AW103" s="162">
        <f t="shared" si="892"/>
        <v>8.8701449579831948</v>
      </c>
      <c r="AX103" s="162">
        <f t="shared" si="892"/>
        <v>9.616532729374871</v>
      </c>
      <c r="AY103" s="162">
        <f t="shared" si="892"/>
        <v>8.6801318039857236</v>
      </c>
      <c r="AZ103" s="162">
        <f t="shared" si="892"/>
        <v>7.6748700796276328</v>
      </c>
      <c r="BA103" s="162">
        <f t="shared" si="892"/>
        <v>8.1228877832991362</v>
      </c>
      <c r="BB103" s="162">
        <f t="shared" si="892"/>
        <v>10.233270064024763</v>
      </c>
      <c r="BC103" s="162">
        <f t="shared" si="892"/>
        <v>9.5469002962074985</v>
      </c>
      <c r="BD103" s="162">
        <f t="shared" si="892"/>
        <v>8.483308334881297</v>
      </c>
      <c r="BE103" s="162">
        <f t="shared" si="892"/>
        <v>9.9649634170670023</v>
      </c>
      <c r="BF103" s="162">
        <f t="shared" si="892"/>
        <v>7.8817184303514978</v>
      </c>
      <c r="BG103" s="162">
        <f t="shared" si="892"/>
        <v>8.4158562198995934</v>
      </c>
      <c r="BH103" s="162">
        <f t="shared" si="892"/>
        <v>7.7466611101683922</v>
      </c>
      <c r="BI103" s="162">
        <f t="shared" si="892"/>
        <v>6.9836644024144476</v>
      </c>
      <c r="BJ103" s="162">
        <f t="shared" si="892"/>
        <v>8.3806475810983887</v>
      </c>
      <c r="BK103" s="162">
        <f t="shared" si="892"/>
        <v>8.2608515896355446</v>
      </c>
      <c r="BL103" s="162">
        <f t="shared" si="892"/>
        <v>9.5114242168568595</v>
      </c>
      <c r="BM103" s="162">
        <f t="shared" si="892"/>
        <v>8.3453635539437894</v>
      </c>
      <c r="BN103" s="162">
        <f t="shared" si="892"/>
        <v>6.5028651776298529</v>
      </c>
      <c r="BO103" s="162">
        <f t="shared" si="892"/>
        <v>5.8783061312466582</v>
      </c>
      <c r="BP103" s="162">
        <f t="shared" si="892"/>
        <v>7.4033795662132107</v>
      </c>
      <c r="BQ103" s="162">
        <f t="shared" si="892"/>
        <v>9.6114376512590365</v>
      </c>
      <c r="BR103" s="162">
        <f t="shared" si="892"/>
        <v>10.55471115321345</v>
      </c>
      <c r="BS103" s="162">
        <f t="shared" si="892"/>
        <v>10.693366854813339</v>
      </c>
      <c r="BT103" s="162">
        <f t="shared" si="892"/>
        <v>12.414818587013219</v>
      </c>
      <c r="BU103" s="162">
        <f t="shared" si="892"/>
        <v>12.686721698970873</v>
      </c>
      <c r="BV103" s="162">
        <f t="shared" si="892"/>
        <v>12.640325511375758</v>
      </c>
      <c r="BW103" s="162">
        <f t="shared" si="892"/>
        <v>16.711104791549847</v>
      </c>
      <c r="BX103" s="162">
        <f t="shared" si="892"/>
        <v>14.277073577613523</v>
      </c>
      <c r="BY103" s="162">
        <f t="shared" si="892"/>
        <v>14.034701502613663</v>
      </c>
      <c r="BZ103" s="162">
        <f t="shared" si="892"/>
        <v>17.542880692930989</v>
      </c>
      <c r="CA103" s="162">
        <f t="shared" si="892"/>
        <v>17.287535353676351</v>
      </c>
      <c r="CB103" s="162">
        <f t="shared" si="892"/>
        <v>17.656075766241628</v>
      </c>
      <c r="CC103" s="162">
        <f t="shared" si="892"/>
        <v>21.408753117245922</v>
      </c>
      <c r="CD103" s="162">
        <f t="shared" si="892"/>
        <v>30.741234834221128</v>
      </c>
      <c r="CE103" s="162">
        <f t="shared" si="892"/>
        <v>27.523132454442109</v>
      </c>
      <c r="CF103" s="162">
        <f t="shared" si="892"/>
        <v>26.778602693840632</v>
      </c>
      <c r="CG103" s="162">
        <f t="shared" si="892"/>
        <v>19.498792124004805</v>
      </c>
      <c r="CH103" s="162">
        <f t="shared" si="892"/>
        <v>18.555273666901574</v>
      </c>
      <c r="CI103" s="162">
        <f t="shared" ref="CI103:CJ104" si="896">+CI86/CI$100</f>
        <v>17.121456012268244</v>
      </c>
      <c r="CJ103" s="162">
        <f t="shared" si="896"/>
        <v>14.133179591897685</v>
      </c>
      <c r="CK103" s="162">
        <f t="shared" ref="CK103" si="897">+CK86/CK$100</f>
        <v>14.144835929599884</v>
      </c>
      <c r="CL103" s="94">
        <f t="shared" ref="CL103:CZ103" si="898">+CK103</f>
        <v>14.144835929599884</v>
      </c>
      <c r="CM103" s="94">
        <f t="shared" si="898"/>
        <v>14.144835929599884</v>
      </c>
      <c r="CN103" s="94">
        <f t="shared" si="898"/>
        <v>14.144835929599884</v>
      </c>
      <c r="CO103" s="94">
        <f t="shared" si="898"/>
        <v>14.144835929599884</v>
      </c>
      <c r="CP103" s="94">
        <f t="shared" si="898"/>
        <v>14.144835929599884</v>
      </c>
      <c r="CQ103" s="94">
        <f t="shared" si="898"/>
        <v>14.144835929599884</v>
      </c>
      <c r="CR103" s="94">
        <f t="shared" si="898"/>
        <v>14.144835929599884</v>
      </c>
      <c r="CS103" s="94">
        <f t="shared" si="898"/>
        <v>14.144835929599884</v>
      </c>
      <c r="CT103" s="94">
        <f t="shared" si="898"/>
        <v>14.144835929599884</v>
      </c>
      <c r="CU103" s="94">
        <f t="shared" si="898"/>
        <v>14.144835929599884</v>
      </c>
      <c r="CV103" s="94">
        <f t="shared" si="898"/>
        <v>14.144835929599884</v>
      </c>
      <c r="CW103" s="94">
        <f t="shared" si="898"/>
        <v>14.144835929599884</v>
      </c>
      <c r="CX103" s="94">
        <f t="shared" si="898"/>
        <v>14.144835929599884</v>
      </c>
      <c r="CY103" s="94">
        <f t="shared" si="898"/>
        <v>14.144835929599884</v>
      </c>
      <c r="CZ103" s="94">
        <f t="shared" si="898"/>
        <v>14.144835929599884</v>
      </c>
      <c r="DB103" s="22"/>
      <c r="DC103" s="162" t="e">
        <v>#DIV/0!</v>
      </c>
    </row>
    <row r="104" spans="1:107" s="162" customFormat="1" x14ac:dyDescent="0.2">
      <c r="A104" s="49" t="s">
        <v>504</v>
      </c>
      <c r="E104" s="162">
        <f t="shared" ref="E104:AD104" si="899">+E87/E$100</f>
        <v>3.4914029539576887</v>
      </c>
      <c r="F104" s="162">
        <f t="shared" si="899"/>
        <v>4.1483400744518564</v>
      </c>
      <c r="G104" s="162">
        <f t="shared" si="899"/>
        <v>6.7689388345515278</v>
      </c>
      <c r="H104" s="162">
        <f t="shared" si="899"/>
        <v>8.3126432699398283</v>
      </c>
      <c r="I104" s="162">
        <f t="shared" si="899"/>
        <v>3.7915837404997901</v>
      </c>
      <c r="J104" s="162">
        <f t="shared" si="899"/>
        <v>3.007492738887267</v>
      </c>
      <c r="K104" s="162">
        <f t="shared" si="899"/>
        <v>5.8506939544917964</v>
      </c>
      <c r="L104" s="162">
        <f t="shared" si="899"/>
        <v>4.5204910050740619</v>
      </c>
      <c r="M104" s="162">
        <f t="shared" si="899"/>
        <v>4.7240202333912453</v>
      </c>
      <c r="N104" s="162">
        <f t="shared" si="899"/>
        <v>3.5462282824661262</v>
      </c>
      <c r="O104" s="162">
        <f t="shared" si="899"/>
        <v>4.280606369888833</v>
      </c>
      <c r="P104" s="162">
        <f t="shared" si="899"/>
        <v>7.1915206661016109</v>
      </c>
      <c r="Q104" s="162">
        <f t="shared" si="899"/>
        <v>6.124836462104847</v>
      </c>
      <c r="R104" s="162">
        <f t="shared" si="899"/>
        <v>6.0484695956904702</v>
      </c>
      <c r="S104" s="162">
        <f t="shared" si="899"/>
        <v>5.9382255472485364</v>
      </c>
      <c r="T104" s="162">
        <f t="shared" si="899"/>
        <v>7.2835338952475928</v>
      </c>
      <c r="U104" s="162">
        <f t="shared" si="899"/>
        <v>4.2448980695323293</v>
      </c>
      <c r="V104" s="162">
        <f t="shared" si="899"/>
        <v>6.3601063238067947</v>
      </c>
      <c r="W104" s="162">
        <f t="shared" si="899"/>
        <v>8.3423068747077078</v>
      </c>
      <c r="X104" s="162">
        <f t="shared" si="899"/>
        <v>9.4922972950240556</v>
      </c>
      <c r="Y104" s="162">
        <f t="shared" si="899"/>
        <v>13.004234177573</v>
      </c>
      <c r="Z104" s="162">
        <f t="shared" ref="Z104" si="900">+Z87/Z$100</f>
        <v>12.41236391317498</v>
      </c>
      <c r="AA104" s="21">
        <f t="shared" si="899"/>
        <v>9.90472984876582</v>
      </c>
      <c r="AB104" s="21">
        <f t="shared" si="899"/>
        <v>7.9837572548897482</v>
      </c>
      <c r="AC104" s="21">
        <f t="shared" si="899"/>
        <v>7.9625685209770944</v>
      </c>
      <c r="AD104" s="21">
        <f t="shared" si="899"/>
        <v>7.8922647305963318</v>
      </c>
      <c r="AK104" s="162">
        <f t="shared" si="892"/>
        <v>3.8803331190683252</v>
      </c>
      <c r="AL104" s="162">
        <f t="shared" si="892"/>
        <v>3.7393085854899275</v>
      </c>
      <c r="AM104" s="162">
        <f t="shared" si="892"/>
        <v>3.5222734135330538</v>
      </c>
      <c r="AN104" s="162">
        <f t="shared" si="892"/>
        <v>4.2351351603698895</v>
      </c>
      <c r="AO104" s="162">
        <f t="shared" si="892"/>
        <v>4.4103777974820835</v>
      </c>
      <c r="AP104" s="162">
        <f t="shared" si="892"/>
        <v>6.1602874397266048</v>
      </c>
      <c r="AQ104" s="162">
        <f t="shared" si="892"/>
        <v>7.1794490256599248</v>
      </c>
      <c r="AR104" s="162">
        <f t="shared" si="892"/>
        <v>7.4470719919771833</v>
      </c>
      <c r="AS104" s="162">
        <f t="shared" si="892"/>
        <v>8.7531739857026736</v>
      </c>
      <c r="AT104" s="162">
        <f t="shared" si="892"/>
        <v>9.0509575336732109</v>
      </c>
      <c r="AU104" s="162">
        <f t="shared" si="892"/>
        <v>7.2762414579353747</v>
      </c>
      <c r="AV104" s="162">
        <f t="shared" si="892"/>
        <v>7.3602067441126131</v>
      </c>
      <c r="AW104" s="162">
        <f t="shared" si="892"/>
        <v>6.5956785714285715</v>
      </c>
      <c r="AX104" s="162">
        <f t="shared" si="892"/>
        <v>7.938824656709798</v>
      </c>
      <c r="AY104" s="162">
        <f t="shared" si="892"/>
        <v>7.2846533871207617</v>
      </c>
      <c r="AZ104" s="162">
        <f t="shared" si="892"/>
        <v>6.1321501897781765</v>
      </c>
      <c r="BA104" s="162">
        <f t="shared" si="892"/>
        <v>6.4683418031523132</v>
      </c>
      <c r="BB104" s="162">
        <f t="shared" si="892"/>
        <v>8.0927160276615613</v>
      </c>
      <c r="BC104" s="162">
        <f t="shared" si="892"/>
        <v>7.2446446964891571</v>
      </c>
      <c r="BD104" s="162">
        <f t="shared" si="892"/>
        <v>7.6763953156320275</v>
      </c>
      <c r="BE104" s="162">
        <f t="shared" si="892"/>
        <v>7.2386513379594435</v>
      </c>
      <c r="BF104" s="162">
        <f t="shared" si="892"/>
        <v>6.4138911574527038</v>
      </c>
      <c r="BG104" s="162">
        <f t="shared" si="892"/>
        <v>6.2707576594814158</v>
      </c>
      <c r="BH104" s="162">
        <f t="shared" si="892"/>
        <v>6.2977975305191496</v>
      </c>
      <c r="BI104" s="162">
        <f t="shared" si="892"/>
        <v>6.2177224015462551</v>
      </c>
      <c r="BJ104" s="162">
        <f t="shared" si="892"/>
        <v>6.6768670900578639</v>
      </c>
      <c r="BK104" s="162">
        <f t="shared" si="892"/>
        <v>6.4695980304449483</v>
      </c>
      <c r="BL104" s="162">
        <f t="shared" si="892"/>
        <v>7.4042288451213176</v>
      </c>
      <c r="BM104" s="162">
        <f t="shared" si="892"/>
        <v>4.699365367180417</v>
      </c>
      <c r="BN104" s="162">
        <f t="shared" si="892"/>
        <v>4.2709044977988073</v>
      </c>
      <c r="BO104" s="162">
        <f t="shared" si="892"/>
        <v>4.905574381473115</v>
      </c>
      <c r="BP104" s="162">
        <f t="shared" si="892"/>
        <v>4.9855298110570709</v>
      </c>
      <c r="BQ104" s="162">
        <f t="shared" si="892"/>
        <v>6.8649491289347369</v>
      </c>
      <c r="BR104" s="162">
        <f t="shared" si="892"/>
        <v>7.3924489516607323</v>
      </c>
      <c r="BS104" s="162">
        <f t="shared" si="892"/>
        <v>8.9210556146312427</v>
      </c>
      <c r="BT104" s="162">
        <f t="shared" si="892"/>
        <v>9.4342144621142641</v>
      </c>
      <c r="BU104" s="162">
        <f t="shared" si="892"/>
        <v>9.989714535074004</v>
      </c>
      <c r="BV104" s="162">
        <f t="shared" si="892"/>
        <v>10.164275492078561</v>
      </c>
      <c r="BW104" s="162">
        <f t="shared" si="892"/>
        <v>10.965897142464783</v>
      </c>
      <c r="BX104" s="162">
        <f t="shared" si="892"/>
        <v>11.327493668272123</v>
      </c>
      <c r="BY104" s="162">
        <f t="shared" si="892"/>
        <v>10.884383716220128</v>
      </c>
      <c r="BZ104" s="162">
        <f t="shared" si="892"/>
        <v>12.406521002142126</v>
      </c>
      <c r="CA104" s="162">
        <f t="shared" si="892"/>
        <v>15.120238878313565</v>
      </c>
      <c r="CB104" s="162">
        <f t="shared" si="892"/>
        <v>13.714720082091308</v>
      </c>
      <c r="CC104" s="162">
        <f t="shared" si="892"/>
        <v>14.367854304180739</v>
      </c>
      <c r="CD104" s="162">
        <f t="shared" si="892"/>
        <v>20.875470387505953</v>
      </c>
      <c r="CE104" s="162">
        <f t="shared" si="892"/>
        <v>22.082869288398904</v>
      </c>
      <c r="CF104" s="162">
        <f t="shared" si="892"/>
        <v>19.784800576645839</v>
      </c>
      <c r="CG104" s="162">
        <f t="shared" si="892"/>
        <v>13.733030067430196</v>
      </c>
      <c r="CH104" s="162">
        <f t="shared" si="892"/>
        <v>13.519418695000091</v>
      </c>
      <c r="CI104" s="162">
        <f t="shared" si="896"/>
        <v>13.768788708164934</v>
      </c>
      <c r="CJ104" s="162">
        <f t="shared" si="896"/>
        <v>12.909830741318681</v>
      </c>
      <c r="CK104" s="162">
        <f t="shared" ref="CK104" si="901">+CK87/CK$100</f>
        <v>10.013594375485624</v>
      </c>
      <c r="CL104" s="94">
        <f t="shared" ref="CL104:CZ104" si="902">+CK104</f>
        <v>10.013594375485624</v>
      </c>
      <c r="CM104" s="94">
        <f t="shared" si="902"/>
        <v>10.013594375485624</v>
      </c>
      <c r="CN104" s="94">
        <f t="shared" si="902"/>
        <v>10.013594375485624</v>
      </c>
      <c r="CO104" s="94">
        <f t="shared" si="902"/>
        <v>10.013594375485624</v>
      </c>
      <c r="CP104" s="94">
        <f t="shared" si="902"/>
        <v>10.013594375485624</v>
      </c>
      <c r="CQ104" s="94">
        <f t="shared" si="902"/>
        <v>10.013594375485624</v>
      </c>
      <c r="CR104" s="94">
        <f t="shared" si="902"/>
        <v>10.013594375485624</v>
      </c>
      <c r="CS104" s="94">
        <f t="shared" si="902"/>
        <v>10.013594375485624</v>
      </c>
      <c r="CT104" s="94">
        <f t="shared" si="902"/>
        <v>10.013594375485624</v>
      </c>
      <c r="CU104" s="94">
        <f t="shared" si="902"/>
        <v>10.013594375485624</v>
      </c>
      <c r="CV104" s="94">
        <f t="shared" si="902"/>
        <v>10.013594375485624</v>
      </c>
      <c r="CW104" s="94">
        <f t="shared" si="902"/>
        <v>10.013594375485624</v>
      </c>
      <c r="CX104" s="94">
        <f t="shared" si="902"/>
        <v>10.013594375485624</v>
      </c>
      <c r="CY104" s="94">
        <f t="shared" si="902"/>
        <v>10.013594375485624</v>
      </c>
      <c r="CZ104" s="94">
        <f t="shared" si="902"/>
        <v>10.013594375485624</v>
      </c>
      <c r="DB104" s="22"/>
      <c r="DC104" s="162" t="e">
        <v>#DIV/0!</v>
      </c>
    </row>
    <row r="105" spans="1:107" s="4" customFormat="1" x14ac:dyDescent="0.2">
      <c r="A105" s="3"/>
      <c r="AA105" s="17"/>
      <c r="AB105" s="17"/>
      <c r="AC105" s="17"/>
      <c r="AD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B105" s="119"/>
    </row>
    <row r="106" spans="1:107" s="177" customFormat="1" x14ac:dyDescent="0.2">
      <c r="A106" s="177" t="s">
        <v>510</v>
      </c>
      <c r="E106" s="177">
        <f t="shared" ref="E106:Y106" si="903">+E18</f>
        <v>2260.2226000000001</v>
      </c>
      <c r="F106" s="177">
        <f t="shared" si="903"/>
        <v>2963.0526</v>
      </c>
      <c r="G106" s="177">
        <f t="shared" si="903"/>
        <v>4274.0092999999997</v>
      </c>
      <c r="H106" s="177">
        <f t="shared" si="903"/>
        <v>5930.3114000000005</v>
      </c>
      <c r="I106" s="177">
        <f t="shared" si="903"/>
        <v>6837.0315000000001</v>
      </c>
      <c r="J106" s="177">
        <f t="shared" si="903"/>
        <v>6237.2013999999999</v>
      </c>
      <c r="K106" s="177">
        <f t="shared" si="903"/>
        <v>6287.1118000000006</v>
      </c>
      <c r="L106" s="177">
        <f t="shared" si="903"/>
        <v>7451.79</v>
      </c>
      <c r="M106" s="177">
        <f t="shared" si="903"/>
        <v>7610.48</v>
      </c>
      <c r="N106" s="177">
        <f t="shared" si="903"/>
        <v>7721.9900000000007</v>
      </c>
      <c r="O106" s="177">
        <f t="shared" si="903"/>
        <v>7733.2699999999995</v>
      </c>
      <c r="P106" s="177">
        <f t="shared" si="903"/>
        <v>8140.27</v>
      </c>
      <c r="Q106" s="177">
        <f t="shared" si="903"/>
        <v>8642.2100000000009</v>
      </c>
      <c r="R106" s="177">
        <f t="shared" si="903"/>
        <v>6093.73</v>
      </c>
      <c r="S106" s="177">
        <f t="shared" si="903"/>
        <v>6690.12</v>
      </c>
      <c r="T106" s="177">
        <f t="shared" si="903"/>
        <v>7315.06</v>
      </c>
      <c r="U106" s="177">
        <f t="shared" si="903"/>
        <v>5820.95</v>
      </c>
      <c r="V106" s="177">
        <f t="shared" si="903"/>
        <v>6934</v>
      </c>
      <c r="W106" s="177">
        <f t="shared" si="903"/>
        <v>8567.5300000000007</v>
      </c>
      <c r="X106" s="177">
        <f t="shared" si="903"/>
        <v>10446.52</v>
      </c>
      <c r="Y106" s="177">
        <f t="shared" si="903"/>
        <v>12188.310000000001</v>
      </c>
      <c r="Z106" s="177">
        <f t="shared" ref="Z106" si="904">+Z18</f>
        <v>13202.73</v>
      </c>
      <c r="AA106" s="178">
        <f t="shared" ref="AA106:AD106" si="905">+AA18</f>
        <v>14486.195556445347</v>
      </c>
      <c r="AB106" s="178">
        <f t="shared" si="905"/>
        <v>17087.61571927548</v>
      </c>
      <c r="AC106" s="178">
        <f t="shared" si="905"/>
        <v>19227.546561005125</v>
      </c>
      <c r="AD106" s="178">
        <f t="shared" si="905"/>
        <v>22645.674174925422</v>
      </c>
      <c r="AK106" s="177">
        <f t="shared" ref="AK106:BP106" si="906">+SUM(AH16:AK16)</f>
        <v>7755.75</v>
      </c>
      <c r="AL106" s="177">
        <f t="shared" si="906"/>
        <v>7623.1100000000006</v>
      </c>
      <c r="AM106" s="177">
        <f t="shared" si="906"/>
        <v>7600.4</v>
      </c>
      <c r="AN106" s="177">
        <f t="shared" si="906"/>
        <v>7721.9900000000007</v>
      </c>
      <c r="AO106" s="177">
        <f t="shared" si="906"/>
        <v>7568.63</v>
      </c>
      <c r="AP106" s="177">
        <f t="shared" si="906"/>
        <v>7639.66</v>
      </c>
      <c r="AQ106" s="177">
        <f t="shared" si="906"/>
        <v>7698.7300000000005</v>
      </c>
      <c r="AR106" s="177">
        <f t="shared" si="906"/>
        <v>7733.27</v>
      </c>
      <c r="AS106" s="177">
        <f t="shared" si="906"/>
        <v>7720.1299999999992</v>
      </c>
      <c r="AT106" s="177">
        <f t="shared" si="906"/>
        <v>7829.57</v>
      </c>
      <c r="AU106" s="177">
        <f t="shared" si="906"/>
        <v>7953.57</v>
      </c>
      <c r="AV106" s="177">
        <f t="shared" si="906"/>
        <v>8302.14</v>
      </c>
      <c r="AW106" s="177">
        <f t="shared" si="906"/>
        <v>8611.18</v>
      </c>
      <c r="AX106" s="177">
        <f t="shared" si="906"/>
        <v>8905.7999999999993</v>
      </c>
      <c r="AY106" s="177">
        <f t="shared" si="906"/>
        <v>9134.4699999999993</v>
      </c>
      <c r="AZ106" s="177">
        <f t="shared" si="906"/>
        <v>9202.27</v>
      </c>
      <c r="BA106" s="177">
        <f t="shared" si="906"/>
        <v>9379.84</v>
      </c>
      <c r="BB106" s="177">
        <f t="shared" si="906"/>
        <v>9524.73</v>
      </c>
      <c r="BC106" s="177">
        <f t="shared" si="906"/>
        <v>9250.49</v>
      </c>
      <c r="BD106" s="177">
        <f t="shared" si="906"/>
        <v>8304.4599999999991</v>
      </c>
      <c r="BE106" s="177">
        <f t="shared" si="906"/>
        <v>7569.74</v>
      </c>
      <c r="BF106" s="177">
        <f t="shared" si="906"/>
        <v>6864.33</v>
      </c>
      <c r="BG106" s="177">
        <f t="shared" si="906"/>
        <v>6432.55</v>
      </c>
      <c r="BH106" s="177">
        <f t="shared" si="906"/>
        <v>6690.12</v>
      </c>
      <c r="BI106" s="177">
        <f t="shared" si="906"/>
        <v>6973.91</v>
      </c>
      <c r="BJ106" s="177">
        <f t="shared" si="906"/>
        <v>7033.9400000000005</v>
      </c>
      <c r="BK106" s="177">
        <f t="shared" si="906"/>
        <v>7287.94</v>
      </c>
      <c r="BL106" s="177">
        <f t="shared" si="906"/>
        <v>7274.95</v>
      </c>
      <c r="BM106" s="177">
        <f t="shared" si="906"/>
        <v>6946.94</v>
      </c>
      <c r="BN106" s="177">
        <f t="shared" si="906"/>
        <v>6206.9699999999993</v>
      </c>
      <c r="BO106" s="177">
        <f t="shared" si="906"/>
        <v>6073.5199999999995</v>
      </c>
      <c r="BP106" s="177">
        <f t="shared" si="906"/>
        <v>5820.95</v>
      </c>
      <c r="BQ106" s="177">
        <f t="shared" ref="BQ106:CV106" si="907">+SUM(BN16:BQ16)</f>
        <v>5927.8600000000006</v>
      </c>
      <c r="BR106" s="177">
        <f t="shared" si="907"/>
        <v>6367.04</v>
      </c>
      <c r="BS106" s="177">
        <f t="shared" si="907"/>
        <v>6533.26</v>
      </c>
      <c r="BT106" s="177">
        <f t="shared" si="907"/>
        <v>6934</v>
      </c>
      <c r="BU106" s="177">
        <f t="shared" si="907"/>
        <v>7279.7100000000009</v>
      </c>
      <c r="BV106" s="177">
        <f t="shared" si="907"/>
        <v>7952.6</v>
      </c>
      <c r="BW106" s="177">
        <f t="shared" si="907"/>
        <v>8293.9500000000007</v>
      </c>
      <c r="BX106" s="177">
        <f t="shared" si="907"/>
        <v>8619.36</v>
      </c>
      <c r="BY106" s="177">
        <f t="shared" si="907"/>
        <v>9055.7099999999991</v>
      </c>
      <c r="BZ106" s="177">
        <f t="shared" si="907"/>
        <v>9466.49</v>
      </c>
      <c r="CA106" s="177">
        <f t="shared" si="907"/>
        <v>10115.94</v>
      </c>
      <c r="CB106" s="177">
        <f t="shared" si="907"/>
        <v>10446.52</v>
      </c>
      <c r="CC106" s="177">
        <f t="shared" si="907"/>
        <v>11115.669999999998</v>
      </c>
      <c r="CD106" s="177">
        <f t="shared" si="907"/>
        <v>11437.900000000001</v>
      </c>
      <c r="CE106" s="177">
        <f t="shared" si="907"/>
        <v>11580.869999999999</v>
      </c>
      <c r="CF106" s="177">
        <f t="shared" si="907"/>
        <v>12188.31</v>
      </c>
      <c r="CG106" s="177">
        <f t="shared" si="907"/>
        <v>12118.02</v>
      </c>
      <c r="CH106" s="177">
        <f t="shared" si="907"/>
        <v>12462.6</v>
      </c>
      <c r="CI106" s="177">
        <f t="shared" si="907"/>
        <v>12861.16</v>
      </c>
      <c r="CJ106" s="177">
        <f t="shared" si="907"/>
        <v>13053.24</v>
      </c>
      <c r="CK106" s="177">
        <f t="shared" si="907"/>
        <v>13227.23</v>
      </c>
      <c r="CL106" s="178">
        <f t="shared" si="907"/>
        <v>13755.174495870215</v>
      </c>
      <c r="CM106" s="178">
        <f t="shared" si="907"/>
        <v>14212.982579651209</v>
      </c>
      <c r="CN106" s="178">
        <f t="shared" si="907"/>
        <v>14486.195556445347</v>
      </c>
      <c r="CO106" s="178">
        <f t="shared" si="907"/>
        <v>15315.682900307467</v>
      </c>
      <c r="CP106" s="178">
        <f t="shared" si="907"/>
        <v>16024.746833493857</v>
      </c>
      <c r="CQ106" s="178">
        <f t="shared" si="907"/>
        <v>16601.561048314543</v>
      </c>
      <c r="CR106" s="178">
        <f t="shared" si="907"/>
        <v>17087.61571927548</v>
      </c>
      <c r="CS106" s="178">
        <f t="shared" si="907"/>
        <v>17651.802740173083</v>
      </c>
      <c r="CT106" s="178">
        <f t="shared" si="907"/>
        <v>18195.885654225211</v>
      </c>
      <c r="CU106" s="178">
        <f t="shared" si="907"/>
        <v>18714.967498174872</v>
      </c>
      <c r="CV106" s="178">
        <f t="shared" si="907"/>
        <v>19227.546561005125</v>
      </c>
      <c r="CW106" s="178">
        <f t="shared" ref="CW106:CZ106" si="908">+SUM(CT16:CW16)</f>
        <v>20030.632392202031</v>
      </c>
      <c r="CX106" s="178">
        <f t="shared" si="908"/>
        <v>20876.784949530567</v>
      </c>
      <c r="CY106" s="178">
        <f t="shared" si="908"/>
        <v>21738.434044249239</v>
      </c>
      <c r="CZ106" s="178">
        <f t="shared" si="908"/>
        <v>22645.674174925422</v>
      </c>
      <c r="DB106" s="179"/>
      <c r="DC106" s="177">
        <v>0</v>
      </c>
    </row>
    <row r="107" spans="1:107" s="163" customFormat="1" x14ac:dyDescent="0.2">
      <c r="A107" s="163" t="s">
        <v>511</v>
      </c>
      <c r="E107" s="163">
        <f t="shared" ref="E107:AD107" si="909">+E106/E73</f>
        <v>106.66458706937235</v>
      </c>
      <c r="F107" s="163">
        <f t="shared" si="909"/>
        <v>139.83259084473806</v>
      </c>
      <c r="G107" s="163">
        <f t="shared" si="909"/>
        <v>201.69935346861723</v>
      </c>
      <c r="H107" s="163">
        <f t="shared" si="909"/>
        <v>279.86368098159511</v>
      </c>
      <c r="I107" s="163">
        <f t="shared" si="909"/>
        <v>322.65368098159507</v>
      </c>
      <c r="J107" s="163">
        <f t="shared" si="909"/>
        <v>294.34645587541291</v>
      </c>
      <c r="K107" s="163">
        <f t="shared" si="909"/>
        <v>296.70183105238323</v>
      </c>
      <c r="L107" s="163">
        <f t="shared" si="909"/>
        <v>351.66540821142047</v>
      </c>
      <c r="M107" s="163">
        <f t="shared" si="909"/>
        <v>359.15431807456343</v>
      </c>
      <c r="N107" s="163">
        <f t="shared" si="909"/>
        <v>364.41670599339312</v>
      </c>
      <c r="O107" s="163">
        <f t="shared" si="909"/>
        <v>364.94903256252945</v>
      </c>
      <c r="P107" s="163">
        <f t="shared" si="909"/>
        <v>384.15620575743276</v>
      </c>
      <c r="Q107" s="163">
        <f t="shared" si="909"/>
        <v>407.84379424256724</v>
      </c>
      <c r="R107" s="163">
        <f t="shared" si="909"/>
        <v>287.57574327512975</v>
      </c>
      <c r="S107" s="163">
        <f t="shared" si="909"/>
        <v>315.72062293534685</v>
      </c>
      <c r="T107" s="163">
        <f t="shared" si="909"/>
        <v>345.21283624351111</v>
      </c>
      <c r="U107" s="163">
        <f t="shared" si="909"/>
        <v>274.70268994808868</v>
      </c>
      <c r="V107" s="163">
        <f t="shared" si="909"/>
        <v>327.22982538933456</v>
      </c>
      <c r="W107" s="163">
        <f t="shared" si="909"/>
        <v>404.31949032562528</v>
      </c>
      <c r="X107" s="163">
        <f t="shared" si="909"/>
        <v>492.99292118924018</v>
      </c>
      <c r="Y107" s="163">
        <f t="shared" si="909"/>
        <v>575.19159981123175</v>
      </c>
      <c r="Z107" s="163">
        <f t="shared" ref="Z107" si="910">+Z106/Z73</f>
        <v>623.06418121755542</v>
      </c>
      <c r="AA107" s="94">
        <f t="shared" si="909"/>
        <v>683.63357982281013</v>
      </c>
      <c r="AB107" s="94">
        <f t="shared" si="909"/>
        <v>806.39998675202821</v>
      </c>
      <c r="AC107" s="94">
        <f t="shared" si="909"/>
        <v>907.38775653634377</v>
      </c>
      <c r="AD107" s="94">
        <f t="shared" si="909"/>
        <v>1068.696280081426</v>
      </c>
      <c r="AK107" s="163">
        <f t="shared" ref="AK107:BP107" si="911">+AK106/AK73</f>
        <v>366.00991033506369</v>
      </c>
      <c r="AL107" s="163">
        <f t="shared" si="911"/>
        <v>359.75035394053799</v>
      </c>
      <c r="AM107" s="163">
        <f t="shared" si="911"/>
        <v>358.67862199150539</v>
      </c>
      <c r="AN107" s="163">
        <f t="shared" si="911"/>
        <v>364.41670599339312</v>
      </c>
      <c r="AO107" s="163">
        <f t="shared" si="911"/>
        <v>357.17932987258138</v>
      </c>
      <c r="AP107" s="163">
        <f t="shared" si="911"/>
        <v>360.53138272770173</v>
      </c>
      <c r="AQ107" s="163">
        <f t="shared" si="911"/>
        <v>363.31901840490798</v>
      </c>
      <c r="AR107" s="163">
        <f t="shared" si="911"/>
        <v>364.94903256252951</v>
      </c>
      <c r="AS107" s="163">
        <f t="shared" si="911"/>
        <v>364.32892873997162</v>
      </c>
      <c r="AT107" s="163">
        <f t="shared" si="911"/>
        <v>369.49362907031616</v>
      </c>
      <c r="AU107" s="163">
        <f t="shared" si="911"/>
        <v>375.34544596507783</v>
      </c>
      <c r="AV107" s="163">
        <f t="shared" si="911"/>
        <v>391.79518640868326</v>
      </c>
      <c r="AW107" s="163">
        <f t="shared" si="911"/>
        <v>406.37942425672486</v>
      </c>
      <c r="AX107" s="163">
        <f t="shared" si="911"/>
        <v>420.28315243039162</v>
      </c>
      <c r="AY107" s="163">
        <f t="shared" si="911"/>
        <v>431.07456347333641</v>
      </c>
      <c r="AZ107" s="163">
        <f t="shared" si="911"/>
        <v>434.27418593676259</v>
      </c>
      <c r="BA107" s="163">
        <f t="shared" si="911"/>
        <v>442.65408211420481</v>
      </c>
      <c r="BB107" s="163">
        <f t="shared" si="911"/>
        <v>449.49174138744684</v>
      </c>
      <c r="BC107" s="163">
        <f t="shared" si="911"/>
        <v>436.54978763567715</v>
      </c>
      <c r="BD107" s="163">
        <f t="shared" si="911"/>
        <v>391.90467201510143</v>
      </c>
      <c r="BE107" s="163">
        <f t="shared" si="911"/>
        <v>357.23171307220383</v>
      </c>
      <c r="BF107" s="163">
        <f t="shared" si="911"/>
        <v>323.94195375176969</v>
      </c>
      <c r="BG107" s="163">
        <f t="shared" si="911"/>
        <v>303.56536101934876</v>
      </c>
      <c r="BH107" s="163">
        <f t="shared" si="911"/>
        <v>315.72062293534685</v>
      </c>
      <c r="BI107" s="163">
        <f t="shared" si="911"/>
        <v>329.11326097215664</v>
      </c>
      <c r="BJ107" s="163">
        <f t="shared" si="911"/>
        <v>331.94620103822558</v>
      </c>
      <c r="BK107" s="163">
        <f t="shared" si="911"/>
        <v>343.9329872581406</v>
      </c>
      <c r="BL107" s="163">
        <f t="shared" si="911"/>
        <v>343.31996224634258</v>
      </c>
      <c r="BM107" s="163">
        <f t="shared" si="911"/>
        <v>327.84049079754595</v>
      </c>
      <c r="BN107" s="163">
        <f t="shared" si="911"/>
        <v>292.91977347805562</v>
      </c>
      <c r="BO107" s="163">
        <f t="shared" si="911"/>
        <v>286.62199150542705</v>
      </c>
      <c r="BP107" s="163">
        <f t="shared" si="911"/>
        <v>274.70268994808868</v>
      </c>
      <c r="BQ107" s="163">
        <f t="shared" ref="BQ107:CV107" si="912">+BQ106/BQ73</f>
        <v>279.74799433695142</v>
      </c>
      <c r="BR107" s="163">
        <f t="shared" si="912"/>
        <v>300.47380840018877</v>
      </c>
      <c r="BS107" s="163">
        <f t="shared" si="912"/>
        <v>308.31807456347332</v>
      </c>
      <c r="BT107" s="163">
        <f t="shared" si="912"/>
        <v>327.22982538933456</v>
      </c>
      <c r="BU107" s="163">
        <f t="shared" si="912"/>
        <v>343.54459650778671</v>
      </c>
      <c r="BV107" s="163">
        <f t="shared" si="912"/>
        <v>375.29966965549789</v>
      </c>
      <c r="BW107" s="163">
        <f t="shared" si="912"/>
        <v>391.4086833411987</v>
      </c>
      <c r="BX107" s="163">
        <f t="shared" si="912"/>
        <v>406.76545540349224</v>
      </c>
      <c r="BY107" s="163">
        <f t="shared" si="912"/>
        <v>427.35771590372809</v>
      </c>
      <c r="BZ107" s="163">
        <f t="shared" si="912"/>
        <v>446.74327512977817</v>
      </c>
      <c r="CA107" s="163">
        <f t="shared" si="912"/>
        <v>477.39216611609248</v>
      </c>
      <c r="CB107" s="163">
        <f t="shared" si="912"/>
        <v>492.99292118924018</v>
      </c>
      <c r="CC107" s="163">
        <f t="shared" si="912"/>
        <v>524.57149598867375</v>
      </c>
      <c r="CD107" s="163">
        <f t="shared" si="912"/>
        <v>539.77819726285986</v>
      </c>
      <c r="CE107" s="163">
        <f t="shared" si="912"/>
        <v>546.52524775837651</v>
      </c>
      <c r="CF107" s="163">
        <f t="shared" si="912"/>
        <v>575.19159981123164</v>
      </c>
      <c r="CG107" s="163">
        <f t="shared" si="912"/>
        <v>571.87446908919298</v>
      </c>
      <c r="CH107" s="163">
        <f t="shared" si="912"/>
        <v>588.13591316658801</v>
      </c>
      <c r="CI107" s="163">
        <f t="shared" si="912"/>
        <v>606.94478527607362</v>
      </c>
      <c r="CJ107" s="163">
        <f t="shared" ref="CJ107:CK107" si="913">+CJ106/CJ73</f>
        <v>616.00943841434639</v>
      </c>
      <c r="CK107" s="163">
        <f t="shared" si="913"/>
        <v>624.22038697498817</v>
      </c>
      <c r="CL107" s="50">
        <f t="shared" si="912"/>
        <v>649.13518149458298</v>
      </c>
      <c r="CM107" s="50">
        <f t="shared" si="912"/>
        <v>670.74009342384181</v>
      </c>
      <c r="CN107" s="50">
        <f t="shared" si="912"/>
        <v>683.63357982281013</v>
      </c>
      <c r="CO107" s="50">
        <f t="shared" si="912"/>
        <v>722.77880605509517</v>
      </c>
      <c r="CP107" s="50">
        <f t="shared" si="912"/>
        <v>756.24100205256514</v>
      </c>
      <c r="CQ107" s="50">
        <f t="shared" si="912"/>
        <v>783.46205985439087</v>
      </c>
      <c r="CR107" s="50">
        <f t="shared" si="912"/>
        <v>806.39998675202821</v>
      </c>
      <c r="CS107" s="50">
        <f t="shared" si="912"/>
        <v>833.02514111246262</v>
      </c>
      <c r="CT107" s="50">
        <f t="shared" si="912"/>
        <v>858.70154102053846</v>
      </c>
      <c r="CU107" s="50">
        <f t="shared" si="912"/>
        <v>883.19808863496326</v>
      </c>
      <c r="CV107" s="50">
        <f t="shared" si="912"/>
        <v>907.38775653634377</v>
      </c>
      <c r="CW107" s="50">
        <f t="shared" ref="CW107:CZ107" si="914">+CW106/CW73</f>
        <v>945.28704068910008</v>
      </c>
      <c r="CX107" s="50">
        <f t="shared" si="914"/>
        <v>985.21873287072049</v>
      </c>
      <c r="CY107" s="50">
        <f t="shared" si="914"/>
        <v>1025.8817387564529</v>
      </c>
      <c r="CZ107" s="50">
        <f t="shared" si="914"/>
        <v>1068.696280081426</v>
      </c>
      <c r="DB107" s="164"/>
      <c r="DC107" s="163" t="e">
        <v>#DIV/0!</v>
      </c>
    </row>
    <row r="108" spans="1:107" s="163" customFormat="1" x14ac:dyDescent="0.2">
      <c r="AA108" s="94"/>
      <c r="AB108" s="94"/>
      <c r="AC108" s="94"/>
      <c r="AD108" s="94"/>
      <c r="CL108" s="94"/>
      <c r="CM108" s="94"/>
      <c r="CN108" s="94"/>
      <c r="CO108" s="94"/>
      <c r="CP108" s="94"/>
      <c r="CQ108" s="94"/>
      <c r="CR108" s="94"/>
      <c r="CS108" s="94"/>
      <c r="CT108" s="94"/>
      <c r="CU108" s="94"/>
      <c r="CV108" s="94"/>
      <c r="CW108" s="94"/>
      <c r="CX108" s="94"/>
      <c r="CY108" s="94"/>
      <c r="CZ108" s="94"/>
      <c r="DB108" s="164"/>
    </row>
    <row r="109" spans="1:107" s="163" customFormat="1" x14ac:dyDescent="0.2">
      <c r="A109" s="163" t="s">
        <v>506</v>
      </c>
      <c r="AA109" s="94"/>
      <c r="AB109" s="94"/>
      <c r="AC109" s="94"/>
      <c r="AD109" s="94"/>
      <c r="CL109" s="94"/>
      <c r="CM109" s="94"/>
      <c r="CN109" s="94"/>
      <c r="CO109" s="94"/>
      <c r="CP109" s="94"/>
      <c r="CQ109" s="94"/>
      <c r="CR109" s="94"/>
      <c r="CS109" s="94"/>
      <c r="CT109" s="94"/>
      <c r="CU109" s="94"/>
      <c r="CV109" s="94"/>
      <c r="CW109" s="94"/>
      <c r="CX109" s="94"/>
      <c r="CY109" s="94"/>
      <c r="CZ109" s="94"/>
      <c r="DB109" s="164"/>
    </row>
    <row r="110" spans="1:107" s="163" customFormat="1" x14ac:dyDescent="0.2">
      <c r="A110" s="163" t="s">
        <v>507</v>
      </c>
      <c r="E110" s="163">
        <f t="shared" ref="E110:AD110" si="915">+E85/E$107</f>
        <v>1.8189729631054925</v>
      </c>
      <c r="F110" s="163">
        <f t="shared" si="915"/>
        <v>2.7589419438588441</v>
      </c>
      <c r="G110" s="163">
        <f t="shared" si="915"/>
        <v>3.6802299424102802</v>
      </c>
      <c r="H110" s="163">
        <f t="shared" si="915"/>
        <v>5.4038808990704936</v>
      </c>
      <c r="I110" s="163">
        <f t="shared" si="915"/>
        <v>1.4053768071713579</v>
      </c>
      <c r="J110" s="163">
        <f t="shared" si="915"/>
        <v>2.6066221783378682</v>
      </c>
      <c r="K110" s="163">
        <f t="shared" si="915"/>
        <v>2.6701891160898392</v>
      </c>
      <c r="L110" s="163">
        <f t="shared" si="915"/>
        <v>1.6595320050618712</v>
      </c>
      <c r="M110" s="163">
        <f t="shared" si="915"/>
        <v>1.9501366536670488</v>
      </c>
      <c r="N110" s="163">
        <f t="shared" si="915"/>
        <v>1.9011203070711045</v>
      </c>
      <c r="O110" s="163">
        <f t="shared" si="915"/>
        <v>3.5243277423392696</v>
      </c>
      <c r="P110" s="163">
        <f t="shared" si="915"/>
        <v>2.9105347857012109</v>
      </c>
      <c r="Q110" s="163">
        <f t="shared" si="915"/>
        <v>2.5477891650399607</v>
      </c>
      <c r="R110" s="163">
        <f t="shared" si="915"/>
        <v>4.866543972246884</v>
      </c>
      <c r="S110" s="163">
        <f t="shared" si="915"/>
        <v>4.2189198400028705</v>
      </c>
      <c r="T110" s="163">
        <f t="shared" si="915"/>
        <v>3.719734219541603</v>
      </c>
      <c r="U110" s="163">
        <f t="shared" si="915"/>
        <v>4.4125887526950081</v>
      </c>
      <c r="V110" s="163">
        <f t="shared" si="915"/>
        <v>6.8296036198442458</v>
      </c>
      <c r="W110" s="163">
        <f t="shared" si="915"/>
        <v>6.6362123622561002</v>
      </c>
      <c r="X110" s="163">
        <f t="shared" si="915"/>
        <v>9.4807649341598932</v>
      </c>
      <c r="Y110" s="163">
        <f t="shared" si="915"/>
        <v>12.020255515325749</v>
      </c>
      <c r="Z110" s="163">
        <f t="shared" ref="Z110" si="916">+Z85/Z$107</f>
        <v>8.2981820426533002</v>
      </c>
      <c r="AA110" s="50">
        <f t="shared" si="915"/>
        <v>8.6837454671823924</v>
      </c>
      <c r="AB110" s="50">
        <f t="shared" si="915"/>
        <v>8.103918783929176</v>
      </c>
      <c r="AC110" s="50">
        <f t="shared" si="915"/>
        <v>7.2019927014942615</v>
      </c>
      <c r="AD110" s="50">
        <f t="shared" si="915"/>
        <v>6.1149272452806569</v>
      </c>
      <c r="AK110" s="163">
        <f t="shared" ref="AK110:BP110" si="917">+AK85/AK107</f>
        <v>1.3365758308351867</v>
      </c>
      <c r="AL110" s="163">
        <f t="shared" si="917"/>
        <v>1.6979830410423042</v>
      </c>
      <c r="AM110" s="163">
        <f t="shared" si="917"/>
        <v>1.5163992684595549</v>
      </c>
      <c r="AN110" s="163">
        <f t="shared" si="917"/>
        <v>1.9011203070711045</v>
      </c>
      <c r="AO110" s="163">
        <f t="shared" si="917"/>
        <v>2.379616984844021</v>
      </c>
      <c r="AP110" s="163">
        <f t="shared" si="917"/>
        <v>3.112211734553632</v>
      </c>
      <c r="AQ110" s="163">
        <f t="shared" si="917"/>
        <v>3.1578308370341599</v>
      </c>
      <c r="AR110" s="163">
        <f t="shared" si="917"/>
        <v>3.5243277423392692</v>
      </c>
      <c r="AS110" s="163">
        <f t="shared" si="917"/>
        <v>3.4501789477638338</v>
      </c>
      <c r="AT110" s="163">
        <f t="shared" si="917"/>
        <v>3.579899343131232</v>
      </c>
      <c r="AU110" s="163">
        <f t="shared" si="917"/>
        <v>2.8184703221320744</v>
      </c>
      <c r="AV110" s="163">
        <f t="shared" si="917"/>
        <v>2.8537869754063414</v>
      </c>
      <c r="AW110" s="163">
        <f t="shared" si="917"/>
        <v>3.1411531288394854</v>
      </c>
      <c r="AX110" s="163">
        <f t="shared" si="917"/>
        <v>2.9139878506142072</v>
      </c>
      <c r="AY110" s="163">
        <f t="shared" si="917"/>
        <v>2.6322592334311685</v>
      </c>
      <c r="AZ110" s="163">
        <f t="shared" si="917"/>
        <v>2.3927279899416121</v>
      </c>
      <c r="BA110" s="163">
        <f t="shared" si="917"/>
        <v>2.8908577864867633</v>
      </c>
      <c r="BB110" s="163">
        <f t="shared" si="917"/>
        <v>3.2283129285554555</v>
      </c>
      <c r="BC110" s="163">
        <f t="shared" si="917"/>
        <v>3.197917029260072</v>
      </c>
      <c r="BD110" s="163">
        <f t="shared" si="917"/>
        <v>3.5710214752072984</v>
      </c>
      <c r="BE110" s="163">
        <f t="shared" si="917"/>
        <v>3.6015839381537544</v>
      </c>
      <c r="BF110" s="163">
        <f t="shared" si="917"/>
        <v>3.6444800876414738</v>
      </c>
      <c r="BG110" s="163">
        <f t="shared" si="917"/>
        <v>4.6202570520244688</v>
      </c>
      <c r="BH110" s="163">
        <f t="shared" si="917"/>
        <v>4.2189198400028705</v>
      </c>
      <c r="BI110" s="163">
        <f t="shared" si="917"/>
        <v>4.010321541287456</v>
      </c>
      <c r="BJ110" s="163">
        <f t="shared" si="917"/>
        <v>4.8301501718809083</v>
      </c>
      <c r="BK110" s="163">
        <f t="shared" si="917"/>
        <v>4.4223731260136612</v>
      </c>
      <c r="BL110" s="163">
        <f t="shared" si="917"/>
        <v>3.7402427508092839</v>
      </c>
      <c r="BM110" s="163">
        <f t="shared" si="917"/>
        <v>2.844828586399192</v>
      </c>
      <c r="BN110" s="163">
        <f t="shared" si="917"/>
        <v>3.221359858352788</v>
      </c>
      <c r="BO110" s="163">
        <f t="shared" si="917"/>
        <v>2.9985486999301894</v>
      </c>
      <c r="BP110" s="163">
        <f t="shared" si="917"/>
        <v>4.4125887526950081</v>
      </c>
      <c r="BQ110" s="163">
        <f t="shared" ref="BQ110:CZ110" si="918">+BQ85/BQ107</f>
        <v>5.0667029923108844</v>
      </c>
      <c r="BR110" s="163">
        <f t="shared" si="918"/>
        <v>6.0106736411268029</v>
      </c>
      <c r="BS110" s="163">
        <f t="shared" si="918"/>
        <v>6.06208378359349</v>
      </c>
      <c r="BT110" s="163">
        <f t="shared" si="918"/>
        <v>6.8296036198442458</v>
      </c>
      <c r="BU110" s="163">
        <f t="shared" si="918"/>
        <v>6.2708015841290381</v>
      </c>
      <c r="BV110" s="163">
        <f t="shared" si="918"/>
        <v>6.1184439680104621</v>
      </c>
      <c r="BW110" s="163">
        <f t="shared" si="918"/>
        <v>7.8955836483219697</v>
      </c>
      <c r="BX110" s="163">
        <f t="shared" si="918"/>
        <v>6.5963074404596167</v>
      </c>
      <c r="BY110" s="163">
        <f t="shared" si="918"/>
        <v>7.8751356878698644</v>
      </c>
      <c r="BZ110" s="163">
        <f t="shared" si="918"/>
        <v>9.8966235109317182</v>
      </c>
      <c r="CA110" s="163">
        <f t="shared" si="918"/>
        <v>8.5890600873472973</v>
      </c>
      <c r="CB110" s="163">
        <f t="shared" si="918"/>
        <v>9.4807649341598932</v>
      </c>
      <c r="CC110" s="163">
        <f t="shared" si="918"/>
        <v>12.130472297216457</v>
      </c>
      <c r="CD110" s="163">
        <f t="shared" si="918"/>
        <v>15.733499506028204</v>
      </c>
      <c r="CE110" s="163">
        <f t="shared" si="918"/>
        <v>14.750462184619984</v>
      </c>
      <c r="CF110" s="163">
        <f t="shared" si="918"/>
        <v>12.020255515325752</v>
      </c>
      <c r="CG110" s="163">
        <f t="shared" si="918"/>
        <v>9.6918997080381128</v>
      </c>
      <c r="CH110" s="163">
        <f t="shared" si="918"/>
        <v>10.332560661499205</v>
      </c>
      <c r="CI110" s="163">
        <f t="shared" si="918"/>
        <v>8.5427045849674528</v>
      </c>
      <c r="CJ110" s="163">
        <f t="shared" ref="CJ110:CK110" si="919">+CJ85/CJ107</f>
        <v>8.3932155541459448</v>
      </c>
      <c r="CK110" s="163">
        <f t="shared" si="919"/>
        <v>9.5102629197496373</v>
      </c>
      <c r="CL110" s="50">
        <f t="shared" si="918"/>
        <v>10.067240516765203</v>
      </c>
      <c r="CM110" s="50">
        <f t="shared" si="918"/>
        <v>9.7429690935003084</v>
      </c>
      <c r="CN110" s="50">
        <f t="shared" si="918"/>
        <v>9.5592144576833036</v>
      </c>
      <c r="CO110" s="50">
        <f t="shared" si="918"/>
        <v>9.041493670335786</v>
      </c>
      <c r="CP110" s="50">
        <f t="shared" si="918"/>
        <v>8.6414251306963159</v>
      </c>
      <c r="CQ110" s="50">
        <f t="shared" si="918"/>
        <v>8.3411824705519919</v>
      </c>
      <c r="CR110" s="50">
        <f t="shared" si="918"/>
        <v>8.103918783929176</v>
      </c>
      <c r="CS110" s="50">
        <f t="shared" si="918"/>
        <v>7.844901285059465</v>
      </c>
      <c r="CT110" s="50">
        <f t="shared" si="918"/>
        <v>7.6103275559903709</v>
      </c>
      <c r="CU110" s="50">
        <f t="shared" si="918"/>
        <v>7.3992460854396125</v>
      </c>
      <c r="CV110" s="50">
        <f t="shared" si="918"/>
        <v>7.2019927014942615</v>
      </c>
      <c r="CW110" s="50">
        <f t="shared" si="918"/>
        <v>6.9132440398591344</v>
      </c>
      <c r="CX110" s="50">
        <f t="shared" si="918"/>
        <v>6.633044807175339</v>
      </c>
      <c r="CY110" s="50">
        <f t="shared" si="918"/>
        <v>6.3701299605172386</v>
      </c>
      <c r="CZ110" s="50">
        <f t="shared" si="918"/>
        <v>6.1149272452806569</v>
      </c>
      <c r="DB110" s="106"/>
      <c r="DC110" s="163" t="e">
        <v>#DIV/0!</v>
      </c>
    </row>
    <row r="111" spans="1:107" s="163" customFormat="1" x14ac:dyDescent="0.2">
      <c r="A111" s="163" t="s">
        <v>508</v>
      </c>
      <c r="E111" s="163">
        <f t="shared" ref="E111:Y111" si="920">+E86/E$107</f>
        <v>1.8750365561338957</v>
      </c>
      <c r="F111" s="163">
        <f t="shared" si="920"/>
        <v>2.9335078290544017</v>
      </c>
      <c r="G111" s="163">
        <f t="shared" si="920"/>
        <v>3.9117626627532149</v>
      </c>
      <c r="H111" s="163">
        <f t="shared" si="920"/>
        <v>5.967190862860928</v>
      </c>
      <c r="I111" s="163">
        <f t="shared" si="920"/>
        <v>4.7357277789344687</v>
      </c>
      <c r="J111" s="163">
        <f t="shared" si="920"/>
        <v>2.8333957598354931</v>
      </c>
      <c r="K111" s="163">
        <f t="shared" si="920"/>
        <v>3.2857903051763766</v>
      </c>
      <c r="L111" s="163">
        <f t="shared" si="920"/>
        <v>2.5805779550953529</v>
      </c>
      <c r="M111" s="163">
        <f t="shared" si="920"/>
        <v>2.5476513964953593</v>
      </c>
      <c r="N111" s="163">
        <f t="shared" si="920"/>
        <v>2.0224100264310105</v>
      </c>
      <c r="O111" s="163">
        <f t="shared" si="920"/>
        <v>3.8271097478815563</v>
      </c>
      <c r="P111" s="163">
        <f t="shared" si="920"/>
        <v>3.9697393329705277</v>
      </c>
      <c r="Q111" s="163">
        <f t="shared" si="920"/>
        <v>3.5128645334931692</v>
      </c>
      <c r="R111" s="163">
        <f t="shared" si="920"/>
        <v>5.6313859491641418</v>
      </c>
      <c r="S111" s="163">
        <f t="shared" si="920"/>
        <v>5.525137964640396</v>
      </c>
      <c r="T111" s="163">
        <f t="shared" si="920"/>
        <v>4.8346985533953237</v>
      </c>
      <c r="U111" s="163">
        <f t="shared" si="920"/>
        <v>5.1393745007258271</v>
      </c>
      <c r="V111" s="163">
        <f t="shared" si="920"/>
        <v>7.2426160946062881</v>
      </c>
      <c r="W111" s="163">
        <f t="shared" si="920"/>
        <v>8.5220972088805063</v>
      </c>
      <c r="X111" s="163">
        <f t="shared" si="920"/>
        <v>10.047203087726823</v>
      </c>
      <c r="Y111" s="163">
        <f t="shared" si="920"/>
        <v>15.994670302937815</v>
      </c>
      <c r="Z111" s="163">
        <f t="shared" ref="Z111" si="921">+Z86/Z$107</f>
        <v>11.150456420755404</v>
      </c>
      <c r="AA111" s="94">
        <f t="shared" ref="AA111:AD112" si="922">+AA86/AA$107</f>
        <v>9.5884698959623655</v>
      </c>
      <c r="AB111" s="94">
        <f t="shared" si="922"/>
        <v>9.7104397150945427</v>
      </c>
      <c r="AC111" s="94">
        <f t="shared" si="922"/>
        <v>10.47143005342004</v>
      </c>
      <c r="AD111" s="94">
        <f t="shared" si="922"/>
        <v>9.8992321035769688</v>
      </c>
      <c r="AK111" s="163">
        <f t="shared" ref="AK111:BP111" si="923">+AK86/AK107</f>
        <v>2.0136066789156435</v>
      </c>
      <c r="AL111" s="163">
        <f t="shared" si="923"/>
        <v>1.9302274268638389</v>
      </c>
      <c r="AM111" s="163">
        <f t="shared" si="923"/>
        <v>1.7486405978632706</v>
      </c>
      <c r="AN111" s="163">
        <f t="shared" si="923"/>
        <v>1.9763089566290555</v>
      </c>
      <c r="AO111" s="163">
        <f t="shared" si="923"/>
        <v>2.4021546832121534</v>
      </c>
      <c r="AP111" s="163">
        <f t="shared" si="923"/>
        <v>3.1203941013081735</v>
      </c>
      <c r="AQ111" s="163">
        <f t="shared" si="923"/>
        <v>3.4776599517063205</v>
      </c>
      <c r="AR111" s="163">
        <f t="shared" si="923"/>
        <v>3.8271097478815559</v>
      </c>
      <c r="AS111" s="163">
        <f t="shared" si="923"/>
        <v>4.185777959697571</v>
      </c>
      <c r="AT111" s="163">
        <f t="shared" si="923"/>
        <v>3.87516830426192</v>
      </c>
      <c r="AU111" s="163">
        <f t="shared" si="923"/>
        <v>3.848188423563256</v>
      </c>
      <c r="AV111" s="163">
        <f t="shared" si="923"/>
        <v>3.3156354265285821</v>
      </c>
      <c r="AW111" s="163">
        <f t="shared" si="923"/>
        <v>3.1870462004045907</v>
      </c>
      <c r="AX111" s="163">
        <f t="shared" si="923"/>
        <v>3.4088922949089366</v>
      </c>
      <c r="AY111" s="163">
        <f t="shared" si="923"/>
        <v>3.0669868093058494</v>
      </c>
      <c r="AZ111" s="163">
        <f t="shared" si="923"/>
        <v>2.7379016264465181</v>
      </c>
      <c r="BA111" s="163">
        <f t="shared" si="923"/>
        <v>2.9207908663687228</v>
      </c>
      <c r="BB111" s="163">
        <f t="shared" si="923"/>
        <v>3.6028470623314264</v>
      </c>
      <c r="BC111" s="163">
        <f t="shared" si="923"/>
        <v>3.5469035694325388</v>
      </c>
      <c r="BD111" s="163">
        <f t="shared" si="923"/>
        <v>3.6845694963910964</v>
      </c>
      <c r="BE111" s="163">
        <f t="shared" si="923"/>
        <v>4.8831051000430667</v>
      </c>
      <c r="BF111" s="163">
        <f t="shared" si="923"/>
        <v>4.2600224639549671</v>
      </c>
      <c r="BG111" s="163">
        <f t="shared" si="923"/>
        <v>4.9957939697320652</v>
      </c>
      <c r="BH111" s="163">
        <f t="shared" si="923"/>
        <v>4.6401783525557088</v>
      </c>
      <c r="BI111" s="163">
        <f t="shared" si="923"/>
        <v>4.1292775501834704</v>
      </c>
      <c r="BJ111" s="163">
        <f t="shared" si="923"/>
        <v>4.9396558685459357</v>
      </c>
      <c r="BK111" s="163">
        <f t="shared" si="923"/>
        <v>4.8526895117138729</v>
      </c>
      <c r="BL111" s="163">
        <f t="shared" si="923"/>
        <v>4.6022666135162442</v>
      </c>
      <c r="BM111" s="163">
        <f t="shared" si="923"/>
        <v>4.3063625135671249</v>
      </c>
      <c r="BN111" s="163">
        <f t="shared" si="923"/>
        <v>3.7552944512378836</v>
      </c>
      <c r="BO111" s="163">
        <f t="shared" si="923"/>
        <v>3.5473551581290592</v>
      </c>
      <c r="BP111" s="163">
        <f t="shared" si="923"/>
        <v>4.5867770724709889</v>
      </c>
      <c r="BQ111" s="163">
        <f t="shared" ref="BQ111:CI111" si="924">+BQ86/BQ107</f>
        <v>6.0765404378645913</v>
      </c>
      <c r="BR111" s="163">
        <f t="shared" si="924"/>
        <v>6.1772438998341457</v>
      </c>
      <c r="BS111" s="163">
        <f t="shared" si="924"/>
        <v>6.2954466835852241</v>
      </c>
      <c r="BT111" s="163">
        <f t="shared" si="924"/>
        <v>7.2426160946062881</v>
      </c>
      <c r="BU111" s="163">
        <f t="shared" si="924"/>
        <v>7.1885863585225227</v>
      </c>
      <c r="BV111" s="163">
        <f t="shared" si="924"/>
        <v>6.6305680532153</v>
      </c>
      <c r="BW111" s="163">
        <f t="shared" si="924"/>
        <v>8.8032027562259234</v>
      </c>
      <c r="BX111" s="163">
        <f t="shared" si="924"/>
        <v>8.1816190529227217</v>
      </c>
      <c r="BY111" s="163">
        <f t="shared" si="924"/>
        <v>8.0347209661086776</v>
      </c>
      <c r="BZ111" s="163">
        <f t="shared" si="924"/>
        <v>9.9486668237118518</v>
      </c>
      <c r="CA111" s="163">
        <f t="shared" si="924"/>
        <v>9.7945679294262327</v>
      </c>
      <c r="CB111" s="163">
        <f t="shared" si="924"/>
        <v>10.047203087726823</v>
      </c>
      <c r="CC111" s="163">
        <f t="shared" si="924"/>
        <v>12.333876410508772</v>
      </c>
      <c r="CD111" s="163">
        <f t="shared" si="924"/>
        <v>17.044037804142366</v>
      </c>
      <c r="CE111" s="163">
        <f t="shared" si="924"/>
        <v>16.118194056232394</v>
      </c>
      <c r="CF111" s="163">
        <f t="shared" si="924"/>
        <v>15.545167910891669</v>
      </c>
      <c r="CG111" s="163">
        <f t="shared" si="924"/>
        <v>12.148557726427255</v>
      </c>
      <c r="CH111" s="163">
        <f t="shared" si="924"/>
        <v>10.711469677274405</v>
      </c>
      <c r="CI111" s="163">
        <f t="shared" si="924"/>
        <v>10.122008045930539</v>
      </c>
      <c r="CJ111" s="163">
        <f t="shared" ref="CJ111:CK111" si="925">+CJ86/CJ107</f>
        <v>8.7010842135745605</v>
      </c>
      <c r="CK111" s="163">
        <f t="shared" si="925"/>
        <v>10.501098869528995</v>
      </c>
      <c r="CL111" s="94">
        <f t="shared" ref="CL111:CZ111" si="926">+CK111</f>
        <v>10.501098869528995</v>
      </c>
      <c r="CM111" s="94">
        <f t="shared" si="926"/>
        <v>10.501098869528995</v>
      </c>
      <c r="CN111" s="94">
        <f t="shared" si="926"/>
        <v>10.501098869528995</v>
      </c>
      <c r="CO111" s="94">
        <f t="shared" si="926"/>
        <v>10.501098869528995</v>
      </c>
      <c r="CP111" s="94">
        <f t="shared" si="926"/>
        <v>10.501098869528995</v>
      </c>
      <c r="CQ111" s="94">
        <f t="shared" si="926"/>
        <v>10.501098869528995</v>
      </c>
      <c r="CR111" s="94">
        <f t="shared" si="926"/>
        <v>10.501098869528995</v>
      </c>
      <c r="CS111" s="94">
        <f t="shared" si="926"/>
        <v>10.501098869528995</v>
      </c>
      <c r="CT111" s="94">
        <f t="shared" si="926"/>
        <v>10.501098869528995</v>
      </c>
      <c r="CU111" s="94">
        <f t="shared" si="926"/>
        <v>10.501098869528995</v>
      </c>
      <c r="CV111" s="94">
        <f t="shared" si="926"/>
        <v>10.501098869528995</v>
      </c>
      <c r="CW111" s="94">
        <f t="shared" si="926"/>
        <v>10.501098869528995</v>
      </c>
      <c r="CX111" s="94">
        <f t="shared" si="926"/>
        <v>10.501098869528995</v>
      </c>
      <c r="CY111" s="94">
        <f t="shared" si="926"/>
        <v>10.501098869528995</v>
      </c>
      <c r="CZ111" s="94">
        <f t="shared" si="926"/>
        <v>10.501098869528995</v>
      </c>
      <c r="DB111" s="164"/>
      <c r="DC111" s="163" t="e">
        <v>#DIV/0!</v>
      </c>
    </row>
    <row r="112" spans="1:107" s="163" customFormat="1" x14ac:dyDescent="0.2">
      <c r="A112" s="163" t="s">
        <v>509</v>
      </c>
      <c r="E112" s="163">
        <f t="shared" ref="E112:Y112" si="927">+E87/E$107</f>
        <v>1.1193968240119359</v>
      </c>
      <c r="F112" s="163">
        <f t="shared" si="927"/>
        <v>1.2657993314057268</v>
      </c>
      <c r="G112" s="163">
        <f t="shared" si="927"/>
        <v>1.8939079051606185</v>
      </c>
      <c r="H112" s="163">
        <f t="shared" si="927"/>
        <v>2.2796812997037557</v>
      </c>
      <c r="I112" s="163">
        <f t="shared" si="927"/>
        <v>1.1750989446223847</v>
      </c>
      <c r="J112" s="163">
        <f t="shared" si="927"/>
        <v>1.1686908170064862</v>
      </c>
      <c r="K112" s="163">
        <f t="shared" si="927"/>
        <v>2.2554629933572996</v>
      </c>
      <c r="L112" s="163">
        <f t="shared" si="927"/>
        <v>1.5386784920133285</v>
      </c>
      <c r="M112" s="163">
        <f t="shared" si="927"/>
        <v>1.6149047103467851</v>
      </c>
      <c r="N112" s="163">
        <f t="shared" si="927"/>
        <v>1.2296362725152454</v>
      </c>
      <c r="O112" s="163">
        <f t="shared" si="927"/>
        <v>1.5565187171791495</v>
      </c>
      <c r="P112" s="163">
        <f t="shared" si="927"/>
        <v>2.6579031776587261</v>
      </c>
      <c r="Q112" s="163">
        <f t="shared" si="927"/>
        <v>2.3293231708093183</v>
      </c>
      <c r="R112" s="163">
        <f t="shared" si="927"/>
        <v>3.5801002834060585</v>
      </c>
      <c r="S112" s="163">
        <f t="shared" si="927"/>
        <v>3.5569421774198373</v>
      </c>
      <c r="T112" s="163">
        <f t="shared" si="927"/>
        <v>3.5049391939368917</v>
      </c>
      <c r="U112" s="163">
        <f t="shared" si="927"/>
        <v>2.6299342031798938</v>
      </c>
      <c r="V112" s="163">
        <f t="shared" si="927"/>
        <v>3.7103891693106439</v>
      </c>
      <c r="W112" s="163">
        <f t="shared" si="927"/>
        <v>4.8095628495027158</v>
      </c>
      <c r="X112" s="163">
        <f t="shared" si="927"/>
        <v>5.4015988578014493</v>
      </c>
      <c r="Y112" s="163">
        <f t="shared" si="927"/>
        <v>7.549049745206676</v>
      </c>
      <c r="Z112" s="163">
        <f t="shared" ref="Z112" si="928">+Z87/Z$107</f>
        <v>7.3668975658822085</v>
      </c>
      <c r="AA112" s="94">
        <f t="shared" si="922"/>
        <v>6.7141962236402835</v>
      </c>
      <c r="AB112" s="94">
        <f t="shared" si="922"/>
        <v>5.482856244336479</v>
      </c>
      <c r="AC112" s="94">
        <f t="shared" si="922"/>
        <v>5.8220401031373559</v>
      </c>
      <c r="AD112" s="94">
        <f t="shared" si="922"/>
        <v>5.8013313774990394</v>
      </c>
      <c r="AK112" s="163">
        <f t="shared" ref="AK112:BP112" si="929">+AK87/AK107</f>
        <v>1.3231882151951779</v>
      </c>
      <c r="AL112" s="163">
        <f t="shared" si="929"/>
        <v>1.3036818306439235</v>
      </c>
      <c r="AM112" s="163">
        <f t="shared" si="929"/>
        <v>1.2493077995894954</v>
      </c>
      <c r="AN112" s="163">
        <f t="shared" si="929"/>
        <v>1.4685111609831143</v>
      </c>
      <c r="AO112" s="163">
        <f t="shared" si="929"/>
        <v>1.5903775848469275</v>
      </c>
      <c r="AP112" s="163">
        <f t="shared" si="929"/>
        <v>2.2391948070987451</v>
      </c>
      <c r="AQ112" s="163">
        <f t="shared" si="929"/>
        <v>2.6315715708954595</v>
      </c>
      <c r="AR112" s="163">
        <f t="shared" si="929"/>
        <v>2.7079123708340713</v>
      </c>
      <c r="AS112" s="163">
        <f t="shared" si="929"/>
        <v>3.2498105601848679</v>
      </c>
      <c r="AT112" s="163">
        <f t="shared" si="929"/>
        <v>3.3694762292182077</v>
      </c>
      <c r="AU112" s="163">
        <f t="shared" si="929"/>
        <v>2.7202940943500846</v>
      </c>
      <c r="AV112" s="163">
        <f t="shared" si="929"/>
        <v>2.6672099000980474</v>
      </c>
      <c r="AW112" s="163">
        <f t="shared" si="929"/>
        <v>2.3698296284597467</v>
      </c>
      <c r="AX112" s="163">
        <f t="shared" si="929"/>
        <v>2.8141741898538037</v>
      </c>
      <c r="AY112" s="163">
        <f t="shared" si="929"/>
        <v>2.5739166585472395</v>
      </c>
      <c r="AZ112" s="163">
        <f t="shared" si="929"/>
        <v>2.1875580699110113</v>
      </c>
      <c r="BA112" s="163">
        <f t="shared" si="929"/>
        <v>2.3258567843374727</v>
      </c>
      <c r="BB112" s="163">
        <f t="shared" si="929"/>
        <v>2.8492180880717886</v>
      </c>
      <c r="BC112" s="163">
        <f t="shared" si="929"/>
        <v>2.6915601227610648</v>
      </c>
      <c r="BD112" s="163">
        <f t="shared" si="929"/>
        <v>3.334101615276611</v>
      </c>
      <c r="BE112" s="163">
        <f t="shared" si="929"/>
        <v>3.5471374842464871</v>
      </c>
      <c r="BF112" s="163">
        <f t="shared" si="929"/>
        <v>3.4666704543633537</v>
      </c>
      <c r="BG112" s="163">
        <f t="shared" si="929"/>
        <v>3.7224273421893339</v>
      </c>
      <c r="BH112" s="163">
        <f t="shared" si="929"/>
        <v>3.7723224695521158</v>
      </c>
      <c r="BI112" s="163">
        <f t="shared" si="929"/>
        <v>3.6763939454337673</v>
      </c>
      <c r="BJ112" s="163">
        <f t="shared" si="929"/>
        <v>3.9354268731322697</v>
      </c>
      <c r="BK112" s="163">
        <f t="shared" si="929"/>
        <v>3.8004496469509905</v>
      </c>
      <c r="BL112" s="163">
        <f t="shared" si="929"/>
        <v>3.5826637983766214</v>
      </c>
      <c r="BM112" s="163">
        <f t="shared" si="929"/>
        <v>2.424959766458326</v>
      </c>
      <c r="BN112" s="163">
        <f t="shared" si="929"/>
        <v>2.4663749784516447</v>
      </c>
      <c r="BO112" s="163">
        <f t="shared" si="929"/>
        <v>2.9603450717211768</v>
      </c>
      <c r="BP112" s="163">
        <f t="shared" si="929"/>
        <v>3.0887939253901862</v>
      </c>
      <c r="BQ112" s="163">
        <f t="shared" ref="BQ112:CI112" si="930">+BQ87/BQ107</f>
        <v>4.3401562283859603</v>
      </c>
      <c r="BR112" s="163">
        <f t="shared" si="930"/>
        <v>4.3265002261647485</v>
      </c>
      <c r="BS112" s="163">
        <f t="shared" si="930"/>
        <v>5.2520436964088377</v>
      </c>
      <c r="BT112" s="163">
        <f t="shared" si="930"/>
        <v>5.5037770406691671</v>
      </c>
      <c r="BU112" s="163">
        <f t="shared" si="930"/>
        <v>5.6604004829862724</v>
      </c>
      <c r="BV112" s="163">
        <f t="shared" si="930"/>
        <v>5.331739305384402</v>
      </c>
      <c r="BW112" s="163">
        <f t="shared" si="930"/>
        <v>5.7766986176670949</v>
      </c>
      <c r="BX112" s="163">
        <f t="shared" si="930"/>
        <v>6.4913329411928489</v>
      </c>
      <c r="BY112" s="163">
        <f t="shared" si="930"/>
        <v>6.2311967256018583</v>
      </c>
      <c r="BZ112" s="163">
        <f t="shared" si="930"/>
        <v>7.0358082034629517</v>
      </c>
      <c r="CA112" s="163">
        <f t="shared" si="930"/>
        <v>8.5666466487543431</v>
      </c>
      <c r="CB112" s="163">
        <f t="shared" si="930"/>
        <v>7.8043716950716604</v>
      </c>
      <c r="CC112" s="163">
        <f t="shared" si="930"/>
        <v>8.2775179993648624</v>
      </c>
      <c r="CD112" s="163">
        <f t="shared" si="930"/>
        <v>11.574105867335787</v>
      </c>
      <c r="CE112" s="163">
        <f t="shared" si="930"/>
        <v>12.932247922651754</v>
      </c>
      <c r="CF112" s="163">
        <f t="shared" si="930"/>
        <v>11.485216408181284</v>
      </c>
      <c r="CG112" s="163">
        <f t="shared" si="930"/>
        <v>8.5562483805110094</v>
      </c>
      <c r="CH112" s="163">
        <f t="shared" si="930"/>
        <v>7.8044035353778511</v>
      </c>
      <c r="CI112" s="163">
        <f t="shared" si="930"/>
        <v>8.1399496623943719</v>
      </c>
      <c r="CJ112" s="163">
        <f t="shared" ref="CJ112:CK112" si="931">+CJ87/CJ107</f>
        <v>7.9479301690614745</v>
      </c>
      <c r="CK112" s="163">
        <f t="shared" si="931"/>
        <v>7.4340731203736539</v>
      </c>
      <c r="CL112" s="94">
        <f t="shared" ref="CL112:CZ112" si="932">+CK112</f>
        <v>7.4340731203736539</v>
      </c>
      <c r="CM112" s="94">
        <f t="shared" si="932"/>
        <v>7.4340731203736539</v>
      </c>
      <c r="CN112" s="94">
        <f t="shared" si="932"/>
        <v>7.4340731203736539</v>
      </c>
      <c r="CO112" s="94">
        <f t="shared" si="932"/>
        <v>7.4340731203736539</v>
      </c>
      <c r="CP112" s="94">
        <f t="shared" si="932"/>
        <v>7.4340731203736539</v>
      </c>
      <c r="CQ112" s="94">
        <f t="shared" si="932"/>
        <v>7.4340731203736539</v>
      </c>
      <c r="CR112" s="94">
        <f t="shared" si="932"/>
        <v>7.4340731203736539</v>
      </c>
      <c r="CS112" s="94">
        <f t="shared" si="932"/>
        <v>7.4340731203736539</v>
      </c>
      <c r="CT112" s="94">
        <f t="shared" si="932"/>
        <v>7.4340731203736539</v>
      </c>
      <c r="CU112" s="94">
        <f t="shared" si="932"/>
        <v>7.4340731203736539</v>
      </c>
      <c r="CV112" s="94">
        <f t="shared" si="932"/>
        <v>7.4340731203736539</v>
      </c>
      <c r="CW112" s="94">
        <f t="shared" si="932"/>
        <v>7.4340731203736539</v>
      </c>
      <c r="CX112" s="94">
        <f t="shared" si="932"/>
        <v>7.4340731203736539</v>
      </c>
      <c r="CY112" s="94">
        <f t="shared" si="932"/>
        <v>7.4340731203736539</v>
      </c>
      <c r="CZ112" s="94">
        <f t="shared" si="932"/>
        <v>7.4340731203736539</v>
      </c>
      <c r="DB112" s="164"/>
      <c r="DC112" s="163" t="e">
        <v>#DIV/0!</v>
      </c>
    </row>
    <row r="113" spans="1:107" s="4" customFormat="1" x14ac:dyDescent="0.2">
      <c r="A113" s="3"/>
      <c r="AA113" s="17"/>
      <c r="AB113" s="17"/>
      <c r="AC113" s="17"/>
      <c r="AD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B113" s="119"/>
    </row>
    <row r="114" spans="1:107" s="4" customFormat="1" x14ac:dyDescent="0.2">
      <c r="A114" s="3"/>
      <c r="AA114" s="17"/>
      <c r="AB114" s="17"/>
      <c r="AC114" s="17"/>
      <c r="AD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B114" s="119"/>
    </row>
    <row r="115" spans="1:107" s="162" customFormat="1" x14ac:dyDescent="0.2">
      <c r="A115" s="49" t="s">
        <v>340</v>
      </c>
      <c r="B115" s="162">
        <f t="shared" ref="B115:AD115" si="933">+B86*B73</f>
        <v>283.109756</v>
      </c>
      <c r="C115" s="162">
        <f t="shared" si="933"/>
        <v>247.46674630000001</v>
      </c>
      <c r="D115" s="162">
        <f t="shared" si="933"/>
        <v>573.80583630000001</v>
      </c>
      <c r="E115" s="162">
        <f t="shared" si="933"/>
        <v>4238</v>
      </c>
      <c r="F115" s="162">
        <f t="shared" si="933"/>
        <v>8692.1380000000008</v>
      </c>
      <c r="G115" s="162">
        <f t="shared" si="933"/>
        <v>16718.91</v>
      </c>
      <c r="H115" s="162">
        <f t="shared" si="933"/>
        <v>35387.300000000003</v>
      </c>
      <c r="I115" s="162">
        <f t="shared" si="933"/>
        <v>32378.320000000003</v>
      </c>
      <c r="J115" s="162">
        <f t="shared" si="933"/>
        <v>17672.460000000003</v>
      </c>
      <c r="K115" s="162">
        <f t="shared" si="933"/>
        <v>20658.131000000001</v>
      </c>
      <c r="L115" s="162">
        <f t="shared" si="933"/>
        <v>19229.925000000003</v>
      </c>
      <c r="M115" s="162">
        <f t="shared" si="933"/>
        <v>19388.850000000002</v>
      </c>
      <c r="N115" s="162">
        <f t="shared" si="933"/>
        <v>15617.03</v>
      </c>
      <c r="O115" s="162">
        <f t="shared" si="933"/>
        <v>29596.073000000004</v>
      </c>
      <c r="P115" s="162">
        <f t="shared" si="933"/>
        <v>32314.750000000004</v>
      </c>
      <c r="Q115" s="162">
        <f t="shared" si="933"/>
        <v>30358.913000000004</v>
      </c>
      <c r="R115" s="162">
        <f t="shared" si="933"/>
        <v>34316.145500000006</v>
      </c>
      <c r="S115" s="162">
        <f t="shared" si="933"/>
        <v>36963.836000000003</v>
      </c>
      <c r="T115" s="162">
        <f t="shared" si="933"/>
        <v>35366.11</v>
      </c>
      <c r="U115" s="162">
        <f t="shared" si="933"/>
        <v>29916.042000000001</v>
      </c>
      <c r="V115" s="162">
        <f t="shared" si="933"/>
        <v>50220.3</v>
      </c>
      <c r="W115" s="162">
        <f t="shared" si="933"/>
        <v>73013.323500000013</v>
      </c>
      <c r="X115" s="162">
        <f t="shared" si="933"/>
        <v>104958.308</v>
      </c>
      <c r="Y115" s="162">
        <f t="shared" si="933"/>
        <v>194948</v>
      </c>
      <c r="Z115" s="162">
        <f t="shared" ref="Z115" si="934">+Z86*Z73</f>
        <v>147216.46549999999</v>
      </c>
      <c r="AA115" s="21">
        <f t="shared" si="933"/>
        <v>138900.45000000001</v>
      </c>
      <c r="AB115" s="21">
        <f t="shared" si="933"/>
        <v>165928.26231672641</v>
      </c>
      <c r="AC115" s="21">
        <f t="shared" si="933"/>
        <v>201339.90891244222</v>
      </c>
      <c r="AD115" s="21">
        <f t="shared" si="933"/>
        <v>224174.78479956562</v>
      </c>
      <c r="AK115" s="162">
        <f t="shared" ref="AK115:BP115" si="935">+AK86*AK73</f>
        <v>15617.03</v>
      </c>
      <c r="AL115" s="162">
        <f t="shared" si="935"/>
        <v>14714.336000000001</v>
      </c>
      <c r="AM115" s="162">
        <f t="shared" si="935"/>
        <v>13290.368000000002</v>
      </c>
      <c r="AN115" s="162">
        <f t="shared" si="935"/>
        <v>15261.038000000002</v>
      </c>
      <c r="AO115" s="162">
        <f t="shared" si="935"/>
        <v>18181.02</v>
      </c>
      <c r="AP115" s="162">
        <f t="shared" si="935"/>
        <v>23838.75</v>
      </c>
      <c r="AQ115" s="162">
        <f t="shared" si="935"/>
        <v>26773.565000000002</v>
      </c>
      <c r="AR115" s="162">
        <f t="shared" si="935"/>
        <v>29596.073000000004</v>
      </c>
      <c r="AS115" s="162">
        <f t="shared" si="935"/>
        <v>32314.750000000004</v>
      </c>
      <c r="AT115" s="162">
        <f t="shared" si="935"/>
        <v>30340.9015</v>
      </c>
      <c r="AU115" s="162">
        <f t="shared" si="935"/>
        <v>30606.836000000003</v>
      </c>
      <c r="AV115" s="162">
        <f t="shared" si="935"/>
        <v>27526.869500000001</v>
      </c>
      <c r="AW115" s="162">
        <f t="shared" si="935"/>
        <v>27444.228500000005</v>
      </c>
      <c r="AX115" s="162">
        <f t="shared" si="935"/>
        <v>30358.913000000004</v>
      </c>
      <c r="AY115" s="162">
        <f t="shared" si="935"/>
        <v>28015.298999999999</v>
      </c>
      <c r="AZ115" s="162">
        <f t="shared" si="935"/>
        <v>25194.91</v>
      </c>
      <c r="BA115" s="162">
        <f t="shared" si="935"/>
        <v>27396.551000000003</v>
      </c>
      <c r="BB115" s="162">
        <f t="shared" si="935"/>
        <v>34316.145500000006</v>
      </c>
      <c r="BC115" s="162">
        <f t="shared" si="935"/>
        <v>32810.596000000005</v>
      </c>
      <c r="BD115" s="162">
        <f t="shared" si="935"/>
        <v>30598.36</v>
      </c>
      <c r="BE115" s="162">
        <f t="shared" si="935"/>
        <v>36963.836000000003</v>
      </c>
      <c r="BF115" s="162">
        <f t="shared" si="935"/>
        <v>29242.2</v>
      </c>
      <c r="BG115" s="162">
        <f t="shared" si="935"/>
        <v>32135.694500000001</v>
      </c>
      <c r="BH115" s="162">
        <f t="shared" si="935"/>
        <v>31043.350000000002</v>
      </c>
      <c r="BI115" s="162">
        <f t="shared" si="935"/>
        <v>28797.210000000003</v>
      </c>
      <c r="BJ115" s="162">
        <f t="shared" si="935"/>
        <v>34745.243000000002</v>
      </c>
      <c r="BK115" s="162">
        <f t="shared" si="935"/>
        <v>35366.11</v>
      </c>
      <c r="BL115" s="162">
        <f t="shared" si="935"/>
        <v>33481.2595</v>
      </c>
      <c r="BM115" s="162">
        <f t="shared" si="935"/>
        <v>29916.042000000001</v>
      </c>
      <c r="BN115" s="162">
        <f t="shared" si="935"/>
        <v>23309</v>
      </c>
      <c r="BO115" s="162">
        <f t="shared" si="935"/>
        <v>21544.932500000003</v>
      </c>
      <c r="BP115" s="162">
        <f t="shared" si="935"/>
        <v>26699.4</v>
      </c>
      <c r="BQ115" s="162">
        <f t="shared" ref="BQ115:CI115" si="936">+BQ86*BQ73</f>
        <v>36020.881000000001</v>
      </c>
      <c r="BR115" s="162">
        <f t="shared" si="936"/>
        <v>39330.758999999998</v>
      </c>
      <c r="BS115" s="162">
        <f t="shared" si="936"/>
        <v>41129.79</v>
      </c>
      <c r="BT115" s="162">
        <f t="shared" si="936"/>
        <v>50220.3</v>
      </c>
      <c r="BU115" s="162">
        <f t="shared" si="936"/>
        <v>52330.824000000001</v>
      </c>
      <c r="BV115" s="162">
        <f t="shared" si="936"/>
        <v>52730.255499999999</v>
      </c>
      <c r="BW115" s="162">
        <f t="shared" si="936"/>
        <v>73013.323500000013</v>
      </c>
      <c r="BX115" s="162">
        <f t="shared" si="936"/>
        <v>70520.320000000007</v>
      </c>
      <c r="BY115" s="162">
        <f t="shared" si="936"/>
        <v>72760.103000000003</v>
      </c>
      <c r="BZ115" s="162">
        <f t="shared" si="936"/>
        <v>94178.955000000002</v>
      </c>
      <c r="CA115" s="162">
        <f t="shared" si="936"/>
        <v>99081.261500000008</v>
      </c>
      <c r="CB115" s="162">
        <f t="shared" si="936"/>
        <v>104958.308</v>
      </c>
      <c r="CC115" s="162">
        <f t="shared" si="936"/>
        <v>137099.30000000002</v>
      </c>
      <c r="CD115" s="162">
        <f t="shared" si="936"/>
        <v>194948</v>
      </c>
      <c r="CE115" s="162">
        <f t="shared" si="936"/>
        <v>186662.71000000002</v>
      </c>
      <c r="CF115" s="162">
        <f t="shared" si="936"/>
        <v>189469.32550000004</v>
      </c>
      <c r="CG115" s="162">
        <f t="shared" si="936"/>
        <v>147216.46549999999</v>
      </c>
      <c r="CH115" s="162">
        <f t="shared" si="936"/>
        <v>133492.76200000002</v>
      </c>
      <c r="CI115" s="162">
        <f t="shared" si="936"/>
        <v>130180.76500000001</v>
      </c>
      <c r="CJ115" s="162">
        <f t="shared" ref="CJ115:CK115" si="937">+CJ86*CJ73</f>
        <v>113577.34050000001</v>
      </c>
      <c r="CK115" s="162">
        <f t="shared" si="937"/>
        <v>138900.45000000001</v>
      </c>
      <c r="CL115" s="21">
        <f t="shared" ref="CL115:CZ115" si="938">+CL86*CL73</f>
        <v>147591.22922642255</v>
      </c>
      <c r="CM115" s="21">
        <f t="shared" si="938"/>
        <v>153193.65762332187</v>
      </c>
      <c r="CN115" s="21">
        <f t="shared" si="938"/>
        <v>151581.83485264482</v>
      </c>
      <c r="CO115" s="21">
        <f t="shared" si="938"/>
        <v>165928.26231672641</v>
      </c>
      <c r="CP115" s="21">
        <f t="shared" si="938"/>
        <v>176348.30358058147</v>
      </c>
      <c r="CQ115" s="21">
        <f t="shared" si="938"/>
        <v>185258.41759573243</v>
      </c>
      <c r="CR115" s="21">
        <f t="shared" si="938"/>
        <v>194126.04065986909</v>
      </c>
      <c r="CS115" s="21">
        <f t="shared" si="938"/>
        <v>201339.90891244222</v>
      </c>
      <c r="CT115" s="21">
        <f t="shared" si="938"/>
        <v>206959.39675273802</v>
      </c>
      <c r="CU115" s="21">
        <f t="shared" si="938"/>
        <v>211453.02821056201</v>
      </c>
      <c r="CV115" s="21">
        <f t="shared" si="938"/>
        <v>214851.7310173822</v>
      </c>
      <c r="CW115" s="21">
        <f t="shared" si="938"/>
        <v>224174.78479956562</v>
      </c>
      <c r="CX115" s="21">
        <f t="shared" si="938"/>
        <v>233811.8579207733</v>
      </c>
      <c r="CY115" s="21">
        <f t="shared" si="938"/>
        <v>243988.00757041475</v>
      </c>
      <c r="CZ115" s="21">
        <f t="shared" si="938"/>
        <v>255339.42741094565</v>
      </c>
      <c r="DB115" s="22"/>
      <c r="DC115" s="162" t="e">
        <v>#DIV/0!</v>
      </c>
    </row>
    <row r="116" spans="1:107" s="162" customFormat="1" x14ac:dyDescent="0.2">
      <c r="A116" s="49" t="s">
        <v>341</v>
      </c>
      <c r="B116" s="162">
        <f t="shared" ref="B116:AD116" si="939">+B87*B73</f>
        <v>150.87885200000002</v>
      </c>
      <c r="C116" s="162">
        <f t="shared" si="939"/>
        <v>172.70542750000001</v>
      </c>
      <c r="D116" s="162">
        <f t="shared" si="939"/>
        <v>209.66226990000001</v>
      </c>
      <c r="E116" s="162">
        <f t="shared" si="939"/>
        <v>2530.0860000000002</v>
      </c>
      <c r="F116" s="162">
        <f t="shared" si="939"/>
        <v>3750.63</v>
      </c>
      <c r="G116" s="162">
        <f t="shared" si="939"/>
        <v>8094.5800000000008</v>
      </c>
      <c r="H116" s="162">
        <f t="shared" si="939"/>
        <v>13519.220000000001</v>
      </c>
      <c r="I116" s="162">
        <f t="shared" si="939"/>
        <v>8034.1885000000002</v>
      </c>
      <c r="J116" s="162">
        <f t="shared" si="939"/>
        <v>7289.3600000000006</v>
      </c>
      <c r="K116" s="162">
        <f t="shared" si="939"/>
        <v>14180.348000000002</v>
      </c>
      <c r="L116" s="162">
        <f t="shared" si="939"/>
        <v>11465.909000000001</v>
      </c>
      <c r="M116" s="162">
        <f t="shared" si="939"/>
        <v>12290.2</v>
      </c>
      <c r="N116" s="162">
        <f t="shared" si="939"/>
        <v>9495.2390000000014</v>
      </c>
      <c r="O116" s="162">
        <f t="shared" si="939"/>
        <v>12036.979499999999</v>
      </c>
      <c r="P116" s="162">
        <f t="shared" si="939"/>
        <v>21636.049500000001</v>
      </c>
      <c r="Q116" s="162">
        <f t="shared" si="939"/>
        <v>20130.5</v>
      </c>
      <c r="R116" s="162">
        <f t="shared" si="939"/>
        <v>21816.164499999999</v>
      </c>
      <c r="S116" s="162">
        <f t="shared" si="939"/>
        <v>23796.370000000003</v>
      </c>
      <c r="T116" s="162">
        <f t="shared" si="939"/>
        <v>25638.840500000002</v>
      </c>
      <c r="U116" s="162">
        <f t="shared" si="939"/>
        <v>15308.715500000002</v>
      </c>
      <c r="V116" s="162">
        <f t="shared" si="939"/>
        <v>25727.838500000005</v>
      </c>
      <c r="W116" s="162">
        <f t="shared" si="939"/>
        <v>41206.074000000001</v>
      </c>
      <c r="X116" s="162">
        <f t="shared" si="939"/>
        <v>56427.910499999998</v>
      </c>
      <c r="Y116" s="162">
        <f t="shared" si="939"/>
        <v>92010.158500000005</v>
      </c>
      <c r="Z116" s="162">
        <f t="shared" ref="Z116" si="940">+Z87*Z73</f>
        <v>97263.159500000009</v>
      </c>
      <c r="AA116" s="21">
        <f t="shared" si="939"/>
        <v>97263.159500000009</v>
      </c>
      <c r="AB116" s="21">
        <f t="shared" si="939"/>
        <v>93688.940547251739</v>
      </c>
      <c r="AC116" s="21">
        <f t="shared" si="939"/>
        <v>111943.5471631126</v>
      </c>
      <c r="AD116" s="21">
        <f t="shared" si="939"/>
        <v>131375.06015561451</v>
      </c>
      <c r="AK116" s="162">
        <f t="shared" ref="AK116:BP116" si="941">+AK87*AK73</f>
        <v>10262.317000000001</v>
      </c>
      <c r="AL116" s="162">
        <f t="shared" si="941"/>
        <v>9938.11</v>
      </c>
      <c r="AM116" s="162">
        <f t="shared" si="941"/>
        <v>9495.2390000000014</v>
      </c>
      <c r="AN116" s="162">
        <f t="shared" si="941"/>
        <v>11339.8285</v>
      </c>
      <c r="AO116" s="162">
        <f t="shared" si="941"/>
        <v>12036.979499999999</v>
      </c>
      <c r="AP116" s="162">
        <f t="shared" si="941"/>
        <v>17106.687000000002</v>
      </c>
      <c r="AQ116" s="162">
        <f t="shared" si="941"/>
        <v>20259.759000000002</v>
      </c>
      <c r="AR116" s="162">
        <f t="shared" si="941"/>
        <v>20941.017500000002</v>
      </c>
      <c r="AS116" s="162">
        <f t="shared" si="941"/>
        <v>25088.960000000003</v>
      </c>
      <c r="AT116" s="162">
        <f t="shared" si="941"/>
        <v>26381.550000000003</v>
      </c>
      <c r="AU116" s="162">
        <f t="shared" si="941"/>
        <v>21636.049500000001</v>
      </c>
      <c r="AV116" s="162">
        <f t="shared" si="941"/>
        <v>22143.550000000003</v>
      </c>
      <c r="AW116" s="162">
        <f t="shared" si="941"/>
        <v>20407.029500000001</v>
      </c>
      <c r="AX116" s="162">
        <f t="shared" si="941"/>
        <v>25062.4725</v>
      </c>
      <c r="AY116" s="162">
        <f t="shared" si="941"/>
        <v>23511.3645</v>
      </c>
      <c r="AZ116" s="162">
        <f t="shared" si="941"/>
        <v>20130.5</v>
      </c>
      <c r="BA116" s="162">
        <f t="shared" si="941"/>
        <v>21816.164499999999</v>
      </c>
      <c r="BB116" s="162">
        <f t="shared" si="941"/>
        <v>27138.033000000003</v>
      </c>
      <c r="BC116" s="162">
        <f t="shared" si="941"/>
        <v>24898.25</v>
      </c>
      <c r="BD116" s="162">
        <f t="shared" si="941"/>
        <v>27687.913500000002</v>
      </c>
      <c r="BE116" s="162">
        <f t="shared" si="941"/>
        <v>26850.908500000005</v>
      </c>
      <c r="BF116" s="162">
        <f t="shared" si="941"/>
        <v>23796.370000000003</v>
      </c>
      <c r="BG116" s="162">
        <f t="shared" si="941"/>
        <v>23944.7</v>
      </c>
      <c r="BH116" s="162">
        <f t="shared" si="941"/>
        <v>25237.29</v>
      </c>
      <c r="BI116" s="162">
        <f t="shared" si="941"/>
        <v>25638.840500000002</v>
      </c>
      <c r="BJ116" s="162">
        <f t="shared" si="941"/>
        <v>27681.556499999999</v>
      </c>
      <c r="BK116" s="162">
        <f t="shared" si="941"/>
        <v>27697.449000000001</v>
      </c>
      <c r="BL116" s="162">
        <f t="shared" si="941"/>
        <v>26063.7</v>
      </c>
      <c r="BM116" s="162">
        <f t="shared" si="941"/>
        <v>16846.05</v>
      </c>
      <c r="BN116" s="162">
        <f t="shared" si="941"/>
        <v>15308.715500000002</v>
      </c>
      <c r="BO116" s="162">
        <f t="shared" si="941"/>
        <v>17979.715</v>
      </c>
      <c r="BP116" s="162">
        <f t="shared" si="941"/>
        <v>17979.715</v>
      </c>
      <c r="BQ116" s="162">
        <f t="shared" ref="BQ116:CI116" si="942">+BQ87*BQ73</f>
        <v>25727.838500000005</v>
      </c>
      <c r="BR116" s="162">
        <f t="shared" si="942"/>
        <v>27547</v>
      </c>
      <c r="BS116" s="162">
        <f t="shared" si="942"/>
        <v>34312.967000000004</v>
      </c>
      <c r="BT116" s="162">
        <f t="shared" si="942"/>
        <v>38163.19</v>
      </c>
      <c r="BU116" s="162">
        <f t="shared" si="942"/>
        <v>41206.074000000001</v>
      </c>
      <c r="BV116" s="162">
        <f t="shared" si="942"/>
        <v>42401.19</v>
      </c>
      <c r="BW116" s="162">
        <f t="shared" si="942"/>
        <v>47911.649500000007</v>
      </c>
      <c r="BX116" s="162">
        <f t="shared" si="942"/>
        <v>55951.135499999997</v>
      </c>
      <c r="BY116" s="162">
        <f t="shared" si="942"/>
        <v>56427.910499999998</v>
      </c>
      <c r="BZ116" s="162">
        <f t="shared" si="942"/>
        <v>66604.407999999996</v>
      </c>
      <c r="CA116" s="162">
        <f t="shared" si="942"/>
        <v>86659.683500000014</v>
      </c>
      <c r="CB116" s="162">
        <f t="shared" si="942"/>
        <v>81528.525000000009</v>
      </c>
      <c r="CC116" s="162">
        <f t="shared" si="942"/>
        <v>92010.158500000005</v>
      </c>
      <c r="CD116" s="162">
        <f t="shared" si="942"/>
        <v>132383.46549999999</v>
      </c>
      <c r="CE116" s="162">
        <f t="shared" si="942"/>
        <v>149766.682</v>
      </c>
      <c r="CF116" s="162">
        <f t="shared" si="942"/>
        <v>139985.378</v>
      </c>
      <c r="CG116" s="162">
        <f t="shared" si="942"/>
        <v>103684.78900000002</v>
      </c>
      <c r="CH116" s="162">
        <f t="shared" si="942"/>
        <v>97263.159500000009</v>
      </c>
      <c r="CI116" s="162">
        <f t="shared" si="942"/>
        <v>104689.19500000001</v>
      </c>
      <c r="CJ116" s="162">
        <f t="shared" ref="CJ116:CK116" si="943">+CJ87*CJ73</f>
        <v>103746.24000000001</v>
      </c>
      <c r="CK116" s="162">
        <f t="shared" si="943"/>
        <v>98332.195000000007</v>
      </c>
      <c r="CL116" s="21">
        <f t="shared" ref="CL116:CZ116" si="944">+CL87*CL73</f>
        <v>93688.940547251739</v>
      </c>
      <c r="CM116" s="21">
        <f t="shared" si="944"/>
        <v>97245.287247177213</v>
      </c>
      <c r="CN116" s="21">
        <f t="shared" si="944"/>
        <v>96222.123685723287</v>
      </c>
      <c r="CO116" s="21">
        <f t="shared" si="944"/>
        <v>105329.0441768169</v>
      </c>
      <c r="CP116" s="21">
        <f t="shared" si="944"/>
        <v>111943.5471631126</v>
      </c>
      <c r="CQ116" s="21">
        <f t="shared" si="944"/>
        <v>117599.56850401533</v>
      </c>
      <c r="CR116" s="21">
        <f t="shared" si="944"/>
        <v>123228.617156878</v>
      </c>
      <c r="CS116" s="21">
        <f t="shared" si="944"/>
        <v>127807.88434892894</v>
      </c>
      <c r="CT116" s="21">
        <f t="shared" si="944"/>
        <v>131375.06015561451</v>
      </c>
      <c r="CU116" s="21">
        <f t="shared" si="944"/>
        <v>134227.55737174288</v>
      </c>
      <c r="CV116" s="21">
        <f t="shared" si="944"/>
        <v>136385.00850806656</v>
      </c>
      <c r="CW116" s="21">
        <f t="shared" si="944"/>
        <v>142303.15849635485</v>
      </c>
      <c r="CX116" s="21">
        <f t="shared" si="944"/>
        <v>148420.64376587051</v>
      </c>
      <c r="CY116" s="21">
        <f t="shared" si="944"/>
        <v>154880.32761376756</v>
      </c>
      <c r="CZ116" s="21">
        <f t="shared" si="944"/>
        <v>162086.05727765465</v>
      </c>
      <c r="DB116" s="22"/>
      <c r="DC116" s="162" t="e">
        <v>#DIV/0!</v>
      </c>
    </row>
    <row r="117" spans="1:107" s="162" customFormat="1" x14ac:dyDescent="0.2">
      <c r="A117" s="49" t="s">
        <v>80</v>
      </c>
      <c r="B117" s="162">
        <f>+B176</f>
        <v>-131.71880000000002</v>
      </c>
      <c r="C117" s="162">
        <f t="shared" ref="C117:W117" si="945">+C176</f>
        <v>-268.29230000000001</v>
      </c>
      <c r="D117" s="162">
        <f t="shared" si="945"/>
        <v>-342.92750000000001</v>
      </c>
      <c r="E117" s="162">
        <f t="shared" si="945"/>
        <v>-415.2577</v>
      </c>
      <c r="F117" s="162">
        <f t="shared" si="945"/>
        <v>-398.23869999999999</v>
      </c>
      <c r="G117" s="162">
        <f t="shared" si="945"/>
        <v>-544.89670000000001</v>
      </c>
      <c r="H117" s="162">
        <f t="shared" si="945"/>
        <v>-642.29759999999999</v>
      </c>
      <c r="I117" s="162">
        <f t="shared" si="945"/>
        <v>-348.21109999999999</v>
      </c>
      <c r="J117" s="162">
        <f t="shared" si="945"/>
        <v>-524.14049999999997</v>
      </c>
      <c r="K117" s="162">
        <f t="shared" si="945"/>
        <v>-587.125</v>
      </c>
      <c r="L117" s="162">
        <f t="shared" si="945"/>
        <v>-260.02999999999997</v>
      </c>
      <c r="M117" s="162">
        <f t="shared" si="945"/>
        <v>240.76</v>
      </c>
      <c r="N117" s="162">
        <f t="shared" si="945"/>
        <v>303.45000000000005</v>
      </c>
      <c r="O117" s="162">
        <f t="shared" si="945"/>
        <v>145.02999999999997</v>
      </c>
      <c r="P117" s="162">
        <f t="shared" si="945"/>
        <v>26.329999999999927</v>
      </c>
      <c r="Q117" s="162">
        <f t="shared" si="945"/>
        <v>-589.20000000000005</v>
      </c>
      <c r="R117" s="162">
        <f t="shared" si="945"/>
        <v>-1153.7600000000002</v>
      </c>
      <c r="S117" s="162">
        <f t="shared" si="945"/>
        <v>-1468.2299999999998</v>
      </c>
      <c r="T117" s="162">
        <f t="shared" si="945"/>
        <v>-1584.11</v>
      </c>
      <c r="U117" s="162">
        <f t="shared" si="945"/>
        <v>-2206.65</v>
      </c>
      <c r="V117" s="162">
        <f t="shared" si="945"/>
        <v>-2712.19</v>
      </c>
      <c r="W117" s="162">
        <f t="shared" si="945"/>
        <v>-3642.23</v>
      </c>
      <c r="X117" s="162">
        <f t="shared" ref="X117:Y117" si="946">+X176</f>
        <v>-4816.17</v>
      </c>
      <c r="Y117" s="162">
        <f t="shared" si="946"/>
        <v>-5507.82</v>
      </c>
      <c r="Z117" s="162">
        <f t="shared" ref="Z117" si="947">+Z176</f>
        <v>-5834.87</v>
      </c>
      <c r="AA117" s="21">
        <f t="shared" ref="AA117:AD117" si="948">+AA176</f>
        <v>-8003.9907486836455</v>
      </c>
      <c r="AB117" s="21">
        <f t="shared" si="948"/>
        <v>-9732.3478428063518</v>
      </c>
      <c r="AC117" s="21">
        <f t="shared" si="948"/>
        <v>-11929.410463433405</v>
      </c>
      <c r="AD117" s="21">
        <f t="shared" si="948"/>
        <v>-14335.472623103236</v>
      </c>
      <c r="AK117" s="162">
        <f t="shared" ref="AK117:AL117" si="949">+AK176</f>
        <v>102.10372241005041</v>
      </c>
      <c r="AL117" s="162">
        <f t="shared" si="949"/>
        <v>622.93999999999994</v>
      </c>
      <c r="AM117" s="162">
        <f t="shared" ref="AM117:AN117" si="950">+AM176</f>
        <v>595.76776232761404</v>
      </c>
      <c r="AN117" s="162">
        <f t="shared" si="950"/>
        <v>303.45000000000005</v>
      </c>
      <c r="AO117" s="162">
        <f t="shared" ref="AO117:CC117" si="951">+AO176</f>
        <v>-31.254431704228978</v>
      </c>
      <c r="AP117" s="162">
        <f t="shared" si="951"/>
        <v>569.70000000000005</v>
      </c>
      <c r="AQ117" s="162">
        <f t="shared" si="951"/>
        <v>519.98645677155992</v>
      </c>
      <c r="AR117" s="162">
        <f t="shared" si="951"/>
        <v>145.02999999999997</v>
      </c>
      <c r="AS117" s="162">
        <f t="shared" si="951"/>
        <v>-234.36179417532941</v>
      </c>
      <c r="AT117" s="162">
        <f t="shared" si="951"/>
        <v>441.79</v>
      </c>
      <c r="AU117" s="162">
        <f t="shared" si="951"/>
        <v>384.97624817510524</v>
      </c>
      <c r="AV117" s="162">
        <f t="shared" si="951"/>
        <v>26.329999999999927</v>
      </c>
      <c r="AW117" s="162">
        <f t="shared" si="951"/>
        <v>-461.91858414058038</v>
      </c>
      <c r="AX117" s="162">
        <f t="shared" si="951"/>
        <v>-105.43000000000006</v>
      </c>
      <c r="AY117" s="162">
        <f t="shared" si="951"/>
        <v>-344.39948630875335</v>
      </c>
      <c r="AZ117" s="162">
        <f t="shared" si="951"/>
        <v>-589.20000000000005</v>
      </c>
      <c r="BA117" s="162">
        <f t="shared" si="951"/>
        <v>-958.89364587649447</v>
      </c>
      <c r="BB117" s="162">
        <f t="shared" si="951"/>
        <v>-985.53</v>
      </c>
      <c r="BC117" s="162">
        <f t="shared" si="951"/>
        <v>-1281.984257590263</v>
      </c>
      <c r="BD117" s="162">
        <f t="shared" si="951"/>
        <v>-1757.97</v>
      </c>
      <c r="BE117" s="162">
        <f t="shared" si="951"/>
        <v>-1916.0012874323347</v>
      </c>
      <c r="BF117" s="162">
        <f t="shared" si="951"/>
        <v>-1588.7499999999998</v>
      </c>
      <c r="BG117" s="162">
        <f t="shared" si="951"/>
        <v>-1786.7007033595078</v>
      </c>
      <c r="BH117" s="162">
        <f t="shared" si="951"/>
        <v>-1473.12</v>
      </c>
      <c r="BI117" s="162">
        <f t="shared" si="951"/>
        <v>-1697.7959665263027</v>
      </c>
      <c r="BJ117" s="162">
        <f t="shared" si="951"/>
        <v>-1312.62</v>
      </c>
      <c r="BK117" s="162">
        <f t="shared" si="951"/>
        <v>-1448.6229212806022</v>
      </c>
      <c r="BL117" s="162">
        <f t="shared" si="951"/>
        <v>-1590.59</v>
      </c>
      <c r="BM117" s="162">
        <f t="shared" si="951"/>
        <v>-1906.9696312962994</v>
      </c>
      <c r="BN117" s="162">
        <f t="shared" si="951"/>
        <v>-1511.49</v>
      </c>
      <c r="BO117" s="162">
        <f t="shared" si="951"/>
        <v>-887.76175870883947</v>
      </c>
      <c r="BP117" s="162">
        <f t="shared" si="951"/>
        <v>-2206.65</v>
      </c>
      <c r="BQ117" s="162">
        <f t="shared" si="951"/>
        <v>-2394.2595113949064</v>
      </c>
      <c r="BR117" s="162">
        <f t="shared" si="951"/>
        <v>-2364.4299999999998</v>
      </c>
      <c r="BS117" s="162">
        <f t="shared" si="951"/>
        <v>-2404.7365603245012</v>
      </c>
      <c r="BT117" s="162">
        <f t="shared" si="951"/>
        <v>-2687.74</v>
      </c>
      <c r="BU117" s="162">
        <f t="shared" si="951"/>
        <v>-2818.3400626219363</v>
      </c>
      <c r="BV117" s="162">
        <f t="shared" si="951"/>
        <v>-2828.7200000000003</v>
      </c>
      <c r="BW117" s="162">
        <f t="shared" si="951"/>
        <v>-3049.3799135305185</v>
      </c>
      <c r="BX117" s="162">
        <f t="shared" si="951"/>
        <v>-3642.23</v>
      </c>
      <c r="BY117" s="162">
        <f t="shared" si="951"/>
        <v>-3916.4119390500673</v>
      </c>
      <c r="BZ117" s="162">
        <f t="shared" si="951"/>
        <v>-4150.34</v>
      </c>
      <c r="CA117" s="162">
        <f t="shared" si="951"/>
        <v>-4525.2695350848871</v>
      </c>
      <c r="CB117" s="162">
        <f t="shared" si="951"/>
        <v>-4816.17</v>
      </c>
      <c r="CC117" s="162">
        <f t="shared" si="951"/>
        <v>-5303.8017468422368</v>
      </c>
      <c r="CD117" s="162">
        <f t="shared" ref="CD117:CE117" si="952">+CD176</f>
        <v>-5009.29</v>
      </c>
      <c r="CE117" s="162">
        <f t="shared" si="952"/>
        <v>-5476.6070350352893</v>
      </c>
      <c r="CF117" s="162">
        <f t="shared" ref="CF117:CG117" si="953">+CF176</f>
        <v>-5507.82</v>
      </c>
      <c r="CG117" s="162">
        <f t="shared" si="953"/>
        <v>-6055.0379928557213</v>
      </c>
      <c r="CH117" s="162">
        <f t="shared" ref="CH117:CI117" si="954">+CH176</f>
        <v>-5261.82</v>
      </c>
      <c r="CI117" s="162">
        <f t="shared" si="954"/>
        <v>-5676.7020280654015</v>
      </c>
      <c r="CJ117" s="162">
        <f t="shared" ref="CJ117:CK117" si="955">+CJ176</f>
        <v>-6093.2124449210187</v>
      </c>
      <c r="CK117" s="162">
        <f t="shared" si="955"/>
        <v>-8003.9907486836455</v>
      </c>
      <c r="CL117" s="21">
        <f t="shared" ref="CL117:CZ117" si="956">+CL176</f>
        <v>-8338.8240967701549</v>
      </c>
      <c r="CM117" s="21">
        <f t="shared" si="956"/>
        <v>-8798.0228952769248</v>
      </c>
      <c r="CN117" s="21">
        <f t="shared" si="956"/>
        <v>-9266.1011791750807</v>
      </c>
      <c r="CO117" s="21">
        <f t="shared" si="956"/>
        <v>-9732.3478428063518</v>
      </c>
      <c r="CP117" s="21">
        <f t="shared" si="956"/>
        <v>-10214.735614818488</v>
      </c>
      <c r="CQ117" s="21">
        <f t="shared" si="956"/>
        <v>-10806.753475216403</v>
      </c>
      <c r="CR117" s="21">
        <f t="shared" si="956"/>
        <v>-11397.733453520719</v>
      </c>
      <c r="CS117" s="21">
        <f t="shared" si="956"/>
        <v>-11929.410463433405</v>
      </c>
      <c r="CT117" s="21">
        <f t="shared" si="956"/>
        <v>-12481.158323535516</v>
      </c>
      <c r="CU117" s="21">
        <f t="shared" si="956"/>
        <v>-13130.6581235176</v>
      </c>
      <c r="CV117" s="21">
        <f t="shared" si="956"/>
        <v>-13762.281178096629</v>
      </c>
      <c r="CW117" s="21">
        <f t="shared" si="956"/>
        <v>-14335.472623103236</v>
      </c>
      <c r="CX117" s="21">
        <f t="shared" si="956"/>
        <v>-14988.602767247681</v>
      </c>
      <c r="CY117" s="21">
        <f t="shared" si="956"/>
        <v>-15751.97558723976</v>
      </c>
      <c r="CZ117" s="21">
        <f t="shared" si="956"/>
        <v>-16504.19828137369</v>
      </c>
      <c r="DB117" s="22"/>
      <c r="DC117" s="162">
        <v>0</v>
      </c>
    </row>
    <row r="118" spans="1:107" s="162" customFormat="1" x14ac:dyDescent="0.2">
      <c r="A118" s="49" t="s">
        <v>342</v>
      </c>
      <c r="B118" s="162">
        <f>+B115+B117</f>
        <v>151.39095599999999</v>
      </c>
      <c r="C118" s="162">
        <f t="shared" ref="C118:W118" si="957">+C115+C117</f>
        <v>-20.8255537</v>
      </c>
      <c r="D118" s="162">
        <f t="shared" si="957"/>
        <v>230.8783363</v>
      </c>
      <c r="E118" s="162">
        <f t="shared" si="957"/>
        <v>3822.7422999999999</v>
      </c>
      <c r="F118" s="162">
        <f t="shared" si="957"/>
        <v>8293.8993000000009</v>
      </c>
      <c r="G118" s="162">
        <f t="shared" si="957"/>
        <v>16174.013300000001</v>
      </c>
      <c r="H118" s="162">
        <f t="shared" si="957"/>
        <v>34745.002400000005</v>
      </c>
      <c r="I118" s="162">
        <f t="shared" si="957"/>
        <v>32030.108900000003</v>
      </c>
      <c r="J118" s="162">
        <f t="shared" si="957"/>
        <v>17148.319500000001</v>
      </c>
      <c r="K118" s="162">
        <f t="shared" si="957"/>
        <v>20071.006000000001</v>
      </c>
      <c r="L118" s="162">
        <f t="shared" si="957"/>
        <v>18969.895000000004</v>
      </c>
      <c r="M118" s="162">
        <f t="shared" si="957"/>
        <v>19629.61</v>
      </c>
      <c r="N118" s="162">
        <f t="shared" si="957"/>
        <v>15920.480000000001</v>
      </c>
      <c r="O118" s="162">
        <f t="shared" si="957"/>
        <v>29741.103000000003</v>
      </c>
      <c r="P118" s="162">
        <f t="shared" si="957"/>
        <v>32341.08</v>
      </c>
      <c r="Q118" s="162">
        <f t="shared" si="957"/>
        <v>29769.713000000003</v>
      </c>
      <c r="R118" s="162">
        <f t="shared" si="957"/>
        <v>33162.385500000004</v>
      </c>
      <c r="S118" s="162">
        <f t="shared" si="957"/>
        <v>35495.606</v>
      </c>
      <c r="T118" s="162">
        <f t="shared" si="957"/>
        <v>33782</v>
      </c>
      <c r="U118" s="162">
        <f t="shared" si="957"/>
        <v>27709.392</v>
      </c>
      <c r="V118" s="162">
        <f t="shared" si="957"/>
        <v>47508.11</v>
      </c>
      <c r="W118" s="162">
        <f t="shared" si="957"/>
        <v>69371.093500000017</v>
      </c>
      <c r="X118" s="162">
        <f t="shared" ref="X118:Y118" si="958">+X115+X117</f>
        <v>100142.13800000001</v>
      </c>
      <c r="Y118" s="162">
        <f t="shared" si="958"/>
        <v>189440.18</v>
      </c>
      <c r="Z118" s="162">
        <f t="shared" ref="Z118" si="959">+Z115+Z117</f>
        <v>141381.5955</v>
      </c>
      <c r="AA118" s="21">
        <f t="shared" ref="AA118:AD118" si="960">+AA115+AA117</f>
        <v>130896.45925131637</v>
      </c>
      <c r="AB118" s="21">
        <f t="shared" si="960"/>
        <v>156195.91447392007</v>
      </c>
      <c r="AC118" s="21">
        <f t="shared" si="960"/>
        <v>189410.49844900882</v>
      </c>
      <c r="AD118" s="21">
        <f t="shared" si="960"/>
        <v>209839.31217646238</v>
      </c>
      <c r="AK118" s="162">
        <f t="shared" ref="AK118" si="961">+AK115+AK117</f>
        <v>15719.133722410052</v>
      </c>
      <c r="AL118" s="162">
        <f t="shared" ref="AL118:AN118" si="962">+AL115+AL117</f>
        <v>15337.276000000002</v>
      </c>
      <c r="AM118" s="162">
        <f t="shared" si="962"/>
        <v>13886.135762327616</v>
      </c>
      <c r="AN118" s="162">
        <f t="shared" si="962"/>
        <v>15564.488000000003</v>
      </c>
      <c r="AO118" s="162">
        <f t="shared" ref="AO118:CC118" si="963">+AO115+AO117</f>
        <v>18149.76556829577</v>
      </c>
      <c r="AP118" s="162">
        <f t="shared" si="963"/>
        <v>24408.45</v>
      </c>
      <c r="AQ118" s="162">
        <f t="shared" si="963"/>
        <v>27293.551456771562</v>
      </c>
      <c r="AR118" s="162">
        <f t="shared" si="963"/>
        <v>29741.103000000003</v>
      </c>
      <c r="AS118" s="162">
        <f t="shared" si="963"/>
        <v>32080.388205824675</v>
      </c>
      <c r="AT118" s="162">
        <f t="shared" si="963"/>
        <v>30782.691500000001</v>
      </c>
      <c r="AU118" s="162">
        <f t="shared" si="963"/>
        <v>30991.812248175109</v>
      </c>
      <c r="AV118" s="162">
        <f t="shared" si="963"/>
        <v>27553.199500000002</v>
      </c>
      <c r="AW118" s="162">
        <f t="shared" si="963"/>
        <v>26982.309915859423</v>
      </c>
      <c r="AX118" s="162">
        <f t="shared" si="963"/>
        <v>30253.483000000004</v>
      </c>
      <c r="AY118" s="162">
        <f t="shared" si="963"/>
        <v>27670.899513691245</v>
      </c>
      <c r="AZ118" s="162">
        <f t="shared" si="963"/>
        <v>24605.71</v>
      </c>
      <c r="BA118" s="162">
        <f t="shared" si="963"/>
        <v>26437.657354123508</v>
      </c>
      <c r="BB118" s="162">
        <f t="shared" si="963"/>
        <v>33330.615500000007</v>
      </c>
      <c r="BC118" s="162">
        <f t="shared" si="963"/>
        <v>31528.611742409743</v>
      </c>
      <c r="BD118" s="162">
        <f t="shared" si="963"/>
        <v>28840.39</v>
      </c>
      <c r="BE118" s="162">
        <f t="shared" si="963"/>
        <v>35047.834712567666</v>
      </c>
      <c r="BF118" s="162">
        <f t="shared" si="963"/>
        <v>27653.45</v>
      </c>
      <c r="BG118" s="162">
        <f t="shared" si="963"/>
        <v>30348.993796640494</v>
      </c>
      <c r="BH118" s="162">
        <f t="shared" si="963"/>
        <v>29570.230000000003</v>
      </c>
      <c r="BI118" s="162">
        <f t="shared" si="963"/>
        <v>27099.414033473699</v>
      </c>
      <c r="BJ118" s="162">
        <f t="shared" si="963"/>
        <v>33432.623</v>
      </c>
      <c r="BK118" s="162">
        <f t="shared" si="963"/>
        <v>33917.487078719401</v>
      </c>
      <c r="BL118" s="162">
        <f t="shared" si="963"/>
        <v>31890.6695</v>
      </c>
      <c r="BM118" s="162">
        <f t="shared" si="963"/>
        <v>28009.072368703703</v>
      </c>
      <c r="BN118" s="162">
        <f t="shared" si="963"/>
        <v>21797.51</v>
      </c>
      <c r="BO118" s="162">
        <f t="shared" si="963"/>
        <v>20657.170741291164</v>
      </c>
      <c r="BP118" s="162">
        <f t="shared" si="963"/>
        <v>24492.75</v>
      </c>
      <c r="BQ118" s="162">
        <f t="shared" si="963"/>
        <v>33626.621488605095</v>
      </c>
      <c r="BR118" s="162">
        <f t="shared" si="963"/>
        <v>36966.328999999998</v>
      </c>
      <c r="BS118" s="162">
        <f t="shared" si="963"/>
        <v>38725.053439675503</v>
      </c>
      <c r="BT118" s="162">
        <f t="shared" si="963"/>
        <v>47532.560000000005</v>
      </c>
      <c r="BU118" s="162">
        <f t="shared" si="963"/>
        <v>49512.483937378063</v>
      </c>
      <c r="BV118" s="162">
        <f t="shared" si="963"/>
        <v>49901.535499999998</v>
      </c>
      <c r="BW118" s="162">
        <f t="shared" si="963"/>
        <v>69963.943586469497</v>
      </c>
      <c r="BX118" s="162">
        <f t="shared" si="963"/>
        <v>66878.090000000011</v>
      </c>
      <c r="BY118" s="162">
        <f t="shared" si="963"/>
        <v>68843.691060949932</v>
      </c>
      <c r="BZ118" s="162">
        <f t="shared" si="963"/>
        <v>90028.615000000005</v>
      </c>
      <c r="CA118" s="162">
        <f t="shared" si="963"/>
        <v>94555.991964915127</v>
      </c>
      <c r="CB118" s="162">
        <f t="shared" si="963"/>
        <v>100142.13800000001</v>
      </c>
      <c r="CC118" s="162">
        <f t="shared" si="963"/>
        <v>131795.49825315777</v>
      </c>
      <c r="CD118" s="162">
        <f t="shared" ref="CD118:CE118" si="964">+CD115+CD117</f>
        <v>189938.71</v>
      </c>
      <c r="CE118" s="162">
        <f t="shared" si="964"/>
        <v>181186.10296496472</v>
      </c>
      <c r="CF118" s="162">
        <f t="shared" ref="CF118:CG118" si="965">+CF115+CF117</f>
        <v>183961.50550000003</v>
      </c>
      <c r="CG118" s="162">
        <f t="shared" si="965"/>
        <v>141161.42750714428</v>
      </c>
      <c r="CH118" s="162">
        <f t="shared" ref="CH118:CI118" si="966">+CH115+CH117</f>
        <v>128230.94200000001</v>
      </c>
      <c r="CI118" s="162">
        <f t="shared" si="966"/>
        <v>124504.06297193462</v>
      </c>
      <c r="CJ118" s="162">
        <f t="shared" ref="CJ118:CK118" si="967">+CJ115+CJ117</f>
        <v>107484.12805507898</v>
      </c>
      <c r="CK118" s="162">
        <f t="shared" si="967"/>
        <v>130896.45925131637</v>
      </c>
      <c r="CL118" s="21">
        <f t="shared" ref="CL118:CZ118" si="968">+CL115+CL117</f>
        <v>139252.40512965241</v>
      </c>
      <c r="CM118" s="21">
        <f t="shared" si="968"/>
        <v>144395.63472804494</v>
      </c>
      <c r="CN118" s="21">
        <f t="shared" si="968"/>
        <v>142315.73367346975</v>
      </c>
      <c r="CO118" s="21">
        <f t="shared" si="968"/>
        <v>156195.91447392007</v>
      </c>
      <c r="CP118" s="21">
        <f t="shared" si="968"/>
        <v>166133.56796576298</v>
      </c>
      <c r="CQ118" s="21">
        <f t="shared" si="968"/>
        <v>174451.66412051604</v>
      </c>
      <c r="CR118" s="21">
        <f t="shared" si="968"/>
        <v>182728.30720634837</v>
      </c>
      <c r="CS118" s="21">
        <f t="shared" si="968"/>
        <v>189410.49844900882</v>
      </c>
      <c r="CT118" s="21">
        <f t="shared" si="968"/>
        <v>194478.23842920249</v>
      </c>
      <c r="CU118" s="21">
        <f t="shared" si="968"/>
        <v>198322.3700870444</v>
      </c>
      <c r="CV118" s="21">
        <f t="shared" si="968"/>
        <v>201089.44983928557</v>
      </c>
      <c r="CW118" s="21">
        <f t="shared" si="968"/>
        <v>209839.31217646238</v>
      </c>
      <c r="CX118" s="21">
        <f t="shared" si="968"/>
        <v>218823.25515352562</v>
      </c>
      <c r="CY118" s="21">
        <f t="shared" si="968"/>
        <v>228236.03198317499</v>
      </c>
      <c r="CZ118" s="21">
        <f t="shared" si="968"/>
        <v>238835.22912957196</v>
      </c>
      <c r="DB118" s="22"/>
      <c r="DC118" s="162" t="e">
        <v>#DIV/0!</v>
      </c>
    </row>
    <row r="119" spans="1:107" s="162" customFormat="1" x14ac:dyDescent="0.2">
      <c r="A119" s="49" t="s">
        <v>345</v>
      </c>
      <c r="B119" s="162">
        <f>+B116+B117</f>
        <v>19.160052000000007</v>
      </c>
      <c r="C119" s="162">
        <f t="shared" ref="C119:W119" si="969">+C116+C117</f>
        <v>-95.586872499999998</v>
      </c>
      <c r="D119" s="162">
        <f t="shared" si="969"/>
        <v>-133.2652301</v>
      </c>
      <c r="E119" s="162">
        <f t="shared" si="969"/>
        <v>2114.8283000000001</v>
      </c>
      <c r="F119" s="162">
        <f t="shared" si="969"/>
        <v>3352.3913000000002</v>
      </c>
      <c r="G119" s="162">
        <f t="shared" si="969"/>
        <v>7549.6833000000006</v>
      </c>
      <c r="H119" s="162">
        <f t="shared" si="969"/>
        <v>12876.922400000001</v>
      </c>
      <c r="I119" s="162">
        <f t="shared" si="969"/>
        <v>7685.9773999999998</v>
      </c>
      <c r="J119" s="162">
        <f t="shared" si="969"/>
        <v>6765.2195000000011</v>
      </c>
      <c r="K119" s="162">
        <f t="shared" si="969"/>
        <v>13593.223000000002</v>
      </c>
      <c r="L119" s="162">
        <f t="shared" si="969"/>
        <v>11205.879000000001</v>
      </c>
      <c r="M119" s="162">
        <f t="shared" si="969"/>
        <v>12530.960000000001</v>
      </c>
      <c r="N119" s="162">
        <f t="shared" si="969"/>
        <v>9798.6890000000021</v>
      </c>
      <c r="O119" s="162">
        <f t="shared" si="969"/>
        <v>12182.0095</v>
      </c>
      <c r="P119" s="162">
        <f t="shared" si="969"/>
        <v>21662.379500000003</v>
      </c>
      <c r="Q119" s="162">
        <f t="shared" si="969"/>
        <v>19541.3</v>
      </c>
      <c r="R119" s="162">
        <f t="shared" si="969"/>
        <v>20662.404499999997</v>
      </c>
      <c r="S119" s="162">
        <f t="shared" si="969"/>
        <v>22328.140000000003</v>
      </c>
      <c r="T119" s="162">
        <f t="shared" si="969"/>
        <v>24054.730500000001</v>
      </c>
      <c r="U119" s="162">
        <f t="shared" si="969"/>
        <v>13102.065500000002</v>
      </c>
      <c r="V119" s="162">
        <f t="shared" si="969"/>
        <v>23015.648500000007</v>
      </c>
      <c r="W119" s="162">
        <f t="shared" si="969"/>
        <v>37563.843999999997</v>
      </c>
      <c r="X119" s="162">
        <f t="shared" ref="X119:Y119" si="970">+X116+X117</f>
        <v>51611.7405</v>
      </c>
      <c r="Y119" s="162">
        <f t="shared" si="970"/>
        <v>86502.338500000013</v>
      </c>
      <c r="Z119" s="162">
        <f t="shared" ref="Z119" si="971">+Z116+Z117</f>
        <v>91428.289500000014</v>
      </c>
      <c r="AA119" s="21">
        <f t="shared" ref="AA119:AD119" si="972">+AA116+AA117</f>
        <v>89259.168751316363</v>
      </c>
      <c r="AB119" s="21">
        <f t="shared" si="972"/>
        <v>83956.592704445386</v>
      </c>
      <c r="AC119" s="21">
        <f t="shared" si="972"/>
        <v>100014.13669967919</v>
      </c>
      <c r="AD119" s="21">
        <f t="shared" si="972"/>
        <v>117039.58753251127</v>
      </c>
      <c r="AK119" s="162">
        <f t="shared" ref="AK119:AL119" si="973">+AK116+AK117</f>
        <v>10364.420722410052</v>
      </c>
      <c r="AL119" s="162">
        <f t="shared" si="973"/>
        <v>10561.050000000001</v>
      </c>
      <c r="AM119" s="162">
        <f t="shared" ref="AM119:AN119" si="974">+AM116+AM117</f>
        <v>10091.006762327615</v>
      </c>
      <c r="AN119" s="162">
        <f t="shared" si="974"/>
        <v>11643.2785</v>
      </c>
      <c r="AO119" s="162">
        <f t="shared" ref="AO119:CC119" si="975">+AO116+AO117</f>
        <v>12005.725068295771</v>
      </c>
      <c r="AP119" s="162">
        <f t="shared" si="975"/>
        <v>17676.387000000002</v>
      </c>
      <c r="AQ119" s="162">
        <f t="shared" si="975"/>
        <v>20779.745456771561</v>
      </c>
      <c r="AR119" s="162">
        <f t="shared" si="975"/>
        <v>21086.047500000001</v>
      </c>
      <c r="AS119" s="162">
        <f t="shared" si="975"/>
        <v>24854.598205824674</v>
      </c>
      <c r="AT119" s="162">
        <f t="shared" si="975"/>
        <v>26823.340000000004</v>
      </c>
      <c r="AU119" s="162">
        <f t="shared" si="975"/>
        <v>22021.025748175107</v>
      </c>
      <c r="AV119" s="162">
        <f t="shared" si="975"/>
        <v>22169.880000000005</v>
      </c>
      <c r="AW119" s="162">
        <f t="shared" si="975"/>
        <v>19945.110915859419</v>
      </c>
      <c r="AX119" s="162">
        <f t="shared" si="975"/>
        <v>24957.0425</v>
      </c>
      <c r="AY119" s="162">
        <f t="shared" si="975"/>
        <v>23166.965013691246</v>
      </c>
      <c r="AZ119" s="162">
        <f t="shared" si="975"/>
        <v>19541.3</v>
      </c>
      <c r="BA119" s="162">
        <f t="shared" si="975"/>
        <v>20857.270854123504</v>
      </c>
      <c r="BB119" s="162">
        <f t="shared" si="975"/>
        <v>26152.503000000004</v>
      </c>
      <c r="BC119" s="162">
        <f t="shared" si="975"/>
        <v>23616.265742409738</v>
      </c>
      <c r="BD119" s="162">
        <f t="shared" si="975"/>
        <v>25929.943500000001</v>
      </c>
      <c r="BE119" s="162">
        <f t="shared" si="975"/>
        <v>24934.907212567668</v>
      </c>
      <c r="BF119" s="162">
        <f t="shared" si="975"/>
        <v>22207.620000000003</v>
      </c>
      <c r="BG119" s="162">
        <f t="shared" si="975"/>
        <v>22157.999296640493</v>
      </c>
      <c r="BH119" s="162">
        <f t="shared" si="975"/>
        <v>23764.170000000002</v>
      </c>
      <c r="BI119" s="162">
        <f t="shared" si="975"/>
        <v>23941.044533473698</v>
      </c>
      <c r="BJ119" s="162">
        <f t="shared" si="975"/>
        <v>26368.9365</v>
      </c>
      <c r="BK119" s="162">
        <f t="shared" si="975"/>
        <v>26248.826078719398</v>
      </c>
      <c r="BL119" s="162">
        <f t="shared" si="975"/>
        <v>24473.11</v>
      </c>
      <c r="BM119" s="162">
        <f t="shared" si="975"/>
        <v>14939.080368703701</v>
      </c>
      <c r="BN119" s="162">
        <f t="shared" si="975"/>
        <v>13797.225500000002</v>
      </c>
      <c r="BO119" s="162">
        <f t="shared" si="975"/>
        <v>17091.953241291161</v>
      </c>
      <c r="BP119" s="162">
        <f t="shared" si="975"/>
        <v>15773.065000000001</v>
      </c>
      <c r="BQ119" s="162">
        <f t="shared" si="975"/>
        <v>23333.578988605099</v>
      </c>
      <c r="BR119" s="162">
        <f t="shared" si="975"/>
        <v>25182.57</v>
      </c>
      <c r="BS119" s="162">
        <f t="shared" si="975"/>
        <v>31908.230439675503</v>
      </c>
      <c r="BT119" s="162">
        <f t="shared" si="975"/>
        <v>35475.450000000004</v>
      </c>
      <c r="BU119" s="162">
        <f t="shared" si="975"/>
        <v>38387.733937378063</v>
      </c>
      <c r="BV119" s="162">
        <f t="shared" si="975"/>
        <v>39572.47</v>
      </c>
      <c r="BW119" s="162">
        <f t="shared" si="975"/>
        <v>44862.269586469491</v>
      </c>
      <c r="BX119" s="162">
        <f t="shared" si="975"/>
        <v>52308.905499999993</v>
      </c>
      <c r="BY119" s="162">
        <f t="shared" si="975"/>
        <v>52511.498560949927</v>
      </c>
      <c r="BZ119" s="162">
        <f t="shared" si="975"/>
        <v>62454.067999999999</v>
      </c>
      <c r="CA119" s="162">
        <f t="shared" si="975"/>
        <v>82134.413964915133</v>
      </c>
      <c r="CB119" s="162">
        <f t="shared" si="975"/>
        <v>76712.35500000001</v>
      </c>
      <c r="CC119" s="162">
        <f t="shared" si="975"/>
        <v>86706.356753157772</v>
      </c>
      <c r="CD119" s="162">
        <f t="shared" ref="CD119:CE119" si="976">+CD116+CD117</f>
        <v>127374.1755</v>
      </c>
      <c r="CE119" s="162">
        <f t="shared" si="976"/>
        <v>144290.0749649647</v>
      </c>
      <c r="CF119" s="162">
        <f t="shared" ref="CF119:CG119" si="977">+CF116+CF117</f>
        <v>134477.55799999999</v>
      </c>
      <c r="CG119" s="162">
        <f t="shared" si="977"/>
        <v>97629.751007144296</v>
      </c>
      <c r="CH119" s="162">
        <f t="shared" ref="CH119:CI119" si="978">+CH116+CH117</f>
        <v>92001.339500000002</v>
      </c>
      <c r="CI119" s="162">
        <f t="shared" si="978"/>
        <v>99012.492971934611</v>
      </c>
      <c r="CJ119" s="162">
        <f t="shared" ref="CJ119:CK119" si="979">+CJ116+CJ117</f>
        <v>97653.027555078981</v>
      </c>
      <c r="CK119" s="162">
        <f t="shared" si="979"/>
        <v>90328.204251316361</v>
      </c>
      <c r="CL119" s="21">
        <f t="shared" ref="CL119:CZ119" si="980">+CL116+CL117</f>
        <v>85350.116450481582</v>
      </c>
      <c r="CM119" s="21">
        <f t="shared" si="980"/>
        <v>88447.264351900289</v>
      </c>
      <c r="CN119" s="21">
        <f t="shared" si="980"/>
        <v>86956.022506548208</v>
      </c>
      <c r="CO119" s="21">
        <f t="shared" si="980"/>
        <v>95596.696334010543</v>
      </c>
      <c r="CP119" s="21">
        <f t="shared" si="980"/>
        <v>101728.81154829411</v>
      </c>
      <c r="CQ119" s="21">
        <f t="shared" si="980"/>
        <v>106792.81502879893</v>
      </c>
      <c r="CR119" s="21">
        <f t="shared" si="980"/>
        <v>111830.88370335728</v>
      </c>
      <c r="CS119" s="21">
        <f t="shared" si="980"/>
        <v>115878.47388549554</v>
      </c>
      <c r="CT119" s="21">
        <f t="shared" si="980"/>
        <v>118893.90183207899</v>
      </c>
      <c r="CU119" s="21">
        <f t="shared" si="980"/>
        <v>121096.89924822528</v>
      </c>
      <c r="CV119" s="21">
        <f t="shared" si="980"/>
        <v>122622.72732996993</v>
      </c>
      <c r="CW119" s="21">
        <f t="shared" si="980"/>
        <v>127967.68587325161</v>
      </c>
      <c r="CX119" s="21">
        <f t="shared" si="980"/>
        <v>133432.04099862283</v>
      </c>
      <c r="CY119" s="21">
        <f t="shared" si="980"/>
        <v>139128.35202652781</v>
      </c>
      <c r="CZ119" s="21">
        <f t="shared" si="980"/>
        <v>145581.85899628096</v>
      </c>
      <c r="DB119" s="22"/>
      <c r="DC119" s="162" t="e">
        <v>#DIV/0!</v>
      </c>
    </row>
    <row r="120" spans="1:107" s="162" customFormat="1" x14ac:dyDescent="0.2">
      <c r="A120" s="49" t="s">
        <v>13</v>
      </c>
      <c r="B120" s="162">
        <f t="shared" ref="B120:AD120" si="981">+B36</f>
        <v>100.97009999999989</v>
      </c>
      <c r="C120" s="162">
        <f t="shared" si="981"/>
        <v>119.31719999999996</v>
      </c>
      <c r="D120" s="162">
        <f t="shared" si="981"/>
        <v>141.91089999999997</v>
      </c>
      <c r="E120" s="162">
        <f t="shared" si="981"/>
        <v>218.36289999999985</v>
      </c>
      <c r="F120" s="162">
        <f t="shared" si="981"/>
        <v>324.93209999999999</v>
      </c>
      <c r="G120" s="162">
        <f t="shared" si="981"/>
        <v>481.32939999999962</v>
      </c>
      <c r="H120" s="162">
        <f t="shared" si="981"/>
        <v>739.74040000000059</v>
      </c>
      <c r="I120" s="162">
        <f t="shared" si="981"/>
        <v>788.88479999999981</v>
      </c>
      <c r="J120" s="162">
        <f t="shared" si="981"/>
        <v>547.68080000000009</v>
      </c>
      <c r="K120" s="162">
        <f t="shared" si="981"/>
        <v>101.35340000000042</v>
      </c>
      <c r="L120" s="162">
        <f t="shared" si="981"/>
        <v>352.78999999999996</v>
      </c>
      <c r="M120" s="162">
        <f t="shared" si="981"/>
        <v>355.34999999999991</v>
      </c>
      <c r="N120" s="162">
        <f t="shared" si="981"/>
        <v>484.83999999999969</v>
      </c>
      <c r="O120" s="162">
        <f t="shared" si="981"/>
        <v>571.75000000000045</v>
      </c>
      <c r="P120" s="162">
        <f t="shared" si="981"/>
        <v>721.28000000000156</v>
      </c>
      <c r="Q120" s="162">
        <f t="shared" si="981"/>
        <v>710.24000000000115</v>
      </c>
      <c r="R120" s="162">
        <f t="shared" si="981"/>
        <v>409.79999999999995</v>
      </c>
      <c r="S120" s="162">
        <f t="shared" si="981"/>
        <v>464.11000000000058</v>
      </c>
      <c r="T120" s="162">
        <f t="shared" si="981"/>
        <v>509.09000000000015</v>
      </c>
      <c r="U120" s="162">
        <f t="shared" si="981"/>
        <v>265.57000000000016</v>
      </c>
      <c r="V120" s="162">
        <f t="shared" si="981"/>
        <v>515.45999999999981</v>
      </c>
      <c r="W120" s="162">
        <f t="shared" si="981"/>
        <v>910.10000000000127</v>
      </c>
      <c r="X120" s="162">
        <f t="shared" si="981"/>
        <v>1489.7800000000007</v>
      </c>
      <c r="Y120" s="162">
        <f t="shared" si="981"/>
        <v>2296.4600000000009</v>
      </c>
      <c r="Z120" s="162">
        <f t="shared" ref="Z120" si="982">+Z36</f>
        <v>2010.0999999999995</v>
      </c>
      <c r="AA120" s="21">
        <f t="shared" si="981"/>
        <v>2040.5153213974968</v>
      </c>
      <c r="AB120" s="21">
        <f t="shared" si="981"/>
        <v>2572.5674646154966</v>
      </c>
      <c r="AC120" s="21">
        <f t="shared" si="981"/>
        <v>2763.3100696028996</v>
      </c>
      <c r="AD120" s="21">
        <f t="shared" si="981"/>
        <v>3243.6911370697644</v>
      </c>
      <c r="AK120" s="162">
        <f t="shared" ref="AK120:BP120" si="983">+SUM(AH36:AK36)</f>
        <v>346.13000000000011</v>
      </c>
      <c r="AL120" s="162">
        <f t="shared" si="983"/>
        <v>348.02000000000021</v>
      </c>
      <c r="AM120" s="162">
        <f t="shared" si="983"/>
        <v>387.05000000000064</v>
      </c>
      <c r="AN120" s="162">
        <f t="shared" si="983"/>
        <v>469.9200000000003</v>
      </c>
      <c r="AO120" s="162">
        <f t="shared" si="983"/>
        <v>488.48000000000036</v>
      </c>
      <c r="AP120" s="162">
        <f t="shared" si="983"/>
        <v>506.41000000000008</v>
      </c>
      <c r="AQ120" s="162">
        <f t="shared" si="983"/>
        <v>525.11999999999978</v>
      </c>
      <c r="AR120" s="162">
        <f t="shared" si="983"/>
        <v>555.68999999999983</v>
      </c>
      <c r="AS120" s="162">
        <f t="shared" si="983"/>
        <v>573.56999999999982</v>
      </c>
      <c r="AT120" s="162">
        <f t="shared" si="983"/>
        <v>597.77000000000021</v>
      </c>
      <c r="AU120" s="162">
        <f t="shared" si="983"/>
        <v>629.38000000000045</v>
      </c>
      <c r="AV120" s="162">
        <f t="shared" si="983"/>
        <v>712.50000000000034</v>
      </c>
      <c r="AW120" s="162">
        <f t="shared" si="983"/>
        <v>741.7900000000003</v>
      </c>
      <c r="AX120" s="162">
        <f t="shared" si="983"/>
        <v>705.34999999999968</v>
      </c>
      <c r="AY120" s="162">
        <f t="shared" si="983"/>
        <v>667.8599999999991</v>
      </c>
      <c r="AZ120" s="162">
        <f t="shared" si="983"/>
        <v>694.51999999999907</v>
      </c>
      <c r="BA120" s="162">
        <f t="shared" si="983"/>
        <v>682.51999999999941</v>
      </c>
      <c r="BB120" s="162">
        <f t="shared" si="983"/>
        <v>716.26999999999907</v>
      </c>
      <c r="BC120" s="162">
        <f t="shared" si="983"/>
        <v>732.16999999999916</v>
      </c>
      <c r="BD120" s="162">
        <f t="shared" si="983"/>
        <v>587.94999999999925</v>
      </c>
      <c r="BE120" s="162">
        <f t="shared" si="983"/>
        <v>516.53999999999894</v>
      </c>
      <c r="BF120" s="162">
        <f t="shared" si="983"/>
        <v>458.58999999999935</v>
      </c>
      <c r="BG120" s="162">
        <f t="shared" si="983"/>
        <v>389.16999999999973</v>
      </c>
      <c r="BH120" s="162">
        <f t="shared" si="983"/>
        <v>459.00999999999993</v>
      </c>
      <c r="BI120" s="162">
        <f t="shared" si="983"/>
        <v>515.04999999999995</v>
      </c>
      <c r="BJ120" s="162">
        <f t="shared" si="983"/>
        <v>549.55000000000018</v>
      </c>
      <c r="BK120" s="162">
        <f t="shared" si="983"/>
        <v>608.18000000000006</v>
      </c>
      <c r="BL120" s="162">
        <f t="shared" si="983"/>
        <v>531.14999999999986</v>
      </c>
      <c r="BM120" s="162">
        <f t="shared" si="983"/>
        <v>400.12999999999977</v>
      </c>
      <c r="BN120" s="162">
        <f t="shared" si="983"/>
        <v>299.69999999999982</v>
      </c>
      <c r="BO120" s="162">
        <f t="shared" si="983"/>
        <v>297.73999999999978</v>
      </c>
      <c r="BP120" s="162">
        <f t="shared" si="983"/>
        <v>244.64999999999975</v>
      </c>
      <c r="BQ120" s="162">
        <f t="shared" ref="BQ120:CV120" si="984">+SUM(BN36:BQ36)</f>
        <v>333.68999999999983</v>
      </c>
      <c r="BR120" s="162">
        <f t="shared" si="984"/>
        <v>404.99999999999989</v>
      </c>
      <c r="BS120" s="162">
        <f t="shared" si="984"/>
        <v>464.91000000000008</v>
      </c>
      <c r="BT120" s="162">
        <f t="shared" si="984"/>
        <v>564.80000000000007</v>
      </c>
      <c r="BU120" s="162">
        <f t="shared" si="984"/>
        <v>648.9899999999999</v>
      </c>
      <c r="BV120" s="162">
        <f t="shared" si="984"/>
        <v>760.73999999999978</v>
      </c>
      <c r="BW120" s="162">
        <f t="shared" si="984"/>
        <v>790.37999999999943</v>
      </c>
      <c r="BX120" s="162">
        <f t="shared" si="984"/>
        <v>969.46</v>
      </c>
      <c r="BY120" s="162">
        <f t="shared" si="984"/>
        <v>1067.04</v>
      </c>
      <c r="BZ120" s="162">
        <f t="shared" si="984"/>
        <v>1209.2600000000002</v>
      </c>
      <c r="CA120" s="162">
        <f t="shared" si="984"/>
        <v>1436.8400000000004</v>
      </c>
      <c r="CB120" s="162">
        <f t="shared" si="984"/>
        <v>1489.7799999999997</v>
      </c>
      <c r="CC120" s="162">
        <f t="shared" si="984"/>
        <v>1769.6499999999999</v>
      </c>
      <c r="CD120" s="162">
        <f t="shared" si="984"/>
        <v>1963.4199999999996</v>
      </c>
      <c r="CE120" s="162">
        <f t="shared" si="984"/>
        <v>2065.1099999999997</v>
      </c>
      <c r="CF120" s="162">
        <f t="shared" si="984"/>
        <v>2305.2300000000005</v>
      </c>
      <c r="CG120" s="162">
        <f t="shared" si="984"/>
        <v>2299.650000000001</v>
      </c>
      <c r="CH120" s="162">
        <f t="shared" si="984"/>
        <v>2171.2500000000009</v>
      </c>
      <c r="CI120" s="162">
        <f t="shared" si="984"/>
        <v>2131.4200000000005</v>
      </c>
      <c r="CJ120" s="162">
        <f t="shared" si="984"/>
        <v>2086.27</v>
      </c>
      <c r="CK120" s="162">
        <f t="shared" si="984"/>
        <v>1935.0699999999995</v>
      </c>
      <c r="CL120" s="21">
        <f t="shared" si="984"/>
        <v>2049.690703605404</v>
      </c>
      <c r="CM120" s="21">
        <f t="shared" si="984"/>
        <v>2099.0873094673943</v>
      </c>
      <c r="CN120" s="21">
        <f t="shared" si="984"/>
        <v>2040.5153213974961</v>
      </c>
      <c r="CO120" s="21">
        <f t="shared" si="984"/>
        <v>2217.8519740388988</v>
      </c>
      <c r="CP120" s="21">
        <f t="shared" si="984"/>
        <v>2352.0949137990156</v>
      </c>
      <c r="CQ120" s="21">
        <f t="shared" si="984"/>
        <v>2463.1649478578975</v>
      </c>
      <c r="CR120" s="21">
        <f t="shared" si="984"/>
        <v>2572.5674646154957</v>
      </c>
      <c r="CS120" s="21">
        <f t="shared" si="984"/>
        <v>2651.1066221331139</v>
      </c>
      <c r="CT120" s="21">
        <f t="shared" si="984"/>
        <v>2706.3647387833817</v>
      </c>
      <c r="CU120" s="21">
        <f t="shared" si="984"/>
        <v>2743.7360817711028</v>
      </c>
      <c r="CV120" s="21">
        <f t="shared" si="984"/>
        <v>2763.3100696028973</v>
      </c>
      <c r="CW120" s="21">
        <f t="shared" ref="CW120:CZ120" si="985">+SUM(CT36:CW36)</f>
        <v>2872.4024385645521</v>
      </c>
      <c r="CX120" s="21">
        <f t="shared" si="985"/>
        <v>2986.1852024121367</v>
      </c>
      <c r="CY120" s="21">
        <f t="shared" si="985"/>
        <v>3106.7897364907044</v>
      </c>
      <c r="CZ120" s="21">
        <f t="shared" si="985"/>
        <v>3243.6911370697653</v>
      </c>
      <c r="DB120" s="22"/>
      <c r="DC120" s="162">
        <v>0</v>
      </c>
    </row>
    <row r="121" spans="1:107" s="162" customFormat="1" x14ac:dyDescent="0.2">
      <c r="A121" s="49" t="s">
        <v>343</v>
      </c>
      <c r="B121" s="162">
        <f>+B118/B120</f>
        <v>1.4993642276277843</v>
      </c>
      <c r="C121" s="162">
        <f t="shared" ref="C121:W121" si="986">+C118/C120</f>
        <v>-0.17453941007666965</v>
      </c>
      <c r="D121" s="162">
        <f t="shared" si="986"/>
        <v>1.6269246146701912</v>
      </c>
      <c r="E121" s="162">
        <f t="shared" si="986"/>
        <v>17.506372648467309</v>
      </c>
      <c r="F121" s="162">
        <f t="shared" si="986"/>
        <v>25.525022920173171</v>
      </c>
      <c r="G121" s="162">
        <f t="shared" si="986"/>
        <v>33.602795299850818</v>
      </c>
      <c r="H121" s="162">
        <f t="shared" si="986"/>
        <v>46.969183243202586</v>
      </c>
      <c r="I121" s="162">
        <f t="shared" si="986"/>
        <v>40.601756935866952</v>
      </c>
      <c r="J121" s="162">
        <f t="shared" si="986"/>
        <v>31.31079179697371</v>
      </c>
      <c r="K121" s="162">
        <f t="shared" si="986"/>
        <v>198.02992302182184</v>
      </c>
      <c r="L121" s="162">
        <f t="shared" si="986"/>
        <v>53.771067774029895</v>
      </c>
      <c r="M121" s="162">
        <f t="shared" si="986"/>
        <v>55.240213873645715</v>
      </c>
      <c r="N121" s="162">
        <f t="shared" si="986"/>
        <v>32.836564639881225</v>
      </c>
      <c r="O121" s="162">
        <f t="shared" si="986"/>
        <v>52.017670310450335</v>
      </c>
      <c r="P121" s="162">
        <f t="shared" si="986"/>
        <v>44.838453859804694</v>
      </c>
      <c r="Q121" s="162">
        <f t="shared" si="986"/>
        <v>41.91500478711415</v>
      </c>
      <c r="R121" s="162">
        <f t="shared" si="986"/>
        <v>80.92334187408494</v>
      </c>
      <c r="S121" s="162">
        <f t="shared" si="986"/>
        <v>76.481019585873938</v>
      </c>
      <c r="T121" s="162">
        <f t="shared" si="986"/>
        <v>66.357618495747289</v>
      </c>
      <c r="U121" s="162">
        <f t="shared" si="986"/>
        <v>104.33931543472524</v>
      </c>
      <c r="V121" s="162">
        <f t="shared" si="986"/>
        <v>92.166433864897414</v>
      </c>
      <c r="W121" s="162">
        <f t="shared" si="986"/>
        <v>76.223594659927386</v>
      </c>
      <c r="X121" s="162">
        <f t="shared" ref="X121:Y121" si="987">+X118/X120</f>
        <v>67.219413604693287</v>
      </c>
      <c r="Y121" s="162">
        <f t="shared" si="987"/>
        <v>82.492262003257153</v>
      </c>
      <c r="Z121" s="162">
        <f t="shared" ref="Z121" si="988">+Z118/Z120</f>
        <v>70.33560295507688</v>
      </c>
      <c r="AA121" s="21">
        <f t="shared" ref="AA121:AD121" si="989">+AA118/AA120</f>
        <v>64.148726490163639</v>
      </c>
      <c r="AB121" s="21">
        <f t="shared" si="989"/>
        <v>60.715964351693131</v>
      </c>
      <c r="AC121" s="21">
        <f t="shared" si="989"/>
        <v>68.544786389544768</v>
      </c>
      <c r="AD121" s="21">
        <f t="shared" si="989"/>
        <v>64.691520650151602</v>
      </c>
      <c r="AK121" s="162">
        <f t="shared" ref="AK121" si="990">+AK118/AK120</f>
        <v>45.413959270823234</v>
      </c>
      <c r="AL121" s="162">
        <f t="shared" ref="AL121:AN121" si="991">+AL118/AL120</f>
        <v>44.070099419573566</v>
      </c>
      <c r="AM121" s="162">
        <f t="shared" si="991"/>
        <v>35.876852505690721</v>
      </c>
      <c r="AN121" s="162">
        <f t="shared" si="991"/>
        <v>33.121569628872983</v>
      </c>
      <c r="AO121" s="162">
        <f t="shared" ref="AO121:CC121" si="992">+AO118/AO120</f>
        <v>37.155596070045355</v>
      </c>
      <c r="AP121" s="162">
        <f t="shared" si="992"/>
        <v>48.198988961513393</v>
      </c>
      <c r="AQ121" s="162">
        <f t="shared" si="992"/>
        <v>51.975836869232886</v>
      </c>
      <c r="AR121" s="162">
        <f t="shared" si="992"/>
        <v>53.521033309939014</v>
      </c>
      <c r="AS121" s="162">
        <f t="shared" si="992"/>
        <v>55.931077646712147</v>
      </c>
      <c r="AT121" s="162">
        <f t="shared" si="992"/>
        <v>51.495878849724797</v>
      </c>
      <c r="AU121" s="162">
        <f t="shared" si="992"/>
        <v>49.241812971773946</v>
      </c>
      <c r="AV121" s="162">
        <f t="shared" si="992"/>
        <v>38.671157192982442</v>
      </c>
      <c r="AW121" s="162">
        <f t="shared" si="992"/>
        <v>36.374593774328872</v>
      </c>
      <c r="AX121" s="162">
        <f t="shared" si="992"/>
        <v>42.891448217197158</v>
      </c>
      <c r="AY121" s="162">
        <f t="shared" si="992"/>
        <v>41.432185658208731</v>
      </c>
      <c r="AZ121" s="162">
        <f t="shared" si="992"/>
        <v>35.428367793584101</v>
      </c>
      <c r="BA121" s="162">
        <f t="shared" si="992"/>
        <v>38.735359189655291</v>
      </c>
      <c r="BB121" s="162">
        <f t="shared" si="992"/>
        <v>46.533591383137711</v>
      </c>
      <c r="BC121" s="162">
        <f t="shared" si="992"/>
        <v>43.061873256770667</v>
      </c>
      <c r="BD121" s="162">
        <f t="shared" si="992"/>
        <v>49.052453439918423</v>
      </c>
      <c r="BE121" s="162">
        <f t="shared" si="992"/>
        <v>67.851153274804929</v>
      </c>
      <c r="BF121" s="162">
        <f t="shared" si="992"/>
        <v>60.30103142240354</v>
      </c>
      <c r="BG121" s="162">
        <f t="shared" si="992"/>
        <v>77.983898544699016</v>
      </c>
      <c r="BH121" s="162">
        <f t="shared" si="992"/>
        <v>64.421755517309009</v>
      </c>
      <c r="BI121" s="162">
        <f t="shared" si="992"/>
        <v>52.615113160807105</v>
      </c>
      <c r="BJ121" s="162">
        <f t="shared" si="992"/>
        <v>60.836362478391393</v>
      </c>
      <c r="BK121" s="162">
        <f t="shared" si="992"/>
        <v>55.768830081093419</v>
      </c>
      <c r="BL121" s="162">
        <f t="shared" si="992"/>
        <v>60.040797326555605</v>
      </c>
      <c r="BM121" s="162">
        <f t="shared" si="992"/>
        <v>69.999930944202433</v>
      </c>
      <c r="BN121" s="162">
        <f t="shared" si="992"/>
        <v>72.731097764431141</v>
      </c>
      <c r="BO121" s="162">
        <f t="shared" si="992"/>
        <v>69.379897700312952</v>
      </c>
      <c r="BP121" s="162">
        <f t="shared" si="992"/>
        <v>100.11342734518711</v>
      </c>
      <c r="BQ121" s="162">
        <f t="shared" si="992"/>
        <v>100.77203838474367</v>
      </c>
      <c r="BR121" s="162">
        <f t="shared" si="992"/>
        <v>91.274886419753102</v>
      </c>
      <c r="BS121" s="162">
        <f t="shared" si="992"/>
        <v>83.295806585522996</v>
      </c>
      <c r="BT121" s="162">
        <f t="shared" si="992"/>
        <v>84.158215297450425</v>
      </c>
      <c r="BU121" s="162">
        <f t="shared" si="992"/>
        <v>76.291597616878647</v>
      </c>
      <c r="BV121" s="162">
        <f t="shared" si="992"/>
        <v>65.596045297999339</v>
      </c>
      <c r="BW121" s="162">
        <f t="shared" si="992"/>
        <v>88.5193749670659</v>
      </c>
      <c r="BX121" s="162">
        <f t="shared" si="992"/>
        <v>68.984888494625878</v>
      </c>
      <c r="BY121" s="162">
        <f t="shared" si="992"/>
        <v>64.518378937012614</v>
      </c>
      <c r="BZ121" s="162">
        <f t="shared" si="992"/>
        <v>74.449345053999963</v>
      </c>
      <c r="CA121" s="162">
        <f t="shared" si="992"/>
        <v>65.808295958433163</v>
      </c>
      <c r="CB121" s="162">
        <f t="shared" si="992"/>
        <v>67.219413604693329</v>
      </c>
      <c r="CC121" s="162">
        <f t="shared" si="992"/>
        <v>74.475460262287896</v>
      </c>
      <c r="CD121" s="162">
        <f t="shared" ref="CD121:CE121" si="993">+CD118/CD120</f>
        <v>96.738705931486905</v>
      </c>
      <c r="CE121" s="162">
        <f t="shared" si="993"/>
        <v>87.736780590363111</v>
      </c>
      <c r="CF121" s="162">
        <f t="shared" ref="CF121:CG121" si="994">+CF118/CF120</f>
        <v>79.801800904898855</v>
      </c>
      <c r="CG121" s="162">
        <f t="shared" si="994"/>
        <v>61.383874723172752</v>
      </c>
      <c r="CH121" s="162">
        <f t="shared" ref="CH121:CI121" si="995">+CH118/CH120</f>
        <v>59.058580080598716</v>
      </c>
      <c r="CI121" s="162">
        <f t="shared" si="995"/>
        <v>58.413669277727799</v>
      </c>
      <c r="CJ121" s="162">
        <f t="shared" ref="CJ121:CK121" si="996">+CJ118/CJ120</f>
        <v>51.519759213850065</v>
      </c>
      <c r="CK121" s="162">
        <f t="shared" si="996"/>
        <v>67.644301886400186</v>
      </c>
      <c r="CL121" s="21">
        <f t="shared" ref="CL121:CZ121" si="997">+CL118/CL120</f>
        <v>67.938252773800244</v>
      </c>
      <c r="CM121" s="21">
        <f t="shared" si="997"/>
        <v>68.789723074778976</v>
      </c>
      <c r="CN121" s="21">
        <f t="shared" si="997"/>
        <v>69.74499636493853</v>
      </c>
      <c r="CO121" s="21">
        <f t="shared" si="997"/>
        <v>70.426663412289827</v>
      </c>
      <c r="CP121" s="21">
        <f t="shared" si="997"/>
        <v>70.632170067248808</v>
      </c>
      <c r="CQ121" s="21">
        <f t="shared" si="997"/>
        <v>70.824190751914003</v>
      </c>
      <c r="CR121" s="21">
        <f t="shared" si="997"/>
        <v>71.029549164285783</v>
      </c>
      <c r="CS121" s="21">
        <f t="shared" si="997"/>
        <v>71.445824497472202</v>
      </c>
      <c r="CT121" s="21">
        <f t="shared" si="997"/>
        <v>71.859581837675051</v>
      </c>
      <c r="CU121" s="21">
        <f t="shared" si="997"/>
        <v>72.281868290708843</v>
      </c>
      <c r="CV121" s="21">
        <f t="shared" si="997"/>
        <v>72.771221750074261</v>
      </c>
      <c r="CW121" s="21">
        <f t="shared" si="997"/>
        <v>73.053590736166825</v>
      </c>
      <c r="CX121" s="21">
        <f t="shared" si="997"/>
        <v>73.278527727204519</v>
      </c>
      <c r="CY121" s="21">
        <f t="shared" si="997"/>
        <v>73.463623657061703</v>
      </c>
      <c r="CZ121" s="21">
        <f t="shared" si="997"/>
        <v>73.630693872206081</v>
      </c>
      <c r="DB121" s="22"/>
      <c r="DC121" s="162" t="e">
        <v>#DIV/0!</v>
      </c>
    </row>
    <row r="122" spans="1:107" s="162" customFormat="1" x14ac:dyDescent="0.2">
      <c r="A122" s="49" t="s">
        <v>344</v>
      </c>
      <c r="B122" s="162">
        <f>+B119/B120</f>
        <v>0.18975966152356022</v>
      </c>
      <c r="C122" s="162">
        <f t="shared" ref="C122:W122" si="998">+C119/C120</f>
        <v>-0.80111561870375803</v>
      </c>
      <c r="D122" s="162">
        <f t="shared" si="998"/>
        <v>-0.93907677352479635</v>
      </c>
      <c r="E122" s="162">
        <f t="shared" si="998"/>
        <v>9.6849249574904963</v>
      </c>
      <c r="F122" s="162">
        <f t="shared" si="998"/>
        <v>10.317205656197096</v>
      </c>
      <c r="G122" s="162">
        <f t="shared" si="998"/>
        <v>15.685065778238368</v>
      </c>
      <c r="H122" s="162">
        <f t="shared" si="998"/>
        <v>17.407353174167575</v>
      </c>
      <c r="I122" s="162">
        <f t="shared" si="998"/>
        <v>9.74283875161494</v>
      </c>
      <c r="J122" s="162">
        <f t="shared" si="998"/>
        <v>12.352486156169798</v>
      </c>
      <c r="K122" s="162">
        <f t="shared" si="998"/>
        <v>134.11708931323415</v>
      </c>
      <c r="L122" s="162">
        <f t="shared" si="998"/>
        <v>31.763595906913466</v>
      </c>
      <c r="M122" s="162">
        <f t="shared" si="998"/>
        <v>35.263711833403697</v>
      </c>
      <c r="N122" s="162">
        <f t="shared" si="998"/>
        <v>20.210149740120471</v>
      </c>
      <c r="O122" s="162">
        <f t="shared" si="998"/>
        <v>21.306531700918217</v>
      </c>
      <c r="P122" s="162">
        <f t="shared" si="998"/>
        <v>30.033245757542087</v>
      </c>
      <c r="Q122" s="162">
        <f t="shared" si="998"/>
        <v>27.513657355260147</v>
      </c>
      <c r="R122" s="162">
        <f t="shared" si="998"/>
        <v>50.420704001952167</v>
      </c>
      <c r="S122" s="162">
        <f t="shared" si="998"/>
        <v>48.109586089504589</v>
      </c>
      <c r="T122" s="162">
        <f t="shared" si="998"/>
        <v>47.250447857942596</v>
      </c>
      <c r="U122" s="162">
        <f t="shared" si="998"/>
        <v>49.335638438076572</v>
      </c>
      <c r="V122" s="162">
        <f t="shared" si="998"/>
        <v>44.650697435300536</v>
      </c>
      <c r="W122" s="162">
        <f t="shared" si="998"/>
        <v>41.274413800681181</v>
      </c>
      <c r="X122" s="162">
        <f t="shared" ref="X122:Y122" si="999">+X119/X120</f>
        <v>34.643867215293518</v>
      </c>
      <c r="Y122" s="162">
        <f t="shared" si="999"/>
        <v>37.667687876122372</v>
      </c>
      <c r="Z122" s="162">
        <f t="shared" ref="Z122" si="1000">+Z119/Z120</f>
        <v>45.484448286154937</v>
      </c>
      <c r="AA122" s="21">
        <f t="shared" ref="AA122:AD122" si="1001">+AA119/AA120</f>
        <v>43.743444518801773</v>
      </c>
      <c r="AB122" s="21">
        <f t="shared" si="1001"/>
        <v>32.635331768449376</v>
      </c>
      <c r="AC122" s="21">
        <f t="shared" si="1001"/>
        <v>36.193599046252409</v>
      </c>
      <c r="AD122" s="21">
        <f t="shared" si="1001"/>
        <v>36.082223179313146</v>
      </c>
      <c r="AK122" s="162">
        <f t="shared" ref="AK122:AL122" si="1002">+AK119/AK120</f>
        <v>29.943722654523008</v>
      </c>
      <c r="AL122" s="162">
        <f t="shared" si="1002"/>
        <v>30.346100798804652</v>
      </c>
      <c r="AM122" s="162">
        <f t="shared" ref="AM122:AN122" si="1003">+AM119/AM120</f>
        <v>26.071584452467636</v>
      </c>
      <c r="AN122" s="162">
        <f t="shared" si="1003"/>
        <v>24.777150366019733</v>
      </c>
      <c r="AO122" s="162">
        <f t="shared" ref="AO122:CC122" si="1004">+AO119/AO120</f>
        <v>24.577720824385363</v>
      </c>
      <c r="AP122" s="162">
        <f t="shared" si="1004"/>
        <v>34.905288205209217</v>
      </c>
      <c r="AQ122" s="162">
        <f t="shared" si="1004"/>
        <v>39.571422640104302</v>
      </c>
      <c r="AR122" s="162">
        <f t="shared" si="1004"/>
        <v>37.945702639961141</v>
      </c>
      <c r="AS122" s="162">
        <f t="shared" si="1004"/>
        <v>43.33315585861304</v>
      </c>
      <c r="AT122" s="162">
        <f t="shared" si="1004"/>
        <v>44.87234220519597</v>
      </c>
      <c r="AU122" s="162">
        <f t="shared" si="1004"/>
        <v>34.988442194183307</v>
      </c>
      <c r="AV122" s="162">
        <f t="shared" si="1004"/>
        <v>31.115621052631571</v>
      </c>
      <c r="AW122" s="162">
        <f t="shared" si="1004"/>
        <v>26.887813149084526</v>
      </c>
      <c r="AX122" s="162">
        <f t="shared" si="1004"/>
        <v>35.382494506273495</v>
      </c>
      <c r="AY122" s="162">
        <f t="shared" si="1004"/>
        <v>34.688355364434578</v>
      </c>
      <c r="AZ122" s="162">
        <f t="shared" si="1004"/>
        <v>28.136410758509509</v>
      </c>
      <c r="BA122" s="162">
        <f t="shared" si="1004"/>
        <v>30.559208307629845</v>
      </c>
      <c r="BB122" s="162">
        <f t="shared" si="1004"/>
        <v>36.512073659374309</v>
      </c>
      <c r="BC122" s="162">
        <f t="shared" si="1004"/>
        <v>32.25516716392336</v>
      </c>
      <c r="BD122" s="162">
        <f t="shared" si="1004"/>
        <v>44.10229356237781</v>
      </c>
      <c r="BE122" s="162">
        <f t="shared" si="1004"/>
        <v>48.272945391581906</v>
      </c>
      <c r="BF122" s="162">
        <f t="shared" si="1004"/>
        <v>48.42587060337128</v>
      </c>
      <c r="BG122" s="162">
        <f t="shared" si="1004"/>
        <v>56.936555481256285</v>
      </c>
      <c r="BH122" s="162">
        <f t="shared" si="1004"/>
        <v>51.772662904947616</v>
      </c>
      <c r="BI122" s="162">
        <f t="shared" si="1004"/>
        <v>46.482952205560039</v>
      </c>
      <c r="BJ122" s="162">
        <f t="shared" si="1004"/>
        <v>47.982779546901995</v>
      </c>
      <c r="BK122" s="162">
        <f t="shared" si="1004"/>
        <v>43.159633790521546</v>
      </c>
      <c r="BL122" s="162">
        <f t="shared" si="1004"/>
        <v>46.075703661865774</v>
      </c>
      <c r="BM122" s="162">
        <f t="shared" si="1004"/>
        <v>37.33556686252895</v>
      </c>
      <c r="BN122" s="162">
        <f t="shared" si="1004"/>
        <v>46.036788455121822</v>
      </c>
      <c r="BO122" s="162">
        <f t="shared" si="1004"/>
        <v>57.40563324138904</v>
      </c>
      <c r="BP122" s="162">
        <f t="shared" si="1004"/>
        <v>64.471959942775456</v>
      </c>
      <c r="BQ122" s="162">
        <f t="shared" si="1004"/>
        <v>69.92591623544341</v>
      </c>
      <c r="BR122" s="162">
        <f t="shared" si="1004"/>
        <v>62.179185185185204</v>
      </c>
      <c r="BS122" s="162">
        <f t="shared" si="1004"/>
        <v>68.63313424033791</v>
      </c>
      <c r="BT122" s="162">
        <f t="shared" si="1004"/>
        <v>62.810640934844194</v>
      </c>
      <c r="BU122" s="162">
        <f t="shared" si="1004"/>
        <v>59.149962152541747</v>
      </c>
      <c r="BV122" s="162">
        <f t="shared" si="1004"/>
        <v>52.018389988695233</v>
      </c>
      <c r="BW122" s="162">
        <f t="shared" si="1004"/>
        <v>56.760380559312637</v>
      </c>
      <c r="BX122" s="162">
        <f t="shared" si="1004"/>
        <v>53.95674447630639</v>
      </c>
      <c r="BY122" s="162">
        <f t="shared" si="1004"/>
        <v>49.212305593932683</v>
      </c>
      <c r="BZ122" s="162">
        <f t="shared" si="1004"/>
        <v>51.64651770504274</v>
      </c>
      <c r="CA122" s="162">
        <f t="shared" si="1004"/>
        <v>57.163229005954115</v>
      </c>
      <c r="CB122" s="162">
        <f t="shared" si="1004"/>
        <v>51.492404918847093</v>
      </c>
      <c r="CC122" s="162">
        <f t="shared" si="1004"/>
        <v>48.996330773405916</v>
      </c>
      <c r="CD122" s="162">
        <f t="shared" ref="CD122:CE122" si="1005">+CD119/CD120</f>
        <v>64.873626376424824</v>
      </c>
      <c r="CE122" s="162">
        <f t="shared" si="1005"/>
        <v>69.870406402063196</v>
      </c>
      <c r="CF122" s="162">
        <f t="shared" ref="CF122:CG122" si="1006">+CF119/CF120</f>
        <v>58.335852821627327</v>
      </c>
      <c r="CG122" s="162">
        <f t="shared" si="1006"/>
        <v>42.454178247622139</v>
      </c>
      <c r="CH122" s="162">
        <f t="shared" ref="CH122:CI122" si="1007">+CH119/CH120</f>
        <v>42.372522510074823</v>
      </c>
      <c r="CI122" s="162">
        <f t="shared" si="1007"/>
        <v>46.453769304939705</v>
      </c>
      <c r="CJ122" s="162">
        <f t="shared" ref="CJ122:CK122" si="1008">+CJ119/CJ120</f>
        <v>46.807473411916476</v>
      </c>
      <c r="CK122" s="162">
        <f t="shared" si="1008"/>
        <v>46.679553841109822</v>
      </c>
      <c r="CL122" s="21">
        <f t="shared" ref="CL122:CZ122" si="1009">+CL119/CL120</f>
        <v>41.640485708575838</v>
      </c>
      <c r="CM122" s="21">
        <f t="shared" si="1009"/>
        <v>42.136057872858174</v>
      </c>
      <c r="CN122" s="21">
        <f t="shared" si="1009"/>
        <v>42.614736382863462</v>
      </c>
      <c r="CO122" s="21">
        <f t="shared" si="1009"/>
        <v>43.103280765812677</v>
      </c>
      <c r="CP122" s="21">
        <f t="shared" si="1009"/>
        <v>43.250300381792648</v>
      </c>
      <c r="CQ122" s="21">
        <f t="shared" si="1009"/>
        <v>43.3559332360879</v>
      </c>
      <c r="CR122" s="21">
        <f t="shared" si="1009"/>
        <v>43.470534880636023</v>
      </c>
      <c r="CS122" s="21">
        <f t="shared" si="1009"/>
        <v>43.709473213211716</v>
      </c>
      <c r="CT122" s="21">
        <f t="shared" si="1009"/>
        <v>43.931218925622908</v>
      </c>
      <c r="CU122" s="21">
        <f t="shared" si="1009"/>
        <v>44.135768032782622</v>
      </c>
      <c r="CV122" s="21">
        <f t="shared" si="1009"/>
        <v>44.375305065779855</v>
      </c>
      <c r="CW122" s="21">
        <f t="shared" si="1009"/>
        <v>44.550751021225942</v>
      </c>
      <c r="CX122" s="21">
        <f t="shared" si="1009"/>
        <v>44.683109704930914</v>
      </c>
      <c r="CY122" s="21">
        <f t="shared" si="1009"/>
        <v>44.78203027144064</v>
      </c>
      <c r="CZ122" s="21">
        <f t="shared" si="1009"/>
        <v>44.881541689506975</v>
      </c>
      <c r="DB122" s="22"/>
      <c r="DC122" s="162" t="e">
        <v>#DIV/0!</v>
      </c>
    </row>
    <row r="123" spans="1:107" s="10" customFormat="1" x14ac:dyDescent="0.2">
      <c r="A123" s="149" t="s">
        <v>490</v>
      </c>
      <c r="AA123" s="20"/>
      <c r="AB123" s="20"/>
      <c r="AC123" s="20"/>
      <c r="AD123" s="20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B123" s="126"/>
    </row>
    <row r="124" spans="1:107" x14ac:dyDescent="0.2">
      <c r="A124" s="152" t="s">
        <v>491</v>
      </c>
      <c r="Z124" s="2"/>
    </row>
    <row r="125" spans="1:107" s="23" customFormat="1" outlineLevel="1" x14ac:dyDescent="0.2">
      <c r="A125" s="23" t="s">
        <v>41</v>
      </c>
      <c r="B125" s="23">
        <f>'Annual Raw'!C41</f>
        <v>49.881700000000002</v>
      </c>
      <c r="C125" s="23">
        <f>'Annual Raw'!D41</f>
        <v>42.381700000000002</v>
      </c>
      <c r="D125" s="23">
        <f>'Annual Raw'!E41</f>
        <v>42.381700000000002</v>
      </c>
      <c r="E125" s="23">
        <f>'Annual Raw'!F41</f>
        <v>42.381700000000002</v>
      </c>
      <c r="F125" s="23">
        <f>'Annual Raw'!G41</f>
        <v>42.381700000000002</v>
      </c>
      <c r="G125" s="23">
        <f>'Annual Raw'!H41</f>
        <v>42.381700000000002</v>
      </c>
      <c r="H125" s="23">
        <f>'Annual Raw'!I41</f>
        <v>42.381700000000002</v>
      </c>
      <c r="I125" s="23">
        <f>'Annual Raw'!J41</f>
        <v>42.381700000000002</v>
      </c>
      <c r="J125" s="23">
        <f>'Annual Raw'!K41</f>
        <v>42.381700000000002</v>
      </c>
      <c r="K125" s="23">
        <f>'Annual Raw'!L41</f>
        <v>42.381700000000002</v>
      </c>
      <c r="L125" s="23">
        <f>'Annual Raw'!M41</f>
        <v>44.23</v>
      </c>
      <c r="M125" s="23">
        <f>'Annual Raw'!N41</f>
        <v>42.38</v>
      </c>
      <c r="N125" s="23">
        <f>'Annual Raw'!O41</f>
        <v>42.38</v>
      </c>
      <c r="O125" s="23">
        <f>'Annual Raw'!P41</f>
        <v>42.38</v>
      </c>
      <c r="P125" s="23">
        <f>'Annual Raw'!Q41</f>
        <v>42.38</v>
      </c>
      <c r="Q125" s="23">
        <f>'Annual Raw'!R41</f>
        <v>42.38</v>
      </c>
      <c r="R125" s="23">
        <f>'Annual Raw'!S41</f>
        <v>42.38</v>
      </c>
      <c r="S125" s="23">
        <f>'Annual Raw'!T41</f>
        <v>42.38</v>
      </c>
      <c r="T125" s="23">
        <f>'Annual Raw'!U41</f>
        <v>42.38</v>
      </c>
      <c r="U125" s="23">
        <f>'Annual Raw'!V41</f>
        <v>42.38</v>
      </c>
      <c r="V125" s="23">
        <f>'Annual Raw'!W41</f>
        <v>42.38</v>
      </c>
      <c r="W125" s="23">
        <f>'Annual Raw'!X41</f>
        <v>42.38</v>
      </c>
      <c r="X125" s="23">
        <f>'Annual Raw'!Y41</f>
        <v>42.38</v>
      </c>
      <c r="Y125" s="23">
        <f>'Annual Raw'!Z41</f>
        <v>42.38</v>
      </c>
      <c r="Z125" s="23">
        <f>'Annual Raw'!AA41</f>
        <v>42.38</v>
      </c>
      <c r="AA125" s="24">
        <f>+CK125</f>
        <v>42.38</v>
      </c>
      <c r="AB125" s="24">
        <f>+CO125</f>
        <v>42.38</v>
      </c>
      <c r="AC125" s="24">
        <f>+CS125</f>
        <v>42.38</v>
      </c>
      <c r="AD125" s="24">
        <f>+CW125</f>
        <v>42.38</v>
      </c>
      <c r="AI125" s="23">
        <f>AH125</f>
        <v>0</v>
      </c>
      <c r="AJ125" s="23">
        <f>+'QTR Raw'!E56</f>
        <v>42.38</v>
      </c>
      <c r="AK125" s="23">
        <f>AJ125</f>
        <v>42.38</v>
      </c>
      <c r="AL125" s="23">
        <f>+'QTR Raw'!G56</f>
        <v>42.38</v>
      </c>
      <c r="AM125" s="23">
        <f>AL125</f>
        <v>42.38</v>
      </c>
      <c r="AN125" s="23">
        <f>+'QTR Raw'!I56</f>
        <v>42.38</v>
      </c>
      <c r="AO125" s="23">
        <f>AN125</f>
        <v>42.38</v>
      </c>
      <c r="AP125" s="23">
        <f>+'QTR Raw'!K56</f>
        <v>42.38</v>
      </c>
      <c r="AQ125" s="23">
        <f>AP125</f>
        <v>42.38</v>
      </c>
      <c r="AR125" s="23">
        <f>+'QTR Raw'!M56</f>
        <v>42.38</v>
      </c>
      <c r="AS125" s="23">
        <f>AR125</f>
        <v>42.38</v>
      </c>
      <c r="AT125" s="23">
        <f>+'QTR Raw'!O56</f>
        <v>42.38</v>
      </c>
      <c r="AU125" s="23">
        <f>AT125</f>
        <v>42.38</v>
      </c>
      <c r="AV125" s="23">
        <f>+'QTR Raw'!Q56</f>
        <v>42.38</v>
      </c>
      <c r="AW125" s="23">
        <f>AV125</f>
        <v>42.38</v>
      </c>
      <c r="AX125" s="23">
        <f>+'QTR Raw'!S56</f>
        <v>42.38</v>
      </c>
      <c r="AY125" s="23">
        <f>AX125</f>
        <v>42.38</v>
      </c>
      <c r="AZ125" s="23">
        <f>+'QTR Raw'!U56</f>
        <v>42.38</v>
      </c>
      <c r="BA125" s="23">
        <f>AZ125</f>
        <v>42.38</v>
      </c>
      <c r="BB125" s="23">
        <f>+'QTR Raw'!W56</f>
        <v>42.38</v>
      </c>
      <c r="BC125" s="23">
        <f>BB125</f>
        <v>42.38</v>
      </c>
      <c r="BD125" s="23">
        <f>+'QTR Raw'!Y56</f>
        <v>42.38</v>
      </c>
      <c r="BE125" s="23">
        <f>BD125</f>
        <v>42.38</v>
      </c>
      <c r="BF125" s="23">
        <f>+'QTR Raw'!AA56</f>
        <v>42.38</v>
      </c>
      <c r="BG125" s="23">
        <f>BF125</f>
        <v>42.38</v>
      </c>
      <c r="BH125" s="23">
        <f>+'QTR Raw'!AC56</f>
        <v>42.38</v>
      </c>
      <c r="BI125" s="23">
        <f>BH125</f>
        <v>42.38</v>
      </c>
      <c r="BJ125" s="23">
        <f>+'QTR Raw'!AE56</f>
        <v>42.38</v>
      </c>
      <c r="BK125" s="23">
        <f>BJ125</f>
        <v>42.38</v>
      </c>
      <c r="BL125" s="23">
        <f>+'QTR Raw'!AG56</f>
        <v>42.38</v>
      </c>
      <c r="BM125" s="23">
        <f>BL125</f>
        <v>42.38</v>
      </c>
      <c r="BN125" s="23">
        <f>+'QTR Raw'!AI56</f>
        <v>42.38</v>
      </c>
      <c r="BO125" s="23">
        <f>BN125</f>
        <v>42.38</v>
      </c>
      <c r="BP125" s="23">
        <f>+'QTR Raw'!AK56</f>
        <v>42.38</v>
      </c>
      <c r="BQ125" s="23">
        <f>BP125</f>
        <v>42.38</v>
      </c>
      <c r="BR125" s="23">
        <f>+'QTR Raw'!AM56</f>
        <v>42.38</v>
      </c>
      <c r="BS125" s="23">
        <f>BR125</f>
        <v>42.38</v>
      </c>
      <c r="BT125" s="23">
        <f>+'QTR Raw'!AO56</f>
        <v>42.38</v>
      </c>
      <c r="BU125" s="23">
        <f>BT125</f>
        <v>42.38</v>
      </c>
      <c r="BV125" s="23">
        <f>+'QTR Raw'!AQ56</f>
        <v>42.38</v>
      </c>
      <c r="BW125" s="23">
        <f>BV125</f>
        <v>42.38</v>
      </c>
      <c r="BX125" s="23">
        <f>+'QTR Raw'!AS56</f>
        <v>42.38</v>
      </c>
      <c r="BY125" s="23">
        <f>BX125</f>
        <v>42.38</v>
      </c>
      <c r="BZ125" s="23">
        <f>+'QTR Raw'!AU56</f>
        <v>42.38</v>
      </c>
      <c r="CA125" s="23">
        <f>BZ125</f>
        <v>42.38</v>
      </c>
      <c r="CB125" s="23">
        <f>+'QTR Raw'!AW56</f>
        <v>42.38</v>
      </c>
      <c r="CC125" s="23">
        <f>CB125</f>
        <v>42.38</v>
      </c>
      <c r="CD125" s="23">
        <f>+'QTR Raw'!AY56</f>
        <v>42.38</v>
      </c>
      <c r="CE125" s="23">
        <f>CD125</f>
        <v>42.38</v>
      </c>
      <c r="CF125" s="23">
        <f>+'QTR Raw'!BA56</f>
        <v>42.38</v>
      </c>
      <c r="CG125" s="23">
        <f>CF125</f>
        <v>42.38</v>
      </c>
      <c r="CH125" s="23">
        <f>+'QTR Raw'!BC56</f>
        <v>42.38</v>
      </c>
      <c r="CI125" s="23">
        <f>CH125</f>
        <v>42.38</v>
      </c>
      <c r="CJ125" s="23">
        <f t="shared" ref="CJ125:CZ125" si="1010">CI125</f>
        <v>42.38</v>
      </c>
      <c r="CK125" s="23">
        <f>CJ125</f>
        <v>42.38</v>
      </c>
      <c r="CL125" s="24">
        <f t="shared" si="1010"/>
        <v>42.38</v>
      </c>
      <c r="CM125" s="24">
        <f t="shared" si="1010"/>
        <v>42.38</v>
      </c>
      <c r="CN125" s="24">
        <f t="shared" si="1010"/>
        <v>42.38</v>
      </c>
      <c r="CO125" s="24">
        <f t="shared" si="1010"/>
        <v>42.38</v>
      </c>
      <c r="CP125" s="24">
        <f t="shared" si="1010"/>
        <v>42.38</v>
      </c>
      <c r="CQ125" s="24">
        <f t="shared" si="1010"/>
        <v>42.38</v>
      </c>
      <c r="CR125" s="24">
        <f t="shared" si="1010"/>
        <v>42.38</v>
      </c>
      <c r="CS125" s="24">
        <f t="shared" si="1010"/>
        <v>42.38</v>
      </c>
      <c r="CT125" s="24">
        <f t="shared" si="1010"/>
        <v>42.38</v>
      </c>
      <c r="CU125" s="24">
        <f t="shared" si="1010"/>
        <v>42.38</v>
      </c>
      <c r="CV125" s="24">
        <f t="shared" si="1010"/>
        <v>42.38</v>
      </c>
      <c r="CW125" s="24">
        <f t="shared" si="1010"/>
        <v>42.38</v>
      </c>
      <c r="CX125" s="24">
        <f t="shared" si="1010"/>
        <v>42.38</v>
      </c>
      <c r="CY125" s="24">
        <f t="shared" si="1010"/>
        <v>42.38</v>
      </c>
      <c r="CZ125" s="24">
        <f t="shared" si="1010"/>
        <v>42.38</v>
      </c>
      <c r="DB125" s="123"/>
      <c r="DC125" s="23">
        <v>0</v>
      </c>
    </row>
    <row r="126" spans="1:107" s="23" customFormat="1" outlineLevel="1" x14ac:dyDescent="0.2">
      <c r="A126" s="23" t="s">
        <v>42</v>
      </c>
      <c r="B126" s="23">
        <f>'Annual Raw'!C42</f>
        <v>0</v>
      </c>
      <c r="C126" s="23">
        <f>'Annual Raw'!D42</f>
        <v>0</v>
      </c>
      <c r="D126" s="23">
        <f>'Annual Raw'!E42</f>
        <v>0</v>
      </c>
      <c r="E126" s="23">
        <f>'Annual Raw'!F42</f>
        <v>0</v>
      </c>
      <c r="F126" s="23">
        <f>'Annual Raw'!G42</f>
        <v>0</v>
      </c>
      <c r="G126" s="23">
        <f>'Annual Raw'!H42</f>
        <v>0</v>
      </c>
      <c r="H126" s="23">
        <f>'Annual Raw'!I42</f>
        <v>0</v>
      </c>
      <c r="I126" s="23">
        <f>'Annual Raw'!J42</f>
        <v>0</v>
      </c>
      <c r="J126" s="23">
        <f>'Annual Raw'!K42</f>
        <v>0</v>
      </c>
      <c r="K126" s="23">
        <f>'Annual Raw'!L42</f>
        <v>0</v>
      </c>
      <c r="L126" s="23">
        <f>'Annual Raw'!M42</f>
        <v>0</v>
      </c>
      <c r="M126" s="23">
        <f>'Annual Raw'!N42</f>
        <v>0</v>
      </c>
      <c r="N126" s="23">
        <f>'Annual Raw'!O42</f>
        <v>0</v>
      </c>
      <c r="O126" s="23">
        <f>'Annual Raw'!P42</f>
        <v>0</v>
      </c>
      <c r="P126" s="23">
        <f>'Annual Raw'!Q42</f>
        <v>0</v>
      </c>
      <c r="Q126" s="23">
        <f>'Annual Raw'!R42</f>
        <v>0.03</v>
      </c>
      <c r="R126" s="23">
        <f>'Annual Raw'!S42</f>
        <v>7.0000000000000007E-2</v>
      </c>
      <c r="S126" s="23">
        <f>'Annual Raw'!T42</f>
        <v>7.0000000000000007E-2</v>
      </c>
      <c r="T126" s="23">
        <f>'Annual Raw'!U42</f>
        <v>7.0000000000000007E-2</v>
      </c>
      <c r="U126" s="23">
        <f>'Annual Raw'!V42</f>
        <v>7.0000000000000007E-2</v>
      </c>
      <c r="V126" s="23">
        <f>'Annual Raw'!W42</f>
        <v>7.0000000000000007E-2</v>
      </c>
      <c r="W126" s="23">
        <f>'Annual Raw'!X42</f>
        <v>7.0000000000000007E-2</v>
      </c>
      <c r="X126" s="23">
        <f>'Annual Raw'!Y42</f>
        <v>7.0000000000000007E-2</v>
      </c>
      <c r="Y126" s="23">
        <f>'Annual Raw'!Z42</f>
        <v>7.0000000000000007E-2</v>
      </c>
      <c r="Z126" s="23">
        <f>'Annual Raw'!AA42</f>
        <v>7.0000000000000007E-2</v>
      </c>
      <c r="AA126" s="24">
        <f t="shared" ref="AA126:AA127" si="1011">+CK126</f>
        <v>0</v>
      </c>
      <c r="AB126" s="24">
        <f t="shared" ref="AB126:AB127" si="1012">+CO126</f>
        <v>0</v>
      </c>
      <c r="AC126" s="24">
        <f t="shared" ref="AC126:AC127" si="1013">+CS126</f>
        <v>0</v>
      </c>
      <c r="AD126" s="24">
        <f t="shared" ref="AD126:AD127" si="1014">+CW126</f>
        <v>0</v>
      </c>
      <c r="AI126" s="23">
        <f>AH126</f>
        <v>0</v>
      </c>
      <c r="AJ126" s="23">
        <f>+'QTR Raw'!E57</f>
        <v>0</v>
      </c>
      <c r="AK126" s="23">
        <f>AJ126</f>
        <v>0</v>
      </c>
      <c r="AL126" s="23">
        <f>+'QTR Raw'!G57</f>
        <v>0</v>
      </c>
      <c r="AM126" s="23">
        <f>AL126</f>
        <v>0</v>
      </c>
      <c r="AN126" s="23">
        <f>+'QTR Raw'!I57</f>
        <v>0</v>
      </c>
      <c r="AO126" s="23">
        <f>AN126</f>
        <v>0</v>
      </c>
      <c r="AP126" s="23">
        <f>+'QTR Raw'!K57</f>
        <v>0</v>
      </c>
      <c r="AQ126" s="23">
        <f>AP126</f>
        <v>0</v>
      </c>
      <c r="AR126" s="23">
        <f>+'QTR Raw'!M57</f>
        <v>0</v>
      </c>
      <c r="AS126" s="23">
        <f>AR126</f>
        <v>0</v>
      </c>
      <c r="AT126" s="23">
        <f>+'QTR Raw'!O57</f>
        <v>0</v>
      </c>
      <c r="AU126" s="23">
        <f>AT126</f>
        <v>0</v>
      </c>
      <c r="AV126" s="23">
        <f>+'QTR Raw'!Q57</f>
        <v>0</v>
      </c>
      <c r="AW126" s="23">
        <f>AV126</f>
        <v>0</v>
      </c>
      <c r="AX126" s="23">
        <f>+'QTR Raw'!S57</f>
        <v>0</v>
      </c>
      <c r="AY126" s="23">
        <f>AX126</f>
        <v>0</v>
      </c>
      <c r="AZ126" s="23">
        <f>+'QTR Raw'!U57</f>
        <v>0</v>
      </c>
      <c r="BA126" s="23">
        <f>AZ126</f>
        <v>0</v>
      </c>
      <c r="BB126" s="23">
        <f>+'QTR Raw'!W57</f>
        <v>0</v>
      </c>
      <c r="BC126" s="23">
        <f>BB126</f>
        <v>0</v>
      </c>
      <c r="BD126" s="23">
        <f>+'QTR Raw'!Y57</f>
        <v>0</v>
      </c>
      <c r="BE126" s="23">
        <f>BD126</f>
        <v>0</v>
      </c>
      <c r="BF126" s="23">
        <f>+'QTR Raw'!AA57</f>
        <v>0</v>
      </c>
      <c r="BG126" s="23">
        <f>BF126</f>
        <v>0</v>
      </c>
      <c r="BH126" s="23">
        <f>+'QTR Raw'!AC57</f>
        <v>0</v>
      </c>
      <c r="BI126" s="23">
        <f>BH126</f>
        <v>0</v>
      </c>
      <c r="BJ126" s="23">
        <f>+'QTR Raw'!AE57</f>
        <v>0</v>
      </c>
      <c r="BK126" s="23">
        <f>BJ126</f>
        <v>0</v>
      </c>
      <c r="BL126" s="23">
        <f>+'QTR Raw'!AG57</f>
        <v>0</v>
      </c>
      <c r="BM126" s="23">
        <f>BL126</f>
        <v>0</v>
      </c>
      <c r="BN126" s="23">
        <f>+'QTR Raw'!AI57</f>
        <v>0</v>
      </c>
      <c r="BO126" s="23">
        <f>BN126</f>
        <v>0</v>
      </c>
      <c r="BP126" s="23">
        <f>+'QTR Raw'!AK57</f>
        <v>0</v>
      </c>
      <c r="BQ126" s="23">
        <f>BP126</f>
        <v>0</v>
      </c>
      <c r="BR126" s="23">
        <f>+'QTR Raw'!AM57</f>
        <v>0</v>
      </c>
      <c r="BS126" s="23">
        <f>BR126</f>
        <v>0</v>
      </c>
      <c r="BT126" s="23">
        <f>+'QTR Raw'!AO57</f>
        <v>0</v>
      </c>
      <c r="BU126" s="23">
        <f>BT126</f>
        <v>0</v>
      </c>
      <c r="BV126" s="23">
        <f>+'QTR Raw'!AQ57</f>
        <v>0</v>
      </c>
      <c r="BW126" s="23">
        <f>BV126</f>
        <v>0</v>
      </c>
      <c r="BX126" s="23">
        <f>+'QTR Raw'!AS57</f>
        <v>0</v>
      </c>
      <c r="BY126" s="23">
        <f>BX126</f>
        <v>0</v>
      </c>
      <c r="BZ126" s="23">
        <f>+'QTR Raw'!AU57</f>
        <v>0</v>
      </c>
      <c r="CA126" s="23">
        <f>BZ126</f>
        <v>0</v>
      </c>
      <c r="CB126" s="23">
        <f>+'QTR Raw'!AW57</f>
        <v>0</v>
      </c>
      <c r="CC126" s="23">
        <f>CB126</f>
        <v>0</v>
      </c>
      <c r="CD126" s="23">
        <f>+'QTR Raw'!AY57</f>
        <v>0</v>
      </c>
      <c r="CE126" s="23">
        <f>CD126</f>
        <v>0</v>
      </c>
      <c r="CF126" s="23">
        <f>+'QTR Raw'!BA57</f>
        <v>0</v>
      </c>
      <c r="CG126" s="23">
        <f>CF126</f>
        <v>0</v>
      </c>
      <c r="CH126" s="23">
        <f>+'QTR Raw'!BC57</f>
        <v>0</v>
      </c>
      <c r="CI126" s="23">
        <f>CH126</f>
        <v>0</v>
      </c>
      <c r="CJ126" s="23">
        <f t="shared" ref="CJ126:CZ126" si="1015">CI126</f>
        <v>0</v>
      </c>
      <c r="CK126" s="23">
        <f>CJ126</f>
        <v>0</v>
      </c>
      <c r="CL126" s="24">
        <f t="shared" si="1015"/>
        <v>0</v>
      </c>
      <c r="CM126" s="24">
        <f t="shared" si="1015"/>
        <v>0</v>
      </c>
      <c r="CN126" s="24">
        <f t="shared" si="1015"/>
        <v>0</v>
      </c>
      <c r="CO126" s="24">
        <f t="shared" si="1015"/>
        <v>0</v>
      </c>
      <c r="CP126" s="24">
        <f t="shared" si="1015"/>
        <v>0</v>
      </c>
      <c r="CQ126" s="24">
        <f t="shared" si="1015"/>
        <v>0</v>
      </c>
      <c r="CR126" s="24">
        <f t="shared" si="1015"/>
        <v>0</v>
      </c>
      <c r="CS126" s="24">
        <f t="shared" si="1015"/>
        <v>0</v>
      </c>
      <c r="CT126" s="24">
        <f t="shared" si="1015"/>
        <v>0</v>
      </c>
      <c r="CU126" s="24">
        <f t="shared" si="1015"/>
        <v>0</v>
      </c>
      <c r="CV126" s="24">
        <f t="shared" si="1015"/>
        <v>0</v>
      </c>
      <c r="CW126" s="24">
        <f t="shared" si="1015"/>
        <v>0</v>
      </c>
      <c r="CX126" s="24">
        <f t="shared" si="1015"/>
        <v>0</v>
      </c>
      <c r="CY126" s="24">
        <f t="shared" si="1015"/>
        <v>0</v>
      </c>
      <c r="CZ126" s="24">
        <f t="shared" si="1015"/>
        <v>0</v>
      </c>
      <c r="DB126" s="123"/>
      <c r="DC126" s="23">
        <v>0</v>
      </c>
    </row>
    <row r="127" spans="1:107" s="23" customFormat="1" outlineLevel="1" x14ac:dyDescent="0.2">
      <c r="A127" s="23" t="s">
        <v>43</v>
      </c>
      <c r="B127" s="23">
        <f>'Annual Raw'!C43</f>
        <v>397.86579999999998</v>
      </c>
      <c r="C127" s="23">
        <f>'Annual Raw'!D43</f>
        <v>469.79020000000003</v>
      </c>
      <c r="D127" s="23">
        <f>'Annual Raw'!E43</f>
        <v>561.77179999999998</v>
      </c>
      <c r="E127" s="23">
        <f>'Annual Raw'!F43</f>
        <v>682.28</v>
      </c>
      <c r="F127" s="23">
        <f>'Annual Raw'!G43</f>
        <v>861.74620000000004</v>
      </c>
      <c r="G127" s="23">
        <f>'Annual Raw'!H43</f>
        <v>1153.4601</v>
      </c>
      <c r="H127" s="23">
        <f>'Annual Raw'!I43</f>
        <v>1583.9626000000001</v>
      </c>
      <c r="I127" s="23">
        <f>'Annual Raw'!J43</f>
        <v>2076.5715</v>
      </c>
      <c r="J127" s="23">
        <f>'Annual Raw'!K43</f>
        <v>2381.3515000000002</v>
      </c>
      <c r="K127" s="23">
        <f>'Annual Raw'!L43</f>
        <v>2381.3218999999999</v>
      </c>
      <c r="L127" s="23">
        <f>'Annual Raw'!M43</f>
        <v>2492.1999999999998</v>
      </c>
      <c r="M127" s="23">
        <f>'Annual Raw'!N43</f>
        <v>2559.2600000000002</v>
      </c>
      <c r="N127" s="23">
        <f>'Annual Raw'!O43</f>
        <v>2635.18</v>
      </c>
      <c r="O127" s="23">
        <f>'Annual Raw'!P43</f>
        <v>2769.6</v>
      </c>
      <c r="P127" s="23">
        <f>'Annual Raw'!Q43</f>
        <v>2966.17</v>
      </c>
      <c r="Q127" s="23">
        <f>'Annual Raw'!R43</f>
        <v>3244.29</v>
      </c>
      <c r="R127" s="23">
        <f>'Annual Raw'!S43</f>
        <v>3564.44</v>
      </c>
      <c r="S127" s="23">
        <f>'Annual Raw'!T43</f>
        <v>3964.87</v>
      </c>
      <c r="T127" s="23">
        <f>'Annual Raw'!U43</f>
        <v>3477.66</v>
      </c>
      <c r="U127" s="23">
        <f>'Annual Raw'!V43</f>
        <v>3563.93</v>
      </c>
      <c r="V127" s="23">
        <f>'Annual Raw'!W43</f>
        <v>4002.74</v>
      </c>
      <c r="W127" s="23">
        <f>'Annual Raw'!X43</f>
        <v>4896.96</v>
      </c>
      <c r="X127" s="23">
        <f>'Annual Raw'!Y43</f>
        <v>5902.15</v>
      </c>
      <c r="Y127" s="23">
        <f>'Annual Raw'!Z43</f>
        <v>7032.95</v>
      </c>
      <c r="Z127" s="23">
        <f>'Annual Raw'!AA43</f>
        <v>7793.54</v>
      </c>
      <c r="AA127" s="24">
        <f t="shared" si="1011"/>
        <v>9777.49</v>
      </c>
      <c r="AB127" s="24">
        <f t="shared" si="1012"/>
        <v>11692.56353048758</v>
      </c>
      <c r="AC127" s="24">
        <f t="shared" si="1013"/>
        <v>14016.34324592265</v>
      </c>
      <c r="AD127" s="24">
        <f t="shared" si="1014"/>
        <v>16603.673400401829</v>
      </c>
      <c r="AI127" s="23">
        <f>AH127+AI56</f>
        <v>21.369999999999763</v>
      </c>
      <c r="AJ127" s="23">
        <f>+'QTR Raw'!E58</f>
        <v>2559.2600000000002</v>
      </c>
      <c r="AK127" s="23">
        <f>AJ127+AK56</f>
        <v>2602.3200000000002</v>
      </c>
      <c r="AL127" s="23">
        <f>+'QTR Raw'!G58</f>
        <v>2615.36</v>
      </c>
      <c r="AM127" s="23">
        <f>AL127+AM56</f>
        <v>2653.3900000000003</v>
      </c>
      <c r="AN127" s="23">
        <f>+'QTR Raw'!I58</f>
        <v>2635.18</v>
      </c>
      <c r="AO127" s="23">
        <f>AN127+AO56</f>
        <v>2686.8599999999997</v>
      </c>
      <c r="AP127" s="23">
        <f>+'QTR Raw'!K58</f>
        <v>2734.55</v>
      </c>
      <c r="AQ127" s="23">
        <f>AP127+AQ56</f>
        <v>2779.53</v>
      </c>
      <c r="AR127" s="23">
        <f>+'QTR Raw'!M58</f>
        <v>2769.6</v>
      </c>
      <c r="AS127" s="23">
        <f>AR127+AS56</f>
        <v>2823.89</v>
      </c>
      <c r="AT127" s="23">
        <f>+'QTR Raw'!O58</f>
        <v>2872.4</v>
      </c>
      <c r="AU127" s="23">
        <f>AT127+AU56</f>
        <v>2931.1400000000003</v>
      </c>
      <c r="AV127" s="23">
        <f>+'QTR Raw'!Q58</f>
        <v>2966.17</v>
      </c>
      <c r="AW127" s="23">
        <f>AV127+AW56</f>
        <v>3051.62</v>
      </c>
      <c r="AX127" s="23">
        <f>+'QTR Raw'!S58</f>
        <v>3114.57</v>
      </c>
      <c r="AY127" s="23">
        <f>AX127+AY56</f>
        <v>3185.14</v>
      </c>
      <c r="AZ127" s="23">
        <f>+'QTR Raw'!U58</f>
        <v>3240.4</v>
      </c>
      <c r="BA127" s="23">
        <f>AZ127+BA56</f>
        <v>3330.3800000000006</v>
      </c>
      <c r="BB127" s="23">
        <f>+'QTR Raw'!W58</f>
        <v>3311.01</v>
      </c>
      <c r="BC127" s="23">
        <f>BB127+BC56</f>
        <v>3394.3999999999996</v>
      </c>
      <c r="BD127" s="23">
        <f>+'QTR Raw'!Y58</f>
        <v>3564.51</v>
      </c>
      <c r="BE127" s="23">
        <f>BD127+BE56</f>
        <v>3667.0000000000005</v>
      </c>
      <c r="BF127" s="23">
        <f>+'QTR Raw'!AA58</f>
        <v>3667.75</v>
      </c>
      <c r="BG127" s="23">
        <f>BF127+BG56</f>
        <v>3776.09</v>
      </c>
      <c r="BH127" s="23">
        <f>+'QTR Raw'!AC58</f>
        <v>3964.94</v>
      </c>
      <c r="BI127" s="23">
        <f>BH127+BI56</f>
        <v>4081.13</v>
      </c>
      <c r="BJ127" s="23">
        <f>+'QTR Raw'!AE58</f>
        <v>4103.51</v>
      </c>
      <c r="BK127" s="23">
        <f>BJ127+BK56</f>
        <v>4238.79</v>
      </c>
      <c r="BL127" s="23">
        <f>+'QTR Raw'!AG58</f>
        <v>3477.73</v>
      </c>
      <c r="BM127" s="23">
        <f>BL127+BM56</f>
        <v>3542.37</v>
      </c>
      <c r="BN127" s="23">
        <f>+'QTR Raw'!AI58</f>
        <v>3542.04</v>
      </c>
      <c r="BO127" s="23">
        <f>BN127+BO56</f>
        <v>3622.7799999999997</v>
      </c>
      <c r="BP127" s="23">
        <f>+'QTR Raw'!AK58</f>
        <v>3564</v>
      </c>
      <c r="BQ127" s="23">
        <f>BP127+BQ56</f>
        <v>3705.33</v>
      </c>
      <c r="BR127" s="23">
        <f>+'QTR Raw'!AM58</f>
        <v>3683.99</v>
      </c>
      <c r="BS127" s="23">
        <f>BR127+BS56</f>
        <v>3803.91</v>
      </c>
      <c r="BT127" s="23">
        <f>+'QTR Raw'!AO58</f>
        <v>4002.81</v>
      </c>
      <c r="BU127" s="23">
        <f>BT127+BU56</f>
        <v>4082.47</v>
      </c>
      <c r="BV127" s="23">
        <f>+'QTR Raw'!AQ58</f>
        <v>4129.21</v>
      </c>
      <c r="BW127" s="23">
        <f>BV127+BW56</f>
        <v>4326.7699999999995</v>
      </c>
      <c r="BX127" s="23">
        <f>+'QTR Raw'!AS58</f>
        <v>4897.03</v>
      </c>
      <c r="BY127" s="23">
        <f>BX127+BY56</f>
        <v>5141.9199999999992</v>
      </c>
      <c r="BZ127" s="23">
        <f>+'QTR Raw'!AU58</f>
        <v>5326.12</v>
      </c>
      <c r="CA127" s="23">
        <f>BZ127+CA56</f>
        <v>5688.99</v>
      </c>
      <c r="CB127" s="23">
        <f>+'QTR Raw'!AW58</f>
        <v>5902.22</v>
      </c>
      <c r="CC127" s="23">
        <f>CB127+CC56</f>
        <v>6361.51</v>
      </c>
      <c r="CD127" s="23">
        <f>+'QTR Raw'!AY58</f>
        <v>6299.2</v>
      </c>
      <c r="CE127" s="23">
        <f>CD127+CE56</f>
        <v>6739.65</v>
      </c>
      <c r="CF127" s="23">
        <f>+'QTR Raw'!BA58</f>
        <v>7033.02</v>
      </c>
      <c r="CG127" s="23">
        <f>CF127+CG56</f>
        <v>7507.6500000000005</v>
      </c>
      <c r="CH127" s="23">
        <f>+'QTR Raw'!BC58</f>
        <v>7151.95</v>
      </c>
      <c r="CI127" s="23">
        <f>CH127+CI56</f>
        <v>7560.99</v>
      </c>
      <c r="CJ127" s="23">
        <f t="shared" ref="CJ127:CZ127" si="1016">CI127+CJ56</f>
        <v>7993.84</v>
      </c>
      <c r="CK127" s="23">
        <f>CJ127+CK56</f>
        <v>9777.49</v>
      </c>
      <c r="CL127" s="24">
        <f t="shared" si="1016"/>
        <v>10229.875282677303</v>
      </c>
      <c r="CM127" s="24">
        <f t="shared" si="1016"/>
        <v>10703.416131766859</v>
      </c>
      <c r="CN127" s="24">
        <f t="shared" si="1016"/>
        <v>11185.073157922241</v>
      </c>
      <c r="CO127" s="24">
        <f t="shared" si="1016"/>
        <v>11692.56353048758</v>
      </c>
      <c r="CP127" s="24">
        <f t="shared" si="1016"/>
        <v>12265.212503824805</v>
      </c>
      <c r="CQ127" s="24">
        <f t="shared" si="1016"/>
        <v>12841.590104567136</v>
      </c>
      <c r="CR127" s="24">
        <f t="shared" si="1016"/>
        <v>13425.593469865476</v>
      </c>
      <c r="CS127" s="24">
        <f t="shared" si="1016"/>
        <v>14016.34324592265</v>
      </c>
      <c r="CT127" s="24">
        <f t="shared" si="1016"/>
        <v>14653.849961199614</v>
      </c>
      <c r="CU127" s="24">
        <f t="shared" si="1016"/>
        <v>15282.091147689733</v>
      </c>
      <c r="CV127" s="24">
        <f t="shared" si="1016"/>
        <v>15905.320897284868</v>
      </c>
      <c r="CW127" s="24">
        <f t="shared" si="1016"/>
        <v>16603.673400401829</v>
      </c>
      <c r="CX127" s="24">
        <f t="shared" si="1016"/>
        <v>17352.407120579079</v>
      </c>
      <c r="CY127" s="24">
        <f t="shared" si="1016"/>
        <v>18098.097104303692</v>
      </c>
      <c r="CZ127" s="24">
        <f t="shared" si="1016"/>
        <v>18852.340120514957</v>
      </c>
      <c r="DB127" s="123"/>
      <c r="DC127" s="23">
        <v>0</v>
      </c>
    </row>
    <row r="128" spans="1:107" s="22" customFormat="1" x14ac:dyDescent="0.2">
      <c r="A128" s="22" t="s">
        <v>44</v>
      </c>
      <c r="B128" s="22">
        <f>B125+B126+B127</f>
        <v>447.7475</v>
      </c>
      <c r="C128" s="22">
        <f t="shared" ref="C128:V128" si="1017">C125+C126+C127</f>
        <v>512.17190000000005</v>
      </c>
      <c r="D128" s="22">
        <f t="shared" si="1017"/>
        <v>604.15350000000001</v>
      </c>
      <c r="E128" s="22">
        <f t="shared" si="1017"/>
        <v>724.6617</v>
      </c>
      <c r="F128" s="22">
        <f t="shared" si="1017"/>
        <v>904.12790000000007</v>
      </c>
      <c r="G128" s="22">
        <f t="shared" si="1017"/>
        <v>1195.8417999999999</v>
      </c>
      <c r="H128" s="22">
        <f t="shared" si="1017"/>
        <v>1626.3443</v>
      </c>
      <c r="I128" s="22">
        <f t="shared" si="1017"/>
        <v>2118.9531999999999</v>
      </c>
      <c r="J128" s="22">
        <f t="shared" si="1017"/>
        <v>2423.7332000000001</v>
      </c>
      <c r="K128" s="22">
        <f t="shared" si="1017"/>
        <v>2423.7035999999998</v>
      </c>
      <c r="L128" s="22">
        <f t="shared" si="1017"/>
        <v>2536.4299999999998</v>
      </c>
      <c r="M128" s="22">
        <f>M125+M126+M127</f>
        <v>2601.6400000000003</v>
      </c>
      <c r="N128" s="22">
        <f t="shared" si="1017"/>
        <v>2677.56</v>
      </c>
      <c r="O128" s="22">
        <f t="shared" si="1017"/>
        <v>2811.98</v>
      </c>
      <c r="P128" s="22">
        <f t="shared" si="1017"/>
        <v>3008.55</v>
      </c>
      <c r="Q128" s="22">
        <f t="shared" si="1017"/>
        <v>3286.7</v>
      </c>
      <c r="R128" s="22">
        <f t="shared" si="1017"/>
        <v>3606.89</v>
      </c>
      <c r="S128" s="22">
        <f t="shared" si="1017"/>
        <v>4007.3199999999997</v>
      </c>
      <c r="T128" s="22">
        <f t="shared" si="1017"/>
        <v>3520.1099999999997</v>
      </c>
      <c r="U128" s="22">
        <f t="shared" si="1017"/>
        <v>3606.3799999999997</v>
      </c>
      <c r="V128" s="22">
        <f t="shared" si="1017"/>
        <v>4045.1899999999996</v>
      </c>
      <c r="W128" s="22">
        <f t="shared" ref="W128" si="1018">W125+W126+W127</f>
        <v>4939.41</v>
      </c>
      <c r="X128" s="22">
        <f t="shared" ref="X128:Y128" si="1019">X125+X126+X127</f>
        <v>5944.5999999999995</v>
      </c>
      <c r="Y128" s="22">
        <f t="shared" si="1019"/>
        <v>7075.4</v>
      </c>
      <c r="Z128" s="22">
        <f t="shared" ref="Z128" si="1020">Z125+Z126+Z127</f>
        <v>7835.99</v>
      </c>
      <c r="AA128" s="21">
        <f t="shared" ref="AA128:AD128" si="1021">AA125+AA126+AA127</f>
        <v>9819.869999999999</v>
      </c>
      <c r="AB128" s="21">
        <f t="shared" si="1021"/>
        <v>11734.943530487579</v>
      </c>
      <c r="AC128" s="21">
        <f t="shared" si="1021"/>
        <v>14058.723245922649</v>
      </c>
      <c r="AD128" s="21">
        <f t="shared" si="1021"/>
        <v>16646.05340040183</v>
      </c>
      <c r="AI128" s="22">
        <f t="shared" ref="AI128" si="1022">AI125+AI126+AI127</f>
        <v>21.369999999999763</v>
      </c>
      <c r="AJ128" s="22">
        <f t="shared" ref="AJ128:AK128" si="1023">AJ125+AJ126+AJ127</f>
        <v>2601.6400000000003</v>
      </c>
      <c r="AK128" s="22">
        <f t="shared" si="1023"/>
        <v>2644.7000000000003</v>
      </c>
      <c r="AL128" s="22">
        <f t="shared" ref="AL128:AM128" si="1024">AL125+AL126+AL127</f>
        <v>2657.7400000000002</v>
      </c>
      <c r="AM128" s="22">
        <f t="shared" si="1024"/>
        <v>2695.7700000000004</v>
      </c>
      <c r="AN128" s="22">
        <f t="shared" ref="AN128:AO128" si="1025">AN125+AN126+AN127</f>
        <v>2677.56</v>
      </c>
      <c r="AO128" s="22">
        <f t="shared" si="1025"/>
        <v>2729.24</v>
      </c>
      <c r="AP128" s="22">
        <f t="shared" ref="AP128:CE128" si="1026">AP125+AP126+AP127</f>
        <v>2776.9300000000003</v>
      </c>
      <c r="AQ128" s="22">
        <f t="shared" si="1026"/>
        <v>2821.9100000000003</v>
      </c>
      <c r="AR128" s="22">
        <f t="shared" si="1026"/>
        <v>2811.98</v>
      </c>
      <c r="AS128" s="22">
        <f t="shared" si="1026"/>
        <v>2866.27</v>
      </c>
      <c r="AT128" s="22">
        <f t="shared" si="1026"/>
        <v>2914.78</v>
      </c>
      <c r="AU128" s="22">
        <f t="shared" si="1026"/>
        <v>2973.5200000000004</v>
      </c>
      <c r="AV128" s="22">
        <f t="shared" si="1026"/>
        <v>3008.55</v>
      </c>
      <c r="AW128" s="22">
        <f t="shared" si="1026"/>
        <v>3094</v>
      </c>
      <c r="AX128" s="22">
        <f t="shared" si="1026"/>
        <v>3156.9500000000003</v>
      </c>
      <c r="AY128" s="22">
        <f t="shared" si="1026"/>
        <v>3227.52</v>
      </c>
      <c r="AZ128" s="22">
        <f t="shared" si="1026"/>
        <v>3282.78</v>
      </c>
      <c r="BA128" s="22">
        <f t="shared" si="1026"/>
        <v>3372.7600000000007</v>
      </c>
      <c r="BB128" s="22">
        <f t="shared" si="1026"/>
        <v>3353.3900000000003</v>
      </c>
      <c r="BC128" s="22">
        <f t="shared" si="1026"/>
        <v>3436.7799999999997</v>
      </c>
      <c r="BD128" s="22">
        <f t="shared" si="1026"/>
        <v>3606.8900000000003</v>
      </c>
      <c r="BE128" s="22">
        <f t="shared" si="1026"/>
        <v>3709.3800000000006</v>
      </c>
      <c r="BF128" s="22">
        <f t="shared" si="1026"/>
        <v>3710.13</v>
      </c>
      <c r="BG128" s="22">
        <f t="shared" si="1026"/>
        <v>3818.4700000000003</v>
      </c>
      <c r="BH128" s="22">
        <f t="shared" si="1026"/>
        <v>4007.32</v>
      </c>
      <c r="BI128" s="22">
        <f t="shared" si="1026"/>
        <v>4123.51</v>
      </c>
      <c r="BJ128" s="22">
        <f t="shared" si="1026"/>
        <v>4145.8900000000003</v>
      </c>
      <c r="BK128" s="22">
        <f t="shared" si="1026"/>
        <v>4281.17</v>
      </c>
      <c r="BL128" s="22">
        <f t="shared" si="1026"/>
        <v>3520.11</v>
      </c>
      <c r="BM128" s="22">
        <f t="shared" si="1026"/>
        <v>3584.75</v>
      </c>
      <c r="BN128" s="22">
        <f t="shared" si="1026"/>
        <v>3584.42</v>
      </c>
      <c r="BO128" s="22">
        <f t="shared" si="1026"/>
        <v>3665.16</v>
      </c>
      <c r="BP128" s="22">
        <f t="shared" si="1026"/>
        <v>3606.38</v>
      </c>
      <c r="BQ128" s="22">
        <f t="shared" si="1026"/>
        <v>3747.71</v>
      </c>
      <c r="BR128" s="22">
        <f t="shared" si="1026"/>
        <v>3726.37</v>
      </c>
      <c r="BS128" s="22">
        <f t="shared" si="1026"/>
        <v>3846.29</v>
      </c>
      <c r="BT128" s="22">
        <f t="shared" si="1026"/>
        <v>4045.19</v>
      </c>
      <c r="BU128" s="22">
        <f t="shared" si="1026"/>
        <v>4124.8499999999995</v>
      </c>
      <c r="BV128" s="22">
        <f t="shared" si="1026"/>
        <v>4171.59</v>
      </c>
      <c r="BW128" s="22">
        <f t="shared" si="1026"/>
        <v>4369.1499999999996</v>
      </c>
      <c r="BX128" s="22">
        <f t="shared" si="1026"/>
        <v>4939.41</v>
      </c>
      <c r="BY128" s="22">
        <f t="shared" si="1026"/>
        <v>5184.2999999999993</v>
      </c>
      <c r="BZ128" s="22">
        <f t="shared" si="1026"/>
        <v>5368.5</v>
      </c>
      <c r="CA128" s="22">
        <f t="shared" si="1026"/>
        <v>5731.37</v>
      </c>
      <c r="CB128" s="22">
        <f t="shared" si="1026"/>
        <v>5944.6</v>
      </c>
      <c r="CC128" s="22">
        <f t="shared" si="1026"/>
        <v>6403.89</v>
      </c>
      <c r="CD128" s="22">
        <f t="shared" si="1026"/>
        <v>6341.58</v>
      </c>
      <c r="CE128" s="22">
        <f t="shared" si="1026"/>
        <v>6782.03</v>
      </c>
      <c r="CF128" s="22">
        <f t="shared" ref="CF128:CG128" si="1027">CF125+CF126+CF127</f>
        <v>7075.4000000000005</v>
      </c>
      <c r="CG128" s="22">
        <f t="shared" si="1027"/>
        <v>7550.0300000000007</v>
      </c>
      <c r="CH128" s="22">
        <f t="shared" ref="CH128" si="1028">CH125+CH126+CH127</f>
        <v>7194.33</v>
      </c>
      <c r="CI128" s="22">
        <f t="shared" ref="CI128:CK128" si="1029">CI125+CI126+CI127</f>
        <v>7603.37</v>
      </c>
      <c r="CJ128" s="22">
        <f t="shared" ref="CJ128:CZ128" si="1030">CJ125+CJ126+CJ127</f>
        <v>8036.22</v>
      </c>
      <c r="CK128" s="22">
        <f t="shared" si="1029"/>
        <v>9819.869999999999</v>
      </c>
      <c r="CL128" s="21">
        <f t="shared" si="1030"/>
        <v>10272.255282677303</v>
      </c>
      <c r="CM128" s="21">
        <f t="shared" si="1030"/>
        <v>10745.796131766858</v>
      </c>
      <c r="CN128" s="21">
        <f t="shared" si="1030"/>
        <v>11227.45315792224</v>
      </c>
      <c r="CO128" s="21">
        <f t="shared" si="1030"/>
        <v>11734.943530487579</v>
      </c>
      <c r="CP128" s="21">
        <f t="shared" si="1030"/>
        <v>12307.592503824804</v>
      </c>
      <c r="CQ128" s="21">
        <f t="shared" si="1030"/>
        <v>12883.970104567135</v>
      </c>
      <c r="CR128" s="21">
        <f t="shared" si="1030"/>
        <v>13467.973469865476</v>
      </c>
      <c r="CS128" s="21">
        <f t="shared" si="1030"/>
        <v>14058.723245922649</v>
      </c>
      <c r="CT128" s="21">
        <f t="shared" si="1030"/>
        <v>14696.229961199613</v>
      </c>
      <c r="CU128" s="21">
        <f t="shared" si="1030"/>
        <v>15324.471147689732</v>
      </c>
      <c r="CV128" s="21">
        <f t="shared" si="1030"/>
        <v>15947.700897284867</v>
      </c>
      <c r="CW128" s="21">
        <f t="shared" si="1030"/>
        <v>16646.05340040183</v>
      </c>
      <c r="CX128" s="21">
        <f t="shared" si="1030"/>
        <v>17394.78712057908</v>
      </c>
      <c r="CY128" s="21">
        <f t="shared" si="1030"/>
        <v>18140.477104303693</v>
      </c>
      <c r="CZ128" s="21">
        <f t="shared" si="1030"/>
        <v>18894.720120514958</v>
      </c>
      <c r="DB128" s="126"/>
      <c r="DC128" s="22">
        <v>0</v>
      </c>
    </row>
    <row r="129" spans="1:107" s="22" customFormat="1" x14ac:dyDescent="0.2">
      <c r="AA129" s="21"/>
      <c r="AB129" s="21"/>
      <c r="AC129" s="21"/>
      <c r="AD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B129" s="126"/>
    </row>
    <row r="130" spans="1:107" s="23" customFormat="1" x14ac:dyDescent="0.2">
      <c r="A130" s="23" t="s">
        <v>23</v>
      </c>
      <c r="B130" s="23">
        <f>'Annual Raw'!C45</f>
        <v>0</v>
      </c>
      <c r="C130" s="23">
        <f>'Annual Raw'!D45</f>
        <v>0</v>
      </c>
      <c r="D130" s="23">
        <f>'Annual Raw'!E45</f>
        <v>0</v>
      </c>
      <c r="E130" s="23">
        <f>'Annual Raw'!F45</f>
        <v>0</v>
      </c>
      <c r="F130" s="23">
        <f>'Annual Raw'!G45</f>
        <v>0</v>
      </c>
      <c r="G130" s="23">
        <f>'Annual Raw'!H45</f>
        <v>0</v>
      </c>
      <c r="H130" s="23">
        <f>'Annual Raw'!I45</f>
        <v>0</v>
      </c>
      <c r="I130" s="23">
        <f>'Annual Raw'!J45</f>
        <v>0</v>
      </c>
      <c r="J130" s="23">
        <f>'Annual Raw'!K45</f>
        <v>0</v>
      </c>
      <c r="K130" s="23">
        <f>'Annual Raw'!L45</f>
        <v>0</v>
      </c>
      <c r="L130" s="23">
        <f>'Annual Raw'!M45</f>
        <v>0</v>
      </c>
      <c r="M130" s="23">
        <f>'Annual Raw'!N45</f>
        <v>0</v>
      </c>
      <c r="N130" s="23">
        <f>'Annual Raw'!O45</f>
        <v>0</v>
      </c>
      <c r="O130" s="23">
        <f>'Annual Raw'!P45</f>
        <v>0</v>
      </c>
      <c r="P130" s="23">
        <f>'Annual Raw'!Q45</f>
        <v>0</v>
      </c>
      <c r="Q130" s="23">
        <f>'Annual Raw'!R45</f>
        <v>0</v>
      </c>
      <c r="R130" s="23">
        <f>'Annual Raw'!S45</f>
        <v>0</v>
      </c>
      <c r="S130" s="23">
        <f>'Annual Raw'!T45</f>
        <v>0</v>
      </c>
      <c r="T130" s="23">
        <f>'Annual Raw'!U45</f>
        <v>0</v>
      </c>
      <c r="U130" s="23">
        <f>'Annual Raw'!V45</f>
        <v>0</v>
      </c>
      <c r="V130" s="23">
        <f>'Annual Raw'!W45</f>
        <v>0</v>
      </c>
      <c r="W130" s="23">
        <f>'Annual Raw'!X45</f>
        <v>0</v>
      </c>
      <c r="X130" s="23">
        <f>'Annual Raw'!Y45</f>
        <v>0</v>
      </c>
      <c r="Y130" s="23">
        <f>'Annual Raw'!Z45</f>
        <v>0</v>
      </c>
      <c r="Z130" s="23">
        <f>'Annual Raw'!AA45</f>
        <v>0</v>
      </c>
      <c r="AA130" s="24">
        <f>+CK130</f>
        <v>0</v>
      </c>
      <c r="AB130" s="24">
        <f>+CO130</f>
        <v>0</v>
      </c>
      <c r="AC130" s="24">
        <f>+CS130</f>
        <v>0</v>
      </c>
      <c r="AD130" s="24">
        <f>+CW130</f>
        <v>0</v>
      </c>
      <c r="AI130" s="23">
        <f t="shared" ref="AI130:CK130" si="1031">+AH130</f>
        <v>0</v>
      </c>
      <c r="AJ130" s="23">
        <f>+'QTR Raw'!E60</f>
        <v>0</v>
      </c>
      <c r="AK130" s="23">
        <f t="shared" si="1031"/>
        <v>0</v>
      </c>
      <c r="AL130" s="23">
        <f>+'QTR Raw'!G60</f>
        <v>0</v>
      </c>
      <c r="AM130" s="23">
        <f t="shared" si="1031"/>
        <v>0</v>
      </c>
      <c r="AN130" s="23">
        <f>+'QTR Raw'!I60</f>
        <v>0</v>
      </c>
      <c r="AO130" s="23">
        <f t="shared" si="1031"/>
        <v>0</v>
      </c>
      <c r="AP130" s="23">
        <f>+'QTR Raw'!K60</f>
        <v>0</v>
      </c>
      <c r="AQ130" s="23">
        <f t="shared" si="1031"/>
        <v>0</v>
      </c>
      <c r="AR130" s="23">
        <f>+'QTR Raw'!M60</f>
        <v>0</v>
      </c>
      <c r="AS130" s="23">
        <f t="shared" si="1031"/>
        <v>0</v>
      </c>
      <c r="AT130" s="23">
        <f>+'QTR Raw'!O60</f>
        <v>0</v>
      </c>
      <c r="AU130" s="23">
        <f t="shared" si="1031"/>
        <v>0</v>
      </c>
      <c r="AV130" s="23">
        <f>+'QTR Raw'!Q60</f>
        <v>0</v>
      </c>
      <c r="AW130" s="23">
        <f t="shared" si="1031"/>
        <v>0</v>
      </c>
      <c r="AX130" s="23">
        <f>+'QTR Raw'!S60</f>
        <v>0</v>
      </c>
      <c r="AY130" s="23">
        <f t="shared" si="1031"/>
        <v>0</v>
      </c>
      <c r="AZ130" s="23">
        <f>+'QTR Raw'!U60</f>
        <v>0</v>
      </c>
      <c r="BA130" s="23">
        <f t="shared" si="1031"/>
        <v>0</v>
      </c>
      <c r="BB130" s="23">
        <f>+'QTR Raw'!W60</f>
        <v>0</v>
      </c>
      <c r="BC130" s="23">
        <f t="shared" si="1031"/>
        <v>0</v>
      </c>
      <c r="BD130" s="23">
        <f>+'QTR Raw'!Y60</f>
        <v>0</v>
      </c>
      <c r="BE130" s="23">
        <f t="shared" si="1031"/>
        <v>0</v>
      </c>
      <c r="BF130" s="23">
        <f>+'QTR Raw'!AA60</f>
        <v>0</v>
      </c>
      <c r="BG130" s="23">
        <f t="shared" si="1031"/>
        <v>0</v>
      </c>
      <c r="BH130" s="23">
        <f>+'QTR Raw'!AC60</f>
        <v>0</v>
      </c>
      <c r="BI130" s="23">
        <f t="shared" si="1031"/>
        <v>0</v>
      </c>
      <c r="BJ130" s="23">
        <f>+'QTR Raw'!AE60</f>
        <v>0</v>
      </c>
      <c r="BK130" s="23">
        <f t="shared" si="1031"/>
        <v>0</v>
      </c>
      <c r="BL130" s="23">
        <f>+'QTR Raw'!AG60</f>
        <v>0</v>
      </c>
      <c r="BM130" s="23">
        <f t="shared" si="1031"/>
        <v>0</v>
      </c>
      <c r="BN130" s="23">
        <f>+'QTR Raw'!AI60</f>
        <v>0</v>
      </c>
      <c r="BO130" s="23">
        <f t="shared" si="1031"/>
        <v>0</v>
      </c>
      <c r="BP130" s="23">
        <f>+'QTR Raw'!AK60</f>
        <v>0</v>
      </c>
      <c r="BQ130" s="23">
        <f t="shared" si="1031"/>
        <v>0</v>
      </c>
      <c r="BR130" s="23">
        <f>+'QTR Raw'!AM60</f>
        <v>0</v>
      </c>
      <c r="BS130" s="23">
        <f t="shared" si="1031"/>
        <v>0</v>
      </c>
      <c r="BT130" s="23">
        <f>+'QTR Raw'!AO60</f>
        <v>0</v>
      </c>
      <c r="BU130" s="23">
        <f t="shared" si="1031"/>
        <v>0</v>
      </c>
      <c r="BV130" s="23">
        <f>+'QTR Raw'!AQ60</f>
        <v>0</v>
      </c>
      <c r="BW130" s="23">
        <f t="shared" si="1031"/>
        <v>0</v>
      </c>
      <c r="BX130" s="23">
        <f>+'QTR Raw'!AS60</f>
        <v>0</v>
      </c>
      <c r="BY130" s="23">
        <f t="shared" si="1031"/>
        <v>0</v>
      </c>
      <c r="BZ130" s="23">
        <f>+'QTR Raw'!AU60</f>
        <v>0</v>
      </c>
      <c r="CA130" s="23">
        <f t="shared" si="1031"/>
        <v>0</v>
      </c>
      <c r="CB130" s="23">
        <f>+'QTR Raw'!AW60</f>
        <v>0</v>
      </c>
      <c r="CC130" s="23">
        <f t="shared" si="1031"/>
        <v>0</v>
      </c>
      <c r="CD130" s="23">
        <f>+'QTR Raw'!AY60</f>
        <v>0</v>
      </c>
      <c r="CE130" s="23">
        <f t="shared" si="1031"/>
        <v>0</v>
      </c>
      <c r="CF130" s="23">
        <f>+'QTR Raw'!BA60</f>
        <v>0</v>
      </c>
      <c r="CG130" s="23">
        <f t="shared" si="1031"/>
        <v>0</v>
      </c>
      <c r="CH130" s="23">
        <f>+'QTR Raw'!BC60</f>
        <v>0</v>
      </c>
      <c r="CI130" s="23">
        <f t="shared" si="1031"/>
        <v>0</v>
      </c>
      <c r="CJ130" s="23">
        <f t="shared" ref="CJ130" si="1032">+CI130</f>
        <v>0</v>
      </c>
      <c r="CK130" s="23">
        <f t="shared" si="1031"/>
        <v>0</v>
      </c>
      <c r="CL130" s="24">
        <f t="shared" ref="CL130" si="1033">+CK130</f>
        <v>0</v>
      </c>
      <c r="CM130" s="24">
        <f t="shared" ref="CM130" si="1034">+CL130</f>
        <v>0</v>
      </c>
      <c r="CN130" s="24">
        <f t="shared" ref="CN130" si="1035">+CM130</f>
        <v>0</v>
      </c>
      <c r="CO130" s="24">
        <f t="shared" ref="CO130" si="1036">+CN130</f>
        <v>0</v>
      </c>
      <c r="CP130" s="24">
        <f t="shared" ref="CP130" si="1037">+CO130</f>
        <v>0</v>
      </c>
      <c r="CQ130" s="24">
        <f t="shared" ref="CQ130" si="1038">+CP130</f>
        <v>0</v>
      </c>
      <c r="CR130" s="24">
        <f t="shared" ref="CR130" si="1039">+CQ130</f>
        <v>0</v>
      </c>
      <c r="CS130" s="24">
        <f t="shared" ref="CS130" si="1040">+CR130</f>
        <v>0</v>
      </c>
      <c r="CT130" s="24">
        <f t="shared" ref="CT130" si="1041">+CS130</f>
        <v>0</v>
      </c>
      <c r="CU130" s="24">
        <f t="shared" ref="CU130" si="1042">+CT130</f>
        <v>0</v>
      </c>
      <c r="CV130" s="24">
        <f t="shared" ref="CV130" si="1043">+CU130</f>
        <v>0</v>
      </c>
      <c r="CW130" s="24">
        <f t="shared" ref="CW130" si="1044">+CV130</f>
        <v>0</v>
      </c>
      <c r="CX130" s="24">
        <f t="shared" ref="CX130" si="1045">+CW130</f>
        <v>0</v>
      </c>
      <c r="CY130" s="24">
        <f t="shared" ref="CY130" si="1046">+CX130</f>
        <v>0</v>
      </c>
      <c r="CZ130" s="24">
        <f t="shared" ref="CZ130" si="1047">+CY130</f>
        <v>0</v>
      </c>
      <c r="DB130" s="123"/>
      <c r="DC130" s="23">
        <v>0</v>
      </c>
    </row>
    <row r="131" spans="1:107" s="23" customFormat="1" x14ac:dyDescent="0.2">
      <c r="AA131" s="24"/>
      <c r="AB131" s="24"/>
      <c r="AC131" s="24"/>
      <c r="AD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B131" s="123"/>
    </row>
    <row r="132" spans="1:107" s="23" customFormat="1" outlineLevel="1" x14ac:dyDescent="0.2">
      <c r="A132" s="23" t="s">
        <v>45</v>
      </c>
      <c r="B132" s="23">
        <f>'Annual Raw'!C47</f>
        <v>3.2881999999999998</v>
      </c>
      <c r="C132" s="23">
        <f>'Annual Raw'!D47</f>
        <v>4.4596999999999998</v>
      </c>
      <c r="D132" s="23">
        <f>'Annual Raw'!E47</f>
        <v>2.9632000000000001</v>
      </c>
      <c r="E132" s="23">
        <f>'Annual Raw'!F47</f>
        <v>1.4312</v>
      </c>
      <c r="F132" s="23">
        <f>'Annual Raw'!G47</f>
        <v>2.6957</v>
      </c>
      <c r="G132" s="23">
        <f>'Annual Raw'!H47</f>
        <v>1.5457000000000001</v>
      </c>
      <c r="H132" s="23">
        <f>'Annual Raw'!I47</f>
        <v>0.56599999999999995</v>
      </c>
      <c r="I132" s="23">
        <f>'Annual Raw'!J47</f>
        <v>2.0199999999999999E-2</v>
      </c>
      <c r="J132" s="23">
        <f>'Annual Raw'!K47</f>
        <v>0</v>
      </c>
      <c r="K132" s="23">
        <f>'Annual Raw'!L47</f>
        <v>0</v>
      </c>
      <c r="L132" s="23">
        <f>'Annual Raw'!M47</f>
        <v>0</v>
      </c>
      <c r="M132" s="23">
        <f>'Annual Raw'!N47</f>
        <v>0</v>
      </c>
      <c r="N132" s="23">
        <f>'Annual Raw'!O47</f>
        <v>0</v>
      </c>
      <c r="O132" s="23">
        <f>'Annual Raw'!P47</f>
        <v>0</v>
      </c>
      <c r="P132" s="23">
        <f>'Annual Raw'!Q47</f>
        <v>0</v>
      </c>
      <c r="Q132" s="23">
        <f>'Annual Raw'!R47</f>
        <v>0</v>
      </c>
      <c r="R132" s="23">
        <f>'Annual Raw'!S47</f>
        <v>4.1399999999999997</v>
      </c>
      <c r="S132" s="23">
        <f>'Annual Raw'!T47</f>
        <v>2.0299999999999998</v>
      </c>
      <c r="T132" s="23">
        <f>'Annual Raw'!U47</f>
        <v>7.06</v>
      </c>
      <c r="U132" s="23">
        <f>'Annual Raw'!V47</f>
        <v>0</v>
      </c>
      <c r="V132" s="23">
        <f>'Annual Raw'!W47</f>
        <v>0</v>
      </c>
      <c r="W132" s="23">
        <f>'Annual Raw'!X47</f>
        <v>0</v>
      </c>
      <c r="X132" s="23">
        <f>'Annual Raw'!Y47</f>
        <v>0</v>
      </c>
      <c r="Y132" s="23">
        <f>'Annual Raw'!Z47</f>
        <v>0</v>
      </c>
      <c r="Z132" s="23">
        <f>'Annual Raw'!AA47</f>
        <v>0</v>
      </c>
      <c r="AA132" s="24">
        <f t="shared" ref="AA132:AA135" si="1048">+CK132</f>
        <v>0</v>
      </c>
      <c r="AB132" s="24">
        <f t="shared" ref="AB132:AB135" si="1049">+CO132</f>
        <v>0</v>
      </c>
      <c r="AC132" s="24">
        <f t="shared" ref="AC132:AC135" si="1050">+CS132</f>
        <v>0</v>
      </c>
      <c r="AD132" s="24">
        <f t="shared" ref="AD132:AD135" si="1051">+CW132</f>
        <v>0</v>
      </c>
      <c r="AI132" s="23">
        <f t="shared" ref="AI132:CK135" si="1052">+AH132</f>
        <v>0</v>
      </c>
      <c r="AJ132" s="23">
        <f>+'QTR Raw'!E62</f>
        <v>0</v>
      </c>
      <c r="AK132" s="23">
        <f t="shared" si="1052"/>
        <v>0</v>
      </c>
      <c r="AL132" s="23">
        <f>+'QTR Raw'!G62</f>
        <v>0</v>
      </c>
      <c r="AM132" s="23">
        <f t="shared" si="1052"/>
        <v>0</v>
      </c>
      <c r="AN132" s="23">
        <f>+'QTR Raw'!I62</f>
        <v>0</v>
      </c>
      <c r="AO132" s="23">
        <f t="shared" si="1052"/>
        <v>0</v>
      </c>
      <c r="AP132" s="23">
        <f>+'QTR Raw'!K62</f>
        <v>0</v>
      </c>
      <c r="AQ132" s="23">
        <f t="shared" si="1052"/>
        <v>0</v>
      </c>
      <c r="AR132" s="23">
        <f>+'QTR Raw'!M62</f>
        <v>0</v>
      </c>
      <c r="AS132" s="23">
        <f t="shared" si="1052"/>
        <v>0</v>
      </c>
      <c r="AT132" s="23">
        <f>+'QTR Raw'!O62</f>
        <v>0</v>
      </c>
      <c r="AU132" s="23">
        <f t="shared" si="1052"/>
        <v>0</v>
      </c>
      <c r="AV132" s="23">
        <f>+'QTR Raw'!Q62</f>
        <v>0</v>
      </c>
      <c r="AW132" s="23">
        <f t="shared" si="1052"/>
        <v>0</v>
      </c>
      <c r="AX132" s="23">
        <f>+'QTR Raw'!S62</f>
        <v>0</v>
      </c>
      <c r="AY132" s="23">
        <f t="shared" si="1052"/>
        <v>0</v>
      </c>
      <c r="AZ132" s="23">
        <f>+'QTR Raw'!U62</f>
        <v>0</v>
      </c>
      <c r="BA132" s="23">
        <f t="shared" si="1052"/>
        <v>0</v>
      </c>
      <c r="BB132" s="23">
        <f>+'QTR Raw'!W62</f>
        <v>0</v>
      </c>
      <c r="BC132" s="23">
        <f t="shared" si="1052"/>
        <v>0</v>
      </c>
      <c r="BD132" s="23">
        <f>+'QTR Raw'!Y62</f>
        <v>0</v>
      </c>
      <c r="BE132" s="23">
        <f t="shared" si="1052"/>
        <v>0</v>
      </c>
      <c r="BF132" s="23">
        <f>+'QTR Raw'!AA62</f>
        <v>0</v>
      </c>
      <c r="BG132" s="23">
        <f t="shared" si="1052"/>
        <v>0</v>
      </c>
      <c r="BH132" s="23">
        <f>+'QTR Raw'!AC62</f>
        <v>0</v>
      </c>
      <c r="BI132" s="23">
        <f t="shared" si="1052"/>
        <v>0</v>
      </c>
      <c r="BJ132" s="23">
        <f>+'QTR Raw'!AE62</f>
        <v>0</v>
      </c>
      <c r="BK132" s="23">
        <f t="shared" si="1052"/>
        <v>0</v>
      </c>
      <c r="BL132" s="23">
        <f>+'QTR Raw'!AG62</f>
        <v>0</v>
      </c>
      <c r="BM132" s="23">
        <f t="shared" si="1052"/>
        <v>0</v>
      </c>
      <c r="BN132" s="23">
        <f>+'QTR Raw'!AI62</f>
        <v>0</v>
      </c>
      <c r="BO132" s="23">
        <f t="shared" si="1052"/>
        <v>0</v>
      </c>
      <c r="BP132" s="23">
        <f>+'QTR Raw'!AK62</f>
        <v>0</v>
      </c>
      <c r="BQ132" s="23">
        <f t="shared" si="1052"/>
        <v>0</v>
      </c>
      <c r="BR132" s="23">
        <f>+'QTR Raw'!AM62</f>
        <v>0</v>
      </c>
      <c r="BS132" s="23">
        <f t="shared" si="1052"/>
        <v>0</v>
      </c>
      <c r="BT132" s="23">
        <f>+'QTR Raw'!AO62</f>
        <v>0</v>
      </c>
      <c r="BU132" s="23">
        <f t="shared" si="1052"/>
        <v>0</v>
      </c>
      <c r="BV132" s="23">
        <f>+'QTR Raw'!AQ62</f>
        <v>0</v>
      </c>
      <c r="BW132" s="23">
        <f t="shared" si="1052"/>
        <v>0</v>
      </c>
      <c r="BX132" s="23">
        <f>+'QTR Raw'!AS62</f>
        <v>0</v>
      </c>
      <c r="BY132" s="23">
        <f t="shared" si="1052"/>
        <v>0</v>
      </c>
      <c r="BZ132" s="23">
        <f>+'QTR Raw'!AU62</f>
        <v>0</v>
      </c>
      <c r="CA132" s="23">
        <f t="shared" si="1052"/>
        <v>0</v>
      </c>
      <c r="CB132" s="23">
        <f>+'QTR Raw'!AW62</f>
        <v>0</v>
      </c>
      <c r="CC132" s="23">
        <f t="shared" si="1052"/>
        <v>0</v>
      </c>
      <c r="CD132" s="23">
        <f>+'QTR Raw'!AY62</f>
        <v>0</v>
      </c>
      <c r="CE132" s="23">
        <f t="shared" si="1052"/>
        <v>0</v>
      </c>
      <c r="CF132" s="23">
        <f>+'QTR Raw'!BA62</f>
        <v>0</v>
      </c>
      <c r="CG132" s="23">
        <f t="shared" si="1052"/>
        <v>0</v>
      </c>
      <c r="CH132" s="23">
        <f>+'QTR Raw'!BC62</f>
        <v>0</v>
      </c>
      <c r="CI132" s="23">
        <f t="shared" si="1052"/>
        <v>0</v>
      </c>
      <c r="CJ132" s="23">
        <f t="shared" ref="CJ132:CJ135" si="1053">+CI132</f>
        <v>0</v>
      </c>
      <c r="CK132" s="23">
        <f t="shared" si="1052"/>
        <v>0</v>
      </c>
      <c r="CL132" s="24">
        <f t="shared" ref="CL132:CL135" si="1054">+CK132</f>
        <v>0</v>
      </c>
      <c r="CM132" s="24">
        <f t="shared" ref="CM132:CM135" si="1055">+CL132</f>
        <v>0</v>
      </c>
      <c r="CN132" s="24">
        <f t="shared" ref="CN132:CN135" si="1056">+CM132</f>
        <v>0</v>
      </c>
      <c r="CO132" s="24">
        <f t="shared" ref="CO132:CO135" si="1057">+CN132</f>
        <v>0</v>
      </c>
      <c r="CP132" s="24">
        <f t="shared" ref="CP132:CP135" si="1058">+CO132</f>
        <v>0</v>
      </c>
      <c r="CQ132" s="24">
        <f t="shared" ref="CQ132:CQ135" si="1059">+CP132</f>
        <v>0</v>
      </c>
      <c r="CR132" s="24">
        <f t="shared" ref="CR132:CR135" si="1060">+CQ132</f>
        <v>0</v>
      </c>
      <c r="CS132" s="24">
        <f t="shared" ref="CS132:CS135" si="1061">+CR132</f>
        <v>0</v>
      </c>
      <c r="CT132" s="24">
        <f t="shared" ref="CT132:CT135" si="1062">+CS132</f>
        <v>0</v>
      </c>
      <c r="CU132" s="24">
        <f t="shared" ref="CU132:CU135" si="1063">+CT132</f>
        <v>0</v>
      </c>
      <c r="CV132" s="24">
        <f t="shared" ref="CV132:CV135" si="1064">+CU132</f>
        <v>0</v>
      </c>
      <c r="CW132" s="24">
        <f t="shared" ref="CW132:CW135" si="1065">+CV132</f>
        <v>0</v>
      </c>
      <c r="CX132" s="24">
        <f t="shared" ref="CX132:CX135" si="1066">+CW132</f>
        <v>0</v>
      </c>
      <c r="CY132" s="24">
        <f t="shared" ref="CY132:CY135" si="1067">+CX132</f>
        <v>0</v>
      </c>
      <c r="CZ132" s="24">
        <f t="shared" ref="CZ132:CZ135" si="1068">+CY132</f>
        <v>0</v>
      </c>
      <c r="DB132" s="123"/>
      <c r="DC132" s="23">
        <v>0</v>
      </c>
    </row>
    <row r="133" spans="1:107" s="23" customFormat="1" outlineLevel="1" x14ac:dyDescent="0.2">
      <c r="A133" s="23" t="s">
        <v>46</v>
      </c>
      <c r="B133" s="23">
        <f>'Annual Raw'!C48</f>
        <v>7.5084999999999997</v>
      </c>
      <c r="C133" s="23">
        <f>'Annual Raw'!D48</f>
        <v>7.9100999999999999</v>
      </c>
      <c r="D133" s="23">
        <f>'Annual Raw'!E48</f>
        <v>7.1409000000000002</v>
      </c>
      <c r="E133" s="23">
        <f>'Annual Raw'!F48</f>
        <v>6.2E-2</v>
      </c>
      <c r="F133" s="23">
        <f>'Annual Raw'!G48</f>
        <v>3.1E-2</v>
      </c>
      <c r="G133" s="23">
        <f>'Annual Raw'!H48</f>
        <v>0</v>
      </c>
      <c r="H133" s="23">
        <f>'Annual Raw'!I48</f>
        <v>0</v>
      </c>
      <c r="I133" s="23">
        <f>'Annual Raw'!J48</f>
        <v>0</v>
      </c>
      <c r="J133" s="23">
        <f>'Annual Raw'!K48</f>
        <v>0</v>
      </c>
      <c r="K133" s="23">
        <f>'Annual Raw'!L48</f>
        <v>0</v>
      </c>
      <c r="L133" s="23">
        <f>'Annual Raw'!M48</f>
        <v>0</v>
      </c>
      <c r="M133" s="23">
        <f>'Annual Raw'!N48</f>
        <v>0</v>
      </c>
      <c r="N133" s="23">
        <f>'Annual Raw'!O48</f>
        <v>0</v>
      </c>
      <c r="O133" s="23">
        <f>'Annual Raw'!P48</f>
        <v>0</v>
      </c>
      <c r="P133" s="23">
        <f>'Annual Raw'!Q48</f>
        <v>600</v>
      </c>
      <c r="Q133" s="23">
        <f>'Annual Raw'!R48</f>
        <v>600</v>
      </c>
      <c r="R133" s="23">
        <f>'Annual Raw'!S48</f>
        <v>0</v>
      </c>
      <c r="S133" s="23">
        <f>'Annual Raw'!T48</f>
        <v>0</v>
      </c>
      <c r="T133" s="23">
        <f>'Annual Raw'!U48</f>
        <v>0</v>
      </c>
      <c r="U133" s="23">
        <f>'Annual Raw'!V48</f>
        <v>0</v>
      </c>
      <c r="V133" s="23">
        <f>'Annual Raw'!W48</f>
        <v>0</v>
      </c>
      <c r="W133" s="23">
        <f>'Annual Raw'!X48</f>
        <v>0</v>
      </c>
      <c r="X133" s="23">
        <f>'Annual Raw'!Y48</f>
        <v>0</v>
      </c>
      <c r="Y133" s="23">
        <f>'Annual Raw'!Z48</f>
        <v>0</v>
      </c>
      <c r="Z133" s="23">
        <f>'Annual Raw'!AA48</f>
        <v>0</v>
      </c>
      <c r="AA133" s="24">
        <f t="shared" si="1048"/>
        <v>0</v>
      </c>
      <c r="AB133" s="24">
        <f t="shared" si="1049"/>
        <v>0</v>
      </c>
      <c r="AC133" s="24">
        <f t="shared" si="1050"/>
        <v>0</v>
      </c>
      <c r="AD133" s="24">
        <f t="shared" si="1051"/>
        <v>0</v>
      </c>
      <c r="AI133" s="23">
        <f t="shared" si="1052"/>
        <v>0</v>
      </c>
      <c r="AJ133" s="23">
        <f>+'QTR Raw'!E63</f>
        <v>0</v>
      </c>
      <c r="AK133" s="23">
        <f t="shared" si="1052"/>
        <v>0</v>
      </c>
      <c r="AL133" s="23">
        <f>+'QTR Raw'!G63</f>
        <v>0</v>
      </c>
      <c r="AM133" s="23">
        <f t="shared" si="1052"/>
        <v>0</v>
      </c>
      <c r="AN133" s="23">
        <f>+'QTR Raw'!I63</f>
        <v>0</v>
      </c>
      <c r="AO133" s="23">
        <f t="shared" si="1052"/>
        <v>0</v>
      </c>
      <c r="AP133" s="23">
        <f>+'QTR Raw'!K63</f>
        <v>0</v>
      </c>
      <c r="AQ133" s="23">
        <f t="shared" si="1052"/>
        <v>0</v>
      </c>
      <c r="AR133" s="23">
        <f>+'QTR Raw'!M63</f>
        <v>0</v>
      </c>
      <c r="AS133" s="23">
        <f t="shared" si="1052"/>
        <v>0</v>
      </c>
      <c r="AT133" s="23">
        <f>+'QTR Raw'!O63</f>
        <v>0</v>
      </c>
      <c r="AU133" s="23">
        <f t="shared" si="1052"/>
        <v>0</v>
      </c>
      <c r="AV133" s="23">
        <f>+'QTR Raw'!Q63</f>
        <v>600</v>
      </c>
      <c r="AW133" s="23">
        <f t="shared" si="1052"/>
        <v>600</v>
      </c>
      <c r="AX133" s="23">
        <f>+'QTR Raw'!S63</f>
        <v>600</v>
      </c>
      <c r="AY133" s="23">
        <f t="shared" si="1052"/>
        <v>600</v>
      </c>
      <c r="AZ133" s="23">
        <f>+'QTR Raw'!U63</f>
        <v>600</v>
      </c>
      <c r="BA133" s="23">
        <f t="shared" si="1052"/>
        <v>600</v>
      </c>
      <c r="BB133" s="23">
        <f>+'QTR Raw'!W63</f>
        <v>600</v>
      </c>
      <c r="BC133" s="23">
        <f t="shared" si="1052"/>
        <v>600</v>
      </c>
      <c r="BD133" s="23">
        <f>+'QTR Raw'!Y63</f>
        <v>4.1399999999999997</v>
      </c>
      <c r="BE133" s="23">
        <f t="shared" si="1052"/>
        <v>4.1399999999999997</v>
      </c>
      <c r="BF133" s="23">
        <f>+'QTR Raw'!AA63</f>
        <v>3.95</v>
      </c>
      <c r="BG133" s="23">
        <f t="shared" si="1052"/>
        <v>3.95</v>
      </c>
      <c r="BH133" s="23">
        <f>+'QTR Raw'!AC63</f>
        <v>2.0299999999999998</v>
      </c>
      <c r="BI133" s="23">
        <f t="shared" si="1052"/>
        <v>2.0299999999999998</v>
      </c>
      <c r="BJ133" s="23">
        <f>+'QTR Raw'!AE63</f>
        <v>2.0299999999999998</v>
      </c>
      <c r="BK133" s="23">
        <f t="shared" si="1052"/>
        <v>2.0299999999999998</v>
      </c>
      <c r="BL133" s="23">
        <f>+'QTR Raw'!AG63</f>
        <v>7.06</v>
      </c>
      <c r="BM133" s="23">
        <f t="shared" si="1052"/>
        <v>7.06</v>
      </c>
      <c r="BN133" s="23">
        <f>+'QTR Raw'!AI63</f>
        <v>0</v>
      </c>
      <c r="BO133" s="23">
        <f t="shared" si="1052"/>
        <v>0</v>
      </c>
      <c r="BP133" s="23">
        <f>+'QTR Raw'!AK63</f>
        <v>0</v>
      </c>
      <c r="BQ133" s="23">
        <f t="shared" si="1052"/>
        <v>0</v>
      </c>
      <c r="BR133" s="23">
        <f>+'QTR Raw'!AM63</f>
        <v>0</v>
      </c>
      <c r="BS133" s="23">
        <f t="shared" si="1052"/>
        <v>0</v>
      </c>
      <c r="BT133" s="23">
        <f>+'QTR Raw'!AO63</f>
        <v>0</v>
      </c>
      <c r="BU133" s="23">
        <f t="shared" si="1052"/>
        <v>0</v>
      </c>
      <c r="BV133" s="23">
        <f>+'QTR Raw'!AQ63</f>
        <v>0</v>
      </c>
      <c r="BW133" s="23">
        <f t="shared" si="1052"/>
        <v>0</v>
      </c>
      <c r="BX133" s="23">
        <f>+'QTR Raw'!AS63</f>
        <v>0</v>
      </c>
      <c r="BY133" s="23">
        <f t="shared" si="1052"/>
        <v>0</v>
      </c>
      <c r="BZ133" s="23">
        <f>+'QTR Raw'!AU63</f>
        <v>0</v>
      </c>
      <c r="CA133" s="23">
        <f t="shared" si="1052"/>
        <v>0</v>
      </c>
      <c r="CB133" s="23">
        <f>+'QTR Raw'!AW63</f>
        <v>0</v>
      </c>
      <c r="CC133" s="23">
        <f t="shared" si="1052"/>
        <v>0</v>
      </c>
      <c r="CD133" s="23">
        <f>+'QTR Raw'!AY63</f>
        <v>0</v>
      </c>
      <c r="CE133" s="23">
        <f t="shared" si="1052"/>
        <v>0</v>
      </c>
      <c r="CF133" s="23">
        <f>+'QTR Raw'!BA63</f>
        <v>0</v>
      </c>
      <c r="CG133" s="23">
        <f t="shared" si="1052"/>
        <v>0</v>
      </c>
      <c r="CH133" s="23">
        <f>+'QTR Raw'!BC63</f>
        <v>0</v>
      </c>
      <c r="CI133" s="23">
        <f t="shared" si="1052"/>
        <v>0</v>
      </c>
      <c r="CJ133" s="23">
        <f t="shared" si="1053"/>
        <v>0</v>
      </c>
      <c r="CK133" s="23">
        <f t="shared" si="1052"/>
        <v>0</v>
      </c>
      <c r="CL133" s="24">
        <f t="shared" si="1054"/>
        <v>0</v>
      </c>
      <c r="CM133" s="24">
        <f t="shared" si="1055"/>
        <v>0</v>
      </c>
      <c r="CN133" s="24">
        <f t="shared" si="1056"/>
        <v>0</v>
      </c>
      <c r="CO133" s="24">
        <f t="shared" si="1057"/>
        <v>0</v>
      </c>
      <c r="CP133" s="24">
        <f t="shared" si="1058"/>
        <v>0</v>
      </c>
      <c r="CQ133" s="24">
        <f t="shared" si="1059"/>
        <v>0</v>
      </c>
      <c r="CR133" s="24">
        <f t="shared" si="1060"/>
        <v>0</v>
      </c>
      <c r="CS133" s="24">
        <f t="shared" si="1061"/>
        <v>0</v>
      </c>
      <c r="CT133" s="24">
        <f t="shared" si="1062"/>
        <v>0</v>
      </c>
      <c r="CU133" s="24">
        <f t="shared" si="1063"/>
        <v>0</v>
      </c>
      <c r="CV133" s="24">
        <f t="shared" si="1064"/>
        <v>0</v>
      </c>
      <c r="CW133" s="24">
        <f t="shared" si="1065"/>
        <v>0</v>
      </c>
      <c r="CX133" s="24">
        <f t="shared" si="1066"/>
        <v>0</v>
      </c>
      <c r="CY133" s="24">
        <f t="shared" si="1067"/>
        <v>0</v>
      </c>
      <c r="CZ133" s="24">
        <f t="shared" si="1068"/>
        <v>0</v>
      </c>
      <c r="DB133" s="123"/>
      <c r="DC133" s="23">
        <v>0</v>
      </c>
    </row>
    <row r="134" spans="1:107" s="23" customFormat="1" outlineLevel="1" x14ac:dyDescent="0.2">
      <c r="A134" s="23" t="s">
        <v>47</v>
      </c>
      <c r="B134" s="23">
        <f>'Annual Raw'!C87+'Annual Raw'!C88+'Annual Raw'!C89+'Annual Raw'!C90</f>
        <v>0</v>
      </c>
      <c r="C134" s="23">
        <f>'Annual Raw'!D87+'Annual Raw'!D88+'Annual Raw'!D89+'Annual Raw'!D90</f>
        <v>0</v>
      </c>
      <c r="D134" s="23">
        <f>'Annual Raw'!E87+'Annual Raw'!E88+'Annual Raw'!E89+'Annual Raw'!E90</f>
        <v>0</v>
      </c>
      <c r="E134" s="23">
        <f>'Annual Raw'!F87+'Annual Raw'!F88+'Annual Raw'!F89+'Annual Raw'!F90</f>
        <v>0</v>
      </c>
      <c r="F134" s="23">
        <f>'Annual Raw'!G87+'Annual Raw'!G88+'Annual Raw'!G89+'Annual Raw'!G90</f>
        <v>0</v>
      </c>
      <c r="G134" s="23">
        <f>'Annual Raw'!H87+'Annual Raw'!H88+'Annual Raw'!H89+'Annual Raw'!H90</f>
        <v>0</v>
      </c>
      <c r="H134" s="23">
        <f>'Annual Raw'!I87+'Annual Raw'!I88+'Annual Raw'!I89+'Annual Raw'!I90</f>
        <v>0</v>
      </c>
      <c r="I134" s="23">
        <f>'Annual Raw'!J87+'Annual Raw'!J88+'Annual Raw'!J89+'Annual Raw'!J90</f>
        <v>0</v>
      </c>
      <c r="J134" s="23">
        <f>'Annual Raw'!K87+'Annual Raw'!K88+'Annual Raw'!K89+'Annual Raw'!K90</f>
        <v>0</v>
      </c>
      <c r="K134" s="23">
        <f>'Annual Raw'!L87+'Annual Raw'!L88+'Annual Raw'!L89+'Annual Raw'!L90</f>
        <v>0</v>
      </c>
      <c r="L134" s="23">
        <f>'Annual Raw'!M87+'Annual Raw'!M88+'Annual Raw'!M89+'Annual Raw'!M90</f>
        <v>0</v>
      </c>
      <c r="M134" s="23">
        <f>'Annual Raw'!N87+'Annual Raw'!N88+'Annual Raw'!N89+'Annual Raw'!N90</f>
        <v>0</v>
      </c>
      <c r="N134" s="23">
        <f>'Annual Raw'!O87+'Annual Raw'!O88+'Annual Raw'!O89+'Annual Raw'!O90</f>
        <v>0</v>
      </c>
      <c r="O134" s="23">
        <f>'Annual Raw'!P87+'Annual Raw'!P88+'Annual Raw'!P89+'Annual Raw'!P90</f>
        <v>0</v>
      </c>
      <c r="P134" s="23">
        <f>'Annual Raw'!Q87+'Annual Raw'!Q88+'Annual Raw'!Q89+'Annual Raw'!Q90</f>
        <v>0</v>
      </c>
      <c r="Q134" s="23">
        <f>'Annual Raw'!R87+'Annual Raw'!R88+'Annual Raw'!R89+'Annual Raw'!R90</f>
        <v>0</v>
      </c>
      <c r="R134" s="23">
        <f>'Annual Raw'!S87+'Annual Raw'!S88+'Annual Raw'!S89+'Annual Raw'!S90</f>
        <v>604.21</v>
      </c>
      <c r="S134" s="23">
        <f>'Annual Raw'!T87+'Annual Raw'!T88+'Annual Raw'!T89+'Annual Raw'!T90</f>
        <v>4.8899999999999997</v>
      </c>
      <c r="T134" s="23">
        <f>'Annual Raw'!U87+'Annual Raw'!U88+'Annual Raw'!U89+'Annual Raw'!U90</f>
        <v>6.48</v>
      </c>
      <c r="U134" s="23">
        <f>'Annual Raw'!V87+'Annual Raw'!V88+'Annual Raw'!V89+'Annual Raw'!V90</f>
        <v>0</v>
      </c>
      <c r="V134" s="23">
        <f>'Annual Raw'!W87+'Annual Raw'!W88+'Annual Raw'!W89+'Annual Raw'!W90</f>
        <v>0</v>
      </c>
      <c r="W134" s="23">
        <f>'Annual Raw'!X87+'Annual Raw'!X88+'Annual Raw'!X89+'Annual Raw'!X90</f>
        <v>0</v>
      </c>
      <c r="X134" s="23">
        <f>'Annual Raw'!Y87+'Annual Raw'!Y88+'Annual Raw'!Y89+'Annual Raw'!Y90</f>
        <v>0</v>
      </c>
      <c r="Y134" s="23">
        <f>'Annual Raw'!Z87+'Annual Raw'!Z88+'Annual Raw'!Z89+'Annual Raw'!Z90</f>
        <v>0</v>
      </c>
      <c r="Z134" s="23">
        <f>'Annual Raw'!AA87+'Annual Raw'!AA88+'Annual Raw'!AA89+'Annual Raw'!AA90</f>
        <v>0</v>
      </c>
      <c r="AA134" s="24">
        <f t="shared" si="1048"/>
        <v>0</v>
      </c>
      <c r="AB134" s="24">
        <f t="shared" si="1049"/>
        <v>0</v>
      </c>
      <c r="AC134" s="24">
        <f t="shared" si="1050"/>
        <v>0</v>
      </c>
      <c r="AD134" s="24">
        <f t="shared" si="1051"/>
        <v>0</v>
      </c>
      <c r="AI134" s="23">
        <f t="shared" si="1052"/>
        <v>0</v>
      </c>
      <c r="AJ134" s="23">
        <f>+'QTR Raw'!E90</f>
        <v>0</v>
      </c>
      <c r="AK134" s="23">
        <f t="shared" si="1052"/>
        <v>0</v>
      </c>
      <c r="AL134" s="23">
        <f>+'QTR Raw'!G90</f>
        <v>0</v>
      </c>
      <c r="AM134" s="23">
        <f t="shared" si="1052"/>
        <v>0</v>
      </c>
      <c r="AN134" s="23">
        <f>+'QTR Raw'!I90</f>
        <v>0</v>
      </c>
      <c r="AO134" s="23">
        <f t="shared" si="1052"/>
        <v>0</v>
      </c>
      <c r="AP134" s="23">
        <f>+'QTR Raw'!K90</f>
        <v>0</v>
      </c>
      <c r="AQ134" s="23">
        <f t="shared" si="1052"/>
        <v>0</v>
      </c>
      <c r="AR134" s="23">
        <f>+'QTR Raw'!M90</f>
        <v>0</v>
      </c>
      <c r="AS134" s="23">
        <f t="shared" si="1052"/>
        <v>0</v>
      </c>
      <c r="AT134" s="23">
        <f>+'QTR Raw'!O90</f>
        <v>0</v>
      </c>
      <c r="AU134" s="23">
        <f t="shared" si="1052"/>
        <v>0</v>
      </c>
      <c r="AV134" s="23">
        <f>+'QTR Raw'!Q90</f>
        <v>0</v>
      </c>
      <c r="AW134" s="23">
        <f t="shared" si="1052"/>
        <v>0</v>
      </c>
      <c r="AX134" s="23">
        <f>+'QTR Raw'!S90</f>
        <v>0</v>
      </c>
      <c r="AY134" s="23">
        <f t="shared" si="1052"/>
        <v>0</v>
      </c>
      <c r="AZ134" s="23">
        <f>+'QTR Raw'!U90</f>
        <v>0</v>
      </c>
      <c r="BA134" s="23">
        <f t="shared" si="1052"/>
        <v>0</v>
      </c>
      <c r="BB134" s="23">
        <f>+'QTR Raw'!W90</f>
        <v>0</v>
      </c>
      <c r="BC134" s="23">
        <f t="shared" si="1052"/>
        <v>0</v>
      </c>
      <c r="BD134" s="23">
        <f>+'QTR Raw'!Y90</f>
        <v>0</v>
      </c>
      <c r="BE134" s="23">
        <f t="shared" si="1052"/>
        <v>0</v>
      </c>
      <c r="BF134" s="23">
        <f>+'QTR Raw'!AA90</f>
        <v>0</v>
      </c>
      <c r="BG134" s="23">
        <f t="shared" si="1052"/>
        <v>0</v>
      </c>
      <c r="BH134" s="23">
        <f>+'QTR Raw'!AC90</f>
        <v>0</v>
      </c>
      <c r="BI134" s="23">
        <f t="shared" si="1052"/>
        <v>0</v>
      </c>
      <c r="BJ134" s="23">
        <f>+'QTR Raw'!AE90</f>
        <v>0</v>
      </c>
      <c r="BK134" s="23">
        <f t="shared" si="1052"/>
        <v>0</v>
      </c>
      <c r="BL134" s="23">
        <f>+'QTR Raw'!AG90</f>
        <v>0</v>
      </c>
      <c r="BM134" s="23">
        <f t="shared" si="1052"/>
        <v>0</v>
      </c>
      <c r="BN134" s="23">
        <f>+'QTR Raw'!AI90</f>
        <v>0</v>
      </c>
      <c r="BO134" s="23">
        <f t="shared" si="1052"/>
        <v>0</v>
      </c>
      <c r="BP134" s="23">
        <f>+'QTR Raw'!AK90</f>
        <v>0</v>
      </c>
      <c r="BQ134" s="23">
        <f t="shared" si="1052"/>
        <v>0</v>
      </c>
      <c r="BR134" s="23">
        <f>+'QTR Raw'!AM90</f>
        <v>0</v>
      </c>
      <c r="BS134" s="23">
        <f t="shared" si="1052"/>
        <v>0</v>
      </c>
      <c r="BT134" s="23">
        <f>+'QTR Raw'!AO90</f>
        <v>0</v>
      </c>
      <c r="BU134" s="23">
        <f t="shared" si="1052"/>
        <v>0</v>
      </c>
      <c r="BV134" s="23">
        <f>+'QTR Raw'!AQ90</f>
        <v>0</v>
      </c>
      <c r="BW134" s="23">
        <f t="shared" si="1052"/>
        <v>0</v>
      </c>
      <c r="BX134" s="23">
        <f>+'QTR Raw'!AS90</f>
        <v>0</v>
      </c>
      <c r="BY134" s="23">
        <f t="shared" si="1052"/>
        <v>0</v>
      </c>
      <c r="BZ134" s="23">
        <f>+'QTR Raw'!AU90</f>
        <v>0</v>
      </c>
      <c r="CA134" s="23">
        <f t="shared" si="1052"/>
        <v>0</v>
      </c>
      <c r="CB134" s="23">
        <f>+'QTR Raw'!AW90</f>
        <v>0</v>
      </c>
      <c r="CC134" s="23">
        <f t="shared" si="1052"/>
        <v>0</v>
      </c>
      <c r="CD134" s="23">
        <f>+'QTR Raw'!AY90</f>
        <v>0</v>
      </c>
      <c r="CE134" s="23">
        <f t="shared" si="1052"/>
        <v>0</v>
      </c>
      <c r="CF134" s="23">
        <f>+'QTR Raw'!BA90</f>
        <v>0</v>
      </c>
      <c r="CG134" s="23">
        <f t="shared" si="1052"/>
        <v>0</v>
      </c>
      <c r="CH134" s="23">
        <f>+'QTR Raw'!BC90</f>
        <v>0</v>
      </c>
      <c r="CI134" s="23">
        <f t="shared" si="1052"/>
        <v>0</v>
      </c>
      <c r="CJ134" s="23">
        <f t="shared" si="1053"/>
        <v>0</v>
      </c>
      <c r="CK134" s="23">
        <f t="shared" si="1052"/>
        <v>0</v>
      </c>
      <c r="CL134" s="24">
        <f t="shared" si="1054"/>
        <v>0</v>
      </c>
      <c r="CM134" s="24">
        <f t="shared" si="1055"/>
        <v>0</v>
      </c>
      <c r="CN134" s="24">
        <f t="shared" si="1056"/>
        <v>0</v>
      </c>
      <c r="CO134" s="24">
        <f t="shared" si="1057"/>
        <v>0</v>
      </c>
      <c r="CP134" s="24">
        <f t="shared" si="1058"/>
        <v>0</v>
      </c>
      <c r="CQ134" s="24">
        <f t="shared" si="1059"/>
        <v>0</v>
      </c>
      <c r="CR134" s="24">
        <f t="shared" si="1060"/>
        <v>0</v>
      </c>
      <c r="CS134" s="24">
        <f t="shared" si="1061"/>
        <v>0</v>
      </c>
      <c r="CT134" s="24">
        <f t="shared" si="1062"/>
        <v>0</v>
      </c>
      <c r="CU134" s="24">
        <f t="shared" si="1063"/>
        <v>0</v>
      </c>
      <c r="CV134" s="24">
        <f t="shared" si="1064"/>
        <v>0</v>
      </c>
      <c r="CW134" s="24">
        <f t="shared" si="1065"/>
        <v>0</v>
      </c>
      <c r="CX134" s="24">
        <f t="shared" si="1066"/>
        <v>0</v>
      </c>
      <c r="CY134" s="24">
        <f t="shared" si="1067"/>
        <v>0</v>
      </c>
      <c r="CZ134" s="24">
        <f t="shared" si="1068"/>
        <v>0</v>
      </c>
      <c r="DB134" s="123"/>
      <c r="DC134" s="23">
        <v>0</v>
      </c>
    </row>
    <row r="135" spans="1:107" s="23" customFormat="1" outlineLevel="1" x14ac:dyDescent="0.2">
      <c r="A135" s="23" t="s">
        <v>48</v>
      </c>
      <c r="B135" s="23">
        <f>'Annual Raw'!C56</f>
        <v>0</v>
      </c>
      <c r="C135" s="23">
        <f>'Annual Raw'!D56</f>
        <v>0</v>
      </c>
      <c r="D135" s="23">
        <f>'Annual Raw'!E56</f>
        <v>0</v>
      </c>
      <c r="E135" s="23">
        <f>'Annual Raw'!F56</f>
        <v>0</v>
      </c>
      <c r="F135" s="23">
        <f>'Annual Raw'!G56</f>
        <v>0</v>
      </c>
      <c r="G135" s="23">
        <f>'Annual Raw'!H56</f>
        <v>0</v>
      </c>
      <c r="H135" s="23">
        <f>'Annual Raw'!I56</f>
        <v>0</v>
      </c>
      <c r="I135" s="23">
        <f>'Annual Raw'!J56</f>
        <v>0</v>
      </c>
      <c r="J135" s="23">
        <f>'Annual Raw'!K56</f>
        <v>0</v>
      </c>
      <c r="K135" s="23">
        <f>'Annual Raw'!L56</f>
        <v>0</v>
      </c>
      <c r="L135" s="23">
        <f>'Annual Raw'!M56</f>
        <v>0</v>
      </c>
      <c r="M135" s="23">
        <f>'Annual Raw'!N56</f>
        <v>327.68</v>
      </c>
      <c r="N135" s="23">
        <f>'Annual Raw'!O56</f>
        <v>620.11</v>
      </c>
      <c r="O135" s="23">
        <f>'Annual Raw'!P56</f>
        <v>371.07</v>
      </c>
      <c r="P135" s="23">
        <f>'Annual Raw'!Q56</f>
        <v>0</v>
      </c>
      <c r="Q135" s="23">
        <f>'Annual Raw'!R56</f>
        <v>0.04</v>
      </c>
      <c r="R135" s="23">
        <f>'Annual Raw'!S56</f>
        <v>0</v>
      </c>
      <c r="S135" s="23">
        <f>'Annual Raw'!T56</f>
        <v>0</v>
      </c>
      <c r="T135" s="23">
        <f>'Annual Raw'!U56</f>
        <v>0</v>
      </c>
      <c r="U135" s="23">
        <f>'Annual Raw'!V56</f>
        <v>0</v>
      </c>
      <c r="V135" s="23">
        <f>'Annual Raw'!W56</f>
        <v>0</v>
      </c>
      <c r="W135" s="23">
        <f>'Annual Raw'!X56</f>
        <v>0</v>
      </c>
      <c r="X135" s="23">
        <f>'Annual Raw'!Y56</f>
        <v>0</v>
      </c>
      <c r="Y135" s="23">
        <f>'Annual Raw'!Z56</f>
        <v>0</v>
      </c>
      <c r="Z135" s="23">
        <f>'Annual Raw'!AA56</f>
        <v>0</v>
      </c>
      <c r="AA135" s="24">
        <f t="shared" si="1048"/>
        <v>0</v>
      </c>
      <c r="AB135" s="24">
        <f t="shared" si="1049"/>
        <v>0</v>
      </c>
      <c r="AC135" s="24">
        <f t="shared" si="1050"/>
        <v>0</v>
      </c>
      <c r="AD135" s="24">
        <f t="shared" si="1051"/>
        <v>0</v>
      </c>
      <c r="AI135" s="23">
        <f t="shared" si="1052"/>
        <v>0</v>
      </c>
      <c r="AJ135" s="23">
        <f>+'QTR Raw'!E88</f>
        <v>327.68</v>
      </c>
      <c r="AK135" s="23">
        <f t="shared" si="1052"/>
        <v>327.68</v>
      </c>
      <c r="AL135" s="23">
        <f>+'QTR Raw'!G88</f>
        <v>788.16</v>
      </c>
      <c r="AM135" s="23">
        <f t="shared" si="1052"/>
        <v>788.16</v>
      </c>
      <c r="AN135" s="23">
        <f>+'QTR Raw'!I88</f>
        <v>620.11</v>
      </c>
      <c r="AO135" s="23">
        <f t="shared" si="1052"/>
        <v>620.11</v>
      </c>
      <c r="AP135" s="23">
        <f>+'QTR Raw'!K88</f>
        <v>808</v>
      </c>
      <c r="AQ135" s="23">
        <f t="shared" si="1052"/>
        <v>808</v>
      </c>
      <c r="AR135" s="23">
        <f>+'QTR Raw'!M88</f>
        <v>371.07</v>
      </c>
      <c r="AS135" s="23">
        <f t="shared" si="1052"/>
        <v>371.07</v>
      </c>
      <c r="AT135" s="23">
        <f>+'QTR Raw'!O88</f>
        <v>671.33</v>
      </c>
      <c r="AU135" s="23">
        <f t="shared" si="1052"/>
        <v>671.33</v>
      </c>
      <c r="AV135" s="23">
        <f>+'QTR Raw'!Q88</f>
        <v>0</v>
      </c>
      <c r="AW135" s="23">
        <f t="shared" si="1052"/>
        <v>0</v>
      </c>
      <c r="AX135" s="23">
        <f>+'QTR Raw'!S88</f>
        <v>15.14</v>
      </c>
      <c r="AY135" s="23">
        <f t="shared" si="1052"/>
        <v>15.14</v>
      </c>
      <c r="AZ135" s="23">
        <f>+'QTR Raw'!U88</f>
        <v>0.04</v>
      </c>
      <c r="BA135" s="23">
        <f t="shared" si="1052"/>
        <v>0.04</v>
      </c>
      <c r="BB135" s="23">
        <f>+'QTR Raw'!W88</f>
        <v>0</v>
      </c>
      <c r="BC135" s="23">
        <f t="shared" si="1052"/>
        <v>0</v>
      </c>
      <c r="BD135" s="23">
        <f>+'QTR Raw'!Y88</f>
        <v>0</v>
      </c>
      <c r="BE135" s="23">
        <f t="shared" si="1052"/>
        <v>0</v>
      </c>
      <c r="BF135" s="23">
        <f>+'QTR Raw'!AA88</f>
        <v>0</v>
      </c>
      <c r="BG135" s="23">
        <f t="shared" si="1052"/>
        <v>0</v>
      </c>
      <c r="BH135" s="23">
        <f>+'QTR Raw'!AC88</f>
        <v>0</v>
      </c>
      <c r="BI135" s="23">
        <f t="shared" si="1052"/>
        <v>0</v>
      </c>
      <c r="BJ135" s="23">
        <f>+'QTR Raw'!AE88</f>
        <v>0</v>
      </c>
      <c r="BK135" s="23">
        <f t="shared" si="1052"/>
        <v>0</v>
      </c>
      <c r="BL135" s="23">
        <f>+'QTR Raw'!AG88</f>
        <v>0</v>
      </c>
      <c r="BM135" s="23">
        <f t="shared" si="1052"/>
        <v>0</v>
      </c>
      <c r="BN135" s="23">
        <f>+'QTR Raw'!AI88</f>
        <v>0</v>
      </c>
      <c r="BO135" s="23">
        <f t="shared" si="1052"/>
        <v>0</v>
      </c>
      <c r="BP135" s="23">
        <f>+'QTR Raw'!AK88</f>
        <v>0</v>
      </c>
      <c r="BQ135" s="23">
        <f t="shared" si="1052"/>
        <v>0</v>
      </c>
      <c r="BR135" s="23">
        <f>+'QTR Raw'!AM88</f>
        <v>0</v>
      </c>
      <c r="BS135" s="23">
        <f t="shared" si="1052"/>
        <v>0</v>
      </c>
      <c r="BT135" s="23">
        <f>+'QTR Raw'!AO88</f>
        <v>0</v>
      </c>
      <c r="BU135" s="23">
        <f t="shared" si="1052"/>
        <v>0</v>
      </c>
      <c r="BV135" s="23">
        <f>+'QTR Raw'!AQ88</f>
        <v>0</v>
      </c>
      <c r="BW135" s="23">
        <f t="shared" si="1052"/>
        <v>0</v>
      </c>
      <c r="BX135" s="23">
        <f>+'QTR Raw'!AS88</f>
        <v>0</v>
      </c>
      <c r="BY135" s="23">
        <f t="shared" si="1052"/>
        <v>0</v>
      </c>
      <c r="BZ135" s="23">
        <f>+'QTR Raw'!AU88</f>
        <v>0</v>
      </c>
      <c r="CA135" s="23">
        <f t="shared" si="1052"/>
        <v>0</v>
      </c>
      <c r="CB135" s="23">
        <f>+'QTR Raw'!AW88</f>
        <v>0</v>
      </c>
      <c r="CC135" s="23">
        <f t="shared" si="1052"/>
        <v>0</v>
      </c>
      <c r="CD135" s="23">
        <f>+'QTR Raw'!AY88</f>
        <v>0</v>
      </c>
      <c r="CE135" s="23">
        <f t="shared" si="1052"/>
        <v>0</v>
      </c>
      <c r="CF135" s="23">
        <f>+'QTR Raw'!BA88</f>
        <v>0</v>
      </c>
      <c r="CG135" s="23">
        <f t="shared" si="1052"/>
        <v>0</v>
      </c>
      <c r="CH135" s="23">
        <f>+'QTR Raw'!BC88</f>
        <v>0</v>
      </c>
      <c r="CI135" s="23">
        <f t="shared" si="1052"/>
        <v>0</v>
      </c>
      <c r="CJ135" s="23">
        <f t="shared" si="1053"/>
        <v>0</v>
      </c>
      <c r="CK135" s="23">
        <f t="shared" si="1052"/>
        <v>0</v>
      </c>
      <c r="CL135" s="24">
        <f t="shared" si="1054"/>
        <v>0</v>
      </c>
      <c r="CM135" s="24">
        <f t="shared" si="1055"/>
        <v>0</v>
      </c>
      <c r="CN135" s="24">
        <f t="shared" si="1056"/>
        <v>0</v>
      </c>
      <c r="CO135" s="24">
        <f t="shared" si="1057"/>
        <v>0</v>
      </c>
      <c r="CP135" s="24">
        <f t="shared" si="1058"/>
        <v>0</v>
      </c>
      <c r="CQ135" s="24">
        <f t="shared" si="1059"/>
        <v>0</v>
      </c>
      <c r="CR135" s="24">
        <f t="shared" si="1060"/>
        <v>0</v>
      </c>
      <c r="CS135" s="24">
        <f t="shared" si="1061"/>
        <v>0</v>
      </c>
      <c r="CT135" s="24">
        <f t="shared" si="1062"/>
        <v>0</v>
      </c>
      <c r="CU135" s="24">
        <f t="shared" si="1063"/>
        <v>0</v>
      </c>
      <c r="CV135" s="24">
        <f t="shared" si="1064"/>
        <v>0</v>
      </c>
      <c r="CW135" s="24">
        <f t="shared" si="1065"/>
        <v>0</v>
      </c>
      <c r="CX135" s="24">
        <f t="shared" si="1066"/>
        <v>0</v>
      </c>
      <c r="CY135" s="24">
        <f t="shared" si="1067"/>
        <v>0</v>
      </c>
      <c r="CZ135" s="24">
        <f t="shared" si="1068"/>
        <v>0</v>
      </c>
      <c r="DB135" s="123"/>
      <c r="DC135" s="23">
        <v>0</v>
      </c>
    </row>
    <row r="136" spans="1:107" s="22" customFormat="1" x14ac:dyDescent="0.2">
      <c r="A136" s="22" t="s">
        <v>49</v>
      </c>
      <c r="B136" s="22">
        <f>SUM(B132:B135)</f>
        <v>10.7967</v>
      </c>
      <c r="C136" s="22">
        <f t="shared" ref="C136:V136" si="1069">SUM(C132:C135)</f>
        <v>12.3698</v>
      </c>
      <c r="D136" s="22">
        <f t="shared" si="1069"/>
        <v>10.104100000000001</v>
      </c>
      <c r="E136" s="22">
        <f t="shared" si="1069"/>
        <v>1.4932000000000001</v>
      </c>
      <c r="F136" s="22">
        <f t="shared" si="1069"/>
        <v>2.7267000000000001</v>
      </c>
      <c r="G136" s="22">
        <f t="shared" si="1069"/>
        <v>1.5457000000000001</v>
      </c>
      <c r="H136" s="22">
        <f t="shared" si="1069"/>
        <v>0.56599999999999995</v>
      </c>
      <c r="I136" s="22">
        <f t="shared" si="1069"/>
        <v>2.0199999999999999E-2</v>
      </c>
      <c r="J136" s="22">
        <f t="shared" si="1069"/>
        <v>0</v>
      </c>
      <c r="K136" s="22">
        <f t="shared" si="1069"/>
        <v>0</v>
      </c>
      <c r="L136" s="22">
        <f t="shared" si="1069"/>
        <v>0</v>
      </c>
      <c r="M136" s="22">
        <f t="shared" si="1069"/>
        <v>327.68</v>
      </c>
      <c r="N136" s="22">
        <f t="shared" si="1069"/>
        <v>620.11</v>
      </c>
      <c r="O136" s="22">
        <f t="shared" si="1069"/>
        <v>371.07</v>
      </c>
      <c r="P136" s="22">
        <f t="shared" si="1069"/>
        <v>600</v>
      </c>
      <c r="Q136" s="22">
        <f t="shared" si="1069"/>
        <v>600.04</v>
      </c>
      <c r="R136" s="22">
        <f t="shared" si="1069"/>
        <v>608.35</v>
      </c>
      <c r="S136" s="22">
        <f t="shared" si="1069"/>
        <v>6.92</v>
      </c>
      <c r="T136" s="22">
        <f t="shared" si="1069"/>
        <v>13.54</v>
      </c>
      <c r="U136" s="22">
        <f t="shared" si="1069"/>
        <v>0</v>
      </c>
      <c r="V136" s="22">
        <f t="shared" si="1069"/>
        <v>0</v>
      </c>
      <c r="W136" s="22">
        <f t="shared" ref="W136" si="1070">SUM(W132:W135)</f>
        <v>0</v>
      </c>
      <c r="X136" s="22">
        <f t="shared" ref="X136:Y136" si="1071">SUM(X132:X135)</f>
        <v>0</v>
      </c>
      <c r="Y136" s="22">
        <f t="shared" si="1071"/>
        <v>0</v>
      </c>
      <c r="Z136" s="22">
        <f t="shared" ref="Z136" si="1072">SUM(Z132:Z135)</f>
        <v>0</v>
      </c>
      <c r="AA136" s="21">
        <f t="shared" ref="AA136:AD136" si="1073">SUM(AA132:AA135)</f>
        <v>0</v>
      </c>
      <c r="AB136" s="21">
        <f t="shared" si="1073"/>
        <v>0</v>
      </c>
      <c r="AC136" s="21">
        <f t="shared" si="1073"/>
        <v>0</v>
      </c>
      <c r="AD136" s="21">
        <f t="shared" si="1073"/>
        <v>0</v>
      </c>
      <c r="AI136" s="22">
        <f t="shared" ref="AI136" si="1074">SUM(AI132:AI135)</f>
        <v>0</v>
      </c>
      <c r="AJ136" s="22">
        <f t="shared" ref="AJ136:AK136" si="1075">SUM(AJ132:AJ135)</f>
        <v>327.68</v>
      </c>
      <c r="AK136" s="22">
        <f t="shared" si="1075"/>
        <v>327.68</v>
      </c>
      <c r="AL136" s="22">
        <f t="shared" ref="AL136:AM136" si="1076">SUM(AL132:AL135)</f>
        <v>788.16</v>
      </c>
      <c r="AM136" s="22">
        <f t="shared" si="1076"/>
        <v>788.16</v>
      </c>
      <c r="AN136" s="22">
        <f t="shared" ref="AN136:AO136" si="1077">SUM(AN132:AN135)</f>
        <v>620.11</v>
      </c>
      <c r="AO136" s="22">
        <f t="shared" si="1077"/>
        <v>620.11</v>
      </c>
      <c r="AP136" s="22">
        <f t="shared" ref="AP136:CE136" si="1078">SUM(AP132:AP135)</f>
        <v>808</v>
      </c>
      <c r="AQ136" s="22">
        <f t="shared" si="1078"/>
        <v>808</v>
      </c>
      <c r="AR136" s="22">
        <f t="shared" si="1078"/>
        <v>371.07</v>
      </c>
      <c r="AS136" s="22">
        <f t="shared" si="1078"/>
        <v>371.07</v>
      </c>
      <c r="AT136" s="22">
        <f t="shared" si="1078"/>
        <v>671.33</v>
      </c>
      <c r="AU136" s="22">
        <f t="shared" si="1078"/>
        <v>671.33</v>
      </c>
      <c r="AV136" s="22">
        <f t="shared" si="1078"/>
        <v>600</v>
      </c>
      <c r="AW136" s="22">
        <f t="shared" si="1078"/>
        <v>600</v>
      </c>
      <c r="AX136" s="22">
        <f t="shared" si="1078"/>
        <v>615.14</v>
      </c>
      <c r="AY136" s="22">
        <f t="shared" si="1078"/>
        <v>615.14</v>
      </c>
      <c r="AZ136" s="22">
        <f t="shared" si="1078"/>
        <v>600.04</v>
      </c>
      <c r="BA136" s="22">
        <f t="shared" si="1078"/>
        <v>600.04</v>
      </c>
      <c r="BB136" s="22">
        <f t="shared" si="1078"/>
        <v>600</v>
      </c>
      <c r="BC136" s="22">
        <f t="shared" si="1078"/>
        <v>600</v>
      </c>
      <c r="BD136" s="22">
        <f t="shared" si="1078"/>
        <v>4.1399999999999997</v>
      </c>
      <c r="BE136" s="22">
        <f t="shared" si="1078"/>
        <v>4.1399999999999997</v>
      </c>
      <c r="BF136" s="22">
        <f t="shared" si="1078"/>
        <v>3.95</v>
      </c>
      <c r="BG136" s="22">
        <f t="shared" si="1078"/>
        <v>3.95</v>
      </c>
      <c r="BH136" s="22">
        <f t="shared" ref="BH136:BI136" si="1079">SUM(BH132:BH135)</f>
        <v>2.0299999999999998</v>
      </c>
      <c r="BI136" s="22">
        <f t="shared" si="1079"/>
        <v>2.0299999999999998</v>
      </c>
      <c r="BJ136" s="22">
        <f t="shared" si="1078"/>
        <v>2.0299999999999998</v>
      </c>
      <c r="BK136" s="22">
        <f t="shared" si="1078"/>
        <v>2.0299999999999998</v>
      </c>
      <c r="BL136" s="22">
        <f t="shared" si="1078"/>
        <v>7.06</v>
      </c>
      <c r="BM136" s="22">
        <f t="shared" si="1078"/>
        <v>7.06</v>
      </c>
      <c r="BN136" s="22">
        <f t="shared" si="1078"/>
        <v>0</v>
      </c>
      <c r="BO136" s="22">
        <f t="shared" si="1078"/>
        <v>0</v>
      </c>
      <c r="BP136" s="22">
        <f t="shared" si="1078"/>
        <v>0</v>
      </c>
      <c r="BQ136" s="22">
        <f t="shared" si="1078"/>
        <v>0</v>
      </c>
      <c r="BR136" s="22">
        <f t="shared" si="1078"/>
        <v>0</v>
      </c>
      <c r="BS136" s="22">
        <f t="shared" si="1078"/>
        <v>0</v>
      </c>
      <c r="BT136" s="22">
        <f t="shared" si="1078"/>
        <v>0</v>
      </c>
      <c r="BU136" s="22">
        <f t="shared" si="1078"/>
        <v>0</v>
      </c>
      <c r="BV136" s="22">
        <f t="shared" si="1078"/>
        <v>0</v>
      </c>
      <c r="BW136" s="22">
        <f t="shared" si="1078"/>
        <v>0</v>
      </c>
      <c r="BX136" s="22">
        <f t="shared" si="1078"/>
        <v>0</v>
      </c>
      <c r="BY136" s="22">
        <f t="shared" si="1078"/>
        <v>0</v>
      </c>
      <c r="BZ136" s="22">
        <f t="shared" si="1078"/>
        <v>0</v>
      </c>
      <c r="CA136" s="22">
        <f t="shared" si="1078"/>
        <v>0</v>
      </c>
      <c r="CB136" s="22">
        <f t="shared" si="1078"/>
        <v>0</v>
      </c>
      <c r="CC136" s="22">
        <f t="shared" si="1078"/>
        <v>0</v>
      </c>
      <c r="CD136" s="22">
        <f t="shared" si="1078"/>
        <v>0</v>
      </c>
      <c r="CE136" s="22">
        <f t="shared" si="1078"/>
        <v>0</v>
      </c>
      <c r="CF136" s="22">
        <f t="shared" ref="CF136:CG136" si="1080">SUM(CF132:CF135)</f>
        <v>0</v>
      </c>
      <c r="CG136" s="22">
        <f t="shared" si="1080"/>
        <v>0</v>
      </c>
      <c r="CH136" s="22">
        <f t="shared" ref="CH136" si="1081">SUM(CH132:CH135)</f>
        <v>0</v>
      </c>
      <c r="CI136" s="22">
        <f t="shared" ref="CI136:CK136" si="1082">SUM(CI132:CI135)</f>
        <v>0</v>
      </c>
      <c r="CJ136" s="22">
        <f t="shared" ref="CJ136:CZ136" si="1083">SUM(CJ132:CJ135)</f>
        <v>0</v>
      </c>
      <c r="CK136" s="22">
        <f t="shared" si="1082"/>
        <v>0</v>
      </c>
      <c r="CL136" s="21">
        <f t="shared" si="1083"/>
        <v>0</v>
      </c>
      <c r="CM136" s="21">
        <f t="shared" si="1083"/>
        <v>0</v>
      </c>
      <c r="CN136" s="21">
        <f t="shared" si="1083"/>
        <v>0</v>
      </c>
      <c r="CO136" s="21">
        <f t="shared" si="1083"/>
        <v>0</v>
      </c>
      <c r="CP136" s="21">
        <f t="shared" si="1083"/>
        <v>0</v>
      </c>
      <c r="CQ136" s="21">
        <f t="shared" si="1083"/>
        <v>0</v>
      </c>
      <c r="CR136" s="21">
        <f t="shared" si="1083"/>
        <v>0</v>
      </c>
      <c r="CS136" s="21">
        <f t="shared" si="1083"/>
        <v>0</v>
      </c>
      <c r="CT136" s="21">
        <f t="shared" si="1083"/>
        <v>0</v>
      </c>
      <c r="CU136" s="21">
        <f t="shared" si="1083"/>
        <v>0</v>
      </c>
      <c r="CV136" s="21">
        <f t="shared" si="1083"/>
        <v>0</v>
      </c>
      <c r="CW136" s="21">
        <f t="shared" si="1083"/>
        <v>0</v>
      </c>
      <c r="CX136" s="21">
        <f t="shared" si="1083"/>
        <v>0</v>
      </c>
      <c r="CY136" s="21">
        <f t="shared" si="1083"/>
        <v>0</v>
      </c>
      <c r="CZ136" s="21">
        <f t="shared" si="1083"/>
        <v>0</v>
      </c>
      <c r="DB136" s="126"/>
      <c r="DC136" s="22">
        <v>0</v>
      </c>
    </row>
    <row r="137" spans="1:107" s="26" customFormat="1" x14ac:dyDescent="0.2">
      <c r="A137" s="26" t="s">
        <v>437</v>
      </c>
      <c r="B137" s="26">
        <f>B136+B128+B130</f>
        <v>458.54419999999999</v>
      </c>
      <c r="C137" s="26">
        <f t="shared" ref="C137:V137" si="1084">C136+C128+C130</f>
        <v>524.54170000000011</v>
      </c>
      <c r="D137" s="26">
        <f>D136+D128+D130</f>
        <v>614.25760000000002</v>
      </c>
      <c r="E137" s="26">
        <f t="shared" si="1084"/>
        <v>726.1549</v>
      </c>
      <c r="F137" s="26">
        <f t="shared" si="1084"/>
        <v>906.85460000000012</v>
      </c>
      <c r="G137" s="26">
        <f t="shared" si="1084"/>
        <v>1197.3874999999998</v>
      </c>
      <c r="H137" s="26">
        <f t="shared" si="1084"/>
        <v>1626.9103</v>
      </c>
      <c r="I137" s="26">
        <f t="shared" si="1084"/>
        <v>2118.9733999999999</v>
      </c>
      <c r="J137" s="26">
        <f t="shared" si="1084"/>
        <v>2423.7332000000001</v>
      </c>
      <c r="K137" s="26">
        <f t="shared" si="1084"/>
        <v>2423.7035999999998</v>
      </c>
      <c r="L137" s="26">
        <f t="shared" si="1084"/>
        <v>2536.4299999999998</v>
      </c>
      <c r="M137" s="26">
        <f t="shared" si="1084"/>
        <v>2929.32</v>
      </c>
      <c r="N137" s="26">
        <f t="shared" si="1084"/>
        <v>3297.67</v>
      </c>
      <c r="O137" s="26">
        <f t="shared" si="1084"/>
        <v>3183.05</v>
      </c>
      <c r="P137" s="26">
        <f t="shared" si="1084"/>
        <v>3608.55</v>
      </c>
      <c r="Q137" s="26">
        <f t="shared" si="1084"/>
        <v>3886.74</v>
      </c>
      <c r="R137" s="26">
        <f t="shared" si="1084"/>
        <v>4215.24</v>
      </c>
      <c r="S137" s="26">
        <f t="shared" si="1084"/>
        <v>4014.24</v>
      </c>
      <c r="T137" s="26">
        <f t="shared" si="1084"/>
        <v>3533.6499999999996</v>
      </c>
      <c r="U137" s="26">
        <f t="shared" si="1084"/>
        <v>3606.3799999999997</v>
      </c>
      <c r="V137" s="26">
        <f t="shared" si="1084"/>
        <v>4045.1899999999996</v>
      </c>
      <c r="W137" s="26">
        <f t="shared" ref="W137" si="1085">W136+W128+W130</f>
        <v>4939.41</v>
      </c>
      <c r="X137" s="26">
        <f t="shared" ref="X137:Y137" si="1086">X136+X128+X130</f>
        <v>5944.5999999999995</v>
      </c>
      <c r="Y137" s="26">
        <f t="shared" si="1086"/>
        <v>7075.4</v>
      </c>
      <c r="Z137" s="26">
        <f t="shared" ref="Z137" si="1087">Z136+Z128+Z130</f>
        <v>7835.99</v>
      </c>
      <c r="AA137" s="27">
        <f t="shared" ref="AA137:AD137" si="1088">AA136+AA128+AA130</f>
        <v>9819.869999999999</v>
      </c>
      <c r="AB137" s="27">
        <f t="shared" si="1088"/>
        <v>11734.943530487579</v>
      </c>
      <c r="AC137" s="27">
        <f t="shared" si="1088"/>
        <v>14058.723245922649</v>
      </c>
      <c r="AD137" s="27">
        <f t="shared" si="1088"/>
        <v>16646.05340040183</v>
      </c>
      <c r="AI137" s="26">
        <f t="shared" ref="AI137" si="1089">AI136+AI128+AI130</f>
        <v>21.369999999999763</v>
      </c>
      <c r="AJ137" s="26">
        <f t="shared" ref="AJ137:AK137" si="1090">AJ136+AJ128+AJ130</f>
        <v>2929.32</v>
      </c>
      <c r="AK137" s="26">
        <f t="shared" si="1090"/>
        <v>2972.38</v>
      </c>
      <c r="AL137" s="26">
        <f t="shared" ref="AL137:AM137" si="1091">AL136+AL128+AL130</f>
        <v>3445.9</v>
      </c>
      <c r="AM137" s="26">
        <f t="shared" si="1091"/>
        <v>3483.9300000000003</v>
      </c>
      <c r="AN137" s="26">
        <f t="shared" ref="AN137:AO137" si="1092">AN136+AN128+AN130</f>
        <v>3297.67</v>
      </c>
      <c r="AO137" s="26">
        <f t="shared" si="1092"/>
        <v>3349.35</v>
      </c>
      <c r="AP137" s="26">
        <f t="shared" ref="AP137:CE137" si="1093">AP136+AP128+AP130</f>
        <v>3584.9300000000003</v>
      </c>
      <c r="AQ137" s="26">
        <f t="shared" si="1093"/>
        <v>3629.9100000000003</v>
      </c>
      <c r="AR137" s="26">
        <f t="shared" si="1093"/>
        <v>3183.05</v>
      </c>
      <c r="AS137" s="26">
        <f t="shared" si="1093"/>
        <v>3237.34</v>
      </c>
      <c r="AT137" s="26">
        <f t="shared" si="1093"/>
        <v>3586.11</v>
      </c>
      <c r="AU137" s="26">
        <f t="shared" si="1093"/>
        <v>3644.8500000000004</v>
      </c>
      <c r="AV137" s="26">
        <f t="shared" si="1093"/>
        <v>3608.55</v>
      </c>
      <c r="AW137" s="26">
        <f t="shared" si="1093"/>
        <v>3694</v>
      </c>
      <c r="AX137" s="26">
        <f t="shared" si="1093"/>
        <v>3772.09</v>
      </c>
      <c r="AY137" s="26">
        <f t="shared" si="1093"/>
        <v>3842.66</v>
      </c>
      <c r="AZ137" s="26">
        <f t="shared" si="1093"/>
        <v>3882.82</v>
      </c>
      <c r="BA137" s="26">
        <f t="shared" si="1093"/>
        <v>3972.8000000000006</v>
      </c>
      <c r="BB137" s="26">
        <f t="shared" si="1093"/>
        <v>3953.3900000000003</v>
      </c>
      <c r="BC137" s="26">
        <f t="shared" si="1093"/>
        <v>4036.7799999999997</v>
      </c>
      <c r="BD137" s="26">
        <f t="shared" si="1093"/>
        <v>3611.03</v>
      </c>
      <c r="BE137" s="26">
        <f t="shared" si="1093"/>
        <v>3713.5200000000004</v>
      </c>
      <c r="BF137" s="26">
        <f t="shared" si="1093"/>
        <v>3714.08</v>
      </c>
      <c r="BG137" s="26">
        <f t="shared" si="1093"/>
        <v>3822.42</v>
      </c>
      <c r="BH137" s="26">
        <f t="shared" ref="BH137:BI137" si="1094">BH136+BH128+BH130</f>
        <v>4009.3500000000004</v>
      </c>
      <c r="BI137" s="26">
        <f t="shared" si="1094"/>
        <v>4125.54</v>
      </c>
      <c r="BJ137" s="26">
        <f t="shared" si="1093"/>
        <v>4147.92</v>
      </c>
      <c r="BK137" s="26">
        <f t="shared" si="1093"/>
        <v>4283.2</v>
      </c>
      <c r="BL137" s="26">
        <f t="shared" si="1093"/>
        <v>3527.17</v>
      </c>
      <c r="BM137" s="26">
        <f t="shared" si="1093"/>
        <v>3591.81</v>
      </c>
      <c r="BN137" s="26">
        <f t="shared" si="1093"/>
        <v>3584.42</v>
      </c>
      <c r="BO137" s="26">
        <f t="shared" si="1093"/>
        <v>3665.16</v>
      </c>
      <c r="BP137" s="26">
        <f t="shared" si="1093"/>
        <v>3606.38</v>
      </c>
      <c r="BQ137" s="26">
        <f t="shared" si="1093"/>
        <v>3747.71</v>
      </c>
      <c r="BR137" s="26">
        <f t="shared" si="1093"/>
        <v>3726.37</v>
      </c>
      <c r="BS137" s="26">
        <f t="shared" si="1093"/>
        <v>3846.29</v>
      </c>
      <c r="BT137" s="26">
        <f t="shared" si="1093"/>
        <v>4045.19</v>
      </c>
      <c r="BU137" s="26">
        <f t="shared" si="1093"/>
        <v>4124.8499999999995</v>
      </c>
      <c r="BV137" s="26">
        <f t="shared" si="1093"/>
        <v>4171.59</v>
      </c>
      <c r="BW137" s="26">
        <f t="shared" si="1093"/>
        <v>4369.1499999999996</v>
      </c>
      <c r="BX137" s="26">
        <f t="shared" si="1093"/>
        <v>4939.41</v>
      </c>
      <c r="BY137" s="26">
        <f t="shared" si="1093"/>
        <v>5184.2999999999993</v>
      </c>
      <c r="BZ137" s="26">
        <f t="shared" si="1093"/>
        <v>5368.5</v>
      </c>
      <c r="CA137" s="26">
        <f t="shared" si="1093"/>
        <v>5731.37</v>
      </c>
      <c r="CB137" s="26">
        <f t="shared" si="1093"/>
        <v>5944.6</v>
      </c>
      <c r="CC137" s="26">
        <f t="shared" si="1093"/>
        <v>6403.89</v>
      </c>
      <c r="CD137" s="26">
        <f t="shared" si="1093"/>
        <v>6341.58</v>
      </c>
      <c r="CE137" s="26">
        <f t="shared" si="1093"/>
        <v>6782.03</v>
      </c>
      <c r="CF137" s="26">
        <f t="shared" ref="CF137:CG137" si="1095">CF136+CF128+CF130</f>
        <v>7075.4000000000005</v>
      </c>
      <c r="CG137" s="26">
        <f t="shared" si="1095"/>
        <v>7550.0300000000007</v>
      </c>
      <c r="CH137" s="26">
        <f t="shared" ref="CH137" si="1096">CH136+CH128+CH130</f>
        <v>7194.33</v>
      </c>
      <c r="CI137" s="26">
        <f t="shared" ref="CI137:CK137" si="1097">CI136+CI128+CI130</f>
        <v>7603.37</v>
      </c>
      <c r="CJ137" s="26">
        <f t="shared" ref="CJ137:CZ137" si="1098">CJ136+CJ128+CJ130</f>
        <v>8036.22</v>
      </c>
      <c r="CK137" s="26">
        <f t="shared" si="1097"/>
        <v>9819.869999999999</v>
      </c>
      <c r="CL137" s="27">
        <f t="shared" si="1098"/>
        <v>10272.255282677303</v>
      </c>
      <c r="CM137" s="27">
        <f t="shared" si="1098"/>
        <v>10745.796131766858</v>
      </c>
      <c r="CN137" s="27">
        <f t="shared" si="1098"/>
        <v>11227.45315792224</v>
      </c>
      <c r="CO137" s="27">
        <f t="shared" si="1098"/>
        <v>11734.943530487579</v>
      </c>
      <c r="CP137" s="27">
        <f t="shared" si="1098"/>
        <v>12307.592503824804</v>
      </c>
      <c r="CQ137" s="27">
        <f t="shared" si="1098"/>
        <v>12883.970104567135</v>
      </c>
      <c r="CR137" s="27">
        <f t="shared" si="1098"/>
        <v>13467.973469865476</v>
      </c>
      <c r="CS137" s="27">
        <f t="shared" si="1098"/>
        <v>14058.723245922649</v>
      </c>
      <c r="CT137" s="27">
        <f t="shared" si="1098"/>
        <v>14696.229961199613</v>
      </c>
      <c r="CU137" s="27">
        <f t="shared" si="1098"/>
        <v>15324.471147689732</v>
      </c>
      <c r="CV137" s="27">
        <f t="shared" si="1098"/>
        <v>15947.700897284867</v>
      </c>
      <c r="CW137" s="27">
        <f t="shared" si="1098"/>
        <v>16646.05340040183</v>
      </c>
      <c r="CX137" s="27">
        <f t="shared" si="1098"/>
        <v>17394.78712057908</v>
      </c>
      <c r="CY137" s="27">
        <f t="shared" si="1098"/>
        <v>18140.477104303693</v>
      </c>
      <c r="CZ137" s="27">
        <f t="shared" si="1098"/>
        <v>18894.720120514958</v>
      </c>
      <c r="DB137" s="121"/>
      <c r="DC137" s="26">
        <v>0</v>
      </c>
    </row>
    <row r="138" spans="1:107" s="23" customFormat="1" x14ac:dyDescent="0.2">
      <c r="AA138" s="24"/>
      <c r="AB138" s="24"/>
      <c r="AC138" s="24"/>
      <c r="AD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B138" s="123"/>
    </row>
    <row r="139" spans="1:107" s="23" customFormat="1" outlineLevel="1" x14ac:dyDescent="0.2">
      <c r="A139" s="23" t="s">
        <v>50</v>
      </c>
      <c r="B139" s="23">
        <f>'Annual Raw'!C62</f>
        <v>296.26299999999998</v>
      </c>
      <c r="C139" s="23">
        <f>'Annual Raw'!D62</f>
        <v>286.67619999999999</v>
      </c>
      <c r="D139" s="23">
        <f>'Annual Raw'!E62</f>
        <v>313.65539999999999</v>
      </c>
      <c r="E139" s="23">
        <f>'Annual Raw'!F62-E143</f>
        <v>358.02879999999999</v>
      </c>
      <c r="F139" s="23">
        <f>'Annual Raw'!G62-F143</f>
        <v>414.16359999999997</v>
      </c>
      <c r="G139" s="23">
        <f>'Annual Raw'!H62-G143</f>
        <v>514.51670000000001</v>
      </c>
      <c r="H139" s="23">
        <f>'Annual Raw'!I62-H143</f>
        <v>576.91250000000002</v>
      </c>
      <c r="I139" s="23">
        <f>'Annual Raw'!J62-I143</f>
        <v>766.4819</v>
      </c>
      <c r="J139" s="23">
        <f>'Annual Raw'!K62-J143</f>
        <v>879.2636</v>
      </c>
      <c r="K139" s="23">
        <f>'Annual Raw'!L62-K143</f>
        <v>992.29790000000003</v>
      </c>
      <c r="L139" s="23">
        <f>'Annual Raw'!M62-L143</f>
        <v>1410.53</v>
      </c>
      <c r="M139" s="23">
        <f>'Annual Raw'!N62-M143</f>
        <v>1534.24</v>
      </c>
      <c r="N139" s="23">
        <f>'Annual Raw'!O62-N143</f>
        <v>1810.76</v>
      </c>
      <c r="O139" s="23">
        <f>'Annual Raw'!P62-O143</f>
        <v>1919.87</v>
      </c>
      <c r="P139" s="23">
        <f>'Annual Raw'!Q62-P143</f>
        <v>1980.29</v>
      </c>
      <c r="Q139" s="23">
        <f>'Annual Raw'!R62-Q143</f>
        <v>1359.4399999999998</v>
      </c>
      <c r="R139" s="23">
        <f>'Annual Raw'!S62-R143</f>
        <v>1478.6799999999998</v>
      </c>
      <c r="S139" s="23">
        <f>'Annual Raw'!T62-S143</f>
        <v>1127.3100000000002</v>
      </c>
      <c r="T139" s="23">
        <f>'Annual Raw'!U62-T143</f>
        <v>1006.49</v>
      </c>
      <c r="U139" s="23">
        <f>'Annual Raw'!V62-U143</f>
        <v>1115.0100000000002</v>
      </c>
      <c r="V139" s="23">
        <f>'Annual Raw'!W62-V143</f>
        <v>1193.22</v>
      </c>
      <c r="W139" s="23">
        <f>'Annual Raw'!X62-W143</f>
        <v>1361.3000000000002</v>
      </c>
      <c r="X139" s="23">
        <f>'Annual Raw'!Y62-X143</f>
        <v>1562.41</v>
      </c>
      <c r="Y139" s="23">
        <f>'Annual Raw'!Z62-Y143</f>
        <v>1706.0900000000001</v>
      </c>
      <c r="Z139" s="23">
        <f>'Annual Raw'!AA62-Z143</f>
        <v>1955.8100000000002</v>
      </c>
      <c r="AA139" s="24">
        <f t="shared" ref="AA139:AA145" si="1099">+CK139</f>
        <v>1033.75</v>
      </c>
      <c r="AB139" s="24">
        <f t="shared" ref="AB139:AB145" si="1100">+CO139</f>
        <v>1193.75</v>
      </c>
      <c r="AC139" s="24">
        <f t="shared" ref="AC139:AC145" si="1101">+CS139</f>
        <v>1353.75</v>
      </c>
      <c r="AD139" s="24">
        <f t="shared" ref="AD139:AD145" si="1102">+CW139</f>
        <v>1513.75</v>
      </c>
      <c r="AI139" s="23">
        <f>AH139</f>
        <v>0</v>
      </c>
      <c r="AJ139" s="23">
        <f>+'QTR Raw'!E68</f>
        <v>1350.8</v>
      </c>
      <c r="AK139" s="23">
        <f>AJ139</f>
        <v>1350.8</v>
      </c>
      <c r="AL139" s="23">
        <f>+'QTR Raw'!G68</f>
        <v>1407.22</v>
      </c>
      <c r="AM139" s="23">
        <f>AL139</f>
        <v>1407.22</v>
      </c>
      <c r="AN139" s="23">
        <f>+'QTR Raw'!I68</f>
        <v>1439</v>
      </c>
      <c r="AO139" s="23">
        <f>AN139</f>
        <v>1439</v>
      </c>
      <c r="AP139" s="23">
        <f>+'QTR Raw'!K68</f>
        <v>1432.84</v>
      </c>
      <c r="AQ139" s="23">
        <f>AP139</f>
        <v>1432.84</v>
      </c>
      <c r="AR139" s="23">
        <f>+'QTR Raw'!M68</f>
        <v>1431.47</v>
      </c>
      <c r="AS139" s="23">
        <f>AR139</f>
        <v>1431.47</v>
      </c>
      <c r="AT139" s="23">
        <f>+'QTR Raw'!O68</f>
        <v>1364.85</v>
      </c>
      <c r="AU139" s="23">
        <f>AT139</f>
        <v>1364.85</v>
      </c>
      <c r="AV139" s="23">
        <f>+'QTR Raw'!Q68</f>
        <v>1342.7</v>
      </c>
      <c r="AW139" s="23">
        <f>AV139</f>
        <v>1342.7</v>
      </c>
      <c r="AX139" s="23">
        <f>+'QTR Raw'!S68</f>
        <v>1319.16</v>
      </c>
      <c r="AY139" s="23">
        <f>AX139</f>
        <v>1319.16</v>
      </c>
      <c r="AZ139" s="23">
        <f>+'QTR Raw'!U68</f>
        <v>1322.69</v>
      </c>
      <c r="BA139" s="23">
        <f>AZ139</f>
        <v>1322.69</v>
      </c>
      <c r="BB139" s="23">
        <f>+'QTR Raw'!W68</f>
        <v>1233.8800000000001</v>
      </c>
      <c r="BC139" s="23">
        <f>BB139</f>
        <v>1233.8800000000001</v>
      </c>
      <c r="BD139" s="23">
        <f>+'QTR Raw'!Y68</f>
        <v>1218.6600000000001</v>
      </c>
      <c r="BE139" s="23">
        <f>BD139</f>
        <v>1218.6600000000001</v>
      </c>
      <c r="BF139" s="23">
        <f>+'QTR Raw'!AA68</f>
        <v>1251.83</v>
      </c>
      <c r="BG139" s="23">
        <f>BF139</f>
        <v>1251.83</v>
      </c>
      <c r="BH139" s="23">
        <f>+'QTR Raw'!AC68</f>
        <v>893.14</v>
      </c>
      <c r="BI139" s="23">
        <f>BH139</f>
        <v>893.14</v>
      </c>
      <c r="BJ139" s="23">
        <f>+'QTR Raw'!AE68</f>
        <v>733.99</v>
      </c>
      <c r="BK139" s="23">
        <f>BJ139</f>
        <v>733.99</v>
      </c>
      <c r="BL139" s="23">
        <f>+'QTR Raw'!AG68</f>
        <v>741.69</v>
      </c>
      <c r="BM139" s="23">
        <f>BL139</f>
        <v>741.69</v>
      </c>
      <c r="BN139" s="23">
        <f>+'QTR Raw'!AI68</f>
        <v>724.19</v>
      </c>
      <c r="BO139" s="23">
        <f>BN139</f>
        <v>724.19</v>
      </c>
      <c r="BP139" s="23">
        <f>+'QTR Raw'!AK68</f>
        <v>708.44</v>
      </c>
      <c r="BQ139" s="23">
        <f>BP139</f>
        <v>708.44</v>
      </c>
      <c r="BR139" s="23">
        <f>+'QTR Raw'!AM68</f>
        <v>724.96</v>
      </c>
      <c r="BS139" s="23">
        <f>BR139</f>
        <v>724.96</v>
      </c>
      <c r="BT139" s="23">
        <f>+'QTR Raw'!AO68</f>
        <v>771.47</v>
      </c>
      <c r="BU139" s="23">
        <f>BT139</f>
        <v>771.47</v>
      </c>
      <c r="BV139" s="23">
        <f>+'QTR Raw'!AQ68</f>
        <v>769.97</v>
      </c>
      <c r="BW139" s="23">
        <f>BV139</f>
        <v>769.97</v>
      </c>
      <c r="BX139" s="23">
        <f>+'QTR Raw'!AS68</f>
        <v>858</v>
      </c>
      <c r="BY139" s="23">
        <f>BX139</f>
        <v>858</v>
      </c>
      <c r="BZ139" s="23">
        <f>+'QTR Raw'!AU68</f>
        <v>880.24</v>
      </c>
      <c r="CA139" s="23">
        <f>BZ139</f>
        <v>880.24</v>
      </c>
      <c r="CB139" s="23">
        <f>+'QTR Raw'!AW68</f>
        <v>937.96</v>
      </c>
      <c r="CC139" s="23">
        <f>CB139</f>
        <v>937.96</v>
      </c>
      <c r="CD139" s="23">
        <f>+'QTR Raw'!AY68</f>
        <v>950.77</v>
      </c>
      <c r="CE139" s="23">
        <f>CD139</f>
        <v>950.77</v>
      </c>
      <c r="CF139" s="23">
        <f>+'QTR Raw'!BA68</f>
        <v>988.25</v>
      </c>
      <c r="CG139" s="23">
        <f>CF139</f>
        <v>988.25</v>
      </c>
      <c r="CH139" s="23">
        <f>+'QTR Raw'!BC68</f>
        <v>1033.75</v>
      </c>
      <c r="CI139" s="23">
        <f>CH139</f>
        <v>1033.75</v>
      </c>
      <c r="CJ139" s="23">
        <f>+CI139</f>
        <v>1033.75</v>
      </c>
      <c r="CK139" s="23">
        <f>CJ139</f>
        <v>1033.75</v>
      </c>
      <c r="CL139" s="24">
        <f t="shared" ref="CL139:CZ139" si="1103">+CK139+40</f>
        <v>1073.75</v>
      </c>
      <c r="CM139" s="24">
        <f t="shared" si="1103"/>
        <v>1113.75</v>
      </c>
      <c r="CN139" s="24">
        <f t="shared" si="1103"/>
        <v>1153.75</v>
      </c>
      <c r="CO139" s="24">
        <f t="shared" si="1103"/>
        <v>1193.75</v>
      </c>
      <c r="CP139" s="24">
        <f t="shared" si="1103"/>
        <v>1233.75</v>
      </c>
      <c r="CQ139" s="24">
        <f t="shared" si="1103"/>
        <v>1273.75</v>
      </c>
      <c r="CR139" s="24">
        <f t="shared" si="1103"/>
        <v>1313.75</v>
      </c>
      <c r="CS139" s="24">
        <f t="shared" si="1103"/>
        <v>1353.75</v>
      </c>
      <c r="CT139" s="24">
        <f t="shared" si="1103"/>
        <v>1393.75</v>
      </c>
      <c r="CU139" s="24">
        <f t="shared" si="1103"/>
        <v>1433.75</v>
      </c>
      <c r="CV139" s="24">
        <f t="shared" si="1103"/>
        <v>1473.75</v>
      </c>
      <c r="CW139" s="24">
        <f t="shared" si="1103"/>
        <v>1513.75</v>
      </c>
      <c r="CX139" s="24">
        <f t="shared" si="1103"/>
        <v>1553.75</v>
      </c>
      <c r="CY139" s="24">
        <f t="shared" si="1103"/>
        <v>1593.75</v>
      </c>
      <c r="CZ139" s="24">
        <f t="shared" si="1103"/>
        <v>1633.75</v>
      </c>
      <c r="DB139" s="123"/>
      <c r="DC139" s="23">
        <v>0</v>
      </c>
    </row>
    <row r="140" spans="1:107" s="23" customFormat="1" outlineLevel="1" x14ac:dyDescent="0.2">
      <c r="A140" s="23" t="s">
        <v>51</v>
      </c>
      <c r="B140" s="23">
        <f>'Annual Raw'!C63</f>
        <v>140.04169999999999</v>
      </c>
      <c r="C140" s="23">
        <f>'Annual Raw'!D63</f>
        <v>142.82470000000001</v>
      </c>
      <c r="D140" s="23">
        <f>'Annual Raw'!E63</f>
        <v>153.9211</v>
      </c>
      <c r="E140" s="23">
        <f>'Annual Raw'!F63</f>
        <v>168.0241</v>
      </c>
      <c r="F140" s="23">
        <f>'Annual Raw'!G63</f>
        <v>187.5025</v>
      </c>
      <c r="G140" s="23">
        <f>'Annual Raw'!H63</f>
        <v>207.34460000000001</v>
      </c>
      <c r="H140" s="23">
        <f>'Annual Raw'!I63</f>
        <v>224.98269999999999</v>
      </c>
      <c r="I140" s="23">
        <f>'Annual Raw'!J63</f>
        <v>220.64940000000001</v>
      </c>
      <c r="J140" s="23">
        <f>'Annual Raw'!K63</f>
        <v>206.13399999999999</v>
      </c>
      <c r="K140" s="23">
        <f>'Annual Raw'!L63</f>
        <v>231.75960000000001</v>
      </c>
      <c r="L140" s="23">
        <f>'Annual Raw'!M63</f>
        <v>293.72000000000003</v>
      </c>
      <c r="M140" s="23">
        <f>'Annual Raw'!N63</f>
        <v>378.52</v>
      </c>
      <c r="N140" s="23">
        <f>'Annual Raw'!O63</f>
        <v>471.22</v>
      </c>
      <c r="O140" s="23">
        <f>'Annual Raw'!P63</f>
        <v>572.29999999999995</v>
      </c>
      <c r="P140" s="23">
        <f>'Annual Raw'!Q63</f>
        <v>728.29</v>
      </c>
      <c r="Q140" s="23">
        <f>'Annual Raw'!R63</f>
        <v>150.94999999999999</v>
      </c>
      <c r="R140" s="23">
        <f>'Annual Raw'!S63</f>
        <v>306.44</v>
      </c>
      <c r="S140" s="23">
        <f>'Annual Raw'!T63</f>
        <v>248.79</v>
      </c>
      <c r="T140" s="23">
        <f>'Annual Raw'!U63</f>
        <v>279.42</v>
      </c>
      <c r="U140" s="23">
        <f>'Annual Raw'!V63</f>
        <v>346.9</v>
      </c>
      <c r="V140" s="23">
        <f>'Annual Raw'!W63</f>
        <v>390.86</v>
      </c>
      <c r="W140" s="23">
        <f>'Annual Raw'!X63</f>
        <v>476.75</v>
      </c>
      <c r="X140" s="23">
        <f>'Annual Raw'!Y63</f>
        <v>583.08000000000004</v>
      </c>
      <c r="Y140" s="23">
        <f>'Annual Raw'!Z63</f>
        <v>658.86</v>
      </c>
      <c r="Z140" s="23">
        <f>'Annual Raw'!AA63</f>
        <v>775.69</v>
      </c>
      <c r="AA140" s="24">
        <f t="shared" si="1099"/>
        <v>118.59</v>
      </c>
      <c r="AB140" s="24">
        <f t="shared" si="1100"/>
        <v>280.40885021981666</v>
      </c>
      <c r="AC140" s="24">
        <f t="shared" si="1101"/>
        <v>441.92657714763703</v>
      </c>
      <c r="AD140" s="24">
        <f t="shared" si="1102"/>
        <v>603.19303383677743</v>
      </c>
      <c r="AI140" s="23">
        <f t="shared" ref="AI140:CZ140" si="1104">AH140+AI40</f>
        <v>24.03</v>
      </c>
      <c r="AJ140" s="23">
        <f>+'QTR Raw'!E69</f>
        <v>0</v>
      </c>
      <c r="AK140" s="23">
        <f t="shared" si="1104"/>
        <v>24.63</v>
      </c>
      <c r="AL140" s="23">
        <f>+'QTR Raw'!G69</f>
        <v>0</v>
      </c>
      <c r="AM140" s="23">
        <f t="shared" si="1104"/>
        <v>25.73</v>
      </c>
      <c r="AN140" s="23">
        <f>+'QTR Raw'!I69</f>
        <v>0</v>
      </c>
      <c r="AO140" s="23">
        <f t="shared" si="1104"/>
        <v>27.41</v>
      </c>
      <c r="AP140" s="23">
        <f>+'QTR Raw'!K69</f>
        <v>0</v>
      </c>
      <c r="AQ140" s="23">
        <f t="shared" si="1104"/>
        <v>28.34</v>
      </c>
      <c r="AR140" s="23">
        <f>+'QTR Raw'!M69</f>
        <v>0</v>
      </c>
      <c r="AS140" s="23">
        <f t="shared" si="1104"/>
        <v>42.23</v>
      </c>
      <c r="AT140" s="23">
        <f>+'QTR Raw'!O69</f>
        <v>0</v>
      </c>
      <c r="AU140" s="23">
        <f t="shared" si="1104"/>
        <v>35.9</v>
      </c>
      <c r="AV140" s="23">
        <f>+'QTR Raw'!Q69</f>
        <v>0</v>
      </c>
      <c r="AW140" s="23">
        <f t="shared" si="1104"/>
        <v>35.869999999999997</v>
      </c>
      <c r="AX140" s="23">
        <f>+'QTR Raw'!S69</f>
        <v>0</v>
      </c>
      <c r="AY140" s="23">
        <f t="shared" si="1104"/>
        <v>40.54</v>
      </c>
      <c r="AZ140" s="23">
        <f>+'QTR Raw'!U69</f>
        <v>0</v>
      </c>
      <c r="BA140" s="23">
        <f t="shared" si="1104"/>
        <v>37.61</v>
      </c>
      <c r="BB140" s="23">
        <f>+'QTR Raw'!W69</f>
        <v>0</v>
      </c>
      <c r="BC140" s="23">
        <f t="shared" si="1104"/>
        <v>38.85</v>
      </c>
      <c r="BD140" s="23">
        <f>+'QTR Raw'!Y69</f>
        <v>0</v>
      </c>
      <c r="BE140" s="23">
        <f t="shared" si="1104"/>
        <v>22.54</v>
      </c>
      <c r="BF140" s="23">
        <f>+'QTR Raw'!AA69</f>
        <v>0</v>
      </c>
      <c r="BG140" s="23">
        <f t="shared" si="1104"/>
        <v>23.59</v>
      </c>
      <c r="BH140" s="23">
        <f>+'QTR Raw'!AC69</f>
        <v>0</v>
      </c>
      <c r="BI140" s="23">
        <f t="shared" si="1104"/>
        <v>23.31</v>
      </c>
      <c r="BJ140" s="23">
        <f>+'QTR Raw'!AE69</f>
        <v>0</v>
      </c>
      <c r="BK140" s="23">
        <f t="shared" si="1104"/>
        <v>22.66</v>
      </c>
      <c r="BL140" s="23">
        <f>+'QTR Raw'!AG69</f>
        <v>0</v>
      </c>
      <c r="BM140" s="23">
        <f t="shared" si="1104"/>
        <v>27.07</v>
      </c>
      <c r="BN140" s="23">
        <f>+'QTR Raw'!AI69</f>
        <v>0</v>
      </c>
      <c r="BO140" s="23">
        <f t="shared" si="1104"/>
        <v>24.74</v>
      </c>
      <c r="BP140" s="23">
        <f>+'QTR Raw'!AK69</f>
        <v>0</v>
      </c>
      <c r="BQ140" s="23">
        <f t="shared" si="1104"/>
        <v>25.26</v>
      </c>
      <c r="BR140" s="23">
        <f>+'QTR Raw'!AM69</f>
        <v>0</v>
      </c>
      <c r="BS140" s="23">
        <f t="shared" si="1104"/>
        <v>28.75</v>
      </c>
      <c r="BT140" s="23">
        <f>+'QTR Raw'!AO69</f>
        <v>0</v>
      </c>
      <c r="BU140" s="23">
        <f t="shared" si="1104"/>
        <v>25.92</v>
      </c>
      <c r="BV140" s="23">
        <f>+'QTR Raw'!AQ69</f>
        <v>0</v>
      </c>
      <c r="BW140" s="23">
        <f t="shared" si="1104"/>
        <v>26.87</v>
      </c>
      <c r="BX140" s="23">
        <f>+'QTR Raw'!AS69</f>
        <v>0</v>
      </c>
      <c r="BY140" s="23">
        <f t="shared" si="1104"/>
        <v>27.48</v>
      </c>
      <c r="BZ140" s="23">
        <f>+'QTR Raw'!AU69</f>
        <v>0</v>
      </c>
      <c r="CA140" s="23">
        <f t="shared" si="1104"/>
        <v>30.29</v>
      </c>
      <c r="CB140" s="23">
        <f>+'QTR Raw'!AW69</f>
        <v>0</v>
      </c>
      <c r="CC140" s="23">
        <f t="shared" si="1104"/>
        <v>31.42</v>
      </c>
      <c r="CD140" s="23">
        <f>+'QTR Raw'!AY69</f>
        <v>0</v>
      </c>
      <c r="CE140" s="23">
        <f t="shared" si="1104"/>
        <v>32.83</v>
      </c>
      <c r="CF140" s="23">
        <f>+'QTR Raw'!BA69</f>
        <v>0</v>
      </c>
      <c r="CG140" s="23">
        <f t="shared" si="1104"/>
        <v>33.58</v>
      </c>
      <c r="CH140" s="23">
        <f>+'QTR Raw'!BC69</f>
        <v>0</v>
      </c>
      <c r="CI140" s="23">
        <f t="shared" si="1104"/>
        <v>36.590000000000003</v>
      </c>
      <c r="CJ140" s="23">
        <f t="shared" si="1104"/>
        <v>76.23</v>
      </c>
      <c r="CK140" s="23">
        <f t="shared" si="1104"/>
        <v>118.59</v>
      </c>
      <c r="CL140" s="24">
        <f t="shared" si="1104"/>
        <v>159.07602389506224</v>
      </c>
      <c r="CM140" s="24">
        <f t="shared" si="1104"/>
        <v>199.54054644060193</v>
      </c>
      <c r="CN140" s="24">
        <f t="shared" si="1104"/>
        <v>239.98451884094459</v>
      </c>
      <c r="CO140" s="24">
        <f t="shared" si="1104"/>
        <v>280.40885021981666</v>
      </c>
      <c r="CP140" s="24">
        <f t="shared" si="1104"/>
        <v>320.81440948196109</v>
      </c>
      <c r="CQ140" s="24">
        <f t="shared" si="1104"/>
        <v>361.20202709239652</v>
      </c>
      <c r="CR140" s="24">
        <f t="shared" si="1104"/>
        <v>401.57249677696296</v>
      </c>
      <c r="CS140" s="24">
        <f t="shared" si="1104"/>
        <v>441.92657714763703</v>
      </c>
      <c r="CT140" s="24">
        <f t="shared" si="1104"/>
        <v>482.26499325594398</v>
      </c>
      <c r="CU140" s="24">
        <f t="shared" si="1104"/>
        <v>522.58843807764822</v>
      </c>
      <c r="CV140" s="24">
        <f t="shared" si="1104"/>
        <v>562.89757393176183</v>
      </c>
      <c r="CW140" s="24">
        <f t="shared" si="1104"/>
        <v>603.19303383677743</v>
      </c>
      <c r="CX140" s="24">
        <f t="shared" si="1104"/>
        <v>643.47542280690243</v>
      </c>
      <c r="CY140" s="24">
        <f t="shared" si="1104"/>
        <v>683.74531909094833</v>
      </c>
      <c r="CZ140" s="24">
        <f t="shared" si="1104"/>
        <v>724.0032753564127</v>
      </c>
      <c r="DB140" s="123"/>
      <c r="DC140" s="23">
        <v>0</v>
      </c>
    </row>
    <row r="141" spans="1:107" s="23" customFormat="1" outlineLevel="1" x14ac:dyDescent="0.2">
      <c r="A141" s="23" t="s">
        <v>52</v>
      </c>
      <c r="B141" s="23">
        <f>'Annual Raw'!C64</f>
        <v>0</v>
      </c>
      <c r="C141" s="23">
        <f>'Annual Raw'!D64</f>
        <v>0</v>
      </c>
      <c r="D141" s="23">
        <f>'Annual Raw'!E64</f>
        <v>0</v>
      </c>
      <c r="E141" s="23">
        <f>'Annual Raw'!F64</f>
        <v>0</v>
      </c>
      <c r="F141" s="23">
        <f>'Annual Raw'!G64</f>
        <v>0</v>
      </c>
      <c r="G141" s="23">
        <f>'Annual Raw'!H64</f>
        <v>0</v>
      </c>
      <c r="H141" s="23">
        <f>'Annual Raw'!I64</f>
        <v>0</v>
      </c>
      <c r="I141" s="23">
        <f>'Annual Raw'!J64</f>
        <v>0</v>
      </c>
      <c r="J141" s="23">
        <f>'Annual Raw'!K64</f>
        <v>0</v>
      </c>
      <c r="K141" s="23">
        <f>'Annual Raw'!L64</f>
        <v>0</v>
      </c>
      <c r="L141" s="23">
        <f>'Annual Raw'!M64</f>
        <v>0</v>
      </c>
      <c r="M141" s="23">
        <f>'Annual Raw'!N64</f>
        <v>0</v>
      </c>
      <c r="N141" s="23">
        <f>'Annual Raw'!O64</f>
        <v>0</v>
      </c>
      <c r="O141" s="23">
        <f>'Annual Raw'!P64</f>
        <v>0</v>
      </c>
      <c r="P141" s="23">
        <f>'Annual Raw'!Q64</f>
        <v>0</v>
      </c>
      <c r="Q141" s="23">
        <f>'Annual Raw'!R64</f>
        <v>0</v>
      </c>
      <c r="R141" s="23">
        <f>'Annual Raw'!S64</f>
        <v>0</v>
      </c>
      <c r="S141" s="23">
        <f>'Annual Raw'!T64</f>
        <v>0</v>
      </c>
      <c r="T141" s="23">
        <f>'Annual Raw'!U64</f>
        <v>0</v>
      </c>
      <c r="U141" s="23">
        <f>'Annual Raw'!V64</f>
        <v>0</v>
      </c>
      <c r="V141" s="23">
        <f>'Annual Raw'!W64</f>
        <v>0</v>
      </c>
      <c r="W141" s="23">
        <f>'Annual Raw'!X64</f>
        <v>0</v>
      </c>
      <c r="X141" s="23">
        <f>'Annual Raw'!Y64</f>
        <v>0</v>
      </c>
      <c r="Y141" s="23">
        <f>'Annual Raw'!Z64</f>
        <v>0</v>
      </c>
      <c r="Z141" s="23">
        <f>'Annual Raw'!AA64</f>
        <v>0</v>
      </c>
      <c r="AA141" s="24">
        <f t="shared" si="1099"/>
        <v>0</v>
      </c>
      <c r="AB141" s="24">
        <f t="shared" si="1100"/>
        <v>0</v>
      </c>
      <c r="AC141" s="24">
        <f t="shared" si="1101"/>
        <v>0</v>
      </c>
      <c r="AD141" s="24">
        <f t="shared" si="1102"/>
        <v>0</v>
      </c>
      <c r="AI141" s="23">
        <f>AH141</f>
        <v>0</v>
      </c>
      <c r="AJ141" s="23">
        <f>+'QTR Raw'!E70</f>
        <v>0</v>
      </c>
      <c r="AK141" s="23">
        <f>AJ141</f>
        <v>0</v>
      </c>
      <c r="AL141" s="23">
        <f>+'QTR Raw'!G70</f>
        <v>0</v>
      </c>
      <c r="AM141" s="23">
        <f>AL141</f>
        <v>0</v>
      </c>
      <c r="AN141" s="23">
        <f>+'QTR Raw'!I70</f>
        <v>0</v>
      </c>
      <c r="AO141" s="23">
        <f>AN141</f>
        <v>0</v>
      </c>
      <c r="AP141" s="23">
        <f>+'QTR Raw'!K70</f>
        <v>0</v>
      </c>
      <c r="AQ141" s="23">
        <f>AP141</f>
        <v>0</v>
      </c>
      <c r="AR141" s="23">
        <f>+'QTR Raw'!M70</f>
        <v>0</v>
      </c>
      <c r="AS141" s="23">
        <f>AR141</f>
        <v>0</v>
      </c>
      <c r="AT141" s="23">
        <f>+'QTR Raw'!O70</f>
        <v>0</v>
      </c>
      <c r="AU141" s="23">
        <f>AT141</f>
        <v>0</v>
      </c>
      <c r="AV141" s="23">
        <f>+'QTR Raw'!Q70</f>
        <v>0</v>
      </c>
      <c r="AW141" s="23">
        <f>AV141</f>
        <v>0</v>
      </c>
      <c r="AX141" s="23">
        <f>+'QTR Raw'!S70</f>
        <v>0</v>
      </c>
      <c r="AY141" s="23">
        <f>AX141</f>
        <v>0</v>
      </c>
      <c r="AZ141" s="23">
        <f>+'QTR Raw'!U70</f>
        <v>0</v>
      </c>
      <c r="BA141" s="23">
        <f>AZ141</f>
        <v>0</v>
      </c>
      <c r="BB141" s="23">
        <f>+'QTR Raw'!W70</f>
        <v>0</v>
      </c>
      <c r="BC141" s="23">
        <f>BB141</f>
        <v>0</v>
      </c>
      <c r="BD141" s="23">
        <f>+'QTR Raw'!Y70</f>
        <v>0</v>
      </c>
      <c r="BE141" s="23">
        <f>BD141</f>
        <v>0</v>
      </c>
      <c r="BF141" s="23">
        <f>+'QTR Raw'!AA70</f>
        <v>0</v>
      </c>
      <c r="BG141" s="23">
        <f>BF141</f>
        <v>0</v>
      </c>
      <c r="BH141" s="23">
        <f>+'QTR Raw'!AC70</f>
        <v>0</v>
      </c>
      <c r="BI141" s="23">
        <f>BH141</f>
        <v>0</v>
      </c>
      <c r="BJ141" s="23">
        <f>+'QTR Raw'!AE70</f>
        <v>0</v>
      </c>
      <c r="BK141" s="23">
        <f>BJ141</f>
        <v>0</v>
      </c>
      <c r="BL141" s="23">
        <f>+'QTR Raw'!AG70</f>
        <v>0</v>
      </c>
      <c r="BM141" s="23">
        <f>BL141</f>
        <v>0</v>
      </c>
      <c r="BN141" s="23">
        <f>+'QTR Raw'!AI70</f>
        <v>0</v>
      </c>
      <c r="BO141" s="23">
        <f>BN141</f>
        <v>0</v>
      </c>
      <c r="BP141" s="23">
        <f>+'QTR Raw'!AK70</f>
        <v>0</v>
      </c>
      <c r="BQ141" s="23">
        <f>BP141</f>
        <v>0</v>
      </c>
      <c r="BR141" s="23">
        <f>+'QTR Raw'!AM70</f>
        <v>0</v>
      </c>
      <c r="BS141" s="23">
        <f>BR141</f>
        <v>0</v>
      </c>
      <c r="BT141" s="23">
        <f>+'QTR Raw'!AO70</f>
        <v>0</v>
      </c>
      <c r="BU141" s="23">
        <f>BT141</f>
        <v>0</v>
      </c>
      <c r="BV141" s="23">
        <f>+'QTR Raw'!AQ70</f>
        <v>0</v>
      </c>
      <c r="BW141" s="23">
        <f>BV141</f>
        <v>0</v>
      </c>
      <c r="BX141" s="23">
        <f>+'QTR Raw'!AS70</f>
        <v>0</v>
      </c>
      <c r="BY141" s="23">
        <f>BX141</f>
        <v>0</v>
      </c>
      <c r="BZ141" s="23">
        <f>+'QTR Raw'!AU70</f>
        <v>0</v>
      </c>
      <c r="CA141" s="23">
        <f>BZ141</f>
        <v>0</v>
      </c>
      <c r="CB141" s="23">
        <f>+'QTR Raw'!AW70</f>
        <v>0</v>
      </c>
      <c r="CC141" s="23">
        <f>CB141</f>
        <v>0</v>
      </c>
      <c r="CD141" s="23">
        <f>+'QTR Raw'!AY70</f>
        <v>0</v>
      </c>
      <c r="CE141" s="23">
        <f>CD141</f>
        <v>0</v>
      </c>
      <c r="CF141" s="23">
        <f>+'QTR Raw'!BA70</f>
        <v>0</v>
      </c>
      <c r="CG141" s="23">
        <f>CF141</f>
        <v>0</v>
      </c>
      <c r="CH141" s="23">
        <f>+'QTR Raw'!BC70</f>
        <v>0</v>
      </c>
      <c r="CI141" s="23">
        <f>CH141</f>
        <v>0</v>
      </c>
      <c r="CJ141" s="23">
        <f t="shared" ref="CJ141:CZ141" si="1105">CI141</f>
        <v>0</v>
      </c>
      <c r="CK141" s="23">
        <f>CJ141</f>
        <v>0</v>
      </c>
      <c r="CL141" s="24">
        <f t="shared" si="1105"/>
        <v>0</v>
      </c>
      <c r="CM141" s="24">
        <f t="shared" si="1105"/>
        <v>0</v>
      </c>
      <c r="CN141" s="24">
        <f t="shared" si="1105"/>
        <v>0</v>
      </c>
      <c r="CO141" s="24">
        <f t="shared" si="1105"/>
        <v>0</v>
      </c>
      <c r="CP141" s="24">
        <f t="shared" si="1105"/>
        <v>0</v>
      </c>
      <c r="CQ141" s="24">
        <f t="shared" si="1105"/>
        <v>0</v>
      </c>
      <c r="CR141" s="24">
        <f t="shared" si="1105"/>
        <v>0</v>
      </c>
      <c r="CS141" s="24">
        <f t="shared" si="1105"/>
        <v>0</v>
      </c>
      <c r="CT141" s="24">
        <f t="shared" si="1105"/>
        <v>0</v>
      </c>
      <c r="CU141" s="24">
        <f t="shared" si="1105"/>
        <v>0</v>
      </c>
      <c r="CV141" s="24">
        <f t="shared" si="1105"/>
        <v>0</v>
      </c>
      <c r="CW141" s="24">
        <f t="shared" si="1105"/>
        <v>0</v>
      </c>
      <c r="CX141" s="24">
        <f t="shared" si="1105"/>
        <v>0</v>
      </c>
      <c r="CY141" s="24">
        <f t="shared" si="1105"/>
        <v>0</v>
      </c>
      <c r="CZ141" s="24">
        <f t="shared" si="1105"/>
        <v>0</v>
      </c>
      <c r="DB141" s="123"/>
      <c r="DC141" s="23">
        <v>0</v>
      </c>
    </row>
    <row r="142" spans="1:107" s="22" customFormat="1" outlineLevel="1" x14ac:dyDescent="0.2">
      <c r="A142" s="22" t="s">
        <v>53</v>
      </c>
      <c r="B142" s="22">
        <f>+B139-B140-B141</f>
        <v>156.22129999999999</v>
      </c>
      <c r="C142" s="22">
        <f t="shared" ref="C142:W142" si="1106">+C139-C140-C141</f>
        <v>143.85149999999999</v>
      </c>
      <c r="D142" s="22">
        <f t="shared" si="1106"/>
        <v>159.73429999999999</v>
      </c>
      <c r="E142" s="22">
        <f t="shared" si="1106"/>
        <v>190.00469999999999</v>
      </c>
      <c r="F142" s="22">
        <f t="shared" si="1106"/>
        <v>226.66109999999998</v>
      </c>
      <c r="G142" s="22">
        <f t="shared" si="1106"/>
        <v>307.1721</v>
      </c>
      <c r="H142" s="22">
        <f t="shared" si="1106"/>
        <v>351.9298</v>
      </c>
      <c r="I142" s="22">
        <f t="shared" si="1106"/>
        <v>545.83249999999998</v>
      </c>
      <c r="J142" s="22">
        <f t="shared" si="1106"/>
        <v>673.12959999999998</v>
      </c>
      <c r="K142" s="22">
        <f t="shared" si="1106"/>
        <v>760.53830000000005</v>
      </c>
      <c r="L142" s="22">
        <f t="shared" si="1106"/>
        <v>1116.81</v>
      </c>
      <c r="M142" s="22">
        <f t="shared" si="1106"/>
        <v>1155.72</v>
      </c>
      <c r="N142" s="22">
        <f t="shared" si="1106"/>
        <v>1339.54</v>
      </c>
      <c r="O142" s="22">
        <f t="shared" si="1106"/>
        <v>1347.57</v>
      </c>
      <c r="P142" s="22">
        <f t="shared" si="1106"/>
        <v>1252</v>
      </c>
      <c r="Q142" s="22">
        <f t="shared" si="1106"/>
        <v>1208.4899999999998</v>
      </c>
      <c r="R142" s="22">
        <f t="shared" si="1106"/>
        <v>1172.2399999999998</v>
      </c>
      <c r="S142" s="22">
        <f t="shared" si="1106"/>
        <v>878.52000000000021</v>
      </c>
      <c r="T142" s="22">
        <f t="shared" si="1106"/>
        <v>727.06999999999994</v>
      </c>
      <c r="U142" s="22">
        <f t="shared" si="1106"/>
        <v>768.11000000000024</v>
      </c>
      <c r="V142" s="22">
        <f t="shared" si="1106"/>
        <v>802.36</v>
      </c>
      <c r="W142" s="22">
        <f t="shared" si="1106"/>
        <v>884.55000000000018</v>
      </c>
      <c r="X142" s="22">
        <f t="shared" ref="X142:Y142" si="1107">+X139-X140-X141</f>
        <v>979.33</v>
      </c>
      <c r="Y142" s="22">
        <f t="shared" si="1107"/>
        <v>1047.23</v>
      </c>
      <c r="Z142" s="22">
        <f t="shared" ref="Z142" si="1108">+Z139-Z140-Z141</f>
        <v>1180.1200000000001</v>
      </c>
      <c r="AA142" s="21">
        <f t="shared" ref="AA142:AD142" si="1109">+AA139-AA140-AA141</f>
        <v>915.16</v>
      </c>
      <c r="AB142" s="21">
        <f t="shared" si="1109"/>
        <v>913.34114978018329</v>
      </c>
      <c r="AC142" s="21">
        <f t="shared" si="1109"/>
        <v>911.82342285236291</v>
      </c>
      <c r="AD142" s="21">
        <f t="shared" si="1109"/>
        <v>910.55696616322257</v>
      </c>
      <c r="AI142" s="22">
        <f t="shared" ref="AI142" si="1110">+AI139-AI140-AI141</f>
        <v>-24.03</v>
      </c>
      <c r="AJ142" s="22">
        <f t="shared" ref="AJ142:AK142" si="1111">+AJ139-AJ140-AJ141</f>
        <v>1350.8</v>
      </c>
      <c r="AK142" s="22">
        <f t="shared" si="1111"/>
        <v>1326.1699999999998</v>
      </c>
      <c r="AL142" s="22">
        <f t="shared" ref="AL142:AM142" si="1112">+AL139-AL140-AL141</f>
        <v>1407.22</v>
      </c>
      <c r="AM142" s="22">
        <f t="shared" si="1112"/>
        <v>1381.49</v>
      </c>
      <c r="AN142" s="22">
        <f t="shared" ref="AN142:AO142" si="1113">+AN139-AN140-AN141</f>
        <v>1439</v>
      </c>
      <c r="AO142" s="22">
        <f t="shared" si="1113"/>
        <v>1411.59</v>
      </c>
      <c r="AP142" s="22">
        <f t="shared" ref="AP142:CE142" si="1114">+AP139-AP140-AP141</f>
        <v>1432.84</v>
      </c>
      <c r="AQ142" s="22">
        <f t="shared" si="1114"/>
        <v>1404.5</v>
      </c>
      <c r="AR142" s="22">
        <f t="shared" si="1114"/>
        <v>1431.47</v>
      </c>
      <c r="AS142" s="22">
        <f t="shared" si="1114"/>
        <v>1389.24</v>
      </c>
      <c r="AT142" s="22">
        <f t="shared" si="1114"/>
        <v>1364.85</v>
      </c>
      <c r="AU142" s="22">
        <f t="shared" si="1114"/>
        <v>1328.9499999999998</v>
      </c>
      <c r="AV142" s="22">
        <f t="shared" si="1114"/>
        <v>1342.7</v>
      </c>
      <c r="AW142" s="22">
        <f t="shared" si="1114"/>
        <v>1306.8300000000002</v>
      </c>
      <c r="AX142" s="22">
        <f t="shared" si="1114"/>
        <v>1319.16</v>
      </c>
      <c r="AY142" s="22">
        <f t="shared" si="1114"/>
        <v>1278.6200000000001</v>
      </c>
      <c r="AZ142" s="22">
        <f t="shared" si="1114"/>
        <v>1322.69</v>
      </c>
      <c r="BA142" s="22">
        <f t="shared" si="1114"/>
        <v>1285.0800000000002</v>
      </c>
      <c r="BB142" s="22">
        <f t="shared" si="1114"/>
        <v>1233.8800000000001</v>
      </c>
      <c r="BC142" s="22">
        <f t="shared" si="1114"/>
        <v>1195.0300000000002</v>
      </c>
      <c r="BD142" s="22">
        <f t="shared" si="1114"/>
        <v>1218.6600000000001</v>
      </c>
      <c r="BE142" s="22">
        <f t="shared" si="1114"/>
        <v>1196.1200000000001</v>
      </c>
      <c r="BF142" s="22">
        <f t="shared" si="1114"/>
        <v>1251.83</v>
      </c>
      <c r="BG142" s="22">
        <f t="shared" si="1114"/>
        <v>1228.24</v>
      </c>
      <c r="BH142" s="22">
        <f t="shared" si="1114"/>
        <v>893.14</v>
      </c>
      <c r="BI142" s="22">
        <f t="shared" si="1114"/>
        <v>869.83</v>
      </c>
      <c r="BJ142" s="22">
        <f t="shared" si="1114"/>
        <v>733.99</v>
      </c>
      <c r="BK142" s="22">
        <f t="shared" si="1114"/>
        <v>711.33</v>
      </c>
      <c r="BL142" s="22">
        <f t="shared" si="1114"/>
        <v>741.69</v>
      </c>
      <c r="BM142" s="22">
        <f t="shared" si="1114"/>
        <v>714.62</v>
      </c>
      <c r="BN142" s="22">
        <f t="shared" si="1114"/>
        <v>724.19</v>
      </c>
      <c r="BO142" s="22">
        <f t="shared" si="1114"/>
        <v>699.45</v>
      </c>
      <c r="BP142" s="22">
        <f t="shared" si="1114"/>
        <v>708.44</v>
      </c>
      <c r="BQ142" s="22">
        <f t="shared" si="1114"/>
        <v>683.18000000000006</v>
      </c>
      <c r="BR142" s="22">
        <f t="shared" si="1114"/>
        <v>724.96</v>
      </c>
      <c r="BS142" s="22">
        <f t="shared" si="1114"/>
        <v>696.21</v>
      </c>
      <c r="BT142" s="22">
        <f t="shared" si="1114"/>
        <v>771.47</v>
      </c>
      <c r="BU142" s="22">
        <f t="shared" si="1114"/>
        <v>745.55000000000007</v>
      </c>
      <c r="BV142" s="22">
        <f t="shared" si="1114"/>
        <v>769.97</v>
      </c>
      <c r="BW142" s="22">
        <f t="shared" si="1114"/>
        <v>743.1</v>
      </c>
      <c r="BX142" s="22">
        <f t="shared" si="1114"/>
        <v>858</v>
      </c>
      <c r="BY142" s="22">
        <f t="shared" si="1114"/>
        <v>830.52</v>
      </c>
      <c r="BZ142" s="22">
        <f t="shared" si="1114"/>
        <v>880.24</v>
      </c>
      <c r="CA142" s="22">
        <f t="shared" si="1114"/>
        <v>849.95</v>
      </c>
      <c r="CB142" s="22">
        <f t="shared" si="1114"/>
        <v>937.96</v>
      </c>
      <c r="CC142" s="22">
        <f t="shared" si="1114"/>
        <v>906.54000000000008</v>
      </c>
      <c r="CD142" s="22">
        <f t="shared" si="1114"/>
        <v>950.77</v>
      </c>
      <c r="CE142" s="22">
        <f t="shared" si="1114"/>
        <v>917.93999999999994</v>
      </c>
      <c r="CF142" s="22">
        <f t="shared" ref="CF142" si="1115">+CF139-CF140-CF141</f>
        <v>988.25</v>
      </c>
      <c r="CG142" s="22">
        <f t="shared" ref="CG142:CH142" si="1116">+CG139-CG140-CG141</f>
        <v>954.67</v>
      </c>
      <c r="CH142" s="22">
        <f t="shared" si="1116"/>
        <v>1033.75</v>
      </c>
      <c r="CI142" s="22">
        <f t="shared" ref="CI142:CK142" si="1117">+CI139-CI140-CI141</f>
        <v>997.16</v>
      </c>
      <c r="CJ142" s="22">
        <f>+CJ139-CJ140-CJ141</f>
        <v>957.52</v>
      </c>
      <c r="CK142" s="22">
        <f t="shared" si="1117"/>
        <v>915.16</v>
      </c>
      <c r="CL142" s="21">
        <f t="shared" ref="CL142:CZ142" si="1118">+CL139-CL140-CL141</f>
        <v>914.67397610493776</v>
      </c>
      <c r="CM142" s="21">
        <f t="shared" si="1118"/>
        <v>914.20945355939807</v>
      </c>
      <c r="CN142" s="21">
        <f t="shared" si="1118"/>
        <v>913.76548115905541</v>
      </c>
      <c r="CO142" s="21">
        <f t="shared" si="1118"/>
        <v>913.34114978018329</v>
      </c>
      <c r="CP142" s="21">
        <f t="shared" si="1118"/>
        <v>912.93559051803891</v>
      </c>
      <c r="CQ142" s="21">
        <f t="shared" si="1118"/>
        <v>912.54797290760348</v>
      </c>
      <c r="CR142" s="21">
        <f t="shared" si="1118"/>
        <v>912.17750322303709</v>
      </c>
      <c r="CS142" s="21">
        <f t="shared" si="1118"/>
        <v>911.82342285236291</v>
      </c>
      <c r="CT142" s="21">
        <f t="shared" si="1118"/>
        <v>911.48500674405602</v>
      </c>
      <c r="CU142" s="21">
        <f t="shared" si="1118"/>
        <v>911.16156192235178</v>
      </c>
      <c r="CV142" s="21">
        <f t="shared" si="1118"/>
        <v>910.85242606823817</v>
      </c>
      <c r="CW142" s="21">
        <f t="shared" si="1118"/>
        <v>910.55696616322257</v>
      </c>
      <c r="CX142" s="21">
        <f t="shared" si="1118"/>
        <v>910.27457719309757</v>
      </c>
      <c r="CY142" s="21">
        <f t="shared" si="1118"/>
        <v>910.00468090905167</v>
      </c>
      <c r="CZ142" s="21">
        <f t="shared" si="1118"/>
        <v>909.7467246435873</v>
      </c>
      <c r="DB142" s="126"/>
      <c r="DC142" s="22">
        <v>0</v>
      </c>
    </row>
    <row r="143" spans="1:107" s="23" customFormat="1" outlineLevel="1" x14ac:dyDescent="0.2">
      <c r="A143" s="23" t="s">
        <v>54</v>
      </c>
      <c r="B143" s="23">
        <f>'Annual Raw'!C86</f>
        <v>0</v>
      </c>
      <c r="C143" s="23">
        <f>'Annual Raw'!D86</f>
        <v>0</v>
      </c>
      <c r="D143" s="23">
        <f>'Annual Raw'!E86</f>
        <v>0</v>
      </c>
      <c r="E143" s="23">
        <f>'Annual Raw'!F86</f>
        <v>0</v>
      </c>
      <c r="F143" s="23">
        <f>'Annual Raw'!G86</f>
        <v>0</v>
      </c>
      <c r="G143" s="23">
        <f>'Annual Raw'!H86</f>
        <v>0</v>
      </c>
      <c r="H143" s="23">
        <f>'Annual Raw'!I86</f>
        <v>0</v>
      </c>
      <c r="I143" s="23">
        <f>'Annual Raw'!J86</f>
        <v>0</v>
      </c>
      <c r="J143" s="23">
        <f>'Annual Raw'!K86</f>
        <v>0</v>
      </c>
      <c r="K143" s="23">
        <f>'Annual Raw'!L86</f>
        <v>5.5458999999999996</v>
      </c>
      <c r="L143" s="23">
        <f>'Annual Raw'!M86</f>
        <v>78.069999999999993</v>
      </c>
      <c r="M143" s="23">
        <f>'Annual Raw'!N86</f>
        <v>78.069999999999993</v>
      </c>
      <c r="N143" s="23">
        <f>'Annual Raw'!O86</f>
        <v>51.97</v>
      </c>
      <c r="O143" s="23">
        <f>'Annual Raw'!P86</f>
        <v>51.97</v>
      </c>
      <c r="P143" s="23">
        <f>'Annual Raw'!Q86</f>
        <v>46.42</v>
      </c>
      <c r="Q143" s="23">
        <f>'Annual Raw'!R86</f>
        <v>46.42</v>
      </c>
      <c r="R143" s="23">
        <f>'Annual Raw'!S86</f>
        <v>46.42</v>
      </c>
      <c r="S143" s="23">
        <f>'Annual Raw'!T86</f>
        <v>14.62</v>
      </c>
      <c r="T143" s="23">
        <f>'Annual Raw'!U86</f>
        <v>14.62</v>
      </c>
      <c r="U143" s="23">
        <f>'Annual Raw'!V86</f>
        <v>14.62</v>
      </c>
      <c r="V143" s="23">
        <f>'Annual Raw'!W86</f>
        <v>14.62</v>
      </c>
      <c r="W143" s="23">
        <f>'Annual Raw'!X86</f>
        <v>14.62</v>
      </c>
      <c r="X143" s="23">
        <f>'Annual Raw'!Y86</f>
        <v>14.62</v>
      </c>
      <c r="Y143" s="23">
        <f>'Annual Raw'!Z86</f>
        <v>14.62</v>
      </c>
      <c r="Z143" s="23">
        <f>'Annual Raw'!AA86</f>
        <v>14.62</v>
      </c>
      <c r="AA143" s="24">
        <f t="shared" si="1099"/>
        <v>0</v>
      </c>
      <c r="AB143" s="24">
        <f t="shared" si="1100"/>
        <v>0</v>
      </c>
      <c r="AC143" s="24">
        <f t="shared" si="1101"/>
        <v>0</v>
      </c>
      <c r="AD143" s="24">
        <f t="shared" si="1102"/>
        <v>0</v>
      </c>
      <c r="AI143" s="23">
        <f t="shared" ref="AI143:CK145" si="1119">+AH143</f>
        <v>0</v>
      </c>
      <c r="AJ143" s="23">
        <f>+'QTR Raw'!E72</f>
        <v>0</v>
      </c>
      <c r="AK143" s="23">
        <f t="shared" si="1119"/>
        <v>0</v>
      </c>
      <c r="AL143" s="23">
        <f>+'QTR Raw'!G72</f>
        <v>0</v>
      </c>
      <c r="AM143" s="23">
        <f t="shared" si="1119"/>
        <v>0</v>
      </c>
      <c r="AN143" s="23">
        <f>+'QTR Raw'!I72</f>
        <v>0</v>
      </c>
      <c r="AO143" s="23">
        <f t="shared" si="1119"/>
        <v>0</v>
      </c>
      <c r="AP143" s="23">
        <f>+'QTR Raw'!K72</f>
        <v>0</v>
      </c>
      <c r="AQ143" s="23">
        <f t="shared" si="1119"/>
        <v>0</v>
      </c>
      <c r="AR143" s="23">
        <f>+'QTR Raw'!M72</f>
        <v>0</v>
      </c>
      <c r="AS143" s="23">
        <f t="shared" si="1119"/>
        <v>0</v>
      </c>
      <c r="AT143" s="23">
        <f>+'QTR Raw'!O72</f>
        <v>0</v>
      </c>
      <c r="AU143" s="23">
        <f t="shared" si="1119"/>
        <v>0</v>
      </c>
      <c r="AV143" s="23">
        <f>+'QTR Raw'!Q72</f>
        <v>0</v>
      </c>
      <c r="AW143" s="23">
        <f t="shared" si="1119"/>
        <v>0</v>
      </c>
      <c r="AX143" s="23">
        <f>+'QTR Raw'!S72</f>
        <v>0</v>
      </c>
      <c r="AY143" s="23">
        <f t="shared" si="1119"/>
        <v>0</v>
      </c>
      <c r="AZ143" s="23">
        <f>+'QTR Raw'!U72</f>
        <v>0</v>
      </c>
      <c r="BA143" s="23">
        <f t="shared" si="1119"/>
        <v>0</v>
      </c>
      <c r="BB143" s="23">
        <f>+'QTR Raw'!W72</f>
        <v>0</v>
      </c>
      <c r="BC143" s="23">
        <f t="shared" si="1119"/>
        <v>0</v>
      </c>
      <c r="BD143" s="23">
        <f>+'QTR Raw'!Y72</f>
        <v>0</v>
      </c>
      <c r="BE143" s="23">
        <f t="shared" si="1119"/>
        <v>0</v>
      </c>
      <c r="BF143" s="23">
        <f>+'QTR Raw'!AA72</f>
        <v>0</v>
      </c>
      <c r="BG143" s="23">
        <f t="shared" si="1119"/>
        <v>0</v>
      </c>
      <c r="BH143" s="23">
        <f>+'QTR Raw'!AC72</f>
        <v>0</v>
      </c>
      <c r="BI143" s="23">
        <f t="shared" si="1119"/>
        <v>0</v>
      </c>
      <c r="BJ143" s="23">
        <f>+'QTR Raw'!AE72</f>
        <v>14.62</v>
      </c>
      <c r="BK143" s="23">
        <f t="shared" si="1119"/>
        <v>14.62</v>
      </c>
      <c r="BL143" s="23">
        <f>+'QTR Raw'!AG72</f>
        <v>0</v>
      </c>
      <c r="BM143" s="23">
        <f t="shared" si="1119"/>
        <v>0</v>
      </c>
      <c r="BN143" s="23">
        <f>+'QTR Raw'!AI72</f>
        <v>0</v>
      </c>
      <c r="BO143" s="23">
        <f t="shared" si="1119"/>
        <v>0</v>
      </c>
      <c r="BP143" s="23">
        <f>+'QTR Raw'!AK72</f>
        <v>0</v>
      </c>
      <c r="BQ143" s="23">
        <f t="shared" si="1119"/>
        <v>0</v>
      </c>
      <c r="BR143" s="23">
        <f>+'QTR Raw'!AM72</f>
        <v>0</v>
      </c>
      <c r="BS143" s="23">
        <f t="shared" si="1119"/>
        <v>0</v>
      </c>
      <c r="BT143" s="23">
        <f>+'QTR Raw'!AO72</f>
        <v>0</v>
      </c>
      <c r="BU143" s="23">
        <f t="shared" si="1119"/>
        <v>0</v>
      </c>
      <c r="BV143" s="23">
        <f>+'QTR Raw'!AQ72</f>
        <v>14.62</v>
      </c>
      <c r="BW143" s="23">
        <f t="shared" si="1119"/>
        <v>14.62</v>
      </c>
      <c r="BX143" s="23">
        <f>+'QTR Raw'!AS72</f>
        <v>0</v>
      </c>
      <c r="BY143" s="23">
        <f t="shared" si="1119"/>
        <v>0</v>
      </c>
      <c r="BZ143" s="23">
        <f>+'QTR Raw'!AU72</f>
        <v>0</v>
      </c>
      <c r="CA143" s="23">
        <f t="shared" si="1119"/>
        <v>0</v>
      </c>
      <c r="CB143" s="23">
        <f>+'QTR Raw'!AW72</f>
        <v>0</v>
      </c>
      <c r="CC143" s="23">
        <f t="shared" si="1119"/>
        <v>0</v>
      </c>
      <c r="CD143" s="23">
        <f>+'QTR Raw'!AY72</f>
        <v>0</v>
      </c>
      <c r="CE143" s="23">
        <f t="shared" si="1119"/>
        <v>0</v>
      </c>
      <c r="CF143" s="23">
        <f>+'QTR Raw'!BA72</f>
        <v>14.62</v>
      </c>
      <c r="CG143" s="23">
        <f t="shared" si="1119"/>
        <v>14.62</v>
      </c>
      <c r="CH143" s="23">
        <f>+'QTR Raw'!BC72</f>
        <v>0</v>
      </c>
      <c r="CI143" s="23">
        <f t="shared" si="1119"/>
        <v>0</v>
      </c>
      <c r="CJ143" s="23">
        <f t="shared" ref="CJ143:CJ145" si="1120">+CI143</f>
        <v>0</v>
      </c>
      <c r="CK143" s="23">
        <f t="shared" si="1119"/>
        <v>0</v>
      </c>
      <c r="CL143" s="24">
        <f t="shared" ref="CL143:CL145" si="1121">+CK143</f>
        <v>0</v>
      </c>
      <c r="CM143" s="24">
        <f t="shared" ref="CM143:CM145" si="1122">+CL143</f>
        <v>0</v>
      </c>
      <c r="CN143" s="24">
        <f t="shared" ref="CN143:CN145" si="1123">+CM143</f>
        <v>0</v>
      </c>
      <c r="CO143" s="24">
        <f t="shared" ref="CO143:CO145" si="1124">+CN143</f>
        <v>0</v>
      </c>
      <c r="CP143" s="24">
        <f t="shared" ref="CP143:CP145" si="1125">+CO143</f>
        <v>0</v>
      </c>
      <c r="CQ143" s="24">
        <f t="shared" ref="CQ143:CQ145" si="1126">+CP143</f>
        <v>0</v>
      </c>
      <c r="CR143" s="24">
        <f t="shared" ref="CR143:CR145" si="1127">+CQ143</f>
        <v>0</v>
      </c>
      <c r="CS143" s="24">
        <f t="shared" ref="CS143:CS145" si="1128">+CR143</f>
        <v>0</v>
      </c>
      <c r="CT143" s="24">
        <f t="shared" ref="CT143:CT145" si="1129">+CS143</f>
        <v>0</v>
      </c>
      <c r="CU143" s="24">
        <f t="shared" ref="CU143:CU145" si="1130">+CT143</f>
        <v>0</v>
      </c>
      <c r="CV143" s="24">
        <f t="shared" ref="CV143:CV145" si="1131">+CU143</f>
        <v>0</v>
      </c>
      <c r="CW143" s="24">
        <f t="shared" ref="CW143:CW145" si="1132">+CV143</f>
        <v>0</v>
      </c>
      <c r="CX143" s="24">
        <f t="shared" ref="CX143:CX145" si="1133">+CW143</f>
        <v>0</v>
      </c>
      <c r="CY143" s="24">
        <f t="shared" ref="CY143:CY145" si="1134">+CX143</f>
        <v>0</v>
      </c>
      <c r="CZ143" s="24">
        <f t="shared" ref="CZ143:CZ145" si="1135">+CY143</f>
        <v>0</v>
      </c>
      <c r="DB143" s="123"/>
      <c r="DC143" s="23">
        <v>0</v>
      </c>
    </row>
    <row r="144" spans="1:107" s="23" customFormat="1" outlineLevel="1" x14ac:dyDescent="0.2">
      <c r="A144" s="23" t="s">
        <v>55</v>
      </c>
      <c r="B144" s="23">
        <f>'Annual Raw'!C68</f>
        <v>0</v>
      </c>
      <c r="C144" s="23">
        <f>'Annual Raw'!D68</f>
        <v>0</v>
      </c>
      <c r="D144" s="23">
        <f>'Annual Raw'!E68</f>
        <v>0</v>
      </c>
      <c r="E144" s="23">
        <f>'Annual Raw'!F68</f>
        <v>0</v>
      </c>
      <c r="F144" s="23">
        <f>'Annual Raw'!G68</f>
        <v>0</v>
      </c>
      <c r="G144" s="23">
        <f>'Annual Raw'!H68</f>
        <v>0</v>
      </c>
      <c r="H144" s="23">
        <f>'Annual Raw'!I68</f>
        <v>0</v>
      </c>
      <c r="I144" s="23">
        <f>'Annual Raw'!J68</f>
        <v>0</v>
      </c>
      <c r="J144" s="23">
        <f>'Annual Raw'!K68</f>
        <v>0</v>
      </c>
      <c r="K144" s="23">
        <f>'Annual Raw'!L68</f>
        <v>0</v>
      </c>
      <c r="L144" s="23">
        <f>'Annual Raw'!M68</f>
        <v>0</v>
      </c>
      <c r="M144" s="23">
        <f>'Annual Raw'!N68</f>
        <v>0</v>
      </c>
      <c r="N144" s="23">
        <f>'Annual Raw'!O68</f>
        <v>0</v>
      </c>
      <c r="O144" s="23">
        <f>'Annual Raw'!P68</f>
        <v>0</v>
      </c>
      <c r="P144" s="23">
        <f>'Annual Raw'!Q68</f>
        <v>0</v>
      </c>
      <c r="Q144" s="23">
        <f>'Annual Raw'!R68</f>
        <v>0</v>
      </c>
      <c r="R144" s="23">
        <f>'Annual Raw'!S68</f>
        <v>0</v>
      </c>
      <c r="S144" s="23">
        <f>'Annual Raw'!T68</f>
        <v>0</v>
      </c>
      <c r="T144" s="23">
        <f>'Annual Raw'!U68</f>
        <v>0</v>
      </c>
      <c r="U144" s="23">
        <f>'Annual Raw'!V68</f>
        <v>0</v>
      </c>
      <c r="V144" s="23">
        <f>'Annual Raw'!W68</f>
        <v>0</v>
      </c>
      <c r="W144" s="23">
        <f>'Annual Raw'!X68</f>
        <v>0</v>
      </c>
      <c r="X144" s="23">
        <f>'Annual Raw'!Y68</f>
        <v>0</v>
      </c>
      <c r="Y144" s="23">
        <f>'Annual Raw'!Z68</f>
        <v>0</v>
      </c>
      <c r="Z144" s="23">
        <f>'Annual Raw'!AA68</f>
        <v>0</v>
      </c>
      <c r="AA144" s="24">
        <f t="shared" si="1099"/>
        <v>0</v>
      </c>
      <c r="AB144" s="24">
        <f t="shared" si="1100"/>
        <v>0</v>
      </c>
      <c r="AC144" s="24">
        <f t="shared" si="1101"/>
        <v>0</v>
      </c>
      <c r="AD144" s="24">
        <f t="shared" si="1102"/>
        <v>0</v>
      </c>
      <c r="AI144" s="23">
        <f t="shared" si="1119"/>
        <v>0</v>
      </c>
      <c r="AK144" s="23">
        <f t="shared" si="1119"/>
        <v>0</v>
      </c>
      <c r="AM144" s="23">
        <f t="shared" si="1119"/>
        <v>0</v>
      </c>
      <c r="AO144" s="23">
        <f t="shared" si="1119"/>
        <v>0</v>
      </c>
      <c r="AQ144" s="23">
        <f t="shared" si="1119"/>
        <v>0</v>
      </c>
      <c r="AS144" s="23">
        <f t="shared" si="1119"/>
        <v>0</v>
      </c>
      <c r="AU144" s="23">
        <f t="shared" si="1119"/>
        <v>0</v>
      </c>
      <c r="AW144" s="23">
        <f t="shared" si="1119"/>
        <v>0</v>
      </c>
      <c r="AY144" s="23">
        <f t="shared" si="1119"/>
        <v>0</v>
      </c>
      <c r="BA144" s="23">
        <f t="shared" si="1119"/>
        <v>0</v>
      </c>
      <c r="BC144" s="23">
        <f t="shared" si="1119"/>
        <v>0</v>
      </c>
      <c r="BE144" s="23">
        <f t="shared" si="1119"/>
        <v>0</v>
      </c>
      <c r="BG144" s="23">
        <f t="shared" si="1119"/>
        <v>0</v>
      </c>
      <c r="BI144" s="23">
        <f t="shared" si="1119"/>
        <v>0</v>
      </c>
      <c r="BK144" s="23">
        <f t="shared" si="1119"/>
        <v>0</v>
      </c>
      <c r="BM144" s="23">
        <f t="shared" si="1119"/>
        <v>0</v>
      </c>
      <c r="BO144" s="23">
        <f t="shared" si="1119"/>
        <v>0</v>
      </c>
      <c r="BQ144" s="23">
        <f t="shared" si="1119"/>
        <v>0</v>
      </c>
      <c r="BS144" s="23">
        <f t="shared" si="1119"/>
        <v>0</v>
      </c>
      <c r="BU144" s="23">
        <f t="shared" si="1119"/>
        <v>0</v>
      </c>
      <c r="BW144" s="23">
        <f t="shared" si="1119"/>
        <v>0</v>
      </c>
      <c r="BY144" s="23">
        <f t="shared" si="1119"/>
        <v>0</v>
      </c>
      <c r="CA144" s="23">
        <f t="shared" si="1119"/>
        <v>0</v>
      </c>
      <c r="CC144" s="23">
        <f t="shared" si="1119"/>
        <v>0</v>
      </c>
      <c r="CE144" s="23">
        <f t="shared" si="1119"/>
        <v>0</v>
      </c>
      <c r="CG144" s="23">
        <f t="shared" si="1119"/>
        <v>0</v>
      </c>
      <c r="CI144" s="23">
        <f t="shared" si="1119"/>
        <v>0</v>
      </c>
      <c r="CJ144" s="23">
        <f t="shared" si="1120"/>
        <v>0</v>
      </c>
      <c r="CK144" s="23">
        <f t="shared" si="1119"/>
        <v>0</v>
      </c>
      <c r="CL144" s="24">
        <f t="shared" si="1121"/>
        <v>0</v>
      </c>
      <c r="CM144" s="24">
        <f t="shared" si="1122"/>
        <v>0</v>
      </c>
      <c r="CN144" s="24">
        <f t="shared" si="1123"/>
        <v>0</v>
      </c>
      <c r="CO144" s="24">
        <f t="shared" si="1124"/>
        <v>0</v>
      </c>
      <c r="CP144" s="24">
        <f t="shared" si="1125"/>
        <v>0</v>
      </c>
      <c r="CQ144" s="24">
        <f t="shared" si="1126"/>
        <v>0</v>
      </c>
      <c r="CR144" s="24">
        <f t="shared" si="1127"/>
        <v>0</v>
      </c>
      <c r="CS144" s="24">
        <f t="shared" si="1128"/>
        <v>0</v>
      </c>
      <c r="CT144" s="24">
        <f t="shared" si="1129"/>
        <v>0</v>
      </c>
      <c r="CU144" s="24">
        <f t="shared" si="1130"/>
        <v>0</v>
      </c>
      <c r="CV144" s="24">
        <f t="shared" si="1131"/>
        <v>0</v>
      </c>
      <c r="CW144" s="24">
        <f t="shared" si="1132"/>
        <v>0</v>
      </c>
      <c r="CX144" s="24">
        <f t="shared" si="1133"/>
        <v>0</v>
      </c>
      <c r="CY144" s="24">
        <f t="shared" si="1134"/>
        <v>0</v>
      </c>
      <c r="CZ144" s="24">
        <f t="shared" si="1135"/>
        <v>0</v>
      </c>
      <c r="DB144" s="123"/>
      <c r="DC144" s="23">
        <v>0</v>
      </c>
    </row>
    <row r="145" spans="1:107" s="23" customFormat="1" outlineLevel="1" x14ac:dyDescent="0.2">
      <c r="A145" s="23" t="s">
        <v>56</v>
      </c>
      <c r="B145" s="23">
        <f>'Annual Raw'!C67+'Annual Raw'!C66+'Annual Raw'!C69+'Annual Raw'!C70</f>
        <v>1.1624000000000001</v>
      </c>
      <c r="C145" s="23">
        <f>'Annual Raw'!D67+'Annual Raw'!D66+'Annual Raw'!D69+'Annual Raw'!D70</f>
        <v>4.1353</v>
      </c>
      <c r="D145" s="23">
        <f>'Annual Raw'!E67+'Annual Raw'!E66+'Annual Raw'!E69+'Annual Raw'!E70</f>
        <v>10.274699999999999</v>
      </c>
      <c r="E145" s="23">
        <f>'Annual Raw'!F67+'Annual Raw'!F66+'Annual Raw'!F69+'Annual Raw'!F70</f>
        <v>4.9295999999999998</v>
      </c>
      <c r="F145" s="23">
        <f>'Annual Raw'!G67+'Annual Raw'!G66+'Annual Raw'!G69+'Annual Raw'!G70</f>
        <v>38.423900000000003</v>
      </c>
      <c r="G145" s="23">
        <f>'Annual Raw'!H67+'Annual Raw'!H66+'Annual Raw'!H69+'Annual Raw'!H70</f>
        <v>24.621700000000001</v>
      </c>
      <c r="H145" s="23">
        <f>'Annual Raw'!I67+'Annual Raw'!I66+'Annual Raw'!I69+'Annual Raw'!I70</f>
        <v>105.9418</v>
      </c>
      <c r="I145" s="23">
        <f>'Annual Raw'!J67+'Annual Raw'!J66+'Annual Raw'!J69+'Annual Raw'!J70</f>
        <v>137.5145</v>
      </c>
      <c r="J145" s="23">
        <f>'Annual Raw'!K67+'Annual Raw'!K66+'Annual Raw'!K69+'Annual Raw'!K70</f>
        <v>116.3391</v>
      </c>
      <c r="K145" s="23">
        <f>'Annual Raw'!L67+'Annual Raw'!L66+'Annual Raw'!L69+'Annual Raw'!L70</f>
        <v>57.6965</v>
      </c>
      <c r="L145" s="23">
        <f>'Annual Raw'!M67+'Annual Raw'!M66+'Annual Raw'!M69+'Annual Raw'!M70</f>
        <v>74.430000000000007</v>
      </c>
      <c r="M145" s="23">
        <f>'Annual Raw'!N67+'Annual Raw'!N66+'Annual Raw'!N69+'Annual Raw'!N70</f>
        <v>117.01</v>
      </c>
      <c r="N145" s="23">
        <f>'Annual Raw'!O67+'Annual Raw'!O66+'Annual Raw'!O69+'Annual Raw'!O70</f>
        <v>47.49</v>
      </c>
      <c r="O145" s="23">
        <f>'Annual Raw'!P67+'Annual Raw'!P66+'Annual Raw'!P69+'Annual Raw'!P70</f>
        <v>31.93</v>
      </c>
      <c r="P145" s="23">
        <f>'Annual Raw'!Q67+'Annual Raw'!Q66+'Annual Raw'!Q69+'Annual Raw'!Q70</f>
        <v>44.28</v>
      </c>
      <c r="Q145" s="23">
        <f>'Annual Raw'!R67+'Annual Raw'!R66+'Annual Raw'!R69+'Annual Raw'!R70</f>
        <v>67.78</v>
      </c>
      <c r="R145" s="23">
        <f>'Annual Raw'!S67+'Annual Raw'!S66+'Annual Raw'!S69+'Annual Raw'!S70</f>
        <v>116.48</v>
      </c>
      <c r="S145" s="23">
        <f>'Annual Raw'!T67+'Annual Raw'!T66+'Annual Raw'!T69+'Annual Raw'!T70</f>
        <v>83.06</v>
      </c>
      <c r="T145" s="23">
        <f>'Annual Raw'!U67+'Annual Raw'!U66+'Annual Raw'!U69+'Annual Raw'!U70</f>
        <v>59.48</v>
      </c>
      <c r="U145" s="23">
        <f>'Annual Raw'!V67+'Annual Raw'!V66+'Annual Raw'!V69+'Annual Raw'!V70</f>
        <v>74.86</v>
      </c>
      <c r="V145" s="23">
        <f>'Annual Raw'!W67+'Annual Raw'!W66+'Annual Raw'!W69+'Annual Raw'!W70</f>
        <v>76.930000000000007</v>
      </c>
      <c r="W145" s="23">
        <f>'Annual Raw'!X67+'Annual Raw'!X66+'Annual Raw'!X69+'Annual Raw'!X70</f>
        <v>69.25</v>
      </c>
      <c r="X145" s="23">
        <f>'Annual Raw'!Y67+'Annual Raw'!Y66+'Annual Raw'!Y69+'Annual Raw'!Y70</f>
        <v>59.92</v>
      </c>
      <c r="Y145" s="23">
        <f>'Annual Raw'!Z67+'Annual Raw'!Z66+'Annual Raw'!Z69+'Annual Raw'!Z70</f>
        <v>94.77</v>
      </c>
      <c r="Z145" s="23">
        <f>'Annual Raw'!AA67+'Annual Raw'!AA66+'Annual Raw'!AA69+'Annual Raw'!AA70</f>
        <v>116.44</v>
      </c>
      <c r="AA145" s="24">
        <f t="shared" si="1099"/>
        <v>99.72</v>
      </c>
      <c r="AB145" s="24">
        <f t="shared" si="1100"/>
        <v>99.72</v>
      </c>
      <c r="AC145" s="24">
        <f t="shared" si="1101"/>
        <v>99.72</v>
      </c>
      <c r="AD145" s="24">
        <f t="shared" si="1102"/>
        <v>99.72</v>
      </c>
      <c r="AI145" s="23">
        <f t="shared" si="1119"/>
        <v>0</v>
      </c>
      <c r="AJ145" s="23">
        <f>+'QTR Raw'!E74+'QTR Raw'!E75</f>
        <v>0</v>
      </c>
      <c r="AK145" s="23">
        <f t="shared" si="1119"/>
        <v>0</v>
      </c>
      <c r="AL145" s="23">
        <f>+'QTR Raw'!G74+'QTR Raw'!G75</f>
        <v>0</v>
      </c>
      <c r="AM145" s="23">
        <f t="shared" si="1119"/>
        <v>0</v>
      </c>
      <c r="AN145" s="23">
        <f>+'QTR Raw'!I74+'QTR Raw'!I75</f>
        <v>0</v>
      </c>
      <c r="AO145" s="23">
        <f t="shared" si="1119"/>
        <v>0</v>
      </c>
      <c r="AP145" s="23">
        <f>+'QTR Raw'!K74+'QTR Raw'!K75</f>
        <v>0</v>
      </c>
      <c r="AQ145" s="23">
        <f t="shared" si="1119"/>
        <v>0</v>
      </c>
      <c r="AR145" s="23">
        <f>+'QTR Raw'!M74+'QTR Raw'!M75</f>
        <v>0</v>
      </c>
      <c r="AS145" s="23">
        <f t="shared" si="1119"/>
        <v>0</v>
      </c>
      <c r="AT145" s="23">
        <f>+'QTR Raw'!O74+'QTR Raw'!O75</f>
        <v>0</v>
      </c>
      <c r="AU145" s="23">
        <f t="shared" si="1119"/>
        <v>0</v>
      </c>
      <c r="AV145" s="23">
        <f>+'QTR Raw'!Q74+'QTR Raw'!Q75</f>
        <v>0</v>
      </c>
      <c r="AW145" s="23">
        <f t="shared" si="1119"/>
        <v>0</v>
      </c>
      <c r="AX145" s="23">
        <f>+'QTR Raw'!S74+'QTR Raw'!S75</f>
        <v>0</v>
      </c>
      <c r="AY145" s="23">
        <f t="shared" si="1119"/>
        <v>0</v>
      </c>
      <c r="AZ145" s="23">
        <f>+'QTR Raw'!U74+'QTR Raw'!U75</f>
        <v>0</v>
      </c>
      <c r="BA145" s="23">
        <f t="shared" si="1119"/>
        <v>0</v>
      </c>
      <c r="BB145" s="23">
        <f>+'QTR Raw'!W74+'QTR Raw'!W75</f>
        <v>68.92</v>
      </c>
      <c r="BC145" s="23">
        <f t="shared" si="1119"/>
        <v>68.92</v>
      </c>
      <c r="BD145" s="23">
        <f>+'QTR Raw'!Y74+'QTR Raw'!Y75</f>
        <v>116.48</v>
      </c>
      <c r="BE145" s="23">
        <f t="shared" si="1119"/>
        <v>116.48</v>
      </c>
      <c r="BF145" s="23">
        <f>+'QTR Raw'!AA74+'QTR Raw'!AA75</f>
        <v>122.75</v>
      </c>
      <c r="BG145" s="23">
        <f t="shared" si="1119"/>
        <v>122.75</v>
      </c>
      <c r="BH145" s="23">
        <f>+'QTR Raw'!AC74+'QTR Raw'!AC75</f>
        <v>83.06</v>
      </c>
      <c r="BI145" s="23">
        <f t="shared" si="1119"/>
        <v>83.06</v>
      </c>
      <c r="BJ145" s="23">
        <f>+'QTR Raw'!AE74+'QTR Raw'!AE75</f>
        <v>82.48</v>
      </c>
      <c r="BK145" s="23">
        <f t="shared" si="1119"/>
        <v>82.48</v>
      </c>
      <c r="BL145" s="23">
        <f>+'QTR Raw'!AG74+'QTR Raw'!AG75</f>
        <v>59.48</v>
      </c>
      <c r="BM145" s="23">
        <f t="shared" si="1119"/>
        <v>59.48</v>
      </c>
      <c r="BN145" s="23">
        <f>+'QTR Raw'!AI74+'QTR Raw'!AI75</f>
        <v>80.37</v>
      </c>
      <c r="BO145" s="23">
        <f t="shared" si="1119"/>
        <v>80.37</v>
      </c>
      <c r="BP145" s="23">
        <f>+'QTR Raw'!AK74+'QTR Raw'!AK75</f>
        <v>74.86</v>
      </c>
      <c r="BQ145" s="23">
        <f t="shared" si="1119"/>
        <v>74.86</v>
      </c>
      <c r="BR145" s="23">
        <f>+'QTR Raw'!AM74+'QTR Raw'!AM75</f>
        <v>98.52</v>
      </c>
      <c r="BS145" s="23">
        <f t="shared" si="1119"/>
        <v>98.52</v>
      </c>
      <c r="BT145" s="23">
        <f>+'QTR Raw'!AO74+'QTR Raw'!AO75</f>
        <v>76.930000000000007</v>
      </c>
      <c r="BU145" s="23">
        <f t="shared" si="1119"/>
        <v>76.930000000000007</v>
      </c>
      <c r="BV145" s="23">
        <f>+'QTR Raw'!AQ74+'QTR Raw'!AQ75</f>
        <v>0</v>
      </c>
      <c r="BW145" s="23">
        <f t="shared" si="1119"/>
        <v>0</v>
      </c>
      <c r="BX145" s="23">
        <f>+'QTR Raw'!AS74+'QTR Raw'!AS75</f>
        <v>69.25</v>
      </c>
      <c r="BY145" s="23">
        <f t="shared" si="1119"/>
        <v>69.25</v>
      </c>
      <c r="BZ145" s="23">
        <f>+'QTR Raw'!AU74+'QTR Raw'!AU75</f>
        <v>74.150000000000006</v>
      </c>
      <c r="CA145" s="23">
        <f t="shared" si="1119"/>
        <v>74.150000000000006</v>
      </c>
      <c r="CB145" s="23">
        <f>+'QTR Raw'!AW74+'QTR Raw'!AW75</f>
        <v>59.92</v>
      </c>
      <c r="CC145" s="23">
        <f t="shared" si="1119"/>
        <v>59.92</v>
      </c>
      <c r="CD145" s="23">
        <f>+'QTR Raw'!AY74+'QTR Raw'!AY75</f>
        <v>64.66</v>
      </c>
      <c r="CE145" s="23">
        <f t="shared" si="1119"/>
        <v>64.66</v>
      </c>
      <c r="CF145" s="23">
        <f>+'QTR Raw'!BA74+'QTR Raw'!BA75</f>
        <v>94.77</v>
      </c>
      <c r="CG145" s="23">
        <f t="shared" si="1119"/>
        <v>94.77</v>
      </c>
      <c r="CH145" s="23">
        <f>+'QTR Raw'!BC74+'QTR Raw'!BC75</f>
        <v>99.72</v>
      </c>
      <c r="CI145" s="23">
        <f t="shared" si="1119"/>
        <v>99.72</v>
      </c>
      <c r="CJ145" s="23">
        <f t="shared" si="1120"/>
        <v>99.72</v>
      </c>
      <c r="CK145" s="23">
        <f t="shared" si="1119"/>
        <v>99.72</v>
      </c>
      <c r="CL145" s="24">
        <f t="shared" si="1121"/>
        <v>99.72</v>
      </c>
      <c r="CM145" s="24">
        <f t="shared" si="1122"/>
        <v>99.72</v>
      </c>
      <c r="CN145" s="24">
        <f t="shared" si="1123"/>
        <v>99.72</v>
      </c>
      <c r="CO145" s="24">
        <f t="shared" si="1124"/>
        <v>99.72</v>
      </c>
      <c r="CP145" s="24">
        <f t="shared" si="1125"/>
        <v>99.72</v>
      </c>
      <c r="CQ145" s="24">
        <f t="shared" si="1126"/>
        <v>99.72</v>
      </c>
      <c r="CR145" s="24">
        <f t="shared" si="1127"/>
        <v>99.72</v>
      </c>
      <c r="CS145" s="24">
        <f t="shared" si="1128"/>
        <v>99.72</v>
      </c>
      <c r="CT145" s="24">
        <f t="shared" si="1129"/>
        <v>99.72</v>
      </c>
      <c r="CU145" s="24">
        <f t="shared" si="1130"/>
        <v>99.72</v>
      </c>
      <c r="CV145" s="24">
        <f t="shared" si="1131"/>
        <v>99.72</v>
      </c>
      <c r="CW145" s="24">
        <f t="shared" si="1132"/>
        <v>99.72</v>
      </c>
      <c r="CX145" s="24">
        <f t="shared" si="1133"/>
        <v>99.72</v>
      </c>
      <c r="CY145" s="24">
        <f t="shared" si="1134"/>
        <v>99.72</v>
      </c>
      <c r="CZ145" s="24">
        <f t="shared" si="1135"/>
        <v>99.72</v>
      </c>
      <c r="DB145" s="123"/>
      <c r="DC145" s="23">
        <v>0</v>
      </c>
    </row>
    <row r="146" spans="1:107" s="22" customFormat="1" x14ac:dyDescent="0.2">
      <c r="A146" s="22" t="s">
        <v>57</v>
      </c>
      <c r="B146" s="22">
        <f>B142+B145+B144</f>
        <v>157.38369999999998</v>
      </c>
      <c r="C146" s="22">
        <f t="shared" ref="C146:D146" si="1136">C142+C145+C144</f>
        <v>147.98679999999999</v>
      </c>
      <c r="D146" s="22">
        <f t="shared" si="1136"/>
        <v>170.00899999999999</v>
      </c>
      <c r="E146" s="22">
        <f t="shared" ref="E146:Y146" si="1137">E142+E145+E144+E143</f>
        <v>194.93429999999998</v>
      </c>
      <c r="F146" s="22">
        <f t="shared" si="1137"/>
        <v>265.08499999999998</v>
      </c>
      <c r="G146" s="22">
        <f t="shared" si="1137"/>
        <v>331.79379999999998</v>
      </c>
      <c r="H146" s="22">
        <f t="shared" si="1137"/>
        <v>457.8716</v>
      </c>
      <c r="I146" s="22">
        <f t="shared" si="1137"/>
        <v>683.34699999999998</v>
      </c>
      <c r="J146" s="22">
        <f t="shared" si="1137"/>
        <v>789.46870000000001</v>
      </c>
      <c r="K146" s="22">
        <f t="shared" si="1137"/>
        <v>823.78070000000002</v>
      </c>
      <c r="L146" s="22">
        <f t="shared" si="1137"/>
        <v>1269.31</v>
      </c>
      <c r="M146" s="22">
        <f t="shared" si="1137"/>
        <v>1350.8</v>
      </c>
      <c r="N146" s="22">
        <f t="shared" si="1137"/>
        <v>1439</v>
      </c>
      <c r="O146" s="22">
        <f t="shared" si="1137"/>
        <v>1431.47</v>
      </c>
      <c r="P146" s="22">
        <f t="shared" si="1137"/>
        <v>1342.7</v>
      </c>
      <c r="Q146" s="22">
        <f t="shared" si="1137"/>
        <v>1322.6899999999998</v>
      </c>
      <c r="R146" s="22">
        <f t="shared" si="1137"/>
        <v>1335.1399999999999</v>
      </c>
      <c r="S146" s="22">
        <f t="shared" si="1137"/>
        <v>976.20000000000016</v>
      </c>
      <c r="T146" s="22">
        <f t="shared" si="1137"/>
        <v>801.17</v>
      </c>
      <c r="U146" s="22">
        <f t="shared" si="1137"/>
        <v>857.59000000000026</v>
      </c>
      <c r="V146" s="22">
        <f t="shared" si="1137"/>
        <v>893.91</v>
      </c>
      <c r="W146" s="22">
        <f t="shared" si="1137"/>
        <v>968.42000000000019</v>
      </c>
      <c r="X146" s="22">
        <f t="shared" si="1137"/>
        <v>1053.8699999999999</v>
      </c>
      <c r="Y146" s="22">
        <f t="shared" si="1137"/>
        <v>1156.6199999999999</v>
      </c>
      <c r="Z146" s="22">
        <f t="shared" ref="Z146" si="1138">Z142+Z145+Z144+Z143</f>
        <v>1311.18</v>
      </c>
      <c r="AA146" s="161">
        <f>AA142+AA145+AA144+AA143</f>
        <v>1014.88</v>
      </c>
      <c r="AB146" s="161">
        <f t="shared" ref="AB146:AD146" si="1139">AB142+AB145+AB144+AB143</f>
        <v>1013.0611497801833</v>
      </c>
      <c r="AC146" s="161">
        <f t="shared" si="1139"/>
        <v>1011.5434228523629</v>
      </c>
      <c r="AD146" s="161">
        <f t="shared" si="1139"/>
        <v>1010.2769661632226</v>
      </c>
      <c r="AI146" s="22">
        <f t="shared" ref="AI146" si="1140">AI142+AI145+AI143+AI144</f>
        <v>-24.03</v>
      </c>
      <c r="AJ146" s="22">
        <f t="shared" ref="AJ146:AK146" si="1141">AJ142+AJ145+AJ143+AJ144</f>
        <v>1350.8</v>
      </c>
      <c r="AK146" s="22">
        <f t="shared" si="1141"/>
        <v>1326.1699999999998</v>
      </c>
      <c r="AL146" s="22">
        <f t="shared" ref="AL146:AM146" si="1142">AL142+AL145+AL143+AL144</f>
        <v>1407.22</v>
      </c>
      <c r="AM146" s="22">
        <f t="shared" si="1142"/>
        <v>1381.49</v>
      </c>
      <c r="AN146" s="22">
        <f t="shared" ref="AN146:AO146" si="1143">AN142+AN145+AN143+AN144</f>
        <v>1439</v>
      </c>
      <c r="AO146" s="22">
        <f t="shared" si="1143"/>
        <v>1411.59</v>
      </c>
      <c r="AP146" s="22">
        <f t="shared" ref="AP146:CE146" si="1144">AP142+AP145+AP143+AP144</f>
        <v>1432.84</v>
      </c>
      <c r="AQ146" s="22">
        <f t="shared" si="1144"/>
        <v>1404.5</v>
      </c>
      <c r="AR146" s="22">
        <f t="shared" si="1144"/>
        <v>1431.47</v>
      </c>
      <c r="AS146" s="22">
        <f t="shared" si="1144"/>
        <v>1389.24</v>
      </c>
      <c r="AT146" s="22">
        <f t="shared" si="1144"/>
        <v>1364.85</v>
      </c>
      <c r="AU146" s="22">
        <f t="shared" si="1144"/>
        <v>1328.9499999999998</v>
      </c>
      <c r="AV146" s="22">
        <f t="shared" si="1144"/>
        <v>1342.7</v>
      </c>
      <c r="AW146" s="22">
        <f t="shared" si="1144"/>
        <v>1306.8300000000002</v>
      </c>
      <c r="AX146" s="22">
        <f t="shared" si="1144"/>
        <v>1319.16</v>
      </c>
      <c r="AY146" s="22">
        <f t="shared" si="1144"/>
        <v>1278.6200000000001</v>
      </c>
      <c r="AZ146" s="22">
        <f t="shared" si="1144"/>
        <v>1322.69</v>
      </c>
      <c r="BA146" s="22">
        <f t="shared" si="1144"/>
        <v>1285.0800000000002</v>
      </c>
      <c r="BB146" s="22">
        <f t="shared" si="1144"/>
        <v>1302.8000000000002</v>
      </c>
      <c r="BC146" s="22">
        <f t="shared" si="1144"/>
        <v>1263.9500000000003</v>
      </c>
      <c r="BD146" s="22">
        <f t="shared" si="1144"/>
        <v>1335.14</v>
      </c>
      <c r="BE146" s="22">
        <f t="shared" si="1144"/>
        <v>1312.6000000000001</v>
      </c>
      <c r="BF146" s="22">
        <f t="shared" si="1144"/>
        <v>1374.58</v>
      </c>
      <c r="BG146" s="22">
        <f t="shared" si="1144"/>
        <v>1350.99</v>
      </c>
      <c r="BH146" s="22">
        <f t="shared" si="1144"/>
        <v>976.2</v>
      </c>
      <c r="BI146" s="22">
        <f t="shared" si="1144"/>
        <v>952.8900000000001</v>
      </c>
      <c r="BJ146" s="22">
        <f t="shared" si="1144"/>
        <v>831.09</v>
      </c>
      <c r="BK146" s="22">
        <f t="shared" si="1144"/>
        <v>808.43000000000006</v>
      </c>
      <c r="BL146" s="22">
        <f t="shared" si="1144"/>
        <v>801.17000000000007</v>
      </c>
      <c r="BM146" s="22">
        <f t="shared" si="1144"/>
        <v>774.1</v>
      </c>
      <c r="BN146" s="22">
        <f t="shared" si="1144"/>
        <v>804.56000000000006</v>
      </c>
      <c r="BO146" s="22">
        <f t="shared" si="1144"/>
        <v>779.82</v>
      </c>
      <c r="BP146" s="22">
        <f t="shared" si="1144"/>
        <v>783.30000000000007</v>
      </c>
      <c r="BQ146" s="22">
        <f t="shared" si="1144"/>
        <v>758.04000000000008</v>
      </c>
      <c r="BR146" s="22">
        <f t="shared" si="1144"/>
        <v>823.48</v>
      </c>
      <c r="BS146" s="22">
        <f t="shared" si="1144"/>
        <v>794.73</v>
      </c>
      <c r="BT146" s="22">
        <f t="shared" si="1144"/>
        <v>848.40000000000009</v>
      </c>
      <c r="BU146" s="22">
        <f t="shared" si="1144"/>
        <v>822.48</v>
      </c>
      <c r="BV146" s="22">
        <f t="shared" si="1144"/>
        <v>784.59</v>
      </c>
      <c r="BW146" s="22">
        <f t="shared" si="1144"/>
        <v>757.72</v>
      </c>
      <c r="BX146" s="22">
        <f t="shared" si="1144"/>
        <v>927.25</v>
      </c>
      <c r="BY146" s="22">
        <f t="shared" si="1144"/>
        <v>899.77</v>
      </c>
      <c r="BZ146" s="22">
        <f t="shared" si="1144"/>
        <v>954.39</v>
      </c>
      <c r="CA146" s="22">
        <f t="shared" si="1144"/>
        <v>924.1</v>
      </c>
      <c r="CB146" s="22">
        <f t="shared" si="1144"/>
        <v>997.88</v>
      </c>
      <c r="CC146" s="22">
        <f t="shared" si="1144"/>
        <v>966.46</v>
      </c>
      <c r="CD146" s="22">
        <f t="shared" si="1144"/>
        <v>1015.43</v>
      </c>
      <c r="CE146" s="22">
        <f t="shared" si="1144"/>
        <v>982.59999999999991</v>
      </c>
      <c r="CF146" s="22">
        <f t="shared" ref="CF146:CG146" si="1145">CF142+CF145+CF143+CF144</f>
        <v>1097.6399999999999</v>
      </c>
      <c r="CG146" s="22">
        <f t="shared" si="1145"/>
        <v>1064.06</v>
      </c>
      <c r="CH146" s="22">
        <f t="shared" ref="CH146" si="1146">CH142+CH145+CH143+CH144</f>
        <v>1133.47</v>
      </c>
      <c r="CI146" s="22">
        <f t="shared" ref="CI146:CK146" si="1147">CI142+CI145+CI143+CI144</f>
        <v>1096.8799999999999</v>
      </c>
      <c r="CJ146" s="22">
        <f t="shared" ref="CJ146:CZ146" si="1148">CJ142+CJ145+CJ143+CJ144</f>
        <v>1057.24</v>
      </c>
      <c r="CK146" s="22">
        <f t="shared" si="1147"/>
        <v>1014.88</v>
      </c>
      <c r="CL146" s="21">
        <f t="shared" si="1148"/>
        <v>1014.3939761049378</v>
      </c>
      <c r="CM146" s="21">
        <f t="shared" si="1148"/>
        <v>1013.9294535593981</v>
      </c>
      <c r="CN146" s="21">
        <f t="shared" si="1148"/>
        <v>1013.4854811590554</v>
      </c>
      <c r="CO146" s="21">
        <f t="shared" si="1148"/>
        <v>1013.0611497801833</v>
      </c>
      <c r="CP146" s="21">
        <f t="shared" si="1148"/>
        <v>1012.6555905180389</v>
      </c>
      <c r="CQ146" s="21">
        <f t="shared" si="1148"/>
        <v>1012.2679729076035</v>
      </c>
      <c r="CR146" s="21">
        <f t="shared" si="1148"/>
        <v>1011.8975032230371</v>
      </c>
      <c r="CS146" s="21">
        <f t="shared" si="1148"/>
        <v>1011.5434228523629</v>
      </c>
      <c r="CT146" s="21">
        <f t="shared" si="1148"/>
        <v>1011.205006744056</v>
      </c>
      <c r="CU146" s="21">
        <f t="shared" si="1148"/>
        <v>1010.8815619223518</v>
      </c>
      <c r="CV146" s="21">
        <f t="shared" si="1148"/>
        <v>1010.5724260682382</v>
      </c>
      <c r="CW146" s="21">
        <f t="shared" si="1148"/>
        <v>1010.2769661632226</v>
      </c>
      <c r="CX146" s="21">
        <f t="shared" si="1148"/>
        <v>1009.9945771930976</v>
      </c>
      <c r="CY146" s="21">
        <f t="shared" si="1148"/>
        <v>1009.7246809090517</v>
      </c>
      <c r="CZ146" s="21">
        <f t="shared" si="1148"/>
        <v>1009.4667246435873</v>
      </c>
      <c r="DB146" s="126"/>
      <c r="DC146" s="22">
        <v>0</v>
      </c>
    </row>
    <row r="147" spans="1:107" s="23" customFormat="1" x14ac:dyDescent="0.2">
      <c r="AA147" s="24"/>
      <c r="AB147" s="24"/>
      <c r="AC147" s="24"/>
      <c r="AD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B147" s="123"/>
    </row>
    <row r="148" spans="1:107" s="23" customFormat="1" x14ac:dyDescent="0.2">
      <c r="A148" s="23" t="s">
        <v>58</v>
      </c>
      <c r="B148" s="23">
        <f>'Annual Raw'!C71</f>
        <v>12.777799999999999</v>
      </c>
      <c r="C148" s="23">
        <f>'Annual Raw'!D71</f>
        <v>27.575199999999999</v>
      </c>
      <c r="D148" s="23">
        <f>'Annual Raw'!E71</f>
        <v>58.588099999999997</v>
      </c>
      <c r="E148" s="23">
        <f>'Annual Raw'!F71</f>
        <v>106.9669</v>
      </c>
      <c r="F148" s="23">
        <f>'Annual Raw'!G71</f>
        <v>87.150300000000001</v>
      </c>
      <c r="G148" s="23">
        <f>'Annual Raw'!H71</f>
        <v>77.354600000000005</v>
      </c>
      <c r="H148" s="23">
        <f>'Annual Raw'!I71</f>
        <v>70.454599999999999</v>
      </c>
      <c r="I148" s="23">
        <f>'Annual Raw'!J71</f>
        <v>61.124400000000001</v>
      </c>
      <c r="J148" s="23">
        <f>'Annual Raw'!K71</f>
        <v>16.879200000000001</v>
      </c>
      <c r="K148" s="23">
        <f>'Annual Raw'!L71</f>
        <v>16.7958</v>
      </c>
      <c r="L148" s="23">
        <f>'Annual Raw'!M71</f>
        <v>16.64</v>
      </c>
      <c r="M148" s="23">
        <f>'Annual Raw'!N71</f>
        <v>16.559999999999999</v>
      </c>
      <c r="N148" s="23">
        <f>'Annual Raw'!O71</f>
        <v>16.47</v>
      </c>
      <c r="O148" s="23">
        <f>'Annual Raw'!P71</f>
        <v>16.39</v>
      </c>
      <c r="P148" s="23">
        <f>'Annual Raw'!Q71</f>
        <v>16.309999999999999</v>
      </c>
      <c r="Q148" s="23">
        <f>'Annual Raw'!R71</f>
        <v>16.23</v>
      </c>
      <c r="R148" s="23">
        <f>'Annual Raw'!S71</f>
        <v>0.17</v>
      </c>
      <c r="S148" s="23">
        <f>'Annual Raw'!T71</f>
        <v>0.09</v>
      </c>
      <c r="T148" s="23">
        <f>'Annual Raw'!U71</f>
        <v>0</v>
      </c>
      <c r="U148" s="23">
        <f>'Annual Raw'!V71</f>
        <v>0</v>
      </c>
      <c r="V148" s="23">
        <f>'Annual Raw'!W71</f>
        <v>0</v>
      </c>
      <c r="W148" s="23">
        <f>'Annual Raw'!X71</f>
        <v>0</v>
      </c>
      <c r="X148" s="23">
        <f>'Annual Raw'!Y71</f>
        <v>1.56</v>
      </c>
      <c r="Y148" s="23">
        <f>'Annual Raw'!Z71</f>
        <v>1.56</v>
      </c>
      <c r="Z148" s="23">
        <f>'Annual Raw'!AA71</f>
        <v>1.56</v>
      </c>
      <c r="AA148" s="24">
        <f>+CK148</f>
        <v>1.56</v>
      </c>
      <c r="AB148" s="24">
        <f>+CO148</f>
        <v>1.56</v>
      </c>
      <c r="AC148" s="24">
        <f>+CS148</f>
        <v>1.56</v>
      </c>
      <c r="AD148" s="24">
        <f>+CW148</f>
        <v>1.56</v>
      </c>
      <c r="AI148" s="23">
        <f t="shared" ref="AI148:CK148" si="1149">+AH148</f>
        <v>0</v>
      </c>
      <c r="AJ148" s="23">
        <f>+'QTR Raw'!E77</f>
        <v>16.559999999999999</v>
      </c>
      <c r="AK148" s="23">
        <f t="shared" si="1149"/>
        <v>16.559999999999999</v>
      </c>
      <c r="AL148" s="23">
        <f>+'QTR Raw'!G77</f>
        <v>16.47</v>
      </c>
      <c r="AM148" s="23">
        <f t="shared" si="1149"/>
        <v>16.47</v>
      </c>
      <c r="AN148" s="23">
        <f>+'QTR Raw'!I77</f>
        <v>16.47</v>
      </c>
      <c r="AO148" s="23">
        <f t="shared" si="1149"/>
        <v>16.47</v>
      </c>
      <c r="AP148" s="23">
        <f>+'QTR Raw'!K77</f>
        <v>16.39</v>
      </c>
      <c r="AQ148" s="23">
        <f t="shared" si="1149"/>
        <v>16.39</v>
      </c>
      <c r="AR148" s="23">
        <f>+'QTR Raw'!M77</f>
        <v>16.39</v>
      </c>
      <c r="AS148" s="23">
        <f t="shared" si="1149"/>
        <v>16.39</v>
      </c>
      <c r="AT148" s="23">
        <f>+'QTR Raw'!O77</f>
        <v>16.309999999999999</v>
      </c>
      <c r="AU148" s="23">
        <f t="shared" si="1149"/>
        <v>16.309999999999999</v>
      </c>
      <c r="AV148" s="23">
        <f>+'QTR Raw'!Q77</f>
        <v>16.309999999999999</v>
      </c>
      <c r="AW148" s="23">
        <f t="shared" si="1149"/>
        <v>16.309999999999999</v>
      </c>
      <c r="AX148" s="23">
        <f>+'QTR Raw'!S77</f>
        <v>16.23</v>
      </c>
      <c r="AY148" s="23">
        <f t="shared" si="1149"/>
        <v>16.23</v>
      </c>
      <c r="AZ148" s="23">
        <f>+'QTR Raw'!U77</f>
        <v>16.23</v>
      </c>
      <c r="BA148" s="23">
        <f t="shared" si="1149"/>
        <v>16.23</v>
      </c>
      <c r="BB148" s="23">
        <f>+'QTR Raw'!W77</f>
        <v>16.22</v>
      </c>
      <c r="BC148" s="23">
        <f t="shared" si="1149"/>
        <v>16.22</v>
      </c>
      <c r="BD148" s="23">
        <f>+'QTR Raw'!Y77</f>
        <v>0.17</v>
      </c>
      <c r="BE148" s="23">
        <f t="shared" si="1149"/>
        <v>0.17</v>
      </c>
      <c r="BF148" s="23">
        <f>+'QTR Raw'!AA77</f>
        <v>0.09</v>
      </c>
      <c r="BG148" s="23">
        <f t="shared" si="1149"/>
        <v>0.09</v>
      </c>
      <c r="BH148" s="23">
        <f>+'QTR Raw'!AC77</f>
        <v>0.09</v>
      </c>
      <c r="BI148" s="23">
        <f t="shared" si="1149"/>
        <v>0.09</v>
      </c>
      <c r="BJ148" s="23">
        <f>+'QTR Raw'!AE77</f>
        <v>0.09</v>
      </c>
      <c r="BK148" s="23">
        <f t="shared" si="1149"/>
        <v>0.09</v>
      </c>
      <c r="BL148" s="23">
        <f>+'QTR Raw'!AG77</f>
        <v>0</v>
      </c>
      <c r="BM148" s="23">
        <f t="shared" si="1149"/>
        <v>0</v>
      </c>
      <c r="BN148" s="23">
        <f>+'QTR Raw'!AI77</f>
        <v>0</v>
      </c>
      <c r="BO148" s="23">
        <f t="shared" si="1149"/>
        <v>0</v>
      </c>
      <c r="BP148" s="23">
        <f>+'QTR Raw'!AK77</f>
        <v>0</v>
      </c>
      <c r="BQ148" s="23">
        <f t="shared" si="1149"/>
        <v>0</v>
      </c>
      <c r="BR148" s="23">
        <f>+'QTR Raw'!AM77</f>
        <v>0</v>
      </c>
      <c r="BS148" s="23">
        <f t="shared" si="1149"/>
        <v>0</v>
      </c>
      <c r="BT148" s="23">
        <f>+'QTR Raw'!AO77</f>
        <v>0</v>
      </c>
      <c r="BU148" s="23">
        <f t="shared" si="1149"/>
        <v>0</v>
      </c>
      <c r="BV148" s="23">
        <f>+'QTR Raw'!AQ77</f>
        <v>100.12</v>
      </c>
      <c r="BW148" s="23">
        <f t="shared" si="1149"/>
        <v>100.12</v>
      </c>
      <c r="BX148" s="23">
        <f>+'QTR Raw'!AS77</f>
        <v>0</v>
      </c>
      <c r="BY148" s="23">
        <f t="shared" si="1149"/>
        <v>0</v>
      </c>
      <c r="BZ148" s="23">
        <f>+'QTR Raw'!AU77</f>
        <v>1.56</v>
      </c>
      <c r="CA148" s="23">
        <f t="shared" si="1149"/>
        <v>1.56</v>
      </c>
      <c r="CB148" s="23">
        <f>+'QTR Raw'!AW77</f>
        <v>1.56</v>
      </c>
      <c r="CC148" s="23">
        <f t="shared" si="1149"/>
        <v>1.56</v>
      </c>
      <c r="CD148" s="23">
        <f>+'QTR Raw'!AY77</f>
        <v>1.56</v>
      </c>
      <c r="CE148" s="23">
        <f t="shared" si="1149"/>
        <v>1.56</v>
      </c>
      <c r="CF148" s="23">
        <f>+'QTR Raw'!BA77</f>
        <v>1.56</v>
      </c>
      <c r="CG148" s="23">
        <f t="shared" si="1149"/>
        <v>1.56</v>
      </c>
      <c r="CH148" s="23">
        <f>+'QTR Raw'!BC77</f>
        <v>1.56</v>
      </c>
      <c r="CI148" s="23">
        <f t="shared" si="1149"/>
        <v>1.56</v>
      </c>
      <c r="CJ148" s="23">
        <f t="shared" ref="CJ148" si="1150">+CI148</f>
        <v>1.56</v>
      </c>
      <c r="CK148" s="23">
        <f t="shared" si="1149"/>
        <v>1.56</v>
      </c>
      <c r="CL148" s="24">
        <f t="shared" ref="CL148" si="1151">+CK148</f>
        <v>1.56</v>
      </c>
      <c r="CM148" s="24">
        <f t="shared" ref="CM148" si="1152">+CL148</f>
        <v>1.56</v>
      </c>
      <c r="CN148" s="24">
        <f t="shared" ref="CN148" si="1153">+CM148</f>
        <v>1.56</v>
      </c>
      <c r="CO148" s="24">
        <f t="shared" ref="CO148" si="1154">+CN148</f>
        <v>1.56</v>
      </c>
      <c r="CP148" s="24">
        <f t="shared" ref="CP148" si="1155">+CO148</f>
        <v>1.56</v>
      </c>
      <c r="CQ148" s="24">
        <f t="shared" ref="CQ148" si="1156">+CP148</f>
        <v>1.56</v>
      </c>
      <c r="CR148" s="24">
        <f t="shared" ref="CR148" si="1157">+CQ148</f>
        <v>1.56</v>
      </c>
      <c r="CS148" s="24">
        <f t="shared" ref="CS148" si="1158">+CR148</f>
        <v>1.56</v>
      </c>
      <c r="CT148" s="24">
        <f t="shared" ref="CT148" si="1159">+CS148</f>
        <v>1.56</v>
      </c>
      <c r="CU148" s="24">
        <f t="shared" ref="CU148" si="1160">+CT148</f>
        <v>1.56</v>
      </c>
      <c r="CV148" s="24">
        <f t="shared" ref="CV148" si="1161">+CU148</f>
        <v>1.56</v>
      </c>
      <c r="CW148" s="24">
        <f t="shared" ref="CW148" si="1162">+CV148</f>
        <v>1.56</v>
      </c>
      <c r="CX148" s="24">
        <f t="shared" ref="CX148" si="1163">+CW148</f>
        <v>1.56</v>
      </c>
      <c r="CY148" s="24">
        <f t="shared" ref="CY148" si="1164">+CX148</f>
        <v>1.56</v>
      </c>
      <c r="CZ148" s="24">
        <f t="shared" ref="CZ148" si="1165">+CY148</f>
        <v>1.56</v>
      </c>
      <c r="DB148" s="123"/>
      <c r="DC148" s="23">
        <v>0</v>
      </c>
    </row>
    <row r="149" spans="1:107" s="23" customFormat="1" x14ac:dyDescent="0.2">
      <c r="AA149" s="24"/>
      <c r="AB149" s="24"/>
      <c r="AC149" s="24"/>
      <c r="AD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B149" s="123"/>
    </row>
    <row r="150" spans="1:107" s="23" customFormat="1" outlineLevel="1" x14ac:dyDescent="0.2">
      <c r="A150" s="23" t="s">
        <v>59</v>
      </c>
      <c r="B150" s="23">
        <f>'Annual Raw'!C72</f>
        <v>0</v>
      </c>
      <c r="C150" s="23">
        <f>'Annual Raw'!D72</f>
        <v>0</v>
      </c>
      <c r="D150" s="23">
        <f>'Annual Raw'!E72</f>
        <v>0</v>
      </c>
      <c r="E150" s="23">
        <f>'Annual Raw'!F72+'Annual Raw'!F61</f>
        <v>0</v>
      </c>
      <c r="F150" s="23">
        <f>'Annual Raw'!G72+'Annual Raw'!G61</f>
        <v>0</v>
      </c>
      <c r="G150" s="23">
        <f>'Annual Raw'!H72+'Annual Raw'!H61</f>
        <v>0</v>
      </c>
      <c r="H150" s="23">
        <f>'Annual Raw'!I72+'Annual Raw'!I61</f>
        <v>0</v>
      </c>
      <c r="I150" s="23">
        <f>'Annual Raw'!J72+'Annual Raw'!J61</f>
        <v>0</v>
      </c>
      <c r="J150" s="23">
        <f>'Annual Raw'!K72+'Annual Raw'!K61</f>
        <v>0</v>
      </c>
      <c r="K150" s="23">
        <f>'Annual Raw'!L72+'Annual Raw'!L61</f>
        <v>0</v>
      </c>
      <c r="L150" s="23">
        <f>'Annual Raw'!M72+'Annual Raw'!M61</f>
        <v>85.18</v>
      </c>
      <c r="M150" s="23">
        <f>'Annual Raw'!N72+'Annual Raw'!N61</f>
        <v>135.44999999999999</v>
      </c>
      <c r="N150" s="23">
        <f>'Annual Raw'!O72+'Annual Raw'!O61</f>
        <v>1998.6</v>
      </c>
      <c r="O150" s="23">
        <f>'Annual Raw'!P72+'Annual Raw'!P61</f>
        <v>2018.8</v>
      </c>
      <c r="P150" s="23">
        <f>'Annual Raw'!Q72+'Annual Raw'!Q61</f>
        <v>2189.9499999999998</v>
      </c>
      <c r="Q150" s="23">
        <f>'Annual Raw'!R72+'Annual Raw'!R61</f>
        <v>222.5</v>
      </c>
      <c r="R150" s="23">
        <f>'Annual Raw'!S72+'Annual Raw'!S61</f>
        <v>326.52</v>
      </c>
      <c r="S150" s="23">
        <f>'Annual Raw'!T72+'Annual Raw'!T61</f>
        <v>458.18</v>
      </c>
      <c r="T150" s="23">
        <f>'Annual Raw'!U72+'Annual Raw'!U61</f>
        <v>379.95</v>
      </c>
      <c r="U150" s="23">
        <f>'Annual Raw'!V72+'Annual Raw'!V61</f>
        <v>531.17999999999995</v>
      </c>
      <c r="V150" s="23">
        <f>'Annual Raw'!W72+'Annual Raw'!W61</f>
        <v>449.63</v>
      </c>
      <c r="W150" s="23">
        <f>'Annual Raw'!X72+'Annual Raw'!X61</f>
        <v>361.37</v>
      </c>
      <c r="X150" s="23">
        <f>'Annual Raw'!Y72+'Annual Raw'!Y61</f>
        <v>295.57</v>
      </c>
      <c r="Y150" s="23">
        <f>'Annual Raw'!Z72+'Annual Raw'!Z61</f>
        <v>372.06</v>
      </c>
      <c r="Z150" s="23">
        <f>'Annual Raw'!AA72+'Annual Raw'!AA61</f>
        <v>519.57000000000005</v>
      </c>
      <c r="AA150" s="24">
        <f t="shared" ref="AA150:AA155" si="1166">+CK150</f>
        <v>0</v>
      </c>
      <c r="AB150" s="24">
        <f t="shared" ref="AB150:AB155" si="1167">+CO150</f>
        <v>0</v>
      </c>
      <c r="AC150" s="24">
        <f t="shared" ref="AC150:AC155" si="1168">+CS150</f>
        <v>0</v>
      </c>
      <c r="AD150" s="24">
        <f t="shared" ref="AD150:AD155" si="1169">+CW150</f>
        <v>0</v>
      </c>
      <c r="AJ150" s="23">
        <f>+'QTR Raw'!E78</f>
        <v>231.25</v>
      </c>
      <c r="AL150" s="23">
        <f>+'QTR Raw'!G78</f>
        <v>338.17</v>
      </c>
      <c r="AN150" s="23">
        <f>+'QTR Raw'!I78</f>
        <v>350.89</v>
      </c>
      <c r="AP150" s="23">
        <f>+'QTR Raw'!K78</f>
        <v>409.28</v>
      </c>
      <c r="AR150" s="23">
        <f>+'QTR Raw'!M78</f>
        <v>401.53</v>
      </c>
      <c r="AT150" s="23">
        <f>+'QTR Raw'!O78</f>
        <v>435.96</v>
      </c>
      <c r="AV150" s="23">
        <f>+'QTR Raw'!Q78</f>
        <v>422.2</v>
      </c>
      <c r="AX150" s="23">
        <f>+'QTR Raw'!S78</f>
        <v>337.58</v>
      </c>
      <c r="AZ150" s="23">
        <f>+'QTR Raw'!U78</f>
        <v>380.6</v>
      </c>
      <c r="BB150" s="23">
        <f>+'QTR Raw'!W78</f>
        <v>21.42</v>
      </c>
      <c r="BD150" s="23">
        <f>+'QTR Raw'!Y78</f>
        <v>21.56</v>
      </c>
      <c r="BF150" s="23">
        <f>+'QTR Raw'!AA78</f>
        <v>18.510000000000002</v>
      </c>
      <c r="BH150" s="23">
        <f>+'QTR Raw'!AC78</f>
        <v>10.42</v>
      </c>
      <c r="BJ150" s="23">
        <f>+'QTR Raw'!AE78</f>
        <v>10.41</v>
      </c>
      <c r="BL150" s="23">
        <f>+'QTR Raw'!AG78</f>
        <v>10.51</v>
      </c>
      <c r="BN150" s="23">
        <f>+'QTR Raw'!AI78</f>
        <v>9.17</v>
      </c>
      <c r="BP150" s="23">
        <f>+'QTR Raw'!AK78</f>
        <v>9.1199999999999992</v>
      </c>
      <c r="BR150" s="23">
        <f>+'QTR Raw'!AM78</f>
        <v>9.07</v>
      </c>
      <c r="BT150" s="23">
        <f>+'QTR Raw'!AO78</f>
        <v>0</v>
      </c>
      <c r="BV150" s="23">
        <f>+'QTR Raw'!AQ78</f>
        <v>0</v>
      </c>
      <c r="BX150" s="23">
        <f>+'QTR Raw'!AS78</f>
        <v>0</v>
      </c>
      <c r="BZ150" s="23">
        <f>+'QTR Raw'!AU78</f>
        <v>0</v>
      </c>
      <c r="CB150" s="23">
        <f>+'QTR Raw'!AW78</f>
        <v>0</v>
      </c>
      <c r="CD150" s="23">
        <f>+'QTR Raw'!AY78</f>
        <v>0</v>
      </c>
      <c r="CF150" s="23">
        <f>+'QTR Raw'!BA78</f>
        <v>0</v>
      </c>
      <c r="CH150" s="23">
        <f>+'QTR Raw'!BC78</f>
        <v>0</v>
      </c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B150" s="123"/>
      <c r="DC150" s="23">
        <v>0</v>
      </c>
    </row>
    <row r="151" spans="1:107" s="23" customFormat="1" outlineLevel="1" x14ac:dyDescent="0.2">
      <c r="A151" s="23" t="s">
        <v>60</v>
      </c>
      <c r="B151" s="23">
        <f>'Annual Raw'!C73+'Annual Raw'!C81</f>
        <v>0</v>
      </c>
      <c r="C151" s="23">
        <f>'Annual Raw'!D73+'Annual Raw'!D81</f>
        <v>0</v>
      </c>
      <c r="D151" s="23">
        <f>'Annual Raw'!E73+'Annual Raw'!E81</f>
        <v>0</v>
      </c>
      <c r="E151" s="23">
        <f>'Annual Raw'!F73+'Annual Raw'!F81</f>
        <v>0</v>
      </c>
      <c r="F151" s="23">
        <f>'Annual Raw'!G73+'Annual Raw'!G81</f>
        <v>0</v>
      </c>
      <c r="G151" s="23">
        <f>'Annual Raw'!H73+'Annual Raw'!H81</f>
        <v>0</v>
      </c>
      <c r="H151" s="23">
        <f>'Annual Raw'!I73+'Annual Raw'!I81</f>
        <v>0</v>
      </c>
      <c r="I151" s="23">
        <f>'Annual Raw'!J73+'Annual Raw'!J81</f>
        <v>0</v>
      </c>
      <c r="J151" s="23">
        <f>'Annual Raw'!K73+'Annual Raw'!K81</f>
        <v>0</v>
      </c>
      <c r="K151" s="23">
        <f>'Annual Raw'!L73+'Annual Raw'!L81</f>
        <v>0</v>
      </c>
      <c r="L151" s="23">
        <f>'Annual Raw'!M73+'Annual Raw'!M81</f>
        <v>88.26</v>
      </c>
      <c r="M151" s="23">
        <f>'Annual Raw'!N73+'Annual Raw'!N81</f>
        <v>104.77</v>
      </c>
      <c r="N151" s="23">
        <f>'Annual Raw'!O73+'Annual Raw'!O81</f>
        <v>135.01</v>
      </c>
      <c r="O151" s="23">
        <f>'Annual Raw'!P73+'Annual Raw'!P81</f>
        <v>178.46</v>
      </c>
      <c r="P151" s="23">
        <f>'Annual Raw'!Q73+'Annual Raw'!Q81</f>
        <v>201.73</v>
      </c>
      <c r="Q151" s="23">
        <f>'Annual Raw'!R73+'Annual Raw'!R81</f>
        <v>174.45</v>
      </c>
      <c r="R151" s="23">
        <f>'Annual Raw'!S73+'Annual Raw'!S81</f>
        <v>176.16</v>
      </c>
      <c r="S151" s="23">
        <f>'Annual Raw'!T73+'Annual Raw'!T81</f>
        <v>2804.5699999999997</v>
      </c>
      <c r="T151" s="23">
        <f>'Annual Raw'!U73+'Annual Raw'!U81</f>
        <v>433.75</v>
      </c>
      <c r="U151" s="23">
        <f>'Annual Raw'!V73+'Annual Raw'!V81</f>
        <v>0.88</v>
      </c>
      <c r="V151" s="23">
        <f>'Annual Raw'!W73+'Annual Raw'!W81</f>
        <v>60.15</v>
      </c>
      <c r="W151" s="23">
        <f>'Annual Raw'!X73+'Annual Raw'!X81</f>
        <v>0</v>
      </c>
      <c r="X151" s="23">
        <f>'Annual Raw'!Y73+'Annual Raw'!Y81</f>
        <v>0</v>
      </c>
      <c r="Y151" s="23">
        <f>'Annual Raw'!Z73+'Annual Raw'!Z81</f>
        <v>0</v>
      </c>
      <c r="Z151" s="23">
        <f>'Annual Raw'!AA73+'Annual Raw'!AA81</f>
        <v>0</v>
      </c>
      <c r="AA151" s="24">
        <f t="shared" si="1166"/>
        <v>0</v>
      </c>
      <c r="AB151" s="24">
        <f t="shared" si="1167"/>
        <v>0</v>
      </c>
      <c r="AC151" s="24">
        <f t="shared" si="1168"/>
        <v>0</v>
      </c>
      <c r="AD151" s="24">
        <f t="shared" si="1169"/>
        <v>0</v>
      </c>
      <c r="AJ151" s="23">
        <f>+'QTR Raw'!E79+'QTR Raw'!E76</f>
        <v>8.9700000000000006</v>
      </c>
      <c r="AL151" s="23">
        <f>+'QTR Raw'!G79+'QTR Raw'!G76</f>
        <v>8.18</v>
      </c>
      <c r="AN151" s="23">
        <f>+'QTR Raw'!I79+'QTR Raw'!I76</f>
        <v>8.3000000000000007</v>
      </c>
      <c r="AP151" s="23">
        <f>+'QTR Raw'!K79+'QTR Raw'!K76</f>
        <v>8.3000000000000007</v>
      </c>
      <c r="AR151" s="23">
        <f>+'QTR Raw'!M79+'QTR Raw'!M76</f>
        <v>7.48</v>
      </c>
      <c r="AT151" s="23">
        <f>+'QTR Raw'!O79+'QTR Raw'!O76</f>
        <v>7.5</v>
      </c>
      <c r="AV151" s="23">
        <f>+'QTR Raw'!Q79+'QTR Raw'!Q76</f>
        <v>6.69</v>
      </c>
      <c r="AX151" s="23">
        <f>+'QTR Raw'!S79+'QTR Raw'!S76</f>
        <v>7.19</v>
      </c>
      <c r="AZ151" s="23">
        <f>+'QTR Raw'!U79+'QTR Raw'!U76</f>
        <v>7.23</v>
      </c>
      <c r="BB151" s="23">
        <f>+'QTR Raw'!W79+'QTR Raw'!W76</f>
        <v>340.19</v>
      </c>
      <c r="BD151" s="23">
        <f>+'QTR Raw'!Y79+'QTR Raw'!Y76</f>
        <v>457.44</v>
      </c>
      <c r="BF151" s="23">
        <f>+'QTR Raw'!AA79+'QTR Raw'!AA76</f>
        <v>425.94</v>
      </c>
      <c r="BH151" s="23">
        <f>+'QTR Raw'!AC79+'QTR Raw'!AC76</f>
        <v>450.11</v>
      </c>
      <c r="BJ151" s="23">
        <f>+'QTR Raw'!AE79+'QTR Raw'!AE76</f>
        <v>354.66</v>
      </c>
      <c r="BL151" s="23">
        <f>+'QTR Raw'!AG79+'QTR Raw'!AG76</f>
        <v>380.62</v>
      </c>
      <c r="BN151" s="23">
        <f>+'QTR Raw'!AI79+'QTR Raw'!AI76</f>
        <v>516.62</v>
      </c>
      <c r="BP151" s="23">
        <f>+'QTR Raw'!AK79+'QTR Raw'!AK76</f>
        <v>597.23</v>
      </c>
      <c r="BR151" s="23">
        <f>+'QTR Raw'!AM79+'QTR Raw'!AM76</f>
        <v>488.95</v>
      </c>
      <c r="BT151" s="23">
        <f>+'QTR Raw'!AO79+'QTR Raw'!AO76</f>
        <v>495.14</v>
      </c>
      <c r="BV151" s="23">
        <f>+'QTR Raw'!AQ79+'QTR Raw'!AQ76</f>
        <v>483.71</v>
      </c>
      <c r="BX151" s="23">
        <f>+'QTR Raw'!AS79+'QTR Raw'!AS76</f>
        <v>402.54</v>
      </c>
      <c r="BZ151" s="23">
        <f>+'QTR Raw'!AU79+'QTR Raw'!AU76</f>
        <v>340.48</v>
      </c>
      <c r="CB151" s="23">
        <f>+'QTR Raw'!AW79+'QTR Raw'!AW76</f>
        <v>351.56</v>
      </c>
      <c r="CD151" s="23">
        <f>+'QTR Raw'!AY79+'QTR Raw'!AY76</f>
        <v>365.39</v>
      </c>
      <c r="CF151" s="23">
        <f>+'QTR Raw'!BA79+'QTR Raw'!BA76</f>
        <v>431.04</v>
      </c>
      <c r="CH151" s="23">
        <f>+'QTR Raw'!BC79+'QTR Raw'!BC76</f>
        <v>438.84</v>
      </c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B151" s="123"/>
      <c r="DC151" s="23">
        <v>0</v>
      </c>
    </row>
    <row r="152" spans="1:107" s="23" customFormat="1" outlineLevel="1" x14ac:dyDescent="0.2">
      <c r="A152" s="23" t="s">
        <v>61</v>
      </c>
      <c r="B152" s="23">
        <f>'Annual Raw'!C76</f>
        <v>120.44580000000001</v>
      </c>
      <c r="C152" s="23">
        <f>'Annual Raw'!D76</f>
        <v>111.79900000000001</v>
      </c>
      <c r="D152" s="23">
        <f>'Annual Raw'!E76</f>
        <v>123.5099</v>
      </c>
      <c r="E152" s="23">
        <f>'Annual Raw'!F76</f>
        <v>168.28550000000001</v>
      </c>
      <c r="F152" s="23">
        <f>'Annual Raw'!G76</f>
        <v>201.58029999999999</v>
      </c>
      <c r="G152" s="23">
        <f>'Annual Raw'!H76</f>
        <v>354.6995</v>
      </c>
      <c r="H152" s="23">
        <f>'Annual Raw'!I76</f>
        <v>488.71019999999999</v>
      </c>
      <c r="I152" s="23">
        <f>'Annual Raw'!J76</f>
        <v>642.65340000000003</v>
      </c>
      <c r="J152" s="23">
        <f>'Annual Raw'!K76</f>
        <v>729.40610000000004</v>
      </c>
      <c r="K152" s="23">
        <f>'Annual Raw'!L76</f>
        <v>697.85260000000005</v>
      </c>
      <c r="L152" s="23">
        <f>'Annual Raw'!M76</f>
        <v>939.15</v>
      </c>
      <c r="M152" s="23">
        <f>'Annual Raw'!N76</f>
        <v>933.37</v>
      </c>
      <c r="N152" s="23">
        <f>'Annual Raw'!O76</f>
        <v>988.85</v>
      </c>
      <c r="O152" s="23">
        <f>'Annual Raw'!P76</f>
        <v>893.82</v>
      </c>
      <c r="P152" s="23">
        <f>'Annual Raw'!Q76</f>
        <v>939.57</v>
      </c>
      <c r="Q152" s="23">
        <f>'Annual Raw'!R76</f>
        <v>940.25</v>
      </c>
      <c r="R152" s="23">
        <f>'Annual Raw'!S76</f>
        <v>1153.55</v>
      </c>
      <c r="S152" s="23">
        <f>'Annual Raw'!T76</f>
        <v>927.85</v>
      </c>
      <c r="T152" s="23">
        <f>'Annual Raw'!U76</f>
        <v>861.73</v>
      </c>
      <c r="U152" s="23">
        <f>'Annual Raw'!V76</f>
        <v>840.83</v>
      </c>
      <c r="V152" s="23">
        <f>'Annual Raw'!W76</f>
        <v>1009.09</v>
      </c>
      <c r="W152" s="23">
        <f>'Annual Raw'!X76</f>
        <v>1420.66</v>
      </c>
      <c r="X152" s="23">
        <f>'Annual Raw'!Y76</f>
        <v>1560.76</v>
      </c>
      <c r="Y152" s="23">
        <f>'Annual Raw'!Z76</f>
        <v>1777.99</v>
      </c>
      <c r="Z152" s="23">
        <f>'Annual Raw'!AA76</f>
        <v>2052.98</v>
      </c>
      <c r="AA152" s="24">
        <f t="shared" si="1166"/>
        <v>2318.4265264026399</v>
      </c>
      <c r="AB152" s="24">
        <f t="shared" si="1167"/>
        <v>2922.4055535959733</v>
      </c>
      <c r="AC152" s="24">
        <f t="shared" si="1168"/>
        <v>3333.2100469475695</v>
      </c>
      <c r="AD152" s="24">
        <f t="shared" si="1169"/>
        <v>3917.9652004387176</v>
      </c>
      <c r="AI152" s="23">
        <f>+AI187*AI18/90</f>
        <v>0</v>
      </c>
      <c r="AJ152" s="23">
        <f>+'QTR Raw'!E81</f>
        <v>933.37</v>
      </c>
      <c r="AK152" s="23">
        <f>+AK187*AK18/90</f>
        <v>888.00320125055214</v>
      </c>
      <c r="AL152" s="23">
        <f>+'QTR Raw'!G81</f>
        <v>992.59</v>
      </c>
      <c r="AM152" s="23">
        <f>+AM187*AM18/90</f>
        <v>1012.2870576478316</v>
      </c>
      <c r="AN152" s="23">
        <f>+'QTR Raw'!I81</f>
        <v>988.85</v>
      </c>
      <c r="AO152" s="23">
        <f>+AO187*AO18/90</f>
        <v>820.07152577057627</v>
      </c>
      <c r="AP152" s="23">
        <f>+'QTR Raw'!K81</f>
        <v>998.06</v>
      </c>
      <c r="AQ152" s="23">
        <f>+AQ187*AQ18/90</f>
        <v>1010.5427335389479</v>
      </c>
      <c r="AR152" s="23">
        <f>+'QTR Raw'!M81</f>
        <v>893.82</v>
      </c>
      <c r="AS152" s="23">
        <f>+AS187*AS18/90</f>
        <v>724.57635437654403</v>
      </c>
      <c r="AT152" s="23">
        <f>+'QTR Raw'!O81</f>
        <v>1048.02</v>
      </c>
      <c r="AU152" s="23">
        <f>+AU187*AU18/90</f>
        <v>1068.2846208881663</v>
      </c>
      <c r="AV152" s="23">
        <f>+'QTR Raw'!Q81</f>
        <v>939.57</v>
      </c>
      <c r="AW152" s="23">
        <f>+AW187*AW18/90</f>
        <v>727.66209495241571</v>
      </c>
      <c r="AX152" s="23">
        <f>+'QTR Raw'!S81</f>
        <v>1030.1600000000001</v>
      </c>
      <c r="AY152" s="23">
        <f>+AY187*AY18/90</f>
        <v>950.92582183412389</v>
      </c>
      <c r="AZ152" s="23">
        <f>+'QTR Raw'!U81</f>
        <v>940.25</v>
      </c>
      <c r="BA152" s="23">
        <f>+BA187*BA18/90</f>
        <v>761.89228391806489</v>
      </c>
      <c r="BB152" s="23">
        <f>+'QTR Raw'!W81</f>
        <v>1052.45</v>
      </c>
      <c r="BC152" s="23">
        <f>+BC187*BC18/90</f>
        <v>853.72051722174672</v>
      </c>
      <c r="BD152" s="23">
        <f>+'QTR Raw'!Y81</f>
        <v>1153.55</v>
      </c>
      <c r="BE152" s="23">
        <f>+BE187*BE18/90</f>
        <v>1057.4922797366494</v>
      </c>
      <c r="BF152" s="23">
        <f>+'QTR Raw'!AA81</f>
        <v>1312.35</v>
      </c>
      <c r="BG152" s="23">
        <f>+BG187*BG18/90</f>
        <v>1175.1840087169512</v>
      </c>
      <c r="BH152" s="23">
        <f>+'QTR Raw'!AC81</f>
        <v>927.85</v>
      </c>
      <c r="BI152" s="23">
        <f>+BI187*BI18/90</f>
        <v>873.07989671060659</v>
      </c>
      <c r="BJ152" s="23">
        <f>+'QTR Raw'!AE81</f>
        <v>928.61</v>
      </c>
      <c r="BK152" s="23">
        <f>+BK187*BK18/90</f>
        <v>939.30186191510927</v>
      </c>
      <c r="BL152" s="23">
        <f>+'QTR Raw'!AG81</f>
        <v>861.73</v>
      </c>
      <c r="BM152" s="23">
        <f>+BM187*BM18/90</f>
        <v>671.55057015455668</v>
      </c>
      <c r="BN152" s="23">
        <f>+'QTR Raw'!AI81</f>
        <v>1140.21</v>
      </c>
      <c r="BO152" s="23">
        <f>+BO187*BO18/90</f>
        <v>1864.7287992249792</v>
      </c>
      <c r="BP152" s="23">
        <f>+'QTR Raw'!AK81</f>
        <v>840.83</v>
      </c>
      <c r="BQ152" s="23">
        <f>+BQ187*BQ18/90</f>
        <v>805.42709994355471</v>
      </c>
      <c r="BR152" s="23">
        <f>+'QTR Raw'!AM81</f>
        <v>988.54</v>
      </c>
      <c r="BS152" s="23">
        <f>+BS187*BS18/90</f>
        <v>1233.7256137716145</v>
      </c>
      <c r="BT152" s="23">
        <f>+'QTR Raw'!AO81</f>
        <v>1009.09</v>
      </c>
      <c r="BU152" s="23">
        <f>+BU187*BU18/90</f>
        <v>948.28050316440658</v>
      </c>
      <c r="BV152" s="23">
        <f>+'QTR Raw'!AQ81</f>
        <v>1320.42</v>
      </c>
      <c r="BW152" s="23">
        <f>+BW187*BW18/90</f>
        <v>1334.1979125294945</v>
      </c>
      <c r="BX152" s="23">
        <f>+'QTR Raw'!AS81</f>
        <v>1420.66</v>
      </c>
      <c r="BY152" s="23">
        <f>+BY187*BY18/90</f>
        <v>1411.4695636014521</v>
      </c>
      <c r="BZ152" s="23">
        <f>+'QTR Raw'!AU81</f>
        <v>1617.06</v>
      </c>
      <c r="CA152" s="23">
        <f>+CA187*CA18/90</f>
        <v>1785.0166749979071</v>
      </c>
      <c r="CB152" s="23">
        <f>+'QTR Raw'!AW81</f>
        <v>1560.76</v>
      </c>
      <c r="CC152" s="23">
        <f>+CC187*CC18/90</f>
        <v>1743.506839045654</v>
      </c>
      <c r="CD152" s="23">
        <f>+'QTR Raw'!AY81</f>
        <v>1695.74</v>
      </c>
      <c r="CE152" s="23">
        <f>+CE187*CE18/90</f>
        <v>1744.440275534643</v>
      </c>
      <c r="CF152" s="23">
        <f>+'QTR Raw'!BA81</f>
        <v>1777.99</v>
      </c>
      <c r="CG152" s="23">
        <f>+CG187*CG18/90</f>
        <v>1590.4860901415484</v>
      </c>
      <c r="CH152" s="23">
        <f>+'QTR Raw'!BC81</f>
        <v>2312.15</v>
      </c>
      <c r="CI152" s="23">
        <f>+CI187*CI18/90</f>
        <v>2410.6521452145212</v>
      </c>
      <c r="CJ152" s="23">
        <f t="shared" ref="CJ152:CZ152" si="1170">+CJ187*CJ18/90</f>
        <v>2589.9845915841584</v>
      </c>
      <c r="CK152" s="23">
        <f>+CK187*CK18/90</f>
        <v>2318.4265264026399</v>
      </c>
      <c r="CL152" s="24">
        <f t="shared" si="1170"/>
        <v>2696.565031027611</v>
      </c>
      <c r="CM152" s="24">
        <f t="shared" si="1170"/>
        <v>2743.9983778355845</v>
      </c>
      <c r="CN152" s="24">
        <f t="shared" si="1170"/>
        <v>2788.920608102992</v>
      </c>
      <c r="CO152" s="24">
        <f t="shared" si="1170"/>
        <v>2922.4055535959733</v>
      </c>
      <c r="CP152" s="24">
        <f t="shared" si="1170"/>
        <v>3212.8595203320592</v>
      </c>
      <c r="CQ152" s="24">
        <f t="shared" si="1170"/>
        <v>3163.9971769933841</v>
      </c>
      <c r="CR152" s="24">
        <f t="shared" si="1170"/>
        <v>3142.8341783365136</v>
      </c>
      <c r="CS152" s="24">
        <f t="shared" si="1170"/>
        <v>3333.2100469475695</v>
      </c>
      <c r="CT152" s="24">
        <f t="shared" si="1170"/>
        <v>3609.0255035424561</v>
      </c>
      <c r="CU152" s="24">
        <f t="shared" si="1170"/>
        <v>3541.958998186105</v>
      </c>
      <c r="CV152" s="24">
        <f t="shared" si="1170"/>
        <v>3516.0610949600259</v>
      </c>
      <c r="CW152" s="24">
        <f t="shared" si="1170"/>
        <v>3917.9652004387176</v>
      </c>
      <c r="CX152" s="24">
        <f t="shared" si="1170"/>
        <v>4225.1390611682245</v>
      </c>
      <c r="CY152" s="24">
        <f t="shared" si="1170"/>
        <v>4169.356131923093</v>
      </c>
      <c r="CZ152" s="24">
        <f t="shared" si="1170"/>
        <v>4176.6546719581529</v>
      </c>
      <c r="DB152" s="123"/>
      <c r="DC152" s="23">
        <v>0</v>
      </c>
    </row>
    <row r="153" spans="1:107" s="23" customFormat="1" outlineLevel="1" x14ac:dyDescent="0.2">
      <c r="A153" s="23" t="s">
        <v>62</v>
      </c>
      <c r="B153" s="23">
        <f>'Annual Raw'!C77</f>
        <v>420.75599999999997</v>
      </c>
      <c r="C153" s="23">
        <f>'Annual Raw'!D77</f>
        <v>469.58049999999997</v>
      </c>
      <c r="D153" s="23">
        <f>'Annual Raw'!E77</f>
        <v>535.76620000000003</v>
      </c>
      <c r="E153" s="23">
        <f>'Annual Raw'!F77</f>
        <v>626.33219999999994</v>
      </c>
      <c r="F153" s="23">
        <f>'Annual Raw'!G77</f>
        <v>1029.2565999999999</v>
      </c>
      <c r="G153" s="23">
        <f>'Annual Raw'!H77</f>
        <v>1570.2677000000001</v>
      </c>
      <c r="H153" s="23">
        <f>'Annual Raw'!I77</f>
        <v>2423.5625</v>
      </c>
      <c r="I153" s="23">
        <f>'Annual Raw'!J77</f>
        <v>2975.8869</v>
      </c>
      <c r="J153" s="23">
        <f>'Annual Raw'!K77</f>
        <v>2857.7298000000001</v>
      </c>
      <c r="K153" s="23">
        <f>'Annual Raw'!L77</f>
        <v>2925.9657000000002</v>
      </c>
      <c r="L153" s="23">
        <f>'Annual Raw'!M77</f>
        <v>3093.56</v>
      </c>
      <c r="M153" s="23">
        <f>'Annual Raw'!N77</f>
        <v>3280.82</v>
      </c>
      <c r="N153" s="23">
        <f>'Annual Raw'!O77</f>
        <v>3235.72</v>
      </c>
      <c r="O153" s="23">
        <f>'Annual Raw'!P77</f>
        <v>3157.52</v>
      </c>
      <c r="P153" s="23">
        <f>'Annual Raw'!Q77</f>
        <v>3390.93</v>
      </c>
      <c r="Q153" s="23">
        <f>'Annual Raw'!R77</f>
        <v>2970.72</v>
      </c>
      <c r="R153" s="23">
        <f>'Annual Raw'!S77</f>
        <v>2764.1</v>
      </c>
      <c r="S153" s="23">
        <f>'Annual Raw'!T77</f>
        <v>1686.89</v>
      </c>
      <c r="T153" s="23">
        <f>'Annual Raw'!U77</f>
        <v>1947.54</v>
      </c>
      <c r="U153" s="23">
        <f>'Annual Raw'!V77</f>
        <v>1694.96</v>
      </c>
      <c r="V153" s="23">
        <f>'Annual Raw'!W77</f>
        <v>1883.84</v>
      </c>
      <c r="W153" s="23">
        <f>'Annual Raw'!X77</f>
        <v>2092.9899999999998</v>
      </c>
      <c r="X153" s="23">
        <f>'Annual Raw'!Y77</f>
        <v>2544.3000000000002</v>
      </c>
      <c r="Y153" s="23">
        <f>'Annual Raw'!Z77</f>
        <v>2983.66</v>
      </c>
      <c r="Z153" s="23">
        <f>'Annual Raw'!AA77</f>
        <v>3176.33</v>
      </c>
      <c r="AA153" s="24">
        <f t="shared" si="1166"/>
        <v>2992.0802656639712</v>
      </c>
      <c r="AB153" s="24">
        <f t="shared" si="1167"/>
        <v>3771.5544942236934</v>
      </c>
      <c r="AC153" s="24">
        <f t="shared" si="1168"/>
        <v>4301.7244192161452</v>
      </c>
      <c r="AD153" s="24">
        <f t="shared" si="1169"/>
        <v>5056.3889880869001</v>
      </c>
      <c r="AI153" s="23">
        <f>+AI188*AI18/90</f>
        <v>0</v>
      </c>
      <c r="AJ153" s="23">
        <f>+'QTR Raw'!E82</f>
        <v>3280.82</v>
      </c>
      <c r="AK153" s="23">
        <f>+AK188*AK18/90</f>
        <v>3121.3545139942757</v>
      </c>
      <c r="AL153" s="23">
        <f>+'QTR Raw'!G82</f>
        <v>3170.65</v>
      </c>
      <c r="AM153" s="23">
        <f>+AM188*AM18/90</f>
        <v>3233.5687034234652</v>
      </c>
      <c r="AN153" s="23">
        <f>+'QTR Raw'!I82</f>
        <v>3235.72</v>
      </c>
      <c r="AO153" s="23">
        <f>+AO188*AO18/90</f>
        <v>2683.4422180981633</v>
      </c>
      <c r="AP153" s="23">
        <f>+'QTR Raw'!K82</f>
        <v>3186.4</v>
      </c>
      <c r="AQ153" s="23">
        <f>+AQ188*AQ18/90</f>
        <v>3226.2522956019716</v>
      </c>
      <c r="AR153" s="23">
        <f>+'QTR Raw'!M82</f>
        <v>3157.52</v>
      </c>
      <c r="AS153" s="23">
        <f>+AS188*AS18/90</f>
        <v>2559.6477260198089</v>
      </c>
      <c r="AT153" s="23">
        <f>+'QTR Raw'!O82</f>
        <v>3233.34</v>
      </c>
      <c r="AU153" s="23">
        <f>+AU188*AU18/90</f>
        <v>3295.8601897888816</v>
      </c>
      <c r="AV153" s="23">
        <f>+'QTR Raw'!Q82</f>
        <v>3390.93</v>
      </c>
      <c r="AW153" s="23">
        <f>+AW188*AW18/90</f>
        <v>2626.1494381866114</v>
      </c>
      <c r="AX153" s="23">
        <f>+'QTR Raw'!S82</f>
        <v>3110.63</v>
      </c>
      <c r="AY153" s="23">
        <f>+AY188*AY18/90</f>
        <v>2871.3776395626705</v>
      </c>
      <c r="AZ153" s="23">
        <f>+'QTR Raw'!U82</f>
        <v>3063.33</v>
      </c>
      <c r="BA153" s="23">
        <f>+BA188*BA18/90</f>
        <v>2482.2414146181609</v>
      </c>
      <c r="BB153" s="23">
        <f>+'QTR Raw'!W82</f>
        <v>2826.53</v>
      </c>
      <c r="BC153" s="23">
        <f>+BC188*BC18/90</f>
        <v>2292.8088303888867</v>
      </c>
      <c r="BD153" s="23">
        <f>+'QTR Raw'!Y82</f>
        <v>2787.78</v>
      </c>
      <c r="BE153" s="23">
        <f>+BE188*BE18/90</f>
        <v>2555.6376642574983</v>
      </c>
      <c r="BF153" s="23">
        <f>+'QTR Raw'!AA82</f>
        <v>2925.58</v>
      </c>
      <c r="BG153" s="23">
        <f>+BG188*BG18/90</f>
        <v>2619.8002302908058</v>
      </c>
      <c r="BH153" s="23">
        <f>+'QTR Raw'!AC82</f>
        <v>1686.89</v>
      </c>
      <c r="BI153" s="23">
        <f>+BI188*BI18/90</f>
        <v>1587.3144872146956</v>
      </c>
      <c r="BJ153" s="23">
        <f>+'QTR Raw'!AE82</f>
        <v>1864.89</v>
      </c>
      <c r="BK153" s="23">
        <f>+BK188*BK18/90</f>
        <v>1886.3620349413302</v>
      </c>
      <c r="BL153" s="23">
        <f>+'QTR Raw'!AG82</f>
        <v>1947.54</v>
      </c>
      <c r="BM153" s="23">
        <f>+BM188*BM18/90</f>
        <v>1517.7278235628389</v>
      </c>
      <c r="BN153" s="23">
        <f>+'QTR Raw'!AI82</f>
        <v>1604.85</v>
      </c>
      <c r="BO153" s="23">
        <f>+BO188*BO18/90</f>
        <v>2624.6130216681204</v>
      </c>
      <c r="BP153" s="23">
        <f>+'QTR Raw'!AK82</f>
        <v>1694.96</v>
      </c>
      <c r="BQ153" s="23">
        <f>+BQ188*BQ18/90</f>
        <v>1623.594207295562</v>
      </c>
      <c r="BR153" s="23">
        <f>+'QTR Raw'!AM82</f>
        <v>1599.78</v>
      </c>
      <c r="BS153" s="23">
        <f>+BS188*BS18/90</f>
        <v>1996.5702575510891</v>
      </c>
      <c r="BT153" s="23">
        <f>+'QTR Raw'!AO82</f>
        <v>1883.84</v>
      </c>
      <c r="BU153" s="23">
        <f>+BU188*BU18/90</f>
        <v>1770.3165655008329</v>
      </c>
      <c r="BV153" s="23">
        <f>+'QTR Raw'!AQ82</f>
        <v>1999.5</v>
      </c>
      <c r="BW153" s="23">
        <f>+BW188*BW18/90</f>
        <v>2020.3637676668968</v>
      </c>
      <c r="BX153" s="23">
        <f>+'QTR Raw'!AS82</f>
        <v>2092.9899999999998</v>
      </c>
      <c r="BY153" s="23">
        <f>+BY188*BY18/90</f>
        <v>2079.4501724002944</v>
      </c>
      <c r="BZ153" s="23">
        <f>+'QTR Raw'!AU82</f>
        <v>2392.92</v>
      </c>
      <c r="CA153" s="23">
        <f>+CA188*CA18/90</f>
        <v>2641.4617280348239</v>
      </c>
      <c r="CB153" s="23">
        <f>+'QTR Raw'!AW82</f>
        <v>2544.3000000000002</v>
      </c>
      <c r="CC153" s="23">
        <f>+CC188*CC18/90</f>
        <v>2842.2079311257698</v>
      </c>
      <c r="CD153" s="23">
        <f>+'QTR Raw'!AY82</f>
        <v>2897.76</v>
      </c>
      <c r="CE153" s="23">
        <f>+CE188*CE18/90</f>
        <v>2980.9813136643988</v>
      </c>
      <c r="CF153" s="23">
        <f>+'QTR Raw'!BA82</f>
        <v>2983.66</v>
      </c>
      <c r="CG153" s="23">
        <f>+CG188*CG18/90</f>
        <v>2669.0081089948376</v>
      </c>
      <c r="CH153" s="23">
        <f>+'QTR Raw'!BC82</f>
        <v>2983.98</v>
      </c>
      <c r="CI153" s="23">
        <f>+CI188*CI18/90</f>
        <v>3111.1034268006956</v>
      </c>
      <c r="CJ153" s="23">
        <f t="shared" ref="CJ153:CZ153" si="1171">+CJ188*CJ18/90</f>
        <v>3342.5436159398387</v>
      </c>
      <c r="CK153" s="23">
        <f>+CK188*CK18/90</f>
        <v>2992.0802656639712</v>
      </c>
      <c r="CL153" s="24">
        <f t="shared" si="1171"/>
        <v>3480.0926070046366</v>
      </c>
      <c r="CM153" s="24">
        <f t="shared" si="1171"/>
        <v>3541.3084270024983</v>
      </c>
      <c r="CN153" s="24">
        <f t="shared" si="1171"/>
        <v>3599.2834877352966</v>
      </c>
      <c r="CO153" s="24">
        <f t="shared" si="1171"/>
        <v>3771.5544942236934</v>
      </c>
      <c r="CP153" s="24">
        <f t="shared" si="1171"/>
        <v>4146.4042347946533</v>
      </c>
      <c r="CQ153" s="24">
        <f t="shared" si="1171"/>
        <v>4083.3442018055566</v>
      </c>
      <c r="CR153" s="24">
        <f t="shared" si="1171"/>
        <v>4056.0319752060163</v>
      </c>
      <c r="CS153" s="24">
        <f t="shared" si="1171"/>
        <v>4301.7244192161452</v>
      </c>
      <c r="CT153" s="24">
        <f t="shared" si="1171"/>
        <v>4657.6822100904428</v>
      </c>
      <c r="CU153" s="24">
        <f t="shared" si="1171"/>
        <v>4571.1285216821461</v>
      </c>
      <c r="CV153" s="24">
        <f t="shared" si="1171"/>
        <v>4537.705592690274</v>
      </c>
      <c r="CW153" s="24">
        <f t="shared" si="1171"/>
        <v>5056.3889880869001</v>
      </c>
      <c r="CX153" s="24">
        <f t="shared" si="1171"/>
        <v>5452.816839627515</v>
      </c>
      <c r="CY153" s="24">
        <f t="shared" si="1171"/>
        <v>5380.8253402832306</v>
      </c>
      <c r="CZ153" s="24">
        <f t="shared" si="1171"/>
        <v>5390.244581030508</v>
      </c>
      <c r="DB153" s="123"/>
      <c r="DC153" s="23">
        <v>0</v>
      </c>
    </row>
    <row r="154" spans="1:107" s="23" customFormat="1" outlineLevel="1" x14ac:dyDescent="0.2">
      <c r="A154" s="23" t="s">
        <v>63</v>
      </c>
      <c r="B154" s="23">
        <f>'Annual Raw'!C79</f>
        <v>1.2212000000000001</v>
      </c>
      <c r="C154" s="23">
        <f>'Annual Raw'!D79</f>
        <v>2.5272999999999999</v>
      </c>
      <c r="D154" s="23">
        <f>'Annual Raw'!E79</f>
        <v>6.4143999999999997</v>
      </c>
      <c r="E154" s="23">
        <f>'Annual Raw'!F79</f>
        <v>5.2042000000000002</v>
      </c>
      <c r="F154" s="23">
        <f>'Annual Raw'!G79</f>
        <v>12.7082</v>
      </c>
      <c r="G154" s="23">
        <f>'Annual Raw'!H79</f>
        <v>13.587899999999999</v>
      </c>
      <c r="H154" s="23">
        <f>'Annual Raw'!I79</f>
        <v>15.153600000000001</v>
      </c>
      <c r="I154" s="23">
        <f>'Annual Raw'!J79</f>
        <v>1.7264999999999999</v>
      </c>
      <c r="J154" s="23">
        <f>'Annual Raw'!K79</f>
        <v>0.63539999999999996</v>
      </c>
      <c r="K154" s="23">
        <f>'Annual Raw'!L79</f>
        <v>0.70499999999999996</v>
      </c>
      <c r="L154" s="23">
        <f>'Annual Raw'!M79</f>
        <v>80.3</v>
      </c>
      <c r="M154" s="23">
        <f>'Annual Raw'!N79</f>
        <v>145.32</v>
      </c>
      <c r="N154" s="23">
        <f>'Annual Raw'!O79</f>
        <v>182.61</v>
      </c>
      <c r="O154" s="23">
        <f>'Annual Raw'!P79</f>
        <v>164.55</v>
      </c>
      <c r="P154" s="23">
        <f>'Annual Raw'!Q79</f>
        <v>169.23</v>
      </c>
      <c r="Q154" s="23">
        <f>'Annual Raw'!R79</f>
        <v>184.52</v>
      </c>
      <c r="R154" s="23">
        <f>'Annual Raw'!S79</f>
        <v>256.49</v>
      </c>
      <c r="S154" s="23">
        <f>'Annual Raw'!T79</f>
        <v>113.3</v>
      </c>
      <c r="T154" s="23">
        <f>'Annual Raw'!U79</f>
        <v>645.30999999999995</v>
      </c>
      <c r="U154" s="23">
        <f>'Annual Raw'!V79</f>
        <v>1016.56</v>
      </c>
      <c r="V154" s="23">
        <f>'Annual Raw'!W79</f>
        <v>679.16</v>
      </c>
      <c r="W154" s="23">
        <f>'Annual Raw'!X79</f>
        <v>328.26</v>
      </c>
      <c r="X154" s="23">
        <f>'Annual Raw'!Y79</f>
        <v>206.06</v>
      </c>
      <c r="Y154" s="23">
        <f>'Annual Raw'!Z79</f>
        <v>118.51</v>
      </c>
      <c r="Z154" s="23">
        <f>'Annual Raw'!AA79</f>
        <v>344.55</v>
      </c>
      <c r="AA154" s="24">
        <f t="shared" si="1166"/>
        <v>1033.7686551155116</v>
      </c>
      <c r="AB154" s="24">
        <f t="shared" si="1167"/>
        <v>1303.0782836714059</v>
      </c>
      <c r="AC154" s="24">
        <f t="shared" si="1168"/>
        <v>1486.2528651261971</v>
      </c>
      <c r="AD154" s="24">
        <f t="shared" si="1169"/>
        <v>1746.9907154364146</v>
      </c>
      <c r="AI154" s="23">
        <f>AI18/90*AI189</f>
        <v>0</v>
      </c>
      <c r="AJ154" s="23">
        <f>+'QTR Raw'!E84</f>
        <v>350.22</v>
      </c>
      <c r="AK154" s="23">
        <f>AK18/90*AK189</f>
        <v>781.04741749428456</v>
      </c>
      <c r="AL154" s="23">
        <f>+'QTR Raw'!G84</f>
        <v>408.78</v>
      </c>
      <c r="AM154" s="23">
        <f>AM18/90*AM189</f>
        <v>1047.3492978899578</v>
      </c>
      <c r="AN154" s="23">
        <f>+'QTR Raw'!I84</f>
        <v>408.94</v>
      </c>
      <c r="AO154" s="23">
        <f>AO18/90*AO189</f>
        <v>849.96845503591408</v>
      </c>
      <c r="AP154" s="23">
        <f>+'QTR Raw'!K84</f>
        <v>404.69</v>
      </c>
      <c r="AQ154" s="23">
        <f>AQ18/90*AQ189</f>
        <v>1150.6939520793762</v>
      </c>
      <c r="AR154" s="23">
        <f>+'QTR Raw'!M84</f>
        <v>394.72</v>
      </c>
      <c r="AS154" s="23">
        <f>AS18/90*AS189</f>
        <v>876.45998391715602</v>
      </c>
      <c r="AT154" s="23">
        <f>+'QTR Raw'!O84</f>
        <v>390.74</v>
      </c>
      <c r="AU154" s="23">
        <f>AU18/90*AU189</f>
        <v>1142.5228691461039</v>
      </c>
      <c r="AV154" s="23">
        <f>+'QTR Raw'!Q84</f>
        <v>389.72</v>
      </c>
      <c r="AW154" s="23">
        <f>AW18/90*AW189</f>
        <v>849.34570379361287</v>
      </c>
      <c r="AX154" s="23">
        <f>+'QTR Raw'!S84</f>
        <v>353.28</v>
      </c>
      <c r="AY154" s="23">
        <f>AY18/90*AY189</f>
        <v>947.25194130012949</v>
      </c>
      <c r="AZ154" s="23">
        <f>+'QTR Raw'!U84</f>
        <v>400.2</v>
      </c>
      <c r="BA154" s="23">
        <f>BA18/90*BA189</f>
        <v>906.58091589510229</v>
      </c>
      <c r="BB154" s="23">
        <f>+'QTR Raw'!W84</f>
        <v>787.32</v>
      </c>
      <c r="BC154" s="23">
        <f>BC18/90*BC189</f>
        <v>950.07992644857052</v>
      </c>
      <c r="BD154" s="23">
        <f>+'QTR Raw'!Y84</f>
        <v>1228.3800000000001</v>
      </c>
      <c r="BE154" s="23">
        <f>BE18/90*BE189</f>
        <v>1587.7739400146302</v>
      </c>
      <c r="BF154" s="23">
        <f>+'QTR Raw'!AA84</f>
        <v>1508.19</v>
      </c>
      <c r="BG154" s="23">
        <f>BG18/90*BG189</f>
        <v>1775.2545356962755</v>
      </c>
      <c r="BH154" s="23">
        <f>+'QTR Raw'!AC84</f>
        <v>3419.39</v>
      </c>
      <c r="BI154" s="23">
        <f>BI18/90*BI189</f>
        <v>3665.7969913340653</v>
      </c>
      <c r="BJ154" s="23">
        <f>+'QTR Raw'!AE84</f>
        <v>3789.71</v>
      </c>
      <c r="BK154" s="23">
        <f>BK18/90*BK189</f>
        <v>4223.3737134579178</v>
      </c>
      <c r="BL154" s="23">
        <f>+'QTR Raw'!AG84</f>
        <v>1624.74</v>
      </c>
      <c r="BM154" s="23">
        <f>BM18/90*BM189</f>
        <v>1856.6164324512504</v>
      </c>
      <c r="BN154" s="23">
        <f>+'QTR Raw'!AI84</f>
        <v>1609.14</v>
      </c>
      <c r="BO154" s="23">
        <f>BO18/90*BO189</f>
        <v>3553.0115138266142</v>
      </c>
      <c r="BP154" s="23">
        <f>+'QTR Raw'!AK84</f>
        <v>1323.32</v>
      </c>
      <c r="BQ154" s="23">
        <f>BQ18/90*BQ189</f>
        <v>1865.5489795738374</v>
      </c>
      <c r="BR154" s="23">
        <f>+'QTR Raw'!AM84</f>
        <v>1174.72</v>
      </c>
      <c r="BS154" s="23">
        <f>BS18/90*BS189</f>
        <v>2112.5744615287449</v>
      </c>
      <c r="BT154" s="23">
        <f>+'QTR Raw'!AO84</f>
        <v>1036.1600000000001</v>
      </c>
      <c r="BU154" s="23">
        <f>BU18/90*BU189</f>
        <v>1456.4157871044488</v>
      </c>
      <c r="BV154" s="23">
        <f>+'QTR Raw'!AQ84</f>
        <v>927.26</v>
      </c>
      <c r="BW154" s="23">
        <f>BW18/90*BW189</f>
        <v>1429.4414677884502</v>
      </c>
      <c r="BX154" s="23">
        <f>+'QTR Raw'!AS84</f>
        <v>737.78</v>
      </c>
      <c r="BY154" s="23">
        <f>BY18/90*BY189</f>
        <v>1137.8511624246462</v>
      </c>
      <c r="BZ154" s="23">
        <f>+'QTR Raw'!AU84</f>
        <v>788.06</v>
      </c>
      <c r="CA154" s="23">
        <f>CA18/90*CA189</f>
        <v>1250.0282815321518</v>
      </c>
      <c r="CB154" s="23">
        <f>+'QTR Raw'!AW84</f>
        <v>620.86</v>
      </c>
      <c r="CC154" s="23">
        <f>CC18/90*CC189</f>
        <v>1092.3113466231964</v>
      </c>
      <c r="CD154" s="23">
        <f>+'QTR Raw'!AY84</f>
        <v>606.54</v>
      </c>
      <c r="CE154" s="23">
        <f>CE18/90*CE189</f>
        <v>1004.0196401093676</v>
      </c>
      <c r="CF154" s="23">
        <f>+'QTR Raw'!BA84</f>
        <v>486.84</v>
      </c>
      <c r="CG154" s="23">
        <f>CG18/90*CG189</f>
        <v>826.70854725061179</v>
      </c>
      <c r="CH154" s="23">
        <f>+'QTR Raw'!BC84</f>
        <v>587.78</v>
      </c>
      <c r="CI154" s="23">
        <f>CI18/90*CI189</f>
        <v>1074.8913531353137</v>
      </c>
      <c r="CJ154" s="23">
        <f t="shared" ref="CJ154:CZ154" si="1172">CJ18/90*CJ189</f>
        <v>1154.8543193069311</v>
      </c>
      <c r="CK154" s="23">
        <f>CK18/90*CK189</f>
        <v>1033.7686551155116</v>
      </c>
      <c r="CL154" s="24">
        <f t="shared" si="1172"/>
        <v>1202.377722050272</v>
      </c>
      <c r="CM154" s="24">
        <f t="shared" si="1172"/>
        <v>1223.5278885873117</v>
      </c>
      <c r="CN154" s="24">
        <f t="shared" si="1172"/>
        <v>1243.5583674657537</v>
      </c>
      <c r="CO154" s="24">
        <f t="shared" si="1172"/>
        <v>1303.0782836714059</v>
      </c>
      <c r="CP154" s="24">
        <f t="shared" si="1172"/>
        <v>1432.5894858364484</v>
      </c>
      <c r="CQ154" s="24">
        <f t="shared" si="1172"/>
        <v>1410.8021406763703</v>
      </c>
      <c r="CR154" s="24">
        <f t="shared" si="1172"/>
        <v>1401.3657214452335</v>
      </c>
      <c r="CS154" s="24">
        <f t="shared" si="1172"/>
        <v>1486.2528651261971</v>
      </c>
      <c r="CT154" s="24">
        <f t="shared" si="1172"/>
        <v>1609.2368675852199</v>
      </c>
      <c r="CU154" s="24">
        <f t="shared" si="1172"/>
        <v>1579.3324258200935</v>
      </c>
      <c r="CV154" s="24">
        <f t="shared" si="1172"/>
        <v>1567.7847488575301</v>
      </c>
      <c r="CW154" s="24">
        <f t="shared" si="1172"/>
        <v>1746.9907154364146</v>
      </c>
      <c r="CX154" s="24">
        <f t="shared" si="1172"/>
        <v>1883.9571904472484</v>
      </c>
      <c r="CY154" s="24">
        <f t="shared" si="1172"/>
        <v>1859.0840089651417</v>
      </c>
      <c r="CZ154" s="24">
        <f t="shared" si="1172"/>
        <v>1862.3383721422476</v>
      </c>
      <c r="DB154" s="123"/>
      <c r="DC154" s="23">
        <v>0</v>
      </c>
    </row>
    <row r="155" spans="1:107" s="23" customFormat="1" outlineLevel="1" x14ac:dyDescent="0.2">
      <c r="A155" s="23" t="s">
        <v>64</v>
      </c>
      <c r="B155" s="23">
        <f>'Annual Raw'!C80</f>
        <v>89.597800000000007</v>
      </c>
      <c r="C155" s="23">
        <f>'Annual Raw'!D80</f>
        <v>90.255300000000005</v>
      </c>
      <c r="D155" s="23">
        <f>'Annual Raw'!E80</f>
        <v>162.798</v>
      </c>
      <c r="E155" s="23">
        <f>'Annual Raw'!F80</f>
        <v>189.80969999999999</v>
      </c>
      <c r="F155" s="23">
        <f>'Annual Raw'!G80</f>
        <v>342.60890000000001</v>
      </c>
      <c r="G155" s="23">
        <f>'Annual Raw'!H80</f>
        <v>311.67500000000001</v>
      </c>
      <c r="H155" s="23">
        <f>'Annual Raw'!I80</f>
        <v>540.40899999999999</v>
      </c>
      <c r="I155" s="23">
        <f>'Annual Raw'!J80</f>
        <v>731.3279</v>
      </c>
      <c r="J155" s="23">
        <f>'Annual Raw'!K80</f>
        <v>637.35339999999997</v>
      </c>
      <c r="K155" s="23">
        <f>'Annual Raw'!L80</f>
        <v>714.57330000000002</v>
      </c>
      <c r="L155" s="23">
        <f>'Annual Raw'!M80</f>
        <v>464.01</v>
      </c>
      <c r="M155" s="23">
        <f>'Annual Raw'!N80</f>
        <v>435.41</v>
      </c>
      <c r="N155" s="23">
        <f>'Annual Raw'!O80</f>
        <v>2257.52</v>
      </c>
      <c r="O155" s="23">
        <f>'Annual Raw'!P80</f>
        <v>507.62</v>
      </c>
      <c r="P155" s="23">
        <f>'Annual Raw'!Q80</f>
        <v>498.57</v>
      </c>
      <c r="Q155" s="23">
        <f>'Annual Raw'!R80</f>
        <v>580.22</v>
      </c>
      <c r="R155" s="23">
        <f>'Annual Raw'!S80</f>
        <v>996.51</v>
      </c>
      <c r="S155" s="23">
        <f>'Annual Raw'!T80</f>
        <v>519.71</v>
      </c>
      <c r="T155" s="23">
        <f>'Annual Raw'!U80</f>
        <v>923.39</v>
      </c>
      <c r="U155" s="23">
        <f>'Annual Raw'!V80</f>
        <v>324.64</v>
      </c>
      <c r="V155" s="23">
        <f>'Annual Raw'!W80</f>
        <v>290.91000000000003</v>
      </c>
      <c r="W155" s="23">
        <f>'Annual Raw'!X80</f>
        <v>414.46</v>
      </c>
      <c r="X155" s="23">
        <f>'Annual Raw'!Y80</f>
        <v>420.2</v>
      </c>
      <c r="Y155" s="23">
        <f>'Annual Raw'!Z80</f>
        <v>374.62</v>
      </c>
      <c r="Z155" s="23">
        <f>'Annual Raw'!AA80</f>
        <v>340.98</v>
      </c>
      <c r="AA155" s="24">
        <f t="shared" si="1166"/>
        <v>0</v>
      </c>
      <c r="AB155" s="24">
        <f t="shared" si="1167"/>
        <v>0</v>
      </c>
      <c r="AC155" s="24">
        <f t="shared" si="1168"/>
        <v>0</v>
      </c>
      <c r="AD155" s="24">
        <f t="shared" si="1169"/>
        <v>0</v>
      </c>
      <c r="AJ155" s="23">
        <f>+'QTR Raw'!E85</f>
        <v>230.51</v>
      </c>
      <c r="AL155" s="23">
        <f>+'QTR Raw'!G85</f>
        <v>271.83999999999997</v>
      </c>
      <c r="AN155" s="23">
        <f>+'QTR Raw'!I85</f>
        <v>256.77</v>
      </c>
      <c r="AP155" s="23">
        <f>+'QTR Raw'!K85</f>
        <v>314.20999999999998</v>
      </c>
      <c r="AR155" s="23">
        <f>+'QTR Raw'!M85</f>
        <v>277.45</v>
      </c>
      <c r="AT155" s="23">
        <f>+'QTR Raw'!O85</f>
        <v>286.64999999999998</v>
      </c>
      <c r="AV155" s="23">
        <f>+'QTR Raw'!Q85</f>
        <v>278.08</v>
      </c>
      <c r="AX155" s="23">
        <f>+'QTR Raw'!S85</f>
        <v>328.13</v>
      </c>
      <c r="AZ155" s="23">
        <f>+'QTR Raw'!U85</f>
        <v>330.78</v>
      </c>
      <c r="BB155" s="23">
        <f>+'QTR Raw'!W85</f>
        <v>22.31</v>
      </c>
      <c r="BD155" s="23">
        <f>+'QTR Raw'!Y85</f>
        <v>24.62</v>
      </c>
      <c r="BF155" s="23">
        <f>+'QTR Raw'!AA85</f>
        <v>29.82</v>
      </c>
      <c r="BH155" s="23">
        <f>+'QTR Raw'!AC85</f>
        <v>15.84</v>
      </c>
      <c r="BJ155" s="23">
        <f>+'QTR Raw'!AE85</f>
        <v>20.52</v>
      </c>
      <c r="BL155" s="23">
        <f>+'QTR Raw'!AG85</f>
        <v>366.53</v>
      </c>
      <c r="BN155" s="23">
        <f>+'QTR Raw'!AI85</f>
        <v>37.6</v>
      </c>
      <c r="BP155" s="23">
        <f>+'QTR Raw'!AK85</f>
        <v>17.88</v>
      </c>
      <c r="BR155" s="23">
        <f>+'QTR Raw'!AM85</f>
        <v>19.989999999999998</v>
      </c>
      <c r="BT155" s="23">
        <f>+'QTR Raw'!AO85</f>
        <v>18.510000000000002</v>
      </c>
      <c r="BV155" s="23">
        <f>+'QTR Raw'!AQ85</f>
        <v>3.71</v>
      </c>
      <c r="BX155" s="23">
        <f>+'QTR Raw'!AS85</f>
        <v>4.9400000000000004</v>
      </c>
      <c r="BZ155" s="23">
        <f>+'QTR Raw'!AU85</f>
        <v>3.87</v>
      </c>
      <c r="CB155" s="23">
        <f>+'QTR Raw'!AW85</f>
        <v>5.4</v>
      </c>
      <c r="CD155" s="23">
        <f>+'QTR Raw'!AY85</f>
        <v>4.0599999999999996</v>
      </c>
      <c r="CF155" s="23">
        <f>+'QTR Raw'!BA85</f>
        <v>6.29</v>
      </c>
      <c r="CH155" s="23">
        <f>+'QTR Raw'!BC85</f>
        <v>4.3499999999999996</v>
      </c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B155" s="123"/>
      <c r="DC155" s="23">
        <v>0</v>
      </c>
    </row>
    <row r="156" spans="1:107" s="22" customFormat="1" x14ac:dyDescent="0.2">
      <c r="A156" s="22" t="s">
        <v>65</v>
      </c>
      <c r="B156" s="22">
        <f>SUM(B150:B155)</f>
        <v>632.02079999999989</v>
      </c>
      <c r="C156" s="22">
        <f t="shared" ref="C156:V156" si="1173">SUM(C150:C155)</f>
        <v>674.16210000000001</v>
      </c>
      <c r="D156" s="22">
        <f t="shared" si="1173"/>
        <v>828.48850000000004</v>
      </c>
      <c r="E156" s="22">
        <f t="shared" si="1173"/>
        <v>989.63160000000005</v>
      </c>
      <c r="F156" s="22">
        <f t="shared" si="1173"/>
        <v>1586.154</v>
      </c>
      <c r="G156" s="22">
        <f t="shared" si="1173"/>
        <v>2250.2301000000002</v>
      </c>
      <c r="H156" s="22">
        <f t="shared" si="1173"/>
        <v>3467.8353000000002</v>
      </c>
      <c r="I156" s="22">
        <f t="shared" si="1173"/>
        <v>4351.5947000000006</v>
      </c>
      <c r="J156" s="22">
        <f t="shared" si="1173"/>
        <v>4225.1247000000003</v>
      </c>
      <c r="K156" s="22">
        <f t="shared" si="1173"/>
        <v>4339.0966000000008</v>
      </c>
      <c r="L156" s="22">
        <f>SUM(L150:L155)</f>
        <v>4750.46</v>
      </c>
      <c r="M156" s="22">
        <f>SUM(M150:M155)</f>
        <v>5035.1399999999994</v>
      </c>
      <c r="N156" s="22">
        <f t="shared" si="1173"/>
        <v>8798.31</v>
      </c>
      <c r="O156" s="22">
        <f t="shared" si="1173"/>
        <v>6920.77</v>
      </c>
      <c r="P156" s="22">
        <f t="shared" si="1173"/>
        <v>7389.98</v>
      </c>
      <c r="Q156" s="22">
        <f t="shared" si="1173"/>
        <v>5072.6600000000008</v>
      </c>
      <c r="R156" s="22">
        <f t="shared" si="1173"/>
        <v>5673.33</v>
      </c>
      <c r="S156" s="22">
        <f t="shared" si="1173"/>
        <v>6510.5</v>
      </c>
      <c r="T156" s="22">
        <f t="shared" si="1173"/>
        <v>5191.670000000001</v>
      </c>
      <c r="U156" s="22">
        <f t="shared" si="1173"/>
        <v>4409.05</v>
      </c>
      <c r="V156" s="22">
        <f t="shared" si="1173"/>
        <v>4372.78</v>
      </c>
      <c r="W156" s="22">
        <f t="shared" ref="W156" si="1174">SUM(W150:W155)</f>
        <v>4617.74</v>
      </c>
      <c r="X156" s="22">
        <f t="shared" ref="X156:Y156" si="1175">SUM(X150:X155)</f>
        <v>5026.8900000000003</v>
      </c>
      <c r="Y156" s="22">
        <f t="shared" si="1175"/>
        <v>5626.84</v>
      </c>
      <c r="Z156" s="22">
        <f t="shared" ref="Z156" si="1176">SUM(Z150:Z155)</f>
        <v>6434.41</v>
      </c>
      <c r="AA156" s="21">
        <f t="shared" ref="AA156:AD156" si="1177">SUM(AA150:AA155)</f>
        <v>6344.2754471821227</v>
      </c>
      <c r="AB156" s="21">
        <f t="shared" si="1177"/>
        <v>7997.0383314910723</v>
      </c>
      <c r="AC156" s="21">
        <f t="shared" si="1177"/>
        <v>9121.1873312899115</v>
      </c>
      <c r="AD156" s="21">
        <f t="shared" si="1177"/>
        <v>10721.344903962032</v>
      </c>
      <c r="AI156" s="22">
        <f t="shared" ref="AI156" si="1178">SUM(AI150:AI155)</f>
        <v>0</v>
      </c>
      <c r="AJ156" s="22">
        <f t="shared" ref="AJ156:AK156" si="1179">SUM(AJ150:AJ155)</f>
        <v>5035.1400000000003</v>
      </c>
      <c r="AK156" s="22">
        <f t="shared" si="1179"/>
        <v>4790.4051327391126</v>
      </c>
      <c r="AL156" s="22">
        <f t="shared" ref="AL156:AM156" si="1180">SUM(AL150:AL155)</f>
        <v>5190.21</v>
      </c>
      <c r="AM156" s="22">
        <f t="shared" si="1180"/>
        <v>5293.2050589612545</v>
      </c>
      <c r="AN156" s="22">
        <f t="shared" ref="AN156:AO156" si="1181">SUM(AN150:AN155)</f>
        <v>5249.4699999999993</v>
      </c>
      <c r="AO156" s="22">
        <f t="shared" si="1181"/>
        <v>4353.4821989046541</v>
      </c>
      <c r="AP156" s="22">
        <f t="shared" ref="AP156:CE156" si="1182">SUM(AP150:AP155)</f>
        <v>5320.94</v>
      </c>
      <c r="AQ156" s="22">
        <f t="shared" si="1182"/>
        <v>5387.4889812202964</v>
      </c>
      <c r="AR156" s="22">
        <f t="shared" si="1182"/>
        <v>5132.5200000000004</v>
      </c>
      <c r="AS156" s="22">
        <f t="shared" si="1182"/>
        <v>4160.6840643135092</v>
      </c>
      <c r="AT156" s="22">
        <f t="shared" si="1182"/>
        <v>5402.2099999999991</v>
      </c>
      <c r="AU156" s="22">
        <f t="shared" si="1182"/>
        <v>5506.667679823151</v>
      </c>
      <c r="AV156" s="22">
        <f t="shared" si="1182"/>
        <v>5427.19</v>
      </c>
      <c r="AW156" s="22">
        <f t="shared" si="1182"/>
        <v>4203.1572369326404</v>
      </c>
      <c r="AX156" s="22">
        <f t="shared" si="1182"/>
        <v>5166.97</v>
      </c>
      <c r="AY156" s="22">
        <f t="shared" si="1182"/>
        <v>4769.5554026969239</v>
      </c>
      <c r="AZ156" s="22">
        <f t="shared" si="1182"/>
        <v>5122.3899999999994</v>
      </c>
      <c r="BA156" s="22">
        <f t="shared" si="1182"/>
        <v>4150.7146144313283</v>
      </c>
      <c r="BB156" s="22">
        <f t="shared" si="1182"/>
        <v>5050.22</v>
      </c>
      <c r="BC156" s="22">
        <f t="shared" si="1182"/>
        <v>4096.6092740592039</v>
      </c>
      <c r="BD156" s="22">
        <f t="shared" si="1182"/>
        <v>5673.33</v>
      </c>
      <c r="BE156" s="22">
        <f t="shared" si="1182"/>
        <v>5200.9038840087778</v>
      </c>
      <c r="BF156" s="22">
        <f t="shared" si="1182"/>
        <v>6220.3899999999994</v>
      </c>
      <c r="BG156" s="22">
        <f t="shared" si="1182"/>
        <v>5570.238774704032</v>
      </c>
      <c r="BH156" s="22">
        <f t="shared" si="1182"/>
        <v>6510.5</v>
      </c>
      <c r="BI156" s="22">
        <f t="shared" si="1182"/>
        <v>6126.1913752593682</v>
      </c>
      <c r="BJ156" s="22">
        <f t="shared" si="1182"/>
        <v>6968.8000000000011</v>
      </c>
      <c r="BK156" s="22">
        <f t="shared" si="1182"/>
        <v>7049.0376103143572</v>
      </c>
      <c r="BL156" s="22">
        <f t="shared" si="1182"/>
        <v>5191.67</v>
      </c>
      <c r="BM156" s="22">
        <f t="shared" si="1182"/>
        <v>4045.8948261686455</v>
      </c>
      <c r="BN156" s="22">
        <f t="shared" si="1182"/>
        <v>4917.59</v>
      </c>
      <c r="BO156" s="22">
        <f t="shared" si="1182"/>
        <v>8042.3533347197135</v>
      </c>
      <c r="BP156" s="22">
        <f t="shared" si="1182"/>
        <v>4483.34</v>
      </c>
      <c r="BQ156" s="22">
        <f t="shared" si="1182"/>
        <v>4294.5702868129538</v>
      </c>
      <c r="BR156" s="22">
        <f t="shared" si="1182"/>
        <v>4281.05</v>
      </c>
      <c r="BS156" s="22">
        <f t="shared" si="1182"/>
        <v>5342.8703328514484</v>
      </c>
      <c r="BT156" s="22">
        <f t="shared" si="1182"/>
        <v>4442.74</v>
      </c>
      <c r="BU156" s="22">
        <f t="shared" si="1182"/>
        <v>4175.012855769688</v>
      </c>
      <c r="BV156" s="22">
        <f t="shared" si="1182"/>
        <v>4734.6000000000004</v>
      </c>
      <c r="BW156" s="22">
        <f t="shared" si="1182"/>
        <v>4784.0031479848421</v>
      </c>
      <c r="BX156" s="22">
        <f t="shared" si="1182"/>
        <v>4658.9099999999989</v>
      </c>
      <c r="BY156" s="22">
        <f t="shared" si="1182"/>
        <v>4628.7708984263927</v>
      </c>
      <c r="BZ156" s="22">
        <f t="shared" si="1182"/>
        <v>5142.3900000000003</v>
      </c>
      <c r="CA156" s="22">
        <f t="shared" si="1182"/>
        <v>5676.5066845648826</v>
      </c>
      <c r="CB156" s="22">
        <f t="shared" si="1182"/>
        <v>5082.8799999999992</v>
      </c>
      <c r="CC156" s="22">
        <f t="shared" si="1182"/>
        <v>5678.0261167946201</v>
      </c>
      <c r="CD156" s="22">
        <f t="shared" si="1182"/>
        <v>5569.4900000000007</v>
      </c>
      <c r="CE156" s="22">
        <f t="shared" si="1182"/>
        <v>5729.4412293084097</v>
      </c>
      <c r="CF156" s="22">
        <f t="shared" ref="CF156:CG156" si="1183">SUM(CF150:CF155)</f>
        <v>5685.8200000000006</v>
      </c>
      <c r="CG156" s="22">
        <f t="shared" si="1183"/>
        <v>5086.2027463869972</v>
      </c>
      <c r="CH156" s="22">
        <f t="shared" ref="CH156" si="1184">SUM(CH150:CH155)</f>
        <v>6327.1</v>
      </c>
      <c r="CI156" s="22">
        <f t="shared" ref="CI156:CK156" si="1185">SUM(CI150:CI155)</f>
        <v>6596.6469251505305</v>
      </c>
      <c r="CJ156" s="22">
        <f t="shared" ref="CJ156:CZ156" si="1186">SUM(CJ150:CJ155)</f>
        <v>7087.3825268309283</v>
      </c>
      <c r="CK156" s="22">
        <f t="shared" si="1185"/>
        <v>6344.2754471821227</v>
      </c>
      <c r="CL156" s="21">
        <f t="shared" si="1186"/>
        <v>7379.0353600825201</v>
      </c>
      <c r="CM156" s="21">
        <f t="shared" si="1186"/>
        <v>7508.834693425395</v>
      </c>
      <c r="CN156" s="21">
        <f t="shared" si="1186"/>
        <v>7631.7624633040423</v>
      </c>
      <c r="CO156" s="21">
        <f t="shared" si="1186"/>
        <v>7997.0383314910723</v>
      </c>
      <c r="CP156" s="21">
        <f t="shared" si="1186"/>
        <v>8791.8532409631607</v>
      </c>
      <c r="CQ156" s="21">
        <f t="shared" si="1186"/>
        <v>8658.1435194753121</v>
      </c>
      <c r="CR156" s="21">
        <f t="shared" si="1186"/>
        <v>8600.2318749877631</v>
      </c>
      <c r="CS156" s="21">
        <f t="shared" si="1186"/>
        <v>9121.1873312899115</v>
      </c>
      <c r="CT156" s="21">
        <f t="shared" si="1186"/>
        <v>9875.9445812181184</v>
      </c>
      <c r="CU156" s="21">
        <f t="shared" si="1186"/>
        <v>9692.4199456883453</v>
      </c>
      <c r="CV156" s="21">
        <f t="shared" si="1186"/>
        <v>9621.5514365078307</v>
      </c>
      <c r="CW156" s="21">
        <f t="shared" si="1186"/>
        <v>10721.344903962032</v>
      </c>
      <c r="CX156" s="21">
        <f t="shared" si="1186"/>
        <v>11561.913091242988</v>
      </c>
      <c r="CY156" s="21">
        <f t="shared" si="1186"/>
        <v>11409.265481171466</v>
      </c>
      <c r="CZ156" s="21">
        <f t="shared" si="1186"/>
        <v>11429.237625130907</v>
      </c>
      <c r="DB156" s="126"/>
      <c r="DC156" s="22">
        <v>0</v>
      </c>
    </row>
    <row r="157" spans="1:107" s="23" customFormat="1" outlineLevel="1" x14ac:dyDescent="0.2">
      <c r="A157" s="23" t="s">
        <v>66</v>
      </c>
      <c r="B157" s="23">
        <f>'Annual Raw'!C50+'Annual Raw'!C58</f>
        <v>0</v>
      </c>
      <c r="C157" s="23">
        <f>'Annual Raw'!D50+'Annual Raw'!D58</f>
        <v>0</v>
      </c>
      <c r="D157" s="23">
        <f>'Annual Raw'!E50+'Annual Raw'!E58</f>
        <v>0</v>
      </c>
      <c r="E157" s="23">
        <f>'Annual Raw'!F50+'Annual Raw'!F58</f>
        <v>0</v>
      </c>
      <c r="F157" s="23">
        <f>'Annual Raw'!G50+'Annual Raw'!G58</f>
        <v>0</v>
      </c>
      <c r="G157" s="23">
        <f>'Annual Raw'!H50+'Annual Raw'!H58</f>
        <v>0</v>
      </c>
      <c r="H157" s="23">
        <f>'Annual Raw'!I50+'Annual Raw'!I58</f>
        <v>0</v>
      </c>
      <c r="I157" s="23">
        <f>'Annual Raw'!J50+'Annual Raw'!J58</f>
        <v>0</v>
      </c>
      <c r="J157" s="23">
        <f>'Annual Raw'!K50+'Annual Raw'!K58</f>
        <v>0</v>
      </c>
      <c r="K157" s="23">
        <f>'Annual Raw'!L50+'Annual Raw'!L58</f>
        <v>0</v>
      </c>
      <c r="L157" s="23">
        <f>'Annual Raw'!M50+'Annual Raw'!M58</f>
        <v>3.3</v>
      </c>
      <c r="M157" s="23">
        <f>'Annual Raw'!N50+'Annual Raw'!N58</f>
        <v>3.89</v>
      </c>
      <c r="N157" s="23">
        <f>'Annual Raw'!O50+'Annual Raw'!O58</f>
        <v>4.17</v>
      </c>
      <c r="O157" s="23">
        <f>'Annual Raw'!P50+'Annual Raw'!P58</f>
        <v>4.51</v>
      </c>
      <c r="P157" s="23">
        <f>'Annual Raw'!Q50+'Annual Raw'!Q58</f>
        <v>4.3</v>
      </c>
      <c r="Q157" s="23">
        <f>'Annual Raw'!R50+'Annual Raw'!R58</f>
        <v>3.91</v>
      </c>
      <c r="R157" s="23">
        <f>'Annual Raw'!S50+'Annual Raw'!S58</f>
        <v>3.86</v>
      </c>
      <c r="S157" s="23">
        <f>'Annual Raw'!T50+'Annual Raw'!T58</f>
        <v>2126.2299999999996</v>
      </c>
      <c r="T157" s="23">
        <f>'Annual Raw'!U50+'Annual Raw'!U58</f>
        <v>275.2</v>
      </c>
      <c r="U157" s="23">
        <f>'Annual Raw'!V50+'Annual Raw'!V58</f>
        <v>50.2</v>
      </c>
      <c r="V157" s="23">
        <f>'Annual Raw'!W50+'Annual Raw'!W58</f>
        <v>73.210000000000008</v>
      </c>
      <c r="W157" s="23">
        <f>'Annual Raw'!X50+'Annual Raw'!X58</f>
        <v>28.48</v>
      </c>
      <c r="X157" s="23">
        <f>'Annual Raw'!Y50+'Annual Raw'!Y58</f>
        <v>36.799999999999997</v>
      </c>
      <c r="Y157" s="23">
        <f>'Annual Raw'!Z50+'Annual Raw'!Z58</f>
        <v>36.840000000000003</v>
      </c>
      <c r="Z157" s="23">
        <f>'Annual Raw'!AA50+'Annual Raw'!AA58</f>
        <v>64.69</v>
      </c>
      <c r="AA157" s="24">
        <f t="shared" ref="AA157:AA163" si="1187">+CK157</f>
        <v>0</v>
      </c>
      <c r="AB157" s="24">
        <f t="shared" ref="AB157:AB163" si="1188">+CO157</f>
        <v>0</v>
      </c>
      <c r="AC157" s="24">
        <f t="shared" ref="AC157:AC163" si="1189">+CS157</f>
        <v>0</v>
      </c>
      <c r="AD157" s="24">
        <f t="shared" ref="AD157:AD163" si="1190">+CW157</f>
        <v>0</v>
      </c>
      <c r="AJ157" s="23">
        <f>+'QTR Raw'!E64</f>
        <v>3.89</v>
      </c>
      <c r="AL157" s="23">
        <f>+'QTR Raw'!G64</f>
        <v>4.04</v>
      </c>
      <c r="AN157" s="23">
        <f>+'QTR Raw'!I64</f>
        <v>4.17</v>
      </c>
      <c r="AP157" s="23">
        <f>+'QTR Raw'!K64</f>
        <v>4.34</v>
      </c>
      <c r="AR157" s="23">
        <f>+'QTR Raw'!M64</f>
        <v>4.51</v>
      </c>
      <c r="AT157" s="23">
        <f>+'QTR Raw'!O64</f>
        <v>4.47</v>
      </c>
      <c r="AV157" s="23">
        <f>+'QTR Raw'!Q64</f>
        <v>4.3</v>
      </c>
      <c r="AX157" s="23">
        <f>+'QTR Raw'!S64</f>
        <v>4.3499999999999996</v>
      </c>
      <c r="AZ157" s="23">
        <f>+'QTR Raw'!U64</f>
        <v>3.91</v>
      </c>
      <c r="BB157" s="23">
        <f>+'QTR Raw'!W64</f>
        <v>3.8</v>
      </c>
      <c r="BD157" s="23">
        <f>+'QTR Raw'!Y64</f>
        <v>3.86</v>
      </c>
      <c r="BF157" s="23">
        <f>+'QTR Raw'!AA64</f>
        <v>3.98</v>
      </c>
      <c r="BH157" s="23">
        <f>+'QTR Raw'!AC64</f>
        <v>3.49</v>
      </c>
      <c r="BJ157" s="23">
        <f>+'QTR Raw'!AE64</f>
        <v>3.57</v>
      </c>
      <c r="BL157" s="23">
        <f>+'QTR Raw'!AG64</f>
        <v>3.56</v>
      </c>
      <c r="BN157" s="23">
        <f>+'QTR Raw'!AI64</f>
        <v>14.44</v>
      </c>
      <c r="BP157" s="23">
        <f>+'QTR Raw'!AK64</f>
        <v>50.2</v>
      </c>
      <c r="BR157" s="23">
        <f>+'QTR Raw'!AM64</f>
        <v>40.18</v>
      </c>
      <c r="BT157" s="23">
        <f>+'QTR Raw'!AO64</f>
        <v>23.76</v>
      </c>
      <c r="BV157" s="23">
        <f>+'QTR Raw'!AQ64</f>
        <v>24.31</v>
      </c>
      <c r="BX157" s="23">
        <f>+'QTR Raw'!AS64</f>
        <v>28.48</v>
      </c>
      <c r="BZ157" s="23">
        <f>+'QTR Raw'!AU64</f>
        <v>21.3</v>
      </c>
      <c r="CB157" s="23">
        <f>+'QTR Raw'!AW64</f>
        <v>36.799999999999997</v>
      </c>
      <c r="CD157" s="23">
        <f>+'QTR Raw'!AY64</f>
        <v>21.97</v>
      </c>
      <c r="CF157" s="23">
        <f>+'QTR Raw'!BA64</f>
        <v>36.840000000000003</v>
      </c>
      <c r="CH157" s="23">
        <f>+'QTR Raw'!BC64</f>
        <v>58.51</v>
      </c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B157" s="123"/>
      <c r="DC157" s="23">
        <v>0</v>
      </c>
    </row>
    <row r="158" spans="1:107" s="23" customFormat="1" outlineLevel="1" x14ac:dyDescent="0.2">
      <c r="A158" s="23" t="s">
        <v>67</v>
      </c>
      <c r="B158" s="23">
        <f>'Annual Raw'!C51</f>
        <v>0</v>
      </c>
      <c r="C158" s="23">
        <f>'Annual Raw'!D51</f>
        <v>0</v>
      </c>
      <c r="D158" s="23">
        <f>'Annual Raw'!E51</f>
        <v>0</v>
      </c>
      <c r="E158" s="23">
        <f>'Annual Raw'!F51</f>
        <v>0</v>
      </c>
      <c r="F158" s="23">
        <f>'Annual Raw'!G51</f>
        <v>0</v>
      </c>
      <c r="G158" s="23">
        <f>'Annual Raw'!H51</f>
        <v>0</v>
      </c>
      <c r="H158" s="23">
        <f>'Annual Raw'!I51</f>
        <v>0</v>
      </c>
      <c r="I158" s="23">
        <f>'Annual Raw'!J51</f>
        <v>0</v>
      </c>
      <c r="J158" s="23">
        <f>'Annual Raw'!K51</f>
        <v>0</v>
      </c>
      <c r="K158" s="23">
        <f>'Annual Raw'!L51</f>
        <v>0</v>
      </c>
      <c r="L158" s="23">
        <f>'Annual Raw'!M51</f>
        <v>0</v>
      </c>
      <c r="M158" s="23">
        <f>'Annual Raw'!N51</f>
        <v>0</v>
      </c>
      <c r="N158" s="23">
        <f>'Annual Raw'!O51</f>
        <v>0</v>
      </c>
      <c r="O158" s="23">
        <f>'Annual Raw'!P51</f>
        <v>0</v>
      </c>
      <c r="P158" s="23">
        <f>'Annual Raw'!Q51</f>
        <v>0</v>
      </c>
      <c r="Q158" s="23">
        <f>'Annual Raw'!R51</f>
        <v>0</v>
      </c>
      <c r="R158" s="23">
        <f>'Annual Raw'!S51</f>
        <v>0</v>
      </c>
      <c r="S158" s="23">
        <f>'Annual Raw'!T51</f>
        <v>0</v>
      </c>
      <c r="T158" s="23">
        <f>'Annual Raw'!U51</f>
        <v>0</v>
      </c>
      <c r="U158" s="23">
        <f>'Annual Raw'!V51</f>
        <v>0</v>
      </c>
      <c r="V158" s="23">
        <f>'Annual Raw'!W51</f>
        <v>0</v>
      </c>
      <c r="W158" s="23">
        <f>'Annual Raw'!X51</f>
        <v>0</v>
      </c>
      <c r="X158" s="23">
        <f>'Annual Raw'!Y51</f>
        <v>0</v>
      </c>
      <c r="Y158" s="23">
        <f>'Annual Raw'!Z51</f>
        <v>0</v>
      </c>
      <c r="Z158" s="23">
        <f>'Annual Raw'!AA51</f>
        <v>0</v>
      </c>
      <c r="AA158" s="24">
        <f t="shared" si="1187"/>
        <v>0</v>
      </c>
      <c r="AB158" s="24">
        <f t="shared" si="1188"/>
        <v>0</v>
      </c>
      <c r="AC158" s="24">
        <f t="shared" si="1189"/>
        <v>0</v>
      </c>
      <c r="AD158" s="24">
        <f t="shared" si="1190"/>
        <v>0</v>
      </c>
      <c r="AJ158" s="23">
        <f>+'QTR Raw'!E65</f>
        <v>5.71</v>
      </c>
      <c r="AL158" s="23">
        <f>+'QTR Raw'!G65</f>
        <v>0</v>
      </c>
      <c r="AN158" s="23">
        <f>+'QTR Raw'!I65</f>
        <v>0</v>
      </c>
      <c r="AP158" s="23">
        <f>+'QTR Raw'!K65</f>
        <v>0</v>
      </c>
      <c r="AR158" s="23">
        <f>+'QTR Raw'!M65</f>
        <v>0</v>
      </c>
      <c r="AT158" s="23">
        <f>+'QTR Raw'!O65</f>
        <v>0</v>
      </c>
      <c r="AV158" s="23">
        <f>+'QTR Raw'!Q65</f>
        <v>0</v>
      </c>
      <c r="AX158" s="23">
        <f>+'QTR Raw'!S65</f>
        <v>0</v>
      </c>
      <c r="AZ158" s="23">
        <f>+'QTR Raw'!U65</f>
        <v>0</v>
      </c>
      <c r="BB158" s="23">
        <f>+'QTR Raw'!W65</f>
        <v>0</v>
      </c>
      <c r="BD158" s="23">
        <f>+'QTR Raw'!Y65</f>
        <v>0</v>
      </c>
      <c r="BF158" s="23">
        <f>+'QTR Raw'!AA65</f>
        <v>0</v>
      </c>
      <c r="BH158" s="23">
        <f>+'QTR Raw'!AC65</f>
        <v>0</v>
      </c>
      <c r="BJ158" s="23">
        <f>+'QTR Raw'!AE65</f>
        <v>0</v>
      </c>
      <c r="BL158" s="23">
        <f>+'QTR Raw'!AG65</f>
        <v>0</v>
      </c>
      <c r="BN158" s="23">
        <f>+'QTR Raw'!AI65</f>
        <v>0</v>
      </c>
      <c r="BP158" s="23">
        <f>+'QTR Raw'!AK65</f>
        <v>0</v>
      </c>
      <c r="BR158" s="23">
        <f>+'QTR Raw'!AM65</f>
        <v>0</v>
      </c>
      <c r="BT158" s="23">
        <f>+'QTR Raw'!AO65</f>
        <v>0</v>
      </c>
      <c r="BV158" s="23">
        <f>+'QTR Raw'!AQ65</f>
        <v>0</v>
      </c>
      <c r="BX158" s="23">
        <f>+'QTR Raw'!AS65</f>
        <v>0</v>
      </c>
      <c r="BZ158" s="23">
        <f>+'QTR Raw'!AU65</f>
        <v>0</v>
      </c>
      <c r="CB158" s="23">
        <f>+'QTR Raw'!AW65</f>
        <v>0</v>
      </c>
      <c r="CD158" s="23">
        <f>+'QTR Raw'!AY65</f>
        <v>0</v>
      </c>
      <c r="CF158" s="23">
        <f>+'QTR Raw'!BA65</f>
        <v>0</v>
      </c>
      <c r="CH158" s="23">
        <f>+'QTR Raw'!BC65</f>
        <v>0</v>
      </c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B158" s="123"/>
      <c r="DC158" s="23">
        <v>0</v>
      </c>
    </row>
    <row r="159" spans="1:107" s="23" customFormat="1" outlineLevel="1" x14ac:dyDescent="0.2">
      <c r="A159" s="23" t="s">
        <v>68</v>
      </c>
      <c r="B159" s="23">
        <f>'Annual Raw'!C52</f>
        <v>0</v>
      </c>
      <c r="C159" s="23">
        <f>'Annual Raw'!D52</f>
        <v>0</v>
      </c>
      <c r="D159" s="23">
        <f>'Annual Raw'!E52</f>
        <v>0</v>
      </c>
      <c r="E159" s="23">
        <f>'Annual Raw'!F52</f>
        <v>0</v>
      </c>
      <c r="F159" s="23">
        <f>'Annual Raw'!G52</f>
        <v>0</v>
      </c>
      <c r="G159" s="23">
        <f>'Annual Raw'!H52</f>
        <v>0</v>
      </c>
      <c r="H159" s="23">
        <f>'Annual Raw'!I52</f>
        <v>0</v>
      </c>
      <c r="I159" s="23">
        <f>'Annual Raw'!J52</f>
        <v>0</v>
      </c>
      <c r="J159" s="23">
        <f>'Annual Raw'!K52</f>
        <v>0</v>
      </c>
      <c r="K159" s="23">
        <f>'Annual Raw'!L52</f>
        <v>0</v>
      </c>
      <c r="L159" s="23">
        <f>'Annual Raw'!M52</f>
        <v>5.71</v>
      </c>
      <c r="M159" s="23">
        <f>'Annual Raw'!N52</f>
        <v>5.71</v>
      </c>
      <c r="N159" s="23">
        <f>'Annual Raw'!O52</f>
        <v>1792.53</v>
      </c>
      <c r="O159" s="23">
        <f>'Annual Raw'!P52</f>
        <v>1825.69</v>
      </c>
      <c r="P159" s="23">
        <f>'Annual Raw'!Q52</f>
        <v>2010.71</v>
      </c>
      <c r="Q159" s="23">
        <f>'Annual Raw'!R52</f>
        <v>52.08</v>
      </c>
      <c r="R159" s="23">
        <f>'Annual Raw'!S52</f>
        <v>42.68</v>
      </c>
      <c r="S159" s="23">
        <f>'Annual Raw'!T52</f>
        <v>32.29</v>
      </c>
      <c r="T159" s="23">
        <f>'Annual Raw'!U52</f>
        <v>44.97</v>
      </c>
      <c r="U159" s="23">
        <f>'Annual Raw'!V52</f>
        <v>0</v>
      </c>
      <c r="V159" s="23">
        <f>'Annual Raw'!W52</f>
        <v>0</v>
      </c>
      <c r="W159" s="23">
        <f>'Annual Raw'!X52</f>
        <v>0</v>
      </c>
      <c r="X159" s="23">
        <f>'Annual Raw'!Y52</f>
        <v>5.63</v>
      </c>
      <c r="Y159" s="23">
        <f>'Annual Raw'!Z52</f>
        <v>5.13</v>
      </c>
      <c r="Z159" s="23">
        <f>'Annual Raw'!AA52</f>
        <v>4.3499999999999996</v>
      </c>
      <c r="AA159" s="24">
        <f t="shared" si="1187"/>
        <v>0</v>
      </c>
      <c r="AB159" s="24">
        <f t="shared" si="1188"/>
        <v>0</v>
      </c>
      <c r="AC159" s="24">
        <f t="shared" si="1189"/>
        <v>0</v>
      </c>
      <c r="AD159" s="24">
        <f t="shared" si="1190"/>
        <v>0</v>
      </c>
      <c r="AJ159" s="23">
        <f>+'QTR Raw'!E66</f>
        <v>0</v>
      </c>
      <c r="AL159" s="23">
        <f>+'QTR Raw'!G66</f>
        <v>5.71</v>
      </c>
      <c r="AN159" s="23">
        <f>+'QTR Raw'!I66</f>
        <v>18.11</v>
      </c>
      <c r="AP159" s="23">
        <f>+'QTR Raw'!K66</f>
        <v>24.67</v>
      </c>
      <c r="AR159" s="23">
        <f>+'QTR Raw'!M66</f>
        <v>37.44</v>
      </c>
      <c r="AT159" s="23">
        <f>+'QTR Raw'!O66</f>
        <v>40.72</v>
      </c>
      <c r="AV159" s="23">
        <f>+'QTR Raw'!Q66</f>
        <v>47.92</v>
      </c>
      <c r="AX159" s="23">
        <f>+'QTR Raw'!S66</f>
        <v>55.53</v>
      </c>
      <c r="AZ159" s="23">
        <f>+'QTR Raw'!U66</f>
        <v>52.08</v>
      </c>
      <c r="BB159" s="23">
        <f>+'QTR Raw'!W66</f>
        <v>49.69</v>
      </c>
      <c r="BD159" s="23">
        <f>+'QTR Raw'!Y66</f>
        <v>42.68</v>
      </c>
      <c r="BF159" s="23">
        <f>+'QTR Raw'!AA66</f>
        <v>42.68</v>
      </c>
      <c r="BH159" s="23">
        <f>+'QTR Raw'!AC66</f>
        <v>32.29</v>
      </c>
      <c r="BJ159" s="23">
        <f>+'QTR Raw'!AE66</f>
        <v>30</v>
      </c>
      <c r="BL159" s="23">
        <f>+'QTR Raw'!AG66</f>
        <v>44.97</v>
      </c>
      <c r="BN159" s="23">
        <f>+'QTR Raw'!AI66</f>
        <v>0</v>
      </c>
      <c r="BP159" s="23">
        <f>+'QTR Raw'!AK66</f>
        <v>0</v>
      </c>
      <c r="BR159" s="23">
        <f>+'QTR Raw'!AM66</f>
        <v>0</v>
      </c>
      <c r="BT159" s="23">
        <f>+'QTR Raw'!AO66</f>
        <v>0</v>
      </c>
      <c r="BV159" s="23">
        <f>+'QTR Raw'!AQ66</f>
        <v>0</v>
      </c>
      <c r="BX159" s="23">
        <f>+'QTR Raw'!AS66</f>
        <v>0</v>
      </c>
      <c r="BZ159" s="23">
        <f>+'QTR Raw'!AU66</f>
        <v>0</v>
      </c>
      <c r="CB159" s="23">
        <f>+'QTR Raw'!AW66</f>
        <v>5.63</v>
      </c>
      <c r="CD159" s="23">
        <f>+'QTR Raw'!AY66</f>
        <v>5.63</v>
      </c>
      <c r="CF159" s="23">
        <f>+'QTR Raw'!BA66</f>
        <v>5.13</v>
      </c>
      <c r="CH159" s="23">
        <f>+'QTR Raw'!BC66</f>
        <v>2.59</v>
      </c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B159" s="123"/>
      <c r="DC159" s="23">
        <v>0</v>
      </c>
    </row>
    <row r="160" spans="1:107" s="23" customFormat="1" outlineLevel="1" x14ac:dyDescent="0.2">
      <c r="A160" s="23" t="s">
        <v>69</v>
      </c>
      <c r="B160" s="23">
        <v>0</v>
      </c>
      <c r="C160" s="23">
        <v>0</v>
      </c>
      <c r="D160" s="23">
        <v>0</v>
      </c>
      <c r="E160" s="23">
        <v>0</v>
      </c>
      <c r="F160" s="23">
        <v>0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4">
        <f t="shared" si="1187"/>
        <v>2130.4877318418858</v>
      </c>
      <c r="AB160" s="24">
        <f t="shared" si="1188"/>
        <v>2685.5063589457577</v>
      </c>
      <c r="AC160" s="24">
        <f t="shared" si="1189"/>
        <v>3063.0097748634121</v>
      </c>
      <c r="AD160" s="24">
        <f t="shared" si="1190"/>
        <v>3600.3628746734212</v>
      </c>
      <c r="AI160" s="23">
        <f>AI18/90*AI192</f>
        <v>0</v>
      </c>
      <c r="AJ160" s="23">
        <f>+'QTR Raw'!E87</f>
        <v>3324.13</v>
      </c>
      <c r="AK160" s="23">
        <f>AK18/90*AK192</f>
        <v>3401.321410329062</v>
      </c>
      <c r="AL160" s="23">
        <f>+'QTR Raw'!G87</f>
        <v>0</v>
      </c>
      <c r="AM160" s="23">
        <f>AM18/90*AM192</f>
        <v>1549.0616040887419</v>
      </c>
      <c r="AN160" s="23">
        <f>+'QTR Raw'!I87</f>
        <v>0</v>
      </c>
      <c r="AO160" s="23">
        <f>AO18/90*AO192</f>
        <v>1384.3646625254671</v>
      </c>
      <c r="AP160" s="23">
        <f>+'QTR Raw'!K87</f>
        <v>0</v>
      </c>
      <c r="AQ160" s="23">
        <f>AQ18/90*AQ192</f>
        <v>1597.8372921445739</v>
      </c>
      <c r="AR160" s="23">
        <f>+'QTR Raw'!M87</f>
        <v>0</v>
      </c>
      <c r="AS160" s="23">
        <f>AS18/90*AS192</f>
        <v>1386.3596582395544</v>
      </c>
      <c r="AT160" s="23">
        <f>+'QTR Raw'!O87</f>
        <v>0</v>
      </c>
      <c r="AU160" s="23">
        <f>AU18/90*AU192</f>
        <v>1486.4978365309946</v>
      </c>
      <c r="AV160" s="23">
        <f>+'QTR Raw'!Q87</f>
        <v>0</v>
      </c>
      <c r="AW160" s="23">
        <f>AW18/90*AW192</f>
        <v>1315.2858106363412</v>
      </c>
      <c r="AX160" s="23">
        <f>+'QTR Raw'!S87</f>
        <v>0</v>
      </c>
      <c r="AY160" s="23">
        <f>AY18/90*AY192</f>
        <v>1374.9820978421014</v>
      </c>
      <c r="AZ160" s="23">
        <f>+'QTR Raw'!U87</f>
        <v>0</v>
      </c>
      <c r="BA160" s="23">
        <f>BA18/90*BA192</f>
        <v>1368.4322799629349</v>
      </c>
      <c r="BB160" s="23">
        <f>+'QTR Raw'!W87</f>
        <v>0</v>
      </c>
      <c r="BC160" s="23">
        <f>BC18/90*BC192</f>
        <v>1620.3939075461913</v>
      </c>
      <c r="BD160" s="23">
        <f>+'QTR Raw'!Y87</f>
        <v>0</v>
      </c>
      <c r="BE160" s="23">
        <f>BE18/90*BE192</f>
        <v>2350.4096319531832</v>
      </c>
      <c r="BF160" s="23">
        <f>+'QTR Raw'!AA87</f>
        <v>0</v>
      </c>
      <c r="BG160" s="23">
        <f>BG18/90*BG192</f>
        <v>2293.2632174675223</v>
      </c>
      <c r="BH160" s="23">
        <f>+'QTR Raw'!AC87</f>
        <v>0</v>
      </c>
      <c r="BI160" s="23">
        <f>BI18/90*BI192</f>
        <v>3004.5578847796901</v>
      </c>
      <c r="BJ160" s="23">
        <f>+'QTR Raw'!AE87</f>
        <v>0</v>
      </c>
      <c r="BK160" s="23">
        <f>BK18/90*BK192</f>
        <v>3366.2674657395341</v>
      </c>
      <c r="BL160" s="23">
        <f>+'QTR Raw'!AG87</f>
        <v>0</v>
      </c>
      <c r="BM160" s="23">
        <f>BM18/90*BM192</f>
        <v>1770.6279094674226</v>
      </c>
      <c r="BN160" s="23">
        <f>+'QTR Raw'!AI87</f>
        <v>0</v>
      </c>
      <c r="BO160" s="23">
        <f>BO18/90*BO192</f>
        <v>3640.1469980117263</v>
      </c>
      <c r="BP160" s="23">
        <f>+'QTR Raw'!AK87</f>
        <v>0</v>
      </c>
      <c r="BQ160" s="23">
        <f>BQ18/90*BQ192</f>
        <v>2168.0810502363652</v>
      </c>
      <c r="BR160" s="23">
        <f>+'QTR Raw'!AM87</f>
        <v>0</v>
      </c>
      <c r="BS160" s="23">
        <f>BS18/90*BS192</f>
        <v>2581.8704359420626</v>
      </c>
      <c r="BT160" s="23">
        <f>+'QTR Raw'!AO87</f>
        <v>0</v>
      </c>
      <c r="BU160" s="23">
        <f>BU18/90*BU192</f>
        <v>1941.7342255531767</v>
      </c>
      <c r="BV160" s="23">
        <f>+'QTR Raw'!AQ87</f>
        <v>0</v>
      </c>
      <c r="BW160" s="23">
        <f>BW18/90*BW192</f>
        <v>1841.7492624353499</v>
      </c>
      <c r="BX160" s="23">
        <f>+'QTR Raw'!AS87</f>
        <v>0</v>
      </c>
      <c r="BY160" s="23">
        <f>BY18/90*BY192</f>
        <v>1730.7903847279053</v>
      </c>
      <c r="BZ160" s="23">
        <f>+'QTR Raw'!AU87</f>
        <v>0</v>
      </c>
      <c r="CA160" s="23">
        <f>CA18/90*CA192</f>
        <v>2045.4295748276961</v>
      </c>
      <c r="CB160" s="23">
        <f>+'QTR Raw'!AW87</f>
        <v>0</v>
      </c>
      <c r="CC160" s="23">
        <f>CC18/90*CC192</f>
        <v>2175.5407648259834</v>
      </c>
      <c r="CD160" s="23">
        <f>+'QTR Raw'!AY87</f>
        <v>0</v>
      </c>
      <c r="CE160" s="23">
        <f>CE18/90*CE192</f>
        <v>2142.0505288145646</v>
      </c>
      <c r="CF160" s="23">
        <f>+'QTR Raw'!BA87</f>
        <v>0</v>
      </c>
      <c r="CG160" s="23">
        <f>CG18/90*CG192</f>
        <v>1894.5586843411297</v>
      </c>
      <c r="CH160" s="23">
        <f>+'QTR Raw'!BC87</f>
        <v>0</v>
      </c>
      <c r="CI160" s="23">
        <f>CI18/90*CI192</f>
        <v>2215.2372579548023</v>
      </c>
      <c r="CJ160" s="23">
        <f t="shared" ref="CJ160:CZ160" si="1191">CJ18/90*CJ192</f>
        <v>2380.0324639105129</v>
      </c>
      <c r="CK160" s="23">
        <f>CK18/90*CK192</f>
        <v>2130.4877318418858</v>
      </c>
      <c r="CL160" s="24">
        <f t="shared" si="1191"/>
        <v>2477.9731646843779</v>
      </c>
      <c r="CM160" s="24">
        <f t="shared" si="1191"/>
        <v>2521.561418314046</v>
      </c>
      <c r="CN160" s="24">
        <f t="shared" si="1191"/>
        <v>2562.8421142437073</v>
      </c>
      <c r="CO160" s="24">
        <f t="shared" si="1191"/>
        <v>2685.5063589457577</v>
      </c>
      <c r="CP160" s="24">
        <f t="shared" si="1191"/>
        <v>2952.4152325930113</v>
      </c>
      <c r="CQ160" s="24">
        <f t="shared" si="1191"/>
        <v>2907.5138212924685</v>
      </c>
      <c r="CR160" s="24">
        <f t="shared" si="1191"/>
        <v>2888.0663604848978</v>
      </c>
      <c r="CS160" s="24">
        <f t="shared" si="1191"/>
        <v>3063.0097748634121</v>
      </c>
      <c r="CT160" s="24">
        <f t="shared" si="1191"/>
        <v>3316.4667810854507</v>
      </c>
      <c r="CU160" s="24">
        <f t="shared" si="1191"/>
        <v>3254.8368932058816</v>
      </c>
      <c r="CV160" s="24">
        <f t="shared" si="1191"/>
        <v>3231.0383537761231</v>
      </c>
      <c r="CW160" s="24">
        <f t="shared" si="1191"/>
        <v>3600.3628746734212</v>
      </c>
      <c r="CX160" s="24">
        <f t="shared" si="1191"/>
        <v>3882.6362762127665</v>
      </c>
      <c r="CY160" s="24">
        <f t="shared" si="1191"/>
        <v>3831.3752830134863</v>
      </c>
      <c r="CZ160" s="24">
        <f t="shared" si="1191"/>
        <v>3838.082180915133</v>
      </c>
      <c r="DB160" s="123"/>
      <c r="DC160" s="23">
        <v>0</v>
      </c>
    </row>
    <row r="161" spans="1:107" s="23" customFormat="1" outlineLevel="1" x14ac:dyDescent="0.2">
      <c r="A161" s="23" t="s">
        <v>70</v>
      </c>
      <c r="B161" s="23">
        <f>'Annual Raw'!C54</f>
        <v>408.36430000000001</v>
      </c>
      <c r="C161" s="23">
        <f>'Annual Raw'!D54</f>
        <v>510.79559999999998</v>
      </c>
      <c r="D161" s="23">
        <f>'Annual Raw'!E54</f>
        <v>631.15660000000003</v>
      </c>
      <c r="E161" s="23">
        <f>'Annual Raw'!F54</f>
        <v>780.70730000000003</v>
      </c>
      <c r="F161" s="23">
        <f>'Annual Raw'!G54</f>
        <v>1103.8329000000001</v>
      </c>
      <c r="G161" s="23">
        <f>'Annual Raw'!H54</f>
        <v>1573.2615000000001</v>
      </c>
      <c r="H161" s="23">
        <f>'Annual Raw'!I54</f>
        <v>2172.3982000000001</v>
      </c>
      <c r="I161" s="23">
        <f>'Annual Raw'!J54</f>
        <v>2376.8620000000001</v>
      </c>
      <c r="J161" s="23">
        <f>'Annual Raw'!K54</f>
        <v>2061.6291999999999</v>
      </c>
      <c r="K161" s="23">
        <f>'Annual Raw'!L54</f>
        <v>2146.0524</v>
      </c>
      <c r="L161" s="23">
        <f>'Annual Raw'!M54</f>
        <v>1986.56</v>
      </c>
      <c r="M161" s="23">
        <f>'Annual Raw'!N54</f>
        <v>1929.26</v>
      </c>
      <c r="N161" s="23">
        <f>'Annual Raw'!O54</f>
        <v>2082.58</v>
      </c>
      <c r="O161" s="23">
        <f>'Annual Raw'!P54</f>
        <v>1928.42</v>
      </c>
      <c r="P161" s="23">
        <f>'Annual Raw'!Q54</f>
        <v>2101.96</v>
      </c>
      <c r="Q161" s="23">
        <f>'Annual Raw'!R54</f>
        <v>2157.3000000000002</v>
      </c>
      <c r="R161" s="23">
        <f>'Annual Raw'!S54</f>
        <v>2713.11</v>
      </c>
      <c r="S161" s="23">
        <f>'Annual Raw'!T54</f>
        <v>1874.51</v>
      </c>
      <c r="T161" s="23">
        <f>'Annual Raw'!U54</f>
        <v>1901.6</v>
      </c>
      <c r="U161" s="23">
        <f>'Annual Raw'!V54</f>
        <v>1720.74</v>
      </c>
      <c r="V161" s="23">
        <f>'Annual Raw'!W54</f>
        <v>2233.67</v>
      </c>
      <c r="W161" s="23">
        <f>'Annual Raw'!X54</f>
        <v>2636.76</v>
      </c>
      <c r="X161" s="23">
        <f>'Annual Raw'!Y54</f>
        <v>3109.08</v>
      </c>
      <c r="Y161" s="23">
        <f>'Annual Raw'!Z54</f>
        <v>3198.02</v>
      </c>
      <c r="Z161" s="23">
        <f>'Annual Raw'!AA54</f>
        <v>3455.65</v>
      </c>
      <c r="AA161" s="24">
        <f t="shared" si="1187"/>
        <v>3490.0784640238835</v>
      </c>
      <c r="AB161" s="24">
        <f t="shared" si="1188"/>
        <v>4399.2874346442713</v>
      </c>
      <c r="AC161" s="24">
        <f t="shared" si="1189"/>
        <v>5017.6981967896199</v>
      </c>
      <c r="AD161" s="24">
        <f t="shared" si="1190"/>
        <v>5897.9682181532407</v>
      </c>
      <c r="AI161" s="23">
        <f>+AI191*AI18/90</f>
        <v>0</v>
      </c>
      <c r="AJ161" s="23">
        <f>+'QTR Raw'!E89</f>
        <v>0</v>
      </c>
      <c r="AK161" s="23">
        <f>+AK191*AK18/90</f>
        <v>0</v>
      </c>
      <c r="AL161" s="23">
        <f>+'QTR Raw'!G89</f>
        <v>1827.53</v>
      </c>
      <c r="AM161" s="23">
        <f>+AM191*AM18/90</f>
        <v>1863.7956925448987</v>
      </c>
      <c r="AN161" s="23">
        <f>+'QTR Raw'!I89</f>
        <v>2082.58</v>
      </c>
      <c r="AO161" s="23">
        <f>+AO191*AO18/90</f>
        <v>1727.121968083417</v>
      </c>
      <c r="AP161" s="23">
        <f>+'QTR Raw'!K89</f>
        <v>1855.38</v>
      </c>
      <c r="AQ161" s="23">
        <f>+AQ191*AQ18/90</f>
        <v>1878.5852323041631</v>
      </c>
      <c r="AR161" s="23">
        <f>+'QTR Raw'!M89</f>
        <v>1928.42</v>
      </c>
      <c r="AS161" s="23">
        <f>+AS191*AS18/90</f>
        <v>1563.2762002492841</v>
      </c>
      <c r="AT161" s="23">
        <f>+'QTR Raw'!O89</f>
        <v>1987.66</v>
      </c>
      <c r="AU161" s="23">
        <f>+AU191*AU18/90</f>
        <v>2026.093595117052</v>
      </c>
      <c r="AV161" s="23">
        <f>+'QTR Raw'!Q89</f>
        <v>2101.96</v>
      </c>
      <c r="AW161" s="23">
        <f>+AW191*AW18/90</f>
        <v>1627.8900104368802</v>
      </c>
      <c r="AX161" s="23">
        <f>+'QTR Raw'!S89</f>
        <v>2015.06</v>
      </c>
      <c r="AY161" s="23">
        <f>+AY191*AY18/90</f>
        <v>1860.0727911635761</v>
      </c>
      <c r="AZ161" s="23">
        <f>+'QTR Raw'!U89</f>
        <v>2157.31</v>
      </c>
      <c r="BA161" s="23">
        <f>+BA191*BA18/90</f>
        <v>1748.0859803448877</v>
      </c>
      <c r="BB161" s="23">
        <f>+'QTR Raw'!W89</f>
        <v>2130.0100000000002</v>
      </c>
      <c r="BC161" s="23">
        <f>+BC191*BC18/90</f>
        <v>1727.8096241032761</v>
      </c>
      <c r="BD161" s="23">
        <f>+'QTR Raw'!Y89</f>
        <v>2713.11</v>
      </c>
      <c r="BE161" s="23">
        <f>+BE191*BE18/90</f>
        <v>2487.1855394879299</v>
      </c>
      <c r="BF161" s="23">
        <f>+'QTR Raw'!AA89</f>
        <v>3027.8</v>
      </c>
      <c r="BG161" s="23">
        <f>+BG191*BG18/90</f>
        <v>2711.3362605960192</v>
      </c>
      <c r="BH161" s="23">
        <f>+'QTR Raw'!AC89</f>
        <v>1874.51</v>
      </c>
      <c r="BI161" s="23">
        <f>+BI191*BI18/90</f>
        <v>1763.8594570059809</v>
      </c>
      <c r="BJ161" s="23">
        <f>+'QTR Raw'!AE89</f>
        <v>1735.57</v>
      </c>
      <c r="BK161" s="23">
        <f>+BK191*BK18/90</f>
        <v>1755.5530658554251</v>
      </c>
      <c r="BL161" s="23">
        <f>+'QTR Raw'!AG89</f>
        <v>1901.6</v>
      </c>
      <c r="BM161" s="23">
        <f>+BM191*BM18/90</f>
        <v>1481.9265479975222</v>
      </c>
      <c r="BN161" s="23">
        <f>+'QTR Raw'!AI89</f>
        <v>1544.19</v>
      </c>
      <c r="BO161" s="23">
        <f>+BO191*BO18/90</f>
        <v>2525.4080954168271</v>
      </c>
      <c r="BP161" s="23">
        <f>+'QTR Raw'!AK89</f>
        <v>1720.74</v>
      </c>
      <c r="BQ161" s="23">
        <f>+BQ191*BQ18/90</f>
        <v>1648.288747971495</v>
      </c>
      <c r="BR161" s="23">
        <f>+'QTR Raw'!AM89</f>
        <v>1775.39</v>
      </c>
      <c r="BS161" s="23">
        <f>+BS191*BS18/90</f>
        <v>2215.7364572338874</v>
      </c>
      <c r="BT161" s="23">
        <f>+'QTR Raw'!AO89</f>
        <v>1961.3</v>
      </c>
      <c r="BU161" s="23">
        <f>+BU191*BU18/90</f>
        <v>1843.1086928384489</v>
      </c>
      <c r="BV161" s="23">
        <f>+'QTR Raw'!AQ89</f>
        <v>2550.56</v>
      </c>
      <c r="BW161" s="23">
        <f>+BW191*BW18/90</f>
        <v>2577.1737990800102</v>
      </c>
      <c r="BX161" s="23">
        <f>+'QTR Raw'!AS89</f>
        <v>2636.76</v>
      </c>
      <c r="BY161" s="23">
        <f>+BY191*BY18/90</f>
        <v>2619.7024527485569</v>
      </c>
      <c r="BZ161" s="23">
        <f>+'QTR Raw'!AU89</f>
        <v>3113.9</v>
      </c>
      <c r="CA161" s="23">
        <f>+CA191*CA18/90</f>
        <v>3437.3266448220743</v>
      </c>
      <c r="CB161" s="23">
        <f>+'QTR Raw'!AW89</f>
        <v>3109.08</v>
      </c>
      <c r="CC161" s="23">
        <f>+CC191*CC18/90</f>
        <v>3473.1170988108747</v>
      </c>
      <c r="CD161" s="23">
        <f>+'QTR Raw'!AY89</f>
        <v>3279.61</v>
      </c>
      <c r="CE161" s="23">
        <f>+CE191*CE18/90</f>
        <v>3373.7977355291328</v>
      </c>
      <c r="CF161" s="23">
        <f>+'QTR Raw'!BA89</f>
        <v>3198.02</v>
      </c>
      <c r="CG161" s="23">
        <f>+CG191*CG18/90</f>
        <v>2860.7620549015878</v>
      </c>
      <c r="CH161" s="23">
        <f>+'QTR Raw'!BC89</f>
        <v>3480.63</v>
      </c>
      <c r="CI161" s="23">
        <f>+CI191*CI18/90</f>
        <v>3628.9116952611289</v>
      </c>
      <c r="CJ161" s="23">
        <f t="shared" ref="CJ161:CZ161" si="1192">+CJ191*CJ18/90</f>
        <v>3898.8725078414332</v>
      </c>
      <c r="CK161" s="23">
        <f>+CK191*CK18/90</f>
        <v>3490.0784640238835</v>
      </c>
      <c r="CL161" s="24">
        <f t="shared" si="1192"/>
        <v>4059.3149855959318</v>
      </c>
      <c r="CM161" s="24">
        <f t="shared" si="1192"/>
        <v>4130.7194921808141</v>
      </c>
      <c r="CN161" s="24">
        <f t="shared" si="1192"/>
        <v>4198.3438514722302</v>
      </c>
      <c r="CO161" s="24">
        <f t="shared" si="1192"/>
        <v>4399.2874346442713</v>
      </c>
      <c r="CP161" s="24">
        <f t="shared" si="1192"/>
        <v>4836.526709881874</v>
      </c>
      <c r="CQ161" s="24">
        <f t="shared" si="1192"/>
        <v>4762.9710417397155</v>
      </c>
      <c r="CR161" s="24">
        <f t="shared" si="1192"/>
        <v>4731.1130013811471</v>
      </c>
      <c r="CS161" s="24">
        <f t="shared" si="1192"/>
        <v>5017.6981967896199</v>
      </c>
      <c r="CT161" s="24">
        <f t="shared" si="1192"/>
        <v>5432.9011692126278</v>
      </c>
      <c r="CU161" s="24">
        <f t="shared" si="1192"/>
        <v>5331.9415902326846</v>
      </c>
      <c r="CV161" s="24">
        <f t="shared" si="1192"/>
        <v>5292.9557896117094</v>
      </c>
      <c r="CW161" s="24">
        <f t="shared" si="1192"/>
        <v>5897.9682181532407</v>
      </c>
      <c r="CX161" s="24">
        <f t="shared" si="1192"/>
        <v>6360.3770388919229</v>
      </c>
      <c r="CY161" s="24">
        <f t="shared" si="1192"/>
        <v>6276.4033620031032</v>
      </c>
      <c r="CZ161" s="24">
        <f t="shared" si="1192"/>
        <v>6287.3903297180996</v>
      </c>
      <c r="DB161" s="123"/>
      <c r="DC161" s="23">
        <v>0</v>
      </c>
    </row>
    <row r="162" spans="1:107" s="23" customFormat="1" outlineLevel="1" x14ac:dyDescent="0.2">
      <c r="A162" s="23" t="s">
        <v>71</v>
      </c>
      <c r="B162" s="23">
        <f>'Annual Raw'!C55-Template!B134</f>
        <v>36.823500000000003</v>
      </c>
      <c r="C162" s="23">
        <f>'Annual Raw'!D55-Template!C134</f>
        <v>49.653100000000002</v>
      </c>
      <c r="D162" s="23">
        <f>'Annual Raw'!E55-Template!D134</f>
        <v>115.8288</v>
      </c>
      <c r="E162" s="23">
        <f>'Annual Raw'!F55-Template!E134</f>
        <v>147.22069999999999</v>
      </c>
      <c r="F162" s="23">
        <f>'Annual Raw'!G55-Template!F134</f>
        <v>269.0412</v>
      </c>
      <c r="G162" s="23">
        <f>'Annual Raw'!H55-Template!G134</f>
        <v>363.07</v>
      </c>
      <c r="H162" s="23">
        <f>'Annual Raw'!I55-Template!H134</f>
        <v>661.23249999999996</v>
      </c>
      <c r="I162" s="23">
        <f>'Annual Raw'!J55-Template!I134</f>
        <v>785.03039999999999</v>
      </c>
      <c r="J162" s="23">
        <f>'Annual Raw'!K55-Template!J134</f>
        <v>925.30340000000001</v>
      </c>
      <c r="K162" s="23">
        <f>'Annual Raw'!L55-Template!K134</f>
        <v>1016.9953</v>
      </c>
      <c r="L162" s="23">
        <f>'Annual Raw'!M55-Template!L134</f>
        <v>1559</v>
      </c>
      <c r="M162" s="23">
        <f>'Annual Raw'!N55-Template!M134</f>
        <v>1394.87</v>
      </c>
      <c r="N162" s="23">
        <f>'Annual Raw'!O55-Template!N134</f>
        <v>1395.95</v>
      </c>
      <c r="O162" s="23">
        <f>'Annual Raw'!P55-Template!O134</f>
        <v>1297.7</v>
      </c>
      <c r="P162" s="23">
        <f>'Annual Raw'!Q55-Template!P134</f>
        <v>1267.7</v>
      </c>
      <c r="Q162" s="23">
        <f>'Annual Raw'!R55-Template!Q134</f>
        <v>1328.67</v>
      </c>
      <c r="R162" s="23">
        <f>'Annual Raw'!S55-Template!R134</f>
        <v>1598.6399999999999</v>
      </c>
      <c r="S162" s="23">
        <f>'Annual Raw'!T55-Template!S134</f>
        <v>796.25</v>
      </c>
      <c r="T162" s="23">
        <f>'Annual Raw'!U55-Template!T134</f>
        <v>1703.91</v>
      </c>
      <c r="U162" s="23">
        <f>'Annual Raw'!V55-Template!U134</f>
        <v>1873.46</v>
      </c>
      <c r="V162" s="23">
        <f>'Annual Raw'!W55-Template!V134</f>
        <v>1351.14</v>
      </c>
      <c r="W162" s="23">
        <f>'Annual Raw'!X55-Template!W134</f>
        <v>1288.22</v>
      </c>
      <c r="X162" s="23">
        <f>'Annual Raw'!Y55-Template!X134</f>
        <v>1417.56</v>
      </c>
      <c r="Y162" s="23">
        <f>'Annual Raw'!Z55-Template!Y134</f>
        <v>1504.77</v>
      </c>
      <c r="Z162" s="23">
        <f>'Annual Raw'!AA55-Template!Z134</f>
        <v>1685.2</v>
      </c>
      <c r="AA162" s="24">
        <f t="shared" si="1187"/>
        <v>0</v>
      </c>
      <c r="AB162" s="24">
        <f t="shared" si="1188"/>
        <v>0</v>
      </c>
      <c r="AC162" s="24">
        <f t="shared" si="1189"/>
        <v>0</v>
      </c>
      <c r="AD162" s="24">
        <f t="shared" si="1190"/>
        <v>0</v>
      </c>
      <c r="AJ162" s="23">
        <f>+'QTR Raw'!E91</f>
        <v>0</v>
      </c>
      <c r="AL162" s="23">
        <f>+'QTR Raw'!G91</f>
        <v>1341.73</v>
      </c>
      <c r="AN162" s="23">
        <f>+'QTR Raw'!I91</f>
        <v>1395.95</v>
      </c>
      <c r="AP162" s="23">
        <f>+'QTR Raw'!K91</f>
        <v>1370.31</v>
      </c>
      <c r="AR162" s="23">
        <f>+'QTR Raw'!M91</f>
        <v>1297.7</v>
      </c>
      <c r="AT162" s="23">
        <f>+'QTR Raw'!O91</f>
        <v>1181.06</v>
      </c>
      <c r="AV162" s="23">
        <f>+'QTR Raw'!Q91</f>
        <v>1267.7</v>
      </c>
      <c r="AX162" s="23">
        <f>+'QTR Raw'!S91</f>
        <v>1117.82</v>
      </c>
      <c r="AZ162" s="23">
        <f>+'QTR Raw'!U91</f>
        <v>1237.23</v>
      </c>
      <c r="BB162" s="23">
        <f>+'QTR Raw'!W91</f>
        <v>1655.94</v>
      </c>
      <c r="BD162" s="23">
        <f>+'QTR Raw'!Y91</f>
        <v>2202.85</v>
      </c>
      <c r="BF162" s="23">
        <f>+'QTR Raw'!AA91</f>
        <v>2201.9</v>
      </c>
      <c r="BH162" s="23">
        <f>+'QTR Raw'!AC91</f>
        <v>2923.88</v>
      </c>
      <c r="BJ162" s="23">
        <f>+'QTR Raw'!AE91</f>
        <v>3038.12</v>
      </c>
      <c r="BL162" s="23">
        <f>+'QTR Raw'!AG91</f>
        <v>2012.59</v>
      </c>
      <c r="BN162" s="23">
        <f>+'QTR Raw'!AI91</f>
        <v>1921.48</v>
      </c>
      <c r="BP162" s="23">
        <f>+'QTR Raw'!AK91</f>
        <v>1923.13</v>
      </c>
      <c r="BR162" s="23">
        <f>+'QTR Raw'!AM91</f>
        <v>1745.53</v>
      </c>
      <c r="BT162" s="23">
        <f>+'QTR Raw'!AO91</f>
        <v>1707.95</v>
      </c>
      <c r="BV162" s="23">
        <f>+'QTR Raw'!AQ91</f>
        <v>1452.85</v>
      </c>
      <c r="BX162" s="23">
        <f>+'QTR Raw'!AS91</f>
        <v>1330.4</v>
      </c>
      <c r="BZ162" s="23">
        <f>+'QTR Raw'!AU91</f>
        <v>1407.69</v>
      </c>
      <c r="CB162" s="23">
        <f>+'QTR Raw'!AW91</f>
        <v>1459.9</v>
      </c>
      <c r="CD162" s="23">
        <f>+'QTR Raw'!AY91</f>
        <v>1591.85</v>
      </c>
      <c r="CF162" s="23">
        <f>+'QTR Raw'!BA91</f>
        <v>1561.11</v>
      </c>
      <c r="CH162" s="23">
        <f>+'QTR Raw'!BC91</f>
        <v>1565.34</v>
      </c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B162" s="123"/>
      <c r="DC162" s="23">
        <v>0</v>
      </c>
    </row>
    <row r="163" spans="1:107" s="23" customFormat="1" outlineLevel="1" x14ac:dyDescent="0.2">
      <c r="A163" s="23" t="s">
        <v>72</v>
      </c>
      <c r="B163" s="23">
        <f>'Annual Raw'!C57</f>
        <v>27.058700000000002</v>
      </c>
      <c r="C163" s="23">
        <f>'Annual Raw'!D57</f>
        <v>30.3687</v>
      </c>
      <c r="D163" s="23">
        <f>'Annual Raw'!E57</f>
        <v>34.247100000000003</v>
      </c>
      <c r="E163" s="23">
        <f>'Annual Raw'!F57</f>
        <v>40.973700000000001</v>
      </c>
      <c r="F163" s="23">
        <f>'Annual Raw'!G57</f>
        <v>51.198900000000002</v>
      </c>
      <c r="G163" s="23">
        <f>'Annual Raw'!H57</f>
        <v>55.574800000000003</v>
      </c>
      <c r="H163" s="23">
        <f>'Annual Raw'!I57</f>
        <v>165.6807</v>
      </c>
      <c r="I163" s="23">
        <f>'Annual Raw'!J57</f>
        <v>159.62819999999999</v>
      </c>
      <c r="J163" s="23">
        <f>'Annual Raw'!K57</f>
        <v>145.04390000000001</v>
      </c>
      <c r="K163" s="23">
        <f>'Annual Raw'!L57</f>
        <v>184.64340000000001</v>
      </c>
      <c r="L163" s="23">
        <f>'Annual Raw'!M57</f>
        <v>227.95</v>
      </c>
      <c r="M163" s="23">
        <f>'Annual Raw'!N57</f>
        <v>241.36</v>
      </c>
      <c r="N163" s="23">
        <f>'Annual Raw'!O57</f>
        <v>2025.47</v>
      </c>
      <c r="O163" s="23">
        <f>'Annual Raw'!P57</f>
        <v>370.53</v>
      </c>
      <c r="P163" s="23">
        <f>'Annual Raw'!Q57</f>
        <v>378.4</v>
      </c>
      <c r="Q163" s="23">
        <f>'Annual Raw'!R57</f>
        <v>302.5</v>
      </c>
      <c r="R163" s="23">
        <f>'Annual Raw'!S57</f>
        <v>314.52</v>
      </c>
      <c r="S163" s="23">
        <f>'Annual Raw'!T57</f>
        <v>233.38</v>
      </c>
      <c r="T163" s="23">
        <f>'Annual Raw'!U57</f>
        <v>241.5</v>
      </c>
      <c r="U163" s="23">
        <f>'Annual Raw'!V57</f>
        <v>339.72</v>
      </c>
      <c r="V163" s="23">
        <f>'Annual Raw'!W57</f>
        <v>369.53</v>
      </c>
      <c r="W163" s="23">
        <f>'Annual Raw'!X57</f>
        <v>425.36</v>
      </c>
      <c r="X163" s="23">
        <f>'Annual Raw'!Y57</f>
        <v>487.52</v>
      </c>
      <c r="Y163" s="23">
        <f>'Annual Raw'!Z57</f>
        <v>571.16999999999996</v>
      </c>
      <c r="Z163" s="23">
        <f>'Annual Raw'!AA57</f>
        <v>592.6</v>
      </c>
      <c r="AA163" s="24">
        <f t="shared" si="1187"/>
        <v>0</v>
      </c>
      <c r="AB163" s="24">
        <f t="shared" si="1188"/>
        <v>0</v>
      </c>
      <c r="AC163" s="24">
        <f t="shared" si="1189"/>
        <v>0</v>
      </c>
      <c r="AD163" s="24">
        <f t="shared" si="1190"/>
        <v>0</v>
      </c>
      <c r="AJ163" s="23">
        <f>+'QTR Raw'!E92</f>
        <v>241.36</v>
      </c>
      <c r="AL163" s="23">
        <f>+'QTR Raw'!G92</f>
        <v>167.44</v>
      </c>
      <c r="AN163" s="23">
        <f>+'QTR Raw'!I92</f>
        <v>251.05</v>
      </c>
      <c r="AP163" s="23">
        <f>+'QTR Raw'!K92</f>
        <v>178.78</v>
      </c>
      <c r="AR163" s="23">
        <f>+'QTR Raw'!M92</f>
        <v>370.53</v>
      </c>
      <c r="AT163" s="23">
        <f>+'QTR Raw'!O92</f>
        <v>232.05</v>
      </c>
      <c r="AV163" s="23">
        <f>+'QTR Raw'!Q92</f>
        <v>378.4</v>
      </c>
      <c r="AX163" s="23">
        <f>+'QTR Raw'!S92</f>
        <v>311.85000000000002</v>
      </c>
      <c r="AZ163" s="23">
        <f>+'QTR Raw'!U92</f>
        <v>395.56</v>
      </c>
      <c r="BB163" s="23">
        <f>+'QTR Raw'!W92</f>
        <v>288.16000000000003</v>
      </c>
      <c r="BD163" s="23">
        <f>+'QTR Raw'!Y92</f>
        <v>314.52</v>
      </c>
      <c r="BF163" s="23">
        <f>+'QTR Raw'!AA92</f>
        <v>312.37</v>
      </c>
      <c r="BH163" s="23">
        <f>+'QTR Raw'!AC92</f>
        <v>233.38</v>
      </c>
      <c r="BJ163" s="23">
        <f>+'QTR Raw'!AE92</f>
        <v>256.26</v>
      </c>
      <c r="BL163" s="23">
        <f>+'QTR Raw'!AG92</f>
        <v>210.94</v>
      </c>
      <c r="BN163" s="23">
        <f>+'QTR Raw'!AI92</f>
        <v>289.89</v>
      </c>
      <c r="BP163" s="23">
        <f>+'QTR Raw'!AK92</f>
        <v>290.05</v>
      </c>
      <c r="BR163" s="23">
        <f>+'QTR Raw'!AM92</f>
        <v>283.05</v>
      </c>
      <c r="BT163" s="23">
        <f>+'QTR Raw'!AO92</f>
        <v>334.54</v>
      </c>
      <c r="BV163" s="23">
        <f>+'QTR Raw'!AQ92</f>
        <v>345.57</v>
      </c>
      <c r="BX163" s="23">
        <f>+'QTR Raw'!AS92</f>
        <v>383.18</v>
      </c>
      <c r="BZ163" s="23">
        <f>+'QTR Raw'!AU92</f>
        <v>423.98</v>
      </c>
      <c r="CB163" s="23">
        <f>+'QTR Raw'!AW92</f>
        <v>445.18</v>
      </c>
      <c r="CD163" s="23">
        <f>+'QTR Raw'!AY92</f>
        <v>462.8</v>
      </c>
      <c r="CF163" s="23">
        <f>+'QTR Raw'!BA92</f>
        <v>514.83000000000004</v>
      </c>
      <c r="CH163" s="23">
        <f>+'QTR Raw'!BC92</f>
        <v>498.28</v>
      </c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B163" s="123"/>
      <c r="DC163" s="23">
        <v>0</v>
      </c>
    </row>
    <row r="164" spans="1:107" s="22" customFormat="1" x14ac:dyDescent="0.2">
      <c r="A164" s="22" t="s">
        <v>73</v>
      </c>
      <c r="B164" s="22">
        <f>SUM(B157:B163)</f>
        <v>472.24650000000003</v>
      </c>
      <c r="C164" s="22">
        <f t="shared" ref="C164:V164" si="1193">SUM(C157:C163)</f>
        <v>590.81740000000002</v>
      </c>
      <c r="D164" s="22">
        <f t="shared" si="1193"/>
        <v>781.23250000000007</v>
      </c>
      <c r="E164" s="22">
        <f t="shared" si="1193"/>
        <v>968.90170000000001</v>
      </c>
      <c r="F164" s="22">
        <f t="shared" si="1193"/>
        <v>1424.0730000000001</v>
      </c>
      <c r="G164" s="22">
        <f t="shared" si="1193"/>
        <v>1991.9063000000001</v>
      </c>
      <c r="H164" s="22">
        <f t="shared" si="1193"/>
        <v>2999.3114</v>
      </c>
      <c r="I164" s="22">
        <f t="shared" si="1193"/>
        <v>3321.5206000000003</v>
      </c>
      <c r="J164" s="22">
        <f t="shared" si="1193"/>
        <v>3131.9765000000002</v>
      </c>
      <c r="K164" s="22">
        <f t="shared" si="1193"/>
        <v>3347.6911</v>
      </c>
      <c r="L164" s="22">
        <f t="shared" si="1193"/>
        <v>3782.5199999999995</v>
      </c>
      <c r="M164" s="22">
        <f t="shared" si="1193"/>
        <v>3575.0899999999997</v>
      </c>
      <c r="N164" s="22">
        <f t="shared" si="1193"/>
        <v>7300.7</v>
      </c>
      <c r="O164" s="22">
        <f t="shared" si="1193"/>
        <v>5426.8499999999995</v>
      </c>
      <c r="P164" s="22">
        <f t="shared" si="1193"/>
        <v>5763.07</v>
      </c>
      <c r="Q164" s="22">
        <f t="shared" si="1193"/>
        <v>3844.46</v>
      </c>
      <c r="R164" s="22">
        <f t="shared" si="1193"/>
        <v>4672.8099999999995</v>
      </c>
      <c r="S164" s="22">
        <f t="shared" si="1193"/>
        <v>5062.66</v>
      </c>
      <c r="T164" s="22">
        <f t="shared" si="1193"/>
        <v>4167.18</v>
      </c>
      <c r="U164" s="22">
        <f t="shared" si="1193"/>
        <v>3984.12</v>
      </c>
      <c r="V164" s="22">
        <f t="shared" si="1193"/>
        <v>4027.55</v>
      </c>
      <c r="W164" s="22">
        <f t="shared" ref="W164" si="1194">SUM(W157:W163)</f>
        <v>4378.82</v>
      </c>
      <c r="X164" s="22">
        <f t="shared" ref="X164:Y164" si="1195">SUM(X157:X163)</f>
        <v>5056.59</v>
      </c>
      <c r="Y164" s="22">
        <f t="shared" si="1195"/>
        <v>5315.93</v>
      </c>
      <c r="Z164" s="22">
        <f t="shared" ref="Z164" si="1196">SUM(Z157:Z163)</f>
        <v>5802.4900000000007</v>
      </c>
      <c r="AA164" s="21">
        <f t="shared" ref="AA164:AD164" si="1197">SUM(AA157:AA163)</f>
        <v>5620.5661958657693</v>
      </c>
      <c r="AB164" s="21">
        <f t="shared" si="1197"/>
        <v>7084.7937935900291</v>
      </c>
      <c r="AC164" s="21">
        <f t="shared" si="1197"/>
        <v>8080.7079716530316</v>
      </c>
      <c r="AD164" s="21">
        <f t="shared" si="1197"/>
        <v>9498.3310928266619</v>
      </c>
      <c r="AI164" s="22">
        <f t="shared" ref="AI164" si="1198">SUM(AI157:AI163)</f>
        <v>0</v>
      </c>
      <c r="AJ164" s="22">
        <f t="shared" ref="AJ164:AK164" si="1199">SUM(AJ157:AJ163)</f>
        <v>3575.09</v>
      </c>
      <c r="AK164" s="22">
        <f t="shared" si="1199"/>
        <v>3401.321410329062</v>
      </c>
      <c r="AL164" s="22">
        <f t="shared" ref="AL164:AM164" si="1200">SUM(AL157:AL163)</f>
        <v>3346.4500000000003</v>
      </c>
      <c r="AM164" s="22">
        <f t="shared" si="1200"/>
        <v>3412.8572966336405</v>
      </c>
      <c r="AN164" s="22">
        <f t="shared" ref="AN164:AO164" si="1201">SUM(AN157:AN163)</f>
        <v>3751.8600000000006</v>
      </c>
      <c r="AO164" s="22">
        <f t="shared" si="1201"/>
        <v>3111.4866306088843</v>
      </c>
      <c r="AP164" s="22">
        <f t="shared" ref="AP164:CE164" si="1202">SUM(AP157:AP163)</f>
        <v>3433.48</v>
      </c>
      <c r="AQ164" s="22">
        <f t="shared" si="1202"/>
        <v>3476.422524448737</v>
      </c>
      <c r="AR164" s="22">
        <f t="shared" si="1202"/>
        <v>3638.6000000000004</v>
      </c>
      <c r="AS164" s="22">
        <f t="shared" si="1202"/>
        <v>2949.6358584888385</v>
      </c>
      <c r="AT164" s="22">
        <f t="shared" si="1202"/>
        <v>3445.96</v>
      </c>
      <c r="AU164" s="22">
        <f t="shared" si="1202"/>
        <v>3512.5914316480466</v>
      </c>
      <c r="AV164" s="22">
        <f t="shared" si="1202"/>
        <v>3800.28</v>
      </c>
      <c r="AW164" s="22">
        <f t="shared" si="1202"/>
        <v>2943.1758210732214</v>
      </c>
      <c r="AX164" s="22">
        <f t="shared" si="1202"/>
        <v>3504.61</v>
      </c>
      <c r="AY164" s="22">
        <f t="shared" si="1202"/>
        <v>3235.0548890056775</v>
      </c>
      <c r="AZ164" s="22">
        <f t="shared" si="1202"/>
        <v>3846.0899999999997</v>
      </c>
      <c r="BA164" s="22">
        <f t="shared" si="1202"/>
        <v>3116.5182603078229</v>
      </c>
      <c r="BB164" s="22">
        <f t="shared" si="1202"/>
        <v>4127.6000000000004</v>
      </c>
      <c r="BC164" s="22">
        <f t="shared" si="1202"/>
        <v>3348.2035316494675</v>
      </c>
      <c r="BD164" s="22">
        <f t="shared" si="1202"/>
        <v>5277.02</v>
      </c>
      <c r="BE164" s="22">
        <f t="shared" si="1202"/>
        <v>4837.5951714411131</v>
      </c>
      <c r="BF164" s="22">
        <f t="shared" si="1202"/>
        <v>5588.7300000000005</v>
      </c>
      <c r="BG164" s="22">
        <f t="shared" si="1202"/>
        <v>5004.599478063541</v>
      </c>
      <c r="BH164" s="22">
        <f t="shared" ref="BH164:BI164" si="1203">SUM(BH157:BH163)</f>
        <v>5067.55</v>
      </c>
      <c r="BI164" s="22">
        <f t="shared" si="1203"/>
        <v>4768.4173417856709</v>
      </c>
      <c r="BJ164" s="22">
        <f t="shared" si="1202"/>
        <v>5063.5200000000004</v>
      </c>
      <c r="BK164" s="22">
        <f t="shared" si="1202"/>
        <v>5121.820531594959</v>
      </c>
      <c r="BL164" s="22">
        <f t="shared" si="1202"/>
        <v>4173.66</v>
      </c>
      <c r="BM164" s="22">
        <f t="shared" si="1202"/>
        <v>3252.5544574649448</v>
      </c>
      <c r="BN164" s="22">
        <f t="shared" si="1202"/>
        <v>3770</v>
      </c>
      <c r="BO164" s="22">
        <f t="shared" si="1202"/>
        <v>6165.5550934285529</v>
      </c>
      <c r="BP164" s="22">
        <f t="shared" si="1202"/>
        <v>3984.1200000000003</v>
      </c>
      <c r="BQ164" s="22">
        <f t="shared" si="1202"/>
        <v>3816.3697982078602</v>
      </c>
      <c r="BR164" s="22">
        <f t="shared" si="1202"/>
        <v>3844.1500000000005</v>
      </c>
      <c r="BS164" s="22">
        <f t="shared" si="1202"/>
        <v>4797.6068931759501</v>
      </c>
      <c r="BT164" s="22">
        <f t="shared" si="1202"/>
        <v>4027.55</v>
      </c>
      <c r="BU164" s="22">
        <f t="shared" si="1202"/>
        <v>3784.8429183916255</v>
      </c>
      <c r="BV164" s="22">
        <f t="shared" si="1202"/>
        <v>4373.29</v>
      </c>
      <c r="BW164" s="22">
        <f t="shared" si="1202"/>
        <v>4418.9230615153601</v>
      </c>
      <c r="BX164" s="22">
        <f t="shared" si="1202"/>
        <v>4378.8200000000006</v>
      </c>
      <c r="BY164" s="22">
        <f t="shared" si="1202"/>
        <v>4350.4928374764622</v>
      </c>
      <c r="BZ164" s="22">
        <f t="shared" si="1202"/>
        <v>4966.8700000000008</v>
      </c>
      <c r="CA164" s="22">
        <f t="shared" si="1202"/>
        <v>5482.7562196497702</v>
      </c>
      <c r="CB164" s="22">
        <f t="shared" si="1202"/>
        <v>5056.59</v>
      </c>
      <c r="CC164" s="22">
        <f t="shared" si="1202"/>
        <v>5648.6578636368577</v>
      </c>
      <c r="CD164" s="22">
        <f t="shared" si="1202"/>
        <v>5361.86</v>
      </c>
      <c r="CE164" s="22">
        <f t="shared" si="1202"/>
        <v>5515.8482643436973</v>
      </c>
      <c r="CF164" s="22">
        <f t="shared" ref="CF164:CG164" si="1204">SUM(CF157:CF163)</f>
        <v>5315.9299999999994</v>
      </c>
      <c r="CG164" s="22">
        <f t="shared" si="1204"/>
        <v>4755.3207392427175</v>
      </c>
      <c r="CH164" s="22">
        <f t="shared" ref="CH164" si="1205">SUM(CH157:CH163)</f>
        <v>5605.3499999999995</v>
      </c>
      <c r="CI164" s="22">
        <f t="shared" ref="CI164:CK164" si="1206">SUM(CI157:CI163)</f>
        <v>5844.1489532159312</v>
      </c>
      <c r="CJ164" s="22">
        <f t="shared" ref="CJ164:CZ164" si="1207">SUM(CJ157:CJ163)</f>
        <v>6278.9049717519465</v>
      </c>
      <c r="CK164" s="22">
        <f t="shared" si="1206"/>
        <v>5620.5661958657693</v>
      </c>
      <c r="CL164" s="21">
        <f t="shared" si="1207"/>
        <v>6537.2881502803102</v>
      </c>
      <c r="CM164" s="21">
        <f t="shared" si="1207"/>
        <v>6652.2809104948601</v>
      </c>
      <c r="CN164" s="21">
        <f t="shared" si="1207"/>
        <v>6761.1859657159375</v>
      </c>
      <c r="CO164" s="21">
        <f t="shared" si="1207"/>
        <v>7084.7937935900291</v>
      </c>
      <c r="CP164" s="21">
        <f t="shared" si="1207"/>
        <v>7788.9419424748849</v>
      </c>
      <c r="CQ164" s="21">
        <f t="shared" si="1207"/>
        <v>7670.484863032184</v>
      </c>
      <c r="CR164" s="21">
        <f t="shared" si="1207"/>
        <v>7619.1793618660449</v>
      </c>
      <c r="CS164" s="21">
        <f t="shared" si="1207"/>
        <v>8080.7079716530316</v>
      </c>
      <c r="CT164" s="21">
        <f t="shared" si="1207"/>
        <v>8749.3679502980776</v>
      </c>
      <c r="CU164" s="21">
        <f t="shared" si="1207"/>
        <v>8586.7784834385657</v>
      </c>
      <c r="CV164" s="21">
        <f t="shared" si="1207"/>
        <v>8523.9941433878321</v>
      </c>
      <c r="CW164" s="21">
        <f t="shared" si="1207"/>
        <v>9498.3310928266619</v>
      </c>
      <c r="CX164" s="21">
        <f t="shared" si="1207"/>
        <v>10243.01331510469</v>
      </c>
      <c r="CY164" s="21">
        <f t="shared" si="1207"/>
        <v>10107.77864501659</v>
      </c>
      <c r="CZ164" s="21">
        <f t="shared" si="1207"/>
        <v>10125.472510633233</v>
      </c>
      <c r="DB164" s="126"/>
      <c r="DC164" s="22">
        <v>0</v>
      </c>
    </row>
    <row r="165" spans="1:107" s="22" customFormat="1" x14ac:dyDescent="0.2">
      <c r="A165" s="22" t="s">
        <v>74</v>
      </c>
      <c r="B165" s="22">
        <f>B156-B164</f>
        <v>159.77429999999987</v>
      </c>
      <c r="C165" s="22">
        <f t="shared" ref="C165:V165" si="1208">C156-C164</f>
        <v>83.344699999999989</v>
      </c>
      <c r="D165" s="22">
        <f t="shared" si="1208"/>
        <v>47.255999999999972</v>
      </c>
      <c r="E165" s="22">
        <f t="shared" si="1208"/>
        <v>20.729900000000043</v>
      </c>
      <c r="F165" s="22">
        <f t="shared" si="1208"/>
        <v>162.0809999999999</v>
      </c>
      <c r="G165" s="22">
        <f t="shared" si="1208"/>
        <v>258.32380000000012</v>
      </c>
      <c r="H165" s="22">
        <f t="shared" si="1208"/>
        <v>468.52390000000014</v>
      </c>
      <c r="I165" s="22">
        <f t="shared" si="1208"/>
        <v>1030.0741000000003</v>
      </c>
      <c r="J165" s="22">
        <f t="shared" si="1208"/>
        <v>1093.1482000000001</v>
      </c>
      <c r="K165" s="22">
        <f t="shared" si="1208"/>
        <v>991.40550000000076</v>
      </c>
      <c r="L165" s="22">
        <f t="shared" si="1208"/>
        <v>967.94000000000051</v>
      </c>
      <c r="M165" s="22">
        <f t="shared" si="1208"/>
        <v>1460.0499999999997</v>
      </c>
      <c r="N165" s="22">
        <f t="shared" si="1208"/>
        <v>1497.6099999999997</v>
      </c>
      <c r="O165" s="22">
        <f t="shared" si="1208"/>
        <v>1493.920000000001</v>
      </c>
      <c r="P165" s="22">
        <f t="shared" si="1208"/>
        <v>1626.9099999999999</v>
      </c>
      <c r="Q165" s="22">
        <f t="shared" si="1208"/>
        <v>1228.2000000000007</v>
      </c>
      <c r="R165" s="22">
        <f t="shared" si="1208"/>
        <v>1000.5200000000004</v>
      </c>
      <c r="S165" s="22">
        <f t="shared" si="1208"/>
        <v>1447.8400000000001</v>
      </c>
      <c r="T165" s="22">
        <f t="shared" si="1208"/>
        <v>1024.4900000000007</v>
      </c>
      <c r="U165" s="22">
        <f t="shared" si="1208"/>
        <v>424.93000000000029</v>
      </c>
      <c r="V165" s="22">
        <f t="shared" si="1208"/>
        <v>345.22999999999956</v>
      </c>
      <c r="W165" s="22">
        <f t="shared" ref="W165" si="1209">W156-W164</f>
        <v>238.92000000000007</v>
      </c>
      <c r="X165" s="22">
        <f t="shared" ref="X165:Y165" si="1210">X156-X164</f>
        <v>-29.699999999999818</v>
      </c>
      <c r="Y165" s="22">
        <f t="shared" si="1210"/>
        <v>310.90999999999985</v>
      </c>
      <c r="Z165" s="22">
        <f t="shared" ref="Z165" si="1211">Z156-Z164</f>
        <v>631.91999999999916</v>
      </c>
      <c r="AA165" s="21">
        <f t="shared" ref="AA165:AD165" si="1212">AA156-AA164</f>
        <v>723.7092513163534</v>
      </c>
      <c r="AB165" s="21">
        <f t="shared" si="1212"/>
        <v>912.24453790104326</v>
      </c>
      <c r="AC165" s="21">
        <f t="shared" si="1212"/>
        <v>1040.47935963688</v>
      </c>
      <c r="AD165" s="21">
        <f t="shared" si="1212"/>
        <v>1223.0138111353699</v>
      </c>
      <c r="AI165" s="22">
        <f t="shared" ref="AI165" si="1213">AI156-AI164</f>
        <v>0</v>
      </c>
      <c r="AJ165" s="22">
        <f t="shared" ref="AJ165:AK165" si="1214">AJ156-AJ164</f>
        <v>1460.0500000000002</v>
      </c>
      <c r="AK165" s="22">
        <f t="shared" si="1214"/>
        <v>1389.0837224100505</v>
      </c>
      <c r="AL165" s="22">
        <f t="shared" ref="AL165:AM165" si="1215">AL156-AL164</f>
        <v>1843.7599999999998</v>
      </c>
      <c r="AM165" s="22">
        <f t="shared" si="1215"/>
        <v>1880.347762327614</v>
      </c>
      <c r="AN165" s="22">
        <f t="shared" ref="AN165:AO165" si="1216">AN156-AN164</f>
        <v>1497.6099999999988</v>
      </c>
      <c r="AO165" s="22">
        <f t="shared" si="1216"/>
        <v>1241.9955682957698</v>
      </c>
      <c r="AP165" s="22">
        <f t="shared" ref="AP165:CE165" si="1217">AP156-AP164</f>
        <v>1887.4599999999996</v>
      </c>
      <c r="AQ165" s="22">
        <f t="shared" si="1217"/>
        <v>1911.0664567715594</v>
      </c>
      <c r="AR165" s="22">
        <f t="shared" si="1217"/>
        <v>1493.92</v>
      </c>
      <c r="AS165" s="22">
        <f t="shared" si="1217"/>
        <v>1211.0482058246707</v>
      </c>
      <c r="AT165" s="22">
        <f t="shared" si="1217"/>
        <v>1956.2499999999991</v>
      </c>
      <c r="AU165" s="22">
        <f t="shared" si="1217"/>
        <v>1994.0762481751044</v>
      </c>
      <c r="AV165" s="22">
        <f t="shared" si="1217"/>
        <v>1626.9099999999994</v>
      </c>
      <c r="AW165" s="22">
        <f t="shared" si="1217"/>
        <v>1259.981415859419</v>
      </c>
      <c r="AX165" s="22">
        <f t="shared" si="1217"/>
        <v>1662.3600000000001</v>
      </c>
      <c r="AY165" s="22">
        <f t="shared" si="1217"/>
        <v>1534.5005136912464</v>
      </c>
      <c r="AZ165" s="22">
        <f t="shared" si="1217"/>
        <v>1276.2999999999997</v>
      </c>
      <c r="BA165" s="22">
        <f t="shared" si="1217"/>
        <v>1034.1963541235054</v>
      </c>
      <c r="BB165" s="22">
        <f t="shared" si="1217"/>
        <v>922.61999999999989</v>
      </c>
      <c r="BC165" s="22">
        <f t="shared" si="1217"/>
        <v>748.40574240973638</v>
      </c>
      <c r="BD165" s="22">
        <f t="shared" si="1217"/>
        <v>396.30999999999949</v>
      </c>
      <c r="BE165" s="22">
        <f t="shared" si="1217"/>
        <v>363.30871256766477</v>
      </c>
      <c r="BF165" s="22">
        <f t="shared" si="1217"/>
        <v>631.65999999999894</v>
      </c>
      <c r="BG165" s="22">
        <f t="shared" si="1217"/>
        <v>565.63929664049101</v>
      </c>
      <c r="BH165" s="22">
        <f t="shared" ref="BH165:BI165" si="1218">BH156-BH164</f>
        <v>1442.9499999999998</v>
      </c>
      <c r="BI165" s="22">
        <f t="shared" si="1218"/>
        <v>1357.7740334736973</v>
      </c>
      <c r="BJ165" s="22">
        <f t="shared" si="1217"/>
        <v>1905.2800000000007</v>
      </c>
      <c r="BK165" s="22">
        <f t="shared" si="1217"/>
        <v>1927.2170787193982</v>
      </c>
      <c r="BL165" s="22">
        <f t="shared" si="1217"/>
        <v>1018.0100000000002</v>
      </c>
      <c r="BM165" s="22">
        <f t="shared" si="1217"/>
        <v>793.34036870370073</v>
      </c>
      <c r="BN165" s="22">
        <f t="shared" si="1217"/>
        <v>1147.5900000000001</v>
      </c>
      <c r="BO165" s="22">
        <f t="shared" si="1217"/>
        <v>1876.7982412911606</v>
      </c>
      <c r="BP165" s="22">
        <f t="shared" si="1217"/>
        <v>499.2199999999998</v>
      </c>
      <c r="BQ165" s="22">
        <f t="shared" si="1217"/>
        <v>478.2004886050936</v>
      </c>
      <c r="BR165" s="22">
        <f t="shared" si="1217"/>
        <v>436.89999999999964</v>
      </c>
      <c r="BS165" s="22">
        <f t="shared" si="1217"/>
        <v>545.26343967549838</v>
      </c>
      <c r="BT165" s="22">
        <f t="shared" si="1217"/>
        <v>415.1899999999996</v>
      </c>
      <c r="BU165" s="22">
        <f t="shared" si="1217"/>
        <v>390.16993737806251</v>
      </c>
      <c r="BV165" s="22">
        <f t="shared" si="1217"/>
        <v>361.3100000000004</v>
      </c>
      <c r="BW165" s="22">
        <f t="shared" si="1217"/>
        <v>365.08008646948201</v>
      </c>
      <c r="BX165" s="22">
        <f t="shared" si="1217"/>
        <v>280.08999999999833</v>
      </c>
      <c r="BY165" s="22">
        <f t="shared" si="1217"/>
        <v>278.27806094993048</v>
      </c>
      <c r="BZ165" s="22">
        <f t="shared" si="1217"/>
        <v>175.51999999999953</v>
      </c>
      <c r="CA165" s="22">
        <f t="shared" si="1217"/>
        <v>193.75046491511239</v>
      </c>
      <c r="CB165" s="22">
        <f t="shared" si="1217"/>
        <v>26.289999999999054</v>
      </c>
      <c r="CC165" s="22">
        <f t="shared" si="1217"/>
        <v>29.36825315776241</v>
      </c>
      <c r="CD165" s="22">
        <f t="shared" si="1217"/>
        <v>207.63000000000102</v>
      </c>
      <c r="CE165" s="22">
        <f t="shared" si="1217"/>
        <v>213.59296496471234</v>
      </c>
      <c r="CF165" s="22">
        <f t="shared" ref="CF165:CG165" si="1219">CF156-CF164</f>
        <v>369.89000000000124</v>
      </c>
      <c r="CG165" s="22">
        <f t="shared" si="1219"/>
        <v>330.88200714427967</v>
      </c>
      <c r="CH165" s="22">
        <f t="shared" ref="CH165" si="1220">CH156-CH164</f>
        <v>721.75000000000091</v>
      </c>
      <c r="CI165" s="22">
        <f t="shared" ref="CI165:CK165" si="1221">CI156-CI164</f>
        <v>752.49797193459926</v>
      </c>
      <c r="CJ165" s="22">
        <f t="shared" ref="CJ165:CZ165" si="1222">CJ156-CJ164</f>
        <v>808.47755507898182</v>
      </c>
      <c r="CK165" s="22">
        <f t="shared" si="1221"/>
        <v>723.7092513163534</v>
      </c>
      <c r="CL165" s="21">
        <f t="shared" si="1222"/>
        <v>841.74720980220991</v>
      </c>
      <c r="CM165" s="21">
        <f t="shared" si="1222"/>
        <v>856.55378293053491</v>
      </c>
      <c r="CN165" s="21">
        <f t="shared" si="1222"/>
        <v>870.57649758810476</v>
      </c>
      <c r="CO165" s="21">
        <f t="shared" si="1222"/>
        <v>912.24453790104326</v>
      </c>
      <c r="CP165" s="21">
        <f t="shared" si="1222"/>
        <v>1002.9112984882759</v>
      </c>
      <c r="CQ165" s="21">
        <f t="shared" si="1222"/>
        <v>987.65865644312817</v>
      </c>
      <c r="CR165" s="21">
        <f t="shared" si="1222"/>
        <v>981.05251312171822</v>
      </c>
      <c r="CS165" s="21">
        <f t="shared" si="1222"/>
        <v>1040.47935963688</v>
      </c>
      <c r="CT165" s="21">
        <f t="shared" si="1222"/>
        <v>1126.5766309200408</v>
      </c>
      <c r="CU165" s="21">
        <f t="shared" si="1222"/>
        <v>1105.6414622497796</v>
      </c>
      <c r="CV165" s="21">
        <f t="shared" si="1222"/>
        <v>1097.5572931199986</v>
      </c>
      <c r="CW165" s="21">
        <f t="shared" si="1222"/>
        <v>1223.0138111353699</v>
      </c>
      <c r="CX165" s="21">
        <f t="shared" si="1222"/>
        <v>1318.899776138298</v>
      </c>
      <c r="CY165" s="21">
        <f t="shared" si="1222"/>
        <v>1301.4868361548761</v>
      </c>
      <c r="CZ165" s="21">
        <f t="shared" si="1222"/>
        <v>1303.7651144976735</v>
      </c>
      <c r="DB165" s="126"/>
      <c r="DC165" s="22">
        <v>0</v>
      </c>
    </row>
    <row r="166" spans="1:107" s="23" customFormat="1" x14ac:dyDescent="0.2">
      <c r="AA166" s="24"/>
      <c r="AB166" s="24"/>
      <c r="AC166" s="24"/>
      <c r="AD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B166" s="123"/>
    </row>
    <row r="167" spans="1:107" s="23" customFormat="1" outlineLevel="1" x14ac:dyDescent="0.2">
      <c r="A167" s="23" t="s">
        <v>75</v>
      </c>
      <c r="B167" s="23">
        <f>'Annual Raw'!C75</f>
        <v>0</v>
      </c>
      <c r="C167" s="23">
        <f>'Annual Raw'!D75</f>
        <v>0</v>
      </c>
      <c r="D167" s="23">
        <f>'Annual Raw'!E75</f>
        <v>0</v>
      </c>
      <c r="E167" s="23">
        <f>'Annual Raw'!F75</f>
        <v>0</v>
      </c>
      <c r="F167" s="23">
        <f>'Annual Raw'!G75</f>
        <v>0</v>
      </c>
      <c r="G167" s="23">
        <f>'Annual Raw'!H75</f>
        <v>0</v>
      </c>
      <c r="H167" s="23">
        <f>'Annual Raw'!I75</f>
        <v>0</v>
      </c>
      <c r="I167" s="23">
        <f>'Annual Raw'!J75</f>
        <v>0</v>
      </c>
      <c r="J167" s="23">
        <f>'Annual Raw'!K75</f>
        <v>0</v>
      </c>
      <c r="K167" s="23">
        <f>'Annual Raw'!L75</f>
        <v>0</v>
      </c>
      <c r="L167" s="23">
        <f>'Annual Raw'!M75</f>
        <v>0.08</v>
      </c>
      <c r="M167" s="23">
        <f>'Annual Raw'!N75</f>
        <v>0.08</v>
      </c>
      <c r="N167" s="23">
        <f>'Annual Raw'!O75</f>
        <v>0.08</v>
      </c>
      <c r="O167" s="23">
        <f>'Annual Raw'!P75</f>
        <v>0.08</v>
      </c>
      <c r="P167" s="23">
        <f>'Annual Raw'!Q75</f>
        <v>0.08</v>
      </c>
      <c r="Q167" s="23">
        <f>'Annual Raw'!R75</f>
        <v>0.08</v>
      </c>
      <c r="R167" s="23">
        <f>'Annual Raw'!S75</f>
        <v>270.45</v>
      </c>
      <c r="S167" s="23">
        <f>'Annual Raw'!T75</f>
        <v>0.08</v>
      </c>
      <c r="T167" s="23">
        <f>'Annual Raw'!U75</f>
        <v>0.08</v>
      </c>
      <c r="U167" s="23">
        <f>'Annual Raw'!V75</f>
        <v>0.08</v>
      </c>
      <c r="V167" s="23">
        <f>'Annual Raw'!W75</f>
        <v>0</v>
      </c>
      <c r="W167" s="23">
        <f>'Annual Raw'!X75</f>
        <v>493.15</v>
      </c>
      <c r="X167" s="23">
        <f>'Annual Raw'!Y75</f>
        <v>0</v>
      </c>
      <c r="Y167" s="23">
        <f>'Annual Raw'!Z75</f>
        <v>0</v>
      </c>
      <c r="Z167" s="23">
        <f>'Annual Raw'!AA75</f>
        <v>0</v>
      </c>
      <c r="AA167" s="24">
        <f t="shared" ref="AA167:AA168" si="1223">+CK167</f>
        <v>0</v>
      </c>
      <c r="AB167" s="24">
        <f t="shared" ref="AB167:AB168" si="1224">+CO167</f>
        <v>0</v>
      </c>
      <c r="AC167" s="24">
        <f t="shared" ref="AC167:AC168" si="1225">+CS167</f>
        <v>0</v>
      </c>
      <c r="AD167" s="24">
        <f t="shared" ref="AD167:AD168" si="1226">+CW167</f>
        <v>0</v>
      </c>
      <c r="AJ167" s="23">
        <f>+'QTR Raw'!E80</f>
        <v>0.08</v>
      </c>
      <c r="AL167" s="23">
        <f>+'QTR Raw'!G80</f>
        <v>0.08</v>
      </c>
      <c r="AN167" s="23">
        <f>+'QTR Raw'!I80</f>
        <v>0.08</v>
      </c>
      <c r="AP167" s="23">
        <f>+'QTR Raw'!K80</f>
        <v>0.08</v>
      </c>
      <c r="AR167" s="23">
        <f>+'QTR Raw'!M80</f>
        <v>0.08</v>
      </c>
      <c r="AT167" s="23">
        <f>+'QTR Raw'!O80</f>
        <v>0.08</v>
      </c>
      <c r="AV167" s="23">
        <f>+'QTR Raw'!Q80</f>
        <v>0.08</v>
      </c>
      <c r="AX167" s="23">
        <f>+'QTR Raw'!S80</f>
        <v>0.08</v>
      </c>
      <c r="AZ167" s="23">
        <f>+'QTR Raw'!U80</f>
        <v>0.08</v>
      </c>
      <c r="BB167" s="23">
        <f>+'QTR Raw'!W80</f>
        <v>250.08</v>
      </c>
      <c r="BD167" s="23">
        <f>+'QTR Raw'!Y80</f>
        <v>270.45</v>
      </c>
      <c r="BF167" s="23">
        <f>+'QTR Raw'!AA80</f>
        <v>263.38</v>
      </c>
      <c r="BH167" s="23">
        <f>+'QTR Raw'!AC80</f>
        <v>0.08</v>
      </c>
      <c r="BJ167" s="23">
        <f>+'QTR Raw'!AE80</f>
        <v>0.08</v>
      </c>
      <c r="BL167" s="23">
        <f>+'QTR Raw'!AG80</f>
        <v>0.08</v>
      </c>
      <c r="BN167" s="23">
        <f>+'QTR Raw'!AI80</f>
        <v>0.08</v>
      </c>
      <c r="BP167" s="23">
        <f>+'QTR Raw'!AK80</f>
        <v>0.08</v>
      </c>
      <c r="BR167" s="23">
        <f>+'QTR Raw'!AM80</f>
        <v>0.08</v>
      </c>
      <c r="BT167" s="23">
        <f>+'QTR Raw'!AO80</f>
        <v>0</v>
      </c>
      <c r="BV167" s="23">
        <f>+'QTR Raw'!AQ80</f>
        <v>975.04</v>
      </c>
      <c r="BX167" s="23">
        <f>+'QTR Raw'!AS80</f>
        <v>493.15</v>
      </c>
      <c r="BZ167" s="23">
        <f>+'QTR Raw'!AU80</f>
        <v>0</v>
      </c>
      <c r="CB167" s="23">
        <f>+'QTR Raw'!AW80</f>
        <v>0</v>
      </c>
      <c r="CD167" s="23">
        <f>+'QTR Raw'!AY80</f>
        <v>0</v>
      </c>
      <c r="CF167" s="23">
        <f>+'QTR Raw'!BA80</f>
        <v>0</v>
      </c>
      <c r="CH167" s="23">
        <f>+'QTR Raw'!BC80</f>
        <v>0</v>
      </c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B167" s="123"/>
      <c r="DC167" s="23">
        <v>0</v>
      </c>
    </row>
    <row r="168" spans="1:107" s="23" customFormat="1" outlineLevel="1" x14ac:dyDescent="0.2">
      <c r="A168" s="23" t="s">
        <v>76</v>
      </c>
      <c r="B168" s="23">
        <f>'Annual Raw'!C78</f>
        <v>142.5155</v>
      </c>
      <c r="C168" s="23">
        <f>'Annual Raw'!D78</f>
        <v>280.66210000000001</v>
      </c>
      <c r="D168" s="23">
        <f>'Annual Raw'!E78</f>
        <v>353.03160000000003</v>
      </c>
      <c r="E168" s="23">
        <f>'Annual Raw'!F78</f>
        <v>416.7509</v>
      </c>
      <c r="F168" s="23">
        <f>'Annual Raw'!G78</f>
        <v>400.96539999999999</v>
      </c>
      <c r="G168" s="23">
        <f>'Annual Raw'!H78</f>
        <v>546.44240000000002</v>
      </c>
      <c r="H168" s="23">
        <f>'Annual Raw'!I78</f>
        <v>642.86360000000002</v>
      </c>
      <c r="I168" s="23">
        <f>'Annual Raw'!J78</f>
        <v>348.23129999999998</v>
      </c>
      <c r="J168" s="23">
        <f>'Annual Raw'!K78</f>
        <v>524.14049999999997</v>
      </c>
      <c r="K168" s="23">
        <f>'Annual Raw'!L78</f>
        <v>587.125</v>
      </c>
      <c r="L168" s="23">
        <f>'Annual Raw'!M78</f>
        <v>259.95</v>
      </c>
      <c r="M168" s="23">
        <f>'Annual Raw'!N78</f>
        <v>86.84</v>
      </c>
      <c r="N168" s="23">
        <f>'Annual Raw'!O78</f>
        <v>316.58</v>
      </c>
      <c r="O168" s="23">
        <f>'Annual Raw'!P78</f>
        <v>225.96</v>
      </c>
      <c r="P168" s="23">
        <f>'Annual Raw'!Q78</f>
        <v>573.59</v>
      </c>
      <c r="Q168" s="23">
        <f>'Annual Raw'!R78</f>
        <v>1189.1600000000001</v>
      </c>
      <c r="R168" s="23">
        <f>'Annual Raw'!S78</f>
        <v>1491.66</v>
      </c>
      <c r="S168" s="23">
        <f>'Annual Raw'!T78</f>
        <v>1475.07</v>
      </c>
      <c r="T168" s="23">
        <f>'Annual Raw'!U78</f>
        <v>1597.57</v>
      </c>
      <c r="U168" s="23">
        <f>'Annual Raw'!V78</f>
        <v>2206.5700000000002</v>
      </c>
      <c r="V168" s="23">
        <f>'Annual Raw'!W78</f>
        <v>2712.19</v>
      </c>
      <c r="W168" s="23">
        <f>'Annual Raw'!X78</f>
        <v>3149.08</v>
      </c>
      <c r="X168" s="23">
        <f>'Annual Raw'!Y78</f>
        <v>4816.17</v>
      </c>
      <c r="Y168" s="23">
        <f>'Annual Raw'!Z78</f>
        <v>5507.82</v>
      </c>
      <c r="Z168" s="23">
        <f>'Annual Raw'!AA78</f>
        <v>5834.87</v>
      </c>
      <c r="AA168" s="24">
        <f t="shared" si="1223"/>
        <v>8003.9907486836455</v>
      </c>
      <c r="AB168" s="24">
        <f t="shared" si="1224"/>
        <v>9732.3478428063518</v>
      </c>
      <c r="AC168" s="24">
        <f t="shared" si="1225"/>
        <v>11929.410463433405</v>
      </c>
      <c r="AD168" s="24">
        <f t="shared" si="1226"/>
        <v>14335.472623103236</v>
      </c>
      <c r="AI168" s="23">
        <f t="shared" ref="AI168" si="1227">+AI218</f>
        <v>45.399999999999764</v>
      </c>
      <c r="AJ168" s="23">
        <f>+'QTR Raw'!E83</f>
        <v>86.84</v>
      </c>
      <c r="AK168" s="23">
        <f t="shared" ref="AK168" si="1228">+AK218</f>
        <v>225.5762775899496</v>
      </c>
      <c r="AL168" s="23">
        <f>+'QTR Raw'!G83</f>
        <v>165.14</v>
      </c>
      <c r="AM168" s="23">
        <f t="shared" ref="AM168" si="1229">+AM218</f>
        <v>192.39223767238599</v>
      </c>
      <c r="AN168" s="23">
        <f>+'QTR Raw'!I83</f>
        <v>316.58</v>
      </c>
      <c r="AO168" s="23">
        <f t="shared" ref="AO168" si="1230">+AO218</f>
        <v>651.36443170422899</v>
      </c>
      <c r="AP168" s="23">
        <f>+'QTR Raw'!K83</f>
        <v>238.22</v>
      </c>
      <c r="AQ168" s="23">
        <f t="shared" ref="AQ168" si="1231">+AQ218</f>
        <v>288.01354322844008</v>
      </c>
      <c r="AR168" s="23">
        <f>+'QTR Raw'!M83</f>
        <v>225.96</v>
      </c>
      <c r="AS168" s="23">
        <f t="shared" ref="AS168" si="1232">+AS218</f>
        <v>605.4317941753294</v>
      </c>
      <c r="AT168" s="23">
        <f>+'QTR Raw'!O83</f>
        <v>229.46</v>
      </c>
      <c r="AU168" s="23">
        <f t="shared" ref="AU168" si="1233">+AU218</f>
        <v>286.3537518248948</v>
      </c>
      <c r="AV168" s="23">
        <f>+'QTR Raw'!Q83</f>
        <v>573.59</v>
      </c>
      <c r="AW168" s="23">
        <f t="shared" ref="AW168" si="1234">+AW218</f>
        <v>1061.9185841405804</v>
      </c>
      <c r="AX168" s="23">
        <f>+'QTR Raw'!S83</f>
        <v>720.49</v>
      </c>
      <c r="AY168" s="23">
        <f t="shared" ref="AY168" si="1235">+AY218</f>
        <v>959.53948630875334</v>
      </c>
      <c r="AZ168" s="23">
        <f>+'QTR Raw'!U83</f>
        <v>1189.1600000000001</v>
      </c>
      <c r="BA168" s="23">
        <f t="shared" ref="BA168" si="1236">+BA218</f>
        <v>1558.9336458764944</v>
      </c>
      <c r="BB168" s="23">
        <f>+'QTR Raw'!W83</f>
        <v>1335.45</v>
      </c>
      <c r="BC168" s="23">
        <f t="shared" ref="BC168" si="1237">+BC218</f>
        <v>1881.984257590263</v>
      </c>
      <c r="BD168" s="23">
        <f>+'QTR Raw'!Y83</f>
        <v>1491.66</v>
      </c>
      <c r="BE168" s="23">
        <f t="shared" ref="BE168" si="1238">+BE218</f>
        <v>1920.1412874323348</v>
      </c>
      <c r="BF168" s="23">
        <f>+'QTR Raw'!AA83</f>
        <v>1329.32</v>
      </c>
      <c r="BG168" s="23">
        <f t="shared" ref="BG168" si="1239">+BG218</f>
        <v>1790.6507033595078</v>
      </c>
      <c r="BH168" s="23">
        <f>+'QTR Raw'!AC83</f>
        <v>1475.07</v>
      </c>
      <c r="BI168" s="23">
        <f t="shared" ref="BI168" si="1240">+BI218</f>
        <v>1699.8259665263026</v>
      </c>
      <c r="BJ168" s="23">
        <f>+'QTR Raw'!AE83</f>
        <v>1314.57</v>
      </c>
      <c r="BK168" s="23">
        <f t="shared" ref="BK168" si="1241">+BK218</f>
        <v>1450.6529212806022</v>
      </c>
      <c r="BL168" s="23">
        <f>+'QTR Raw'!AG83</f>
        <v>1597.57</v>
      </c>
      <c r="BM168" s="23">
        <f t="shared" ref="BM168" si="1242">+BM218</f>
        <v>1914.0296312962994</v>
      </c>
      <c r="BN168" s="23">
        <f>+'QTR Raw'!AI83</f>
        <v>1511.41</v>
      </c>
      <c r="BO168" s="23">
        <f t="shared" ref="BO168" si="1243">+BO218</f>
        <v>887.76175870883947</v>
      </c>
      <c r="BP168" s="23">
        <f>+'QTR Raw'!AK83</f>
        <v>2206.5700000000002</v>
      </c>
      <c r="BQ168" s="23">
        <f t="shared" ref="BQ168" si="1244">+BQ218</f>
        <v>2394.2595113949064</v>
      </c>
      <c r="BR168" s="23">
        <f>+'QTR Raw'!AM83</f>
        <v>2364.35</v>
      </c>
      <c r="BS168" s="23">
        <f t="shared" ref="BS168" si="1245">+BS218</f>
        <v>2404.7365603245012</v>
      </c>
      <c r="BT168" s="23">
        <f>+'QTR Raw'!AO83</f>
        <v>2687.74</v>
      </c>
      <c r="BU168" s="23">
        <f t="shared" ref="BU168" si="1246">+BU218</f>
        <v>2818.3400626219363</v>
      </c>
      <c r="BV168" s="23">
        <f>+'QTR Raw'!AQ83</f>
        <v>1853.68</v>
      </c>
      <c r="BW168" s="23">
        <f t="shared" ref="BW168" si="1247">+BW218</f>
        <v>3049.3799135305185</v>
      </c>
      <c r="BX168" s="23">
        <f>+'QTR Raw'!AS83</f>
        <v>3149.08</v>
      </c>
      <c r="BY168" s="23">
        <f t="shared" ref="BY168" si="1248">+BY218</f>
        <v>3916.4119390500673</v>
      </c>
      <c r="BZ168" s="23">
        <f>+'QTR Raw'!AU83</f>
        <v>4150.34</v>
      </c>
      <c r="CA168" s="23">
        <f t="shared" ref="CA168" si="1249">+CA218</f>
        <v>4525.2695350848871</v>
      </c>
      <c r="CB168" s="23">
        <f>+'QTR Raw'!AW83</f>
        <v>4816.17</v>
      </c>
      <c r="CC168" s="23">
        <f t="shared" ref="CC168" si="1250">+CC218</f>
        <v>5303.8017468422368</v>
      </c>
      <c r="CD168" s="23">
        <f>+'QTR Raw'!AY83</f>
        <v>5009.29</v>
      </c>
      <c r="CE168" s="23">
        <f t="shared" ref="CE168" si="1251">+CE218</f>
        <v>5476.6070350352893</v>
      </c>
      <c r="CF168" s="23">
        <f>+'QTR Raw'!BA83</f>
        <v>5507.82</v>
      </c>
      <c r="CG168" s="23">
        <f t="shared" ref="CG168" si="1252">+CG218</f>
        <v>6055.0379928557213</v>
      </c>
      <c r="CH168" s="23">
        <f>+'QTR Raw'!BC83</f>
        <v>5261.82</v>
      </c>
      <c r="CI168" s="23">
        <f t="shared" ref="CI168:CK168" si="1253">+CI218</f>
        <v>5676.7020280654015</v>
      </c>
      <c r="CJ168" s="23">
        <f t="shared" ref="CJ168:CZ168" si="1254">+CJ218</f>
        <v>6093.2124449210187</v>
      </c>
      <c r="CK168" s="23">
        <f t="shared" si="1253"/>
        <v>8003.9907486836455</v>
      </c>
      <c r="CL168" s="24">
        <f t="shared" si="1254"/>
        <v>8338.8240967701549</v>
      </c>
      <c r="CM168" s="24">
        <f t="shared" si="1254"/>
        <v>8798.0228952769248</v>
      </c>
      <c r="CN168" s="24">
        <f t="shared" si="1254"/>
        <v>9266.1011791750807</v>
      </c>
      <c r="CO168" s="24">
        <f t="shared" si="1254"/>
        <v>9732.3478428063518</v>
      </c>
      <c r="CP168" s="24">
        <f t="shared" si="1254"/>
        <v>10214.735614818488</v>
      </c>
      <c r="CQ168" s="24">
        <f t="shared" si="1254"/>
        <v>10806.753475216403</v>
      </c>
      <c r="CR168" s="24">
        <f t="shared" si="1254"/>
        <v>11397.733453520719</v>
      </c>
      <c r="CS168" s="24">
        <f t="shared" si="1254"/>
        <v>11929.410463433405</v>
      </c>
      <c r="CT168" s="24">
        <f t="shared" si="1254"/>
        <v>12481.158323535516</v>
      </c>
      <c r="CU168" s="24">
        <f t="shared" si="1254"/>
        <v>13130.6581235176</v>
      </c>
      <c r="CV168" s="24">
        <f t="shared" si="1254"/>
        <v>13762.281178096629</v>
      </c>
      <c r="CW168" s="24">
        <f t="shared" si="1254"/>
        <v>14335.472623103236</v>
      </c>
      <c r="CX168" s="24">
        <f t="shared" si="1254"/>
        <v>14988.602767247681</v>
      </c>
      <c r="CY168" s="24">
        <f t="shared" si="1254"/>
        <v>15751.97558723976</v>
      </c>
      <c r="CZ168" s="24">
        <f t="shared" si="1254"/>
        <v>16504.19828137369</v>
      </c>
      <c r="DB168" s="123"/>
      <c r="DC168" s="23">
        <v>0</v>
      </c>
    </row>
    <row r="169" spans="1:107" s="22" customFormat="1" x14ac:dyDescent="0.2">
      <c r="A169" s="22" t="s">
        <v>77</v>
      </c>
      <c r="B169" s="22">
        <f>B167+B168</f>
        <v>142.5155</v>
      </c>
      <c r="C169" s="22">
        <f t="shared" ref="C169:V169" si="1255">C167+C168</f>
        <v>280.66210000000001</v>
      </c>
      <c r="D169" s="22">
        <f t="shared" si="1255"/>
        <v>353.03160000000003</v>
      </c>
      <c r="E169" s="22">
        <f t="shared" si="1255"/>
        <v>416.7509</v>
      </c>
      <c r="F169" s="22">
        <f t="shared" si="1255"/>
        <v>400.96539999999999</v>
      </c>
      <c r="G169" s="22">
        <f t="shared" si="1255"/>
        <v>546.44240000000002</v>
      </c>
      <c r="H169" s="22">
        <f t="shared" si="1255"/>
        <v>642.86360000000002</v>
      </c>
      <c r="I169" s="22">
        <f t="shared" si="1255"/>
        <v>348.23129999999998</v>
      </c>
      <c r="J169" s="22">
        <f t="shared" si="1255"/>
        <v>524.14049999999997</v>
      </c>
      <c r="K169" s="22">
        <f t="shared" si="1255"/>
        <v>587.125</v>
      </c>
      <c r="L169" s="22">
        <f t="shared" si="1255"/>
        <v>260.02999999999997</v>
      </c>
      <c r="M169" s="22">
        <f t="shared" si="1255"/>
        <v>86.92</v>
      </c>
      <c r="N169" s="22">
        <f t="shared" si="1255"/>
        <v>316.65999999999997</v>
      </c>
      <c r="O169" s="22">
        <f t="shared" si="1255"/>
        <v>226.04000000000002</v>
      </c>
      <c r="P169" s="22">
        <f t="shared" si="1255"/>
        <v>573.67000000000007</v>
      </c>
      <c r="Q169" s="22">
        <f t="shared" si="1255"/>
        <v>1189.24</v>
      </c>
      <c r="R169" s="22">
        <f t="shared" si="1255"/>
        <v>1762.1100000000001</v>
      </c>
      <c r="S169" s="22">
        <f t="shared" si="1255"/>
        <v>1475.1499999999999</v>
      </c>
      <c r="T169" s="22">
        <f t="shared" si="1255"/>
        <v>1597.6499999999999</v>
      </c>
      <c r="U169" s="22">
        <f t="shared" si="1255"/>
        <v>2206.65</v>
      </c>
      <c r="V169" s="22">
        <f t="shared" si="1255"/>
        <v>2712.19</v>
      </c>
      <c r="W169" s="22">
        <f t="shared" ref="W169" si="1256">W167+W168</f>
        <v>3642.23</v>
      </c>
      <c r="X169" s="22">
        <f t="shared" ref="X169:Y169" si="1257">X167+X168</f>
        <v>4816.17</v>
      </c>
      <c r="Y169" s="22">
        <f t="shared" si="1257"/>
        <v>5507.82</v>
      </c>
      <c r="Z169" s="22">
        <f t="shared" ref="Z169" si="1258">Z167+Z168</f>
        <v>5834.87</v>
      </c>
      <c r="AA169" s="21">
        <f t="shared" ref="AA169:AD169" si="1259">AA167+AA168</f>
        <v>8003.9907486836455</v>
      </c>
      <c r="AB169" s="21">
        <f t="shared" si="1259"/>
        <v>9732.3478428063518</v>
      </c>
      <c r="AC169" s="21">
        <f t="shared" si="1259"/>
        <v>11929.410463433405</v>
      </c>
      <c r="AD169" s="21">
        <f t="shared" si="1259"/>
        <v>14335.472623103236</v>
      </c>
      <c r="AI169" s="22">
        <f t="shared" ref="AI169" si="1260">AI167+AI168</f>
        <v>45.399999999999764</v>
      </c>
      <c r="AJ169" s="22">
        <f t="shared" ref="AJ169:AK169" si="1261">AJ167+AJ168</f>
        <v>86.92</v>
      </c>
      <c r="AK169" s="22">
        <f t="shared" si="1261"/>
        <v>225.5762775899496</v>
      </c>
      <c r="AL169" s="22">
        <f t="shared" ref="AL169:AM169" si="1262">AL167+AL168</f>
        <v>165.22</v>
      </c>
      <c r="AM169" s="22">
        <f t="shared" si="1262"/>
        <v>192.39223767238599</v>
      </c>
      <c r="AN169" s="22">
        <f t="shared" ref="AN169:AO169" si="1263">AN167+AN168</f>
        <v>316.65999999999997</v>
      </c>
      <c r="AO169" s="22">
        <f t="shared" si="1263"/>
        <v>651.36443170422899</v>
      </c>
      <c r="AP169" s="22">
        <f t="shared" ref="AP169:CE169" si="1264">AP167+AP168</f>
        <v>238.3</v>
      </c>
      <c r="AQ169" s="22">
        <f t="shared" si="1264"/>
        <v>288.01354322844008</v>
      </c>
      <c r="AR169" s="22">
        <f t="shared" si="1264"/>
        <v>226.04000000000002</v>
      </c>
      <c r="AS169" s="22">
        <f t="shared" si="1264"/>
        <v>605.4317941753294</v>
      </c>
      <c r="AT169" s="22">
        <f t="shared" si="1264"/>
        <v>229.54000000000002</v>
      </c>
      <c r="AU169" s="22">
        <f t="shared" si="1264"/>
        <v>286.3537518248948</v>
      </c>
      <c r="AV169" s="22">
        <f t="shared" si="1264"/>
        <v>573.67000000000007</v>
      </c>
      <c r="AW169" s="22">
        <f t="shared" si="1264"/>
        <v>1061.9185841405804</v>
      </c>
      <c r="AX169" s="22">
        <f t="shared" si="1264"/>
        <v>720.57</v>
      </c>
      <c r="AY169" s="22">
        <f t="shared" si="1264"/>
        <v>959.53948630875334</v>
      </c>
      <c r="AZ169" s="22">
        <f t="shared" si="1264"/>
        <v>1189.24</v>
      </c>
      <c r="BA169" s="22">
        <f t="shared" si="1264"/>
        <v>1558.9336458764944</v>
      </c>
      <c r="BB169" s="22">
        <f t="shared" si="1264"/>
        <v>1585.53</v>
      </c>
      <c r="BC169" s="22">
        <f t="shared" si="1264"/>
        <v>1881.984257590263</v>
      </c>
      <c r="BD169" s="22">
        <f t="shared" si="1264"/>
        <v>1762.1100000000001</v>
      </c>
      <c r="BE169" s="22">
        <f t="shared" si="1264"/>
        <v>1920.1412874323348</v>
      </c>
      <c r="BF169" s="22">
        <f t="shared" si="1264"/>
        <v>1592.6999999999998</v>
      </c>
      <c r="BG169" s="22">
        <f t="shared" si="1264"/>
        <v>1790.6507033595078</v>
      </c>
      <c r="BH169" s="22">
        <f t="shared" si="1264"/>
        <v>1475.1499999999999</v>
      </c>
      <c r="BI169" s="22">
        <f t="shared" si="1264"/>
        <v>1699.8259665263026</v>
      </c>
      <c r="BJ169" s="22">
        <f t="shared" si="1264"/>
        <v>1314.6499999999999</v>
      </c>
      <c r="BK169" s="22">
        <f t="shared" si="1264"/>
        <v>1450.6529212806022</v>
      </c>
      <c r="BL169" s="22">
        <f t="shared" si="1264"/>
        <v>1597.6499999999999</v>
      </c>
      <c r="BM169" s="22">
        <f t="shared" si="1264"/>
        <v>1914.0296312962994</v>
      </c>
      <c r="BN169" s="22">
        <f t="shared" si="1264"/>
        <v>1511.49</v>
      </c>
      <c r="BO169" s="22">
        <f t="shared" si="1264"/>
        <v>887.76175870883947</v>
      </c>
      <c r="BP169" s="22">
        <f t="shared" si="1264"/>
        <v>2206.65</v>
      </c>
      <c r="BQ169" s="22">
        <f t="shared" si="1264"/>
        <v>2394.2595113949064</v>
      </c>
      <c r="BR169" s="22">
        <f t="shared" si="1264"/>
        <v>2364.4299999999998</v>
      </c>
      <c r="BS169" s="22">
        <f t="shared" si="1264"/>
        <v>2404.7365603245012</v>
      </c>
      <c r="BT169" s="22">
        <f t="shared" si="1264"/>
        <v>2687.74</v>
      </c>
      <c r="BU169" s="22">
        <f t="shared" si="1264"/>
        <v>2818.3400626219363</v>
      </c>
      <c r="BV169" s="22">
        <f t="shared" si="1264"/>
        <v>2828.7200000000003</v>
      </c>
      <c r="BW169" s="22">
        <f t="shared" si="1264"/>
        <v>3049.3799135305185</v>
      </c>
      <c r="BX169" s="22">
        <f t="shared" si="1264"/>
        <v>3642.23</v>
      </c>
      <c r="BY169" s="22">
        <f t="shared" si="1264"/>
        <v>3916.4119390500673</v>
      </c>
      <c r="BZ169" s="22">
        <f t="shared" si="1264"/>
        <v>4150.34</v>
      </c>
      <c r="CA169" s="22">
        <f t="shared" si="1264"/>
        <v>4525.2695350848871</v>
      </c>
      <c r="CB169" s="22">
        <f t="shared" si="1264"/>
        <v>4816.17</v>
      </c>
      <c r="CC169" s="22">
        <f t="shared" si="1264"/>
        <v>5303.8017468422368</v>
      </c>
      <c r="CD169" s="22">
        <f t="shared" si="1264"/>
        <v>5009.29</v>
      </c>
      <c r="CE169" s="22">
        <f t="shared" si="1264"/>
        <v>5476.6070350352893</v>
      </c>
      <c r="CF169" s="22">
        <f t="shared" ref="CF169:CG169" si="1265">CF167+CF168</f>
        <v>5507.82</v>
      </c>
      <c r="CG169" s="22">
        <f t="shared" si="1265"/>
        <v>6055.0379928557213</v>
      </c>
      <c r="CH169" s="22">
        <f t="shared" ref="CH169" si="1266">CH167+CH168</f>
        <v>5261.82</v>
      </c>
      <c r="CI169" s="22">
        <f t="shared" ref="CI169:CK169" si="1267">CI167+CI168</f>
        <v>5676.7020280654015</v>
      </c>
      <c r="CJ169" s="22">
        <f t="shared" ref="CJ169:CZ169" si="1268">CJ167+CJ168</f>
        <v>6093.2124449210187</v>
      </c>
      <c r="CK169" s="22">
        <f t="shared" si="1267"/>
        <v>8003.9907486836455</v>
      </c>
      <c r="CL169" s="21">
        <f t="shared" si="1268"/>
        <v>8338.8240967701549</v>
      </c>
      <c r="CM169" s="21">
        <f t="shared" si="1268"/>
        <v>8798.0228952769248</v>
      </c>
      <c r="CN169" s="21">
        <f t="shared" si="1268"/>
        <v>9266.1011791750807</v>
      </c>
      <c r="CO169" s="21">
        <f t="shared" si="1268"/>
        <v>9732.3478428063518</v>
      </c>
      <c r="CP169" s="21">
        <f t="shared" si="1268"/>
        <v>10214.735614818488</v>
      </c>
      <c r="CQ169" s="21">
        <f t="shared" si="1268"/>
        <v>10806.753475216403</v>
      </c>
      <c r="CR169" s="21">
        <f t="shared" si="1268"/>
        <v>11397.733453520719</v>
      </c>
      <c r="CS169" s="21">
        <f t="shared" si="1268"/>
        <v>11929.410463433405</v>
      </c>
      <c r="CT169" s="21">
        <f t="shared" si="1268"/>
        <v>12481.158323535516</v>
      </c>
      <c r="CU169" s="21">
        <f t="shared" si="1268"/>
        <v>13130.6581235176</v>
      </c>
      <c r="CV169" s="21">
        <f t="shared" si="1268"/>
        <v>13762.281178096629</v>
      </c>
      <c r="CW169" s="21">
        <f t="shared" si="1268"/>
        <v>14335.472623103236</v>
      </c>
      <c r="CX169" s="21">
        <f t="shared" si="1268"/>
        <v>14988.602767247681</v>
      </c>
      <c r="CY169" s="21">
        <f t="shared" si="1268"/>
        <v>15751.97558723976</v>
      </c>
      <c r="CZ169" s="21">
        <f t="shared" si="1268"/>
        <v>16504.19828137369</v>
      </c>
      <c r="DB169" s="126"/>
      <c r="DC169" s="22">
        <v>0</v>
      </c>
    </row>
    <row r="170" spans="1:107" s="23" customFormat="1" x14ac:dyDescent="0.2">
      <c r="AA170" s="24"/>
      <c r="AB170" s="24"/>
      <c r="AC170" s="24"/>
      <c r="AD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B170" s="123"/>
    </row>
    <row r="171" spans="1:107" s="23" customFormat="1" x14ac:dyDescent="0.2">
      <c r="A171" s="23" t="s">
        <v>78</v>
      </c>
      <c r="B171" s="23">
        <f>-'Annual Raw'!C49</f>
        <v>-13.9071</v>
      </c>
      <c r="C171" s="23">
        <f>-'Annual Raw'!D49</f>
        <v>-15.027100000000001</v>
      </c>
      <c r="D171" s="23">
        <f>-'Annual Raw'!E49</f>
        <v>-14.6271</v>
      </c>
      <c r="E171" s="23">
        <f>-'Annual Raw'!F49</f>
        <v>-13.2271</v>
      </c>
      <c r="F171" s="23">
        <f>-'Annual Raw'!G49</f>
        <v>-8.4270999999999994</v>
      </c>
      <c r="G171" s="23">
        <f>-'Annual Raw'!H49</f>
        <v>-16.527100000000001</v>
      </c>
      <c r="H171" s="23">
        <f>-'Annual Raw'!I49</f>
        <v>-12.8034</v>
      </c>
      <c r="I171" s="23">
        <f>-'Annual Raw'!J49</f>
        <v>-3.8033999999999999</v>
      </c>
      <c r="J171" s="23">
        <f>-'Annual Raw'!K49</f>
        <v>9.6600000000000005E-2</v>
      </c>
      <c r="K171" s="23">
        <f>-'Annual Raw'!L49</f>
        <v>4.5965999999999996</v>
      </c>
      <c r="L171" s="23">
        <f>-'Annual Raw'!M49</f>
        <v>22.51</v>
      </c>
      <c r="M171" s="23">
        <f>-'Annual Raw'!N49</f>
        <v>14.99</v>
      </c>
      <c r="N171" s="23">
        <f>-'Annual Raw'!O49</f>
        <v>27.93</v>
      </c>
      <c r="O171" s="23">
        <f>-'Annual Raw'!P49</f>
        <v>15.23</v>
      </c>
      <c r="P171" s="23">
        <f>-'Annual Raw'!Q49</f>
        <v>48.96</v>
      </c>
      <c r="Q171" s="23">
        <f>-'Annual Raw'!R49</f>
        <v>130.38</v>
      </c>
      <c r="R171" s="23">
        <f>-'Annual Raw'!S49</f>
        <v>117.3</v>
      </c>
      <c r="S171" s="23">
        <f>-'Annual Raw'!T49</f>
        <v>114.96</v>
      </c>
      <c r="T171" s="23">
        <f>-'Annual Raw'!U49</f>
        <v>110.34</v>
      </c>
      <c r="U171" s="23">
        <f>-'Annual Raw'!V49</f>
        <v>117.21</v>
      </c>
      <c r="V171" s="23">
        <f>-'Annual Raw'!W49</f>
        <v>93.86</v>
      </c>
      <c r="W171" s="23">
        <f>-'Annual Raw'!X49</f>
        <v>89.84</v>
      </c>
      <c r="X171" s="23">
        <f>-'Annual Raw'!Y49</f>
        <v>102.7</v>
      </c>
      <c r="Y171" s="23">
        <f>-'Annual Raw'!Z49</f>
        <v>98.49</v>
      </c>
      <c r="Z171" s="23">
        <f>-'Annual Raw'!AA49</f>
        <v>56.46</v>
      </c>
      <c r="AA171" s="24">
        <f t="shared" ref="AA171:AA172" si="1269">+CK171</f>
        <v>75.73</v>
      </c>
      <c r="AB171" s="24">
        <f t="shared" ref="AB171:AB172" si="1270">+CO171</f>
        <v>75.73</v>
      </c>
      <c r="AC171" s="24">
        <f t="shared" ref="AC171:AC172" si="1271">+CS171</f>
        <v>75.73</v>
      </c>
      <c r="AD171" s="24">
        <f t="shared" ref="AD171:AD172" si="1272">+CW171</f>
        <v>75.73</v>
      </c>
      <c r="AI171" s="23">
        <f t="shared" ref="AI171:CK172" si="1273">+AH171</f>
        <v>0</v>
      </c>
      <c r="AJ171" s="23">
        <f>+'QTR Raw'!E96</f>
        <v>14.99</v>
      </c>
      <c r="AK171" s="23">
        <f t="shared" si="1273"/>
        <v>14.99</v>
      </c>
      <c r="AL171" s="23">
        <f>+'QTR Raw'!G96</f>
        <v>13.23</v>
      </c>
      <c r="AM171" s="23">
        <f t="shared" si="1273"/>
        <v>13.23</v>
      </c>
      <c r="AN171" s="23">
        <f>+'QTR Raw'!I96</f>
        <v>27.93</v>
      </c>
      <c r="AO171" s="23">
        <f t="shared" si="1273"/>
        <v>27.93</v>
      </c>
      <c r="AP171" s="23">
        <f>+'QTR Raw'!K96</f>
        <v>9.94</v>
      </c>
      <c r="AQ171" s="23">
        <f t="shared" si="1273"/>
        <v>9.94</v>
      </c>
      <c r="AR171" s="23">
        <f>+'QTR Raw'!M96</f>
        <v>15.23</v>
      </c>
      <c r="AS171" s="23">
        <f t="shared" si="1273"/>
        <v>15.23</v>
      </c>
      <c r="AT171" s="23">
        <f>+'QTR Raw'!O96</f>
        <v>19.16</v>
      </c>
      <c r="AU171" s="23">
        <f t="shared" si="1273"/>
        <v>19.16</v>
      </c>
      <c r="AV171" s="23">
        <f>+'QTR Raw'!Q96</f>
        <v>48.96</v>
      </c>
      <c r="AW171" s="23">
        <f t="shared" si="1273"/>
        <v>48.96</v>
      </c>
      <c r="AX171" s="23">
        <f>+'QTR Raw'!S96</f>
        <v>53.77</v>
      </c>
      <c r="AY171" s="23">
        <f t="shared" si="1273"/>
        <v>53.77</v>
      </c>
      <c r="AZ171" s="23">
        <f>+'QTR Raw'!U96</f>
        <v>78.36</v>
      </c>
      <c r="BA171" s="23">
        <f t="shared" si="1273"/>
        <v>78.36</v>
      </c>
      <c r="BB171" s="23">
        <f>+'QTR Raw'!W96</f>
        <v>126.22</v>
      </c>
      <c r="BC171" s="23">
        <f t="shared" si="1273"/>
        <v>126.22</v>
      </c>
      <c r="BD171" s="23">
        <f>+'QTR Raw'!Y96</f>
        <v>117.3</v>
      </c>
      <c r="BE171" s="23">
        <f t="shared" si="1273"/>
        <v>117.3</v>
      </c>
      <c r="BF171" s="23">
        <f>+'QTR Raw'!AA96</f>
        <v>115.05</v>
      </c>
      <c r="BG171" s="23">
        <f t="shared" si="1273"/>
        <v>115.05</v>
      </c>
      <c r="BH171" s="23">
        <f>+'QTR Raw'!AC96</f>
        <v>114.96</v>
      </c>
      <c r="BI171" s="23">
        <f t="shared" si="1273"/>
        <v>114.96</v>
      </c>
      <c r="BJ171" s="23">
        <f>+'QTR Raw'!AE96</f>
        <v>96.81</v>
      </c>
      <c r="BK171" s="23">
        <f t="shared" si="1273"/>
        <v>96.81</v>
      </c>
      <c r="BL171" s="23">
        <f>+'QTR Raw'!AG96</f>
        <v>110.34</v>
      </c>
      <c r="BM171" s="23">
        <f t="shared" si="1273"/>
        <v>110.34</v>
      </c>
      <c r="BN171" s="23">
        <f>+'QTR Raw'!AI96</f>
        <v>120.78</v>
      </c>
      <c r="BO171" s="23">
        <f t="shared" si="1273"/>
        <v>120.78</v>
      </c>
      <c r="BP171" s="23">
        <f>+'QTR Raw'!AK96</f>
        <v>117.21</v>
      </c>
      <c r="BQ171" s="23">
        <f t="shared" si="1273"/>
        <v>117.21</v>
      </c>
      <c r="BR171" s="23">
        <f>+'QTR Raw'!AM96</f>
        <v>101.56</v>
      </c>
      <c r="BS171" s="23">
        <f t="shared" si="1273"/>
        <v>101.56</v>
      </c>
      <c r="BT171" s="23">
        <f>+'QTR Raw'!AO96</f>
        <v>93.86</v>
      </c>
      <c r="BU171" s="23">
        <f t="shared" si="1273"/>
        <v>93.86</v>
      </c>
      <c r="BV171" s="23">
        <f>+'QTR Raw'!AQ96</f>
        <v>96.85</v>
      </c>
      <c r="BW171" s="23">
        <f t="shared" si="1273"/>
        <v>96.85</v>
      </c>
      <c r="BX171" s="23">
        <f>+'QTR Raw'!AS96</f>
        <v>89.84</v>
      </c>
      <c r="BY171" s="23">
        <f t="shared" si="1273"/>
        <v>89.84</v>
      </c>
      <c r="BZ171" s="23">
        <f>+'QTR Raw'!AU96</f>
        <v>86.69</v>
      </c>
      <c r="CA171" s="23">
        <f t="shared" si="1273"/>
        <v>86.69</v>
      </c>
      <c r="CB171" s="23">
        <f>+'QTR Raw'!AW96</f>
        <v>102.7</v>
      </c>
      <c r="CC171" s="23">
        <f t="shared" si="1273"/>
        <v>102.7</v>
      </c>
      <c r="CD171" s="23">
        <f>+'QTR Raw'!AY96</f>
        <v>107.67</v>
      </c>
      <c r="CE171" s="23">
        <f t="shared" si="1273"/>
        <v>107.67</v>
      </c>
      <c r="CF171" s="23">
        <f>+'QTR Raw'!BA96</f>
        <v>98.49</v>
      </c>
      <c r="CG171" s="23">
        <f t="shared" si="1273"/>
        <v>98.49</v>
      </c>
      <c r="CH171" s="23">
        <f>+'QTR Raw'!BC96</f>
        <v>75.73</v>
      </c>
      <c r="CI171" s="23">
        <f t="shared" si="1273"/>
        <v>75.73</v>
      </c>
      <c r="CJ171" s="23">
        <f t="shared" ref="CJ171:CJ172" si="1274">+CI171</f>
        <v>75.73</v>
      </c>
      <c r="CK171" s="23">
        <f t="shared" si="1273"/>
        <v>75.73</v>
      </c>
      <c r="CL171" s="24">
        <f t="shared" ref="CL171:CL172" si="1275">+CK171</f>
        <v>75.73</v>
      </c>
      <c r="CM171" s="24">
        <f t="shared" ref="CM171:CM172" si="1276">+CL171</f>
        <v>75.73</v>
      </c>
      <c r="CN171" s="24">
        <f t="shared" ref="CN171:CN172" si="1277">+CM171</f>
        <v>75.73</v>
      </c>
      <c r="CO171" s="24">
        <f t="shared" ref="CO171:CO172" si="1278">+CN171</f>
        <v>75.73</v>
      </c>
      <c r="CP171" s="24">
        <f t="shared" ref="CP171:CP172" si="1279">+CO171</f>
        <v>75.73</v>
      </c>
      <c r="CQ171" s="24">
        <f t="shared" ref="CQ171:CQ172" si="1280">+CP171</f>
        <v>75.73</v>
      </c>
      <c r="CR171" s="24">
        <f t="shared" ref="CR171:CR172" si="1281">+CQ171</f>
        <v>75.73</v>
      </c>
      <c r="CS171" s="24">
        <f t="shared" ref="CS171:CS172" si="1282">+CR171</f>
        <v>75.73</v>
      </c>
      <c r="CT171" s="24">
        <f t="shared" ref="CT171:CT172" si="1283">+CS171</f>
        <v>75.73</v>
      </c>
      <c r="CU171" s="24">
        <f t="shared" ref="CU171:CU172" si="1284">+CT171</f>
        <v>75.73</v>
      </c>
      <c r="CV171" s="24">
        <f t="shared" ref="CV171:CV172" si="1285">+CU171</f>
        <v>75.73</v>
      </c>
      <c r="CW171" s="24">
        <f t="shared" ref="CW171:CW172" si="1286">+CV171</f>
        <v>75.73</v>
      </c>
      <c r="CX171" s="24">
        <f t="shared" ref="CX171:CX172" si="1287">+CW171</f>
        <v>75.73</v>
      </c>
      <c r="CY171" s="24">
        <f t="shared" ref="CY171:CY172" si="1288">+CX171</f>
        <v>75.73</v>
      </c>
      <c r="CZ171" s="24">
        <f t="shared" ref="CZ171:CZ172" si="1289">+CY171</f>
        <v>75.73</v>
      </c>
      <c r="DB171" s="123"/>
      <c r="DC171" s="23">
        <v>0</v>
      </c>
    </row>
    <row r="172" spans="1:107" s="23" customFormat="1" x14ac:dyDescent="0.2">
      <c r="A172" s="23" t="s">
        <v>79</v>
      </c>
      <c r="B172" s="23">
        <f>'Annual Raw'!C83</f>
        <v>0</v>
      </c>
      <c r="C172" s="23">
        <f>'Annual Raw'!D83</f>
        <v>0</v>
      </c>
      <c r="D172" s="23">
        <f>'Annual Raw'!E83</f>
        <v>0</v>
      </c>
      <c r="E172" s="23">
        <f>'Annual Raw'!F83</f>
        <v>0</v>
      </c>
      <c r="F172" s="23">
        <f>'Annual Raw'!G83</f>
        <v>0</v>
      </c>
      <c r="G172" s="23">
        <f>'Annual Raw'!H83</f>
        <v>0</v>
      </c>
      <c r="H172" s="23">
        <f>'Annual Raw'!I83</f>
        <v>0</v>
      </c>
      <c r="I172" s="23">
        <f>'Annual Raw'!J83</f>
        <v>0</v>
      </c>
      <c r="J172" s="23">
        <f>'Annual Raw'!K83</f>
        <v>0</v>
      </c>
      <c r="K172" s="23">
        <f>'Annual Raw'!L83</f>
        <v>0</v>
      </c>
      <c r="L172" s="23">
        <f>'Annual Raw'!M83</f>
        <v>0</v>
      </c>
      <c r="M172" s="23">
        <f>'Annual Raw'!N83</f>
        <v>0</v>
      </c>
      <c r="N172" s="23">
        <f>'Annual Raw'!O83</f>
        <v>0</v>
      </c>
      <c r="O172" s="23">
        <f>'Annual Raw'!P83</f>
        <v>0</v>
      </c>
      <c r="P172" s="23">
        <f>'Annual Raw'!Q83</f>
        <v>0</v>
      </c>
      <c r="Q172" s="23">
        <f>'Annual Raw'!R83</f>
        <v>0</v>
      </c>
      <c r="R172" s="23">
        <f>'Annual Raw'!S83</f>
        <v>0</v>
      </c>
      <c r="S172" s="23">
        <f>'Annual Raw'!T83</f>
        <v>0</v>
      </c>
      <c r="T172" s="23">
        <f>'Annual Raw'!U83</f>
        <v>0</v>
      </c>
      <c r="U172" s="23">
        <f>'Annual Raw'!V83</f>
        <v>0</v>
      </c>
      <c r="V172" s="23">
        <f>'Annual Raw'!W83</f>
        <v>0</v>
      </c>
      <c r="W172" s="23">
        <f>'Annual Raw'!X83</f>
        <v>0</v>
      </c>
      <c r="X172" s="23">
        <f>'Annual Raw'!Y83</f>
        <v>0</v>
      </c>
      <c r="Y172" s="23">
        <f>'Annual Raw'!Z83</f>
        <v>0</v>
      </c>
      <c r="Z172" s="23">
        <f>'Annual Raw'!AA83</f>
        <v>0</v>
      </c>
      <c r="AA172" s="24">
        <f t="shared" si="1269"/>
        <v>0</v>
      </c>
      <c r="AB172" s="24">
        <f t="shared" si="1270"/>
        <v>0</v>
      </c>
      <c r="AC172" s="24">
        <f t="shared" si="1271"/>
        <v>0</v>
      </c>
      <c r="AD172" s="24">
        <f t="shared" si="1272"/>
        <v>0</v>
      </c>
      <c r="AI172" s="23">
        <f t="shared" si="1273"/>
        <v>0</v>
      </c>
      <c r="AJ172" s="23">
        <f>+'QTR Raw'!E95</f>
        <v>0</v>
      </c>
      <c r="AK172" s="23">
        <f t="shared" si="1273"/>
        <v>0</v>
      </c>
      <c r="AL172" s="23">
        <f>+'QTR Raw'!G95</f>
        <v>0</v>
      </c>
      <c r="AM172" s="23">
        <f t="shared" si="1273"/>
        <v>0</v>
      </c>
      <c r="AN172" s="23">
        <f>+'QTR Raw'!I95</f>
        <v>0</v>
      </c>
      <c r="AO172" s="23">
        <f t="shared" si="1273"/>
        <v>0</v>
      </c>
      <c r="AP172" s="23">
        <f>+'QTR Raw'!K95</f>
        <v>0</v>
      </c>
      <c r="AQ172" s="23">
        <f t="shared" si="1273"/>
        <v>0</v>
      </c>
      <c r="AR172" s="23">
        <f>+'QTR Raw'!M95</f>
        <v>0</v>
      </c>
      <c r="AS172" s="23">
        <f t="shared" si="1273"/>
        <v>0</v>
      </c>
      <c r="AT172" s="23">
        <f>+'QTR Raw'!O95</f>
        <v>0</v>
      </c>
      <c r="AU172" s="23">
        <f t="shared" si="1273"/>
        <v>0</v>
      </c>
      <c r="AV172" s="23">
        <f>+'QTR Raw'!Q95</f>
        <v>0</v>
      </c>
      <c r="AW172" s="23">
        <f t="shared" si="1273"/>
        <v>0</v>
      </c>
      <c r="AX172" s="23">
        <f>+'QTR Raw'!S95</f>
        <v>0</v>
      </c>
      <c r="AY172" s="23">
        <f t="shared" si="1273"/>
        <v>0</v>
      </c>
      <c r="AZ172" s="23">
        <f>+'QTR Raw'!U95</f>
        <v>0</v>
      </c>
      <c r="BA172" s="23">
        <f t="shared" si="1273"/>
        <v>0</v>
      </c>
      <c r="BB172" s="23">
        <f>+'QTR Raw'!W95</f>
        <v>0</v>
      </c>
      <c r="BC172" s="23">
        <f t="shared" si="1273"/>
        <v>0</v>
      </c>
      <c r="BD172" s="23">
        <f>+'QTR Raw'!Y95</f>
        <v>0</v>
      </c>
      <c r="BE172" s="23">
        <f t="shared" si="1273"/>
        <v>0</v>
      </c>
      <c r="BF172" s="23">
        <f>+'QTR Raw'!AA95</f>
        <v>0</v>
      </c>
      <c r="BG172" s="23">
        <f t="shared" si="1273"/>
        <v>0</v>
      </c>
      <c r="BH172" s="23">
        <f>+'QTR Raw'!AC95</f>
        <v>0</v>
      </c>
      <c r="BI172" s="23">
        <f t="shared" si="1273"/>
        <v>0</v>
      </c>
      <c r="BJ172" s="23">
        <f>+'QTR Raw'!AE95</f>
        <v>0</v>
      </c>
      <c r="BK172" s="23">
        <f t="shared" si="1273"/>
        <v>0</v>
      </c>
      <c r="BL172" s="23">
        <f>+'QTR Raw'!AG95</f>
        <v>0</v>
      </c>
      <c r="BM172" s="23">
        <f t="shared" si="1273"/>
        <v>0</v>
      </c>
      <c r="BN172" s="23">
        <f>+'QTR Raw'!AI95</f>
        <v>0</v>
      </c>
      <c r="BO172" s="23">
        <f t="shared" si="1273"/>
        <v>0</v>
      </c>
      <c r="BP172" s="23">
        <f>+'QTR Raw'!AK95</f>
        <v>0</v>
      </c>
      <c r="BQ172" s="23">
        <f t="shared" si="1273"/>
        <v>0</v>
      </c>
      <c r="BR172" s="23">
        <f>+'QTR Raw'!AM95</f>
        <v>0</v>
      </c>
      <c r="BS172" s="23">
        <f t="shared" si="1273"/>
        <v>0</v>
      </c>
      <c r="BT172" s="23">
        <f>+'QTR Raw'!AO95</f>
        <v>0</v>
      </c>
      <c r="BU172" s="23">
        <f t="shared" si="1273"/>
        <v>0</v>
      </c>
      <c r="BV172" s="23">
        <f>+'QTR Raw'!AQ95</f>
        <v>0</v>
      </c>
      <c r="BW172" s="23">
        <f t="shared" si="1273"/>
        <v>0</v>
      </c>
      <c r="BX172" s="23">
        <f>+'QTR Raw'!AS95</f>
        <v>0</v>
      </c>
      <c r="BY172" s="23">
        <f t="shared" si="1273"/>
        <v>0</v>
      </c>
      <c r="BZ172" s="23">
        <f>+'QTR Raw'!AU95</f>
        <v>0</v>
      </c>
      <c r="CA172" s="23">
        <f t="shared" si="1273"/>
        <v>0</v>
      </c>
      <c r="CB172" s="23">
        <f>+'QTR Raw'!AW95</f>
        <v>0</v>
      </c>
      <c r="CC172" s="23">
        <f t="shared" si="1273"/>
        <v>0</v>
      </c>
      <c r="CD172" s="23">
        <f>+'QTR Raw'!AY95</f>
        <v>0</v>
      </c>
      <c r="CE172" s="23">
        <f t="shared" si="1273"/>
        <v>0</v>
      </c>
      <c r="CF172" s="23">
        <f>+'QTR Raw'!BA95</f>
        <v>0</v>
      </c>
      <c r="CG172" s="23">
        <f t="shared" si="1273"/>
        <v>0</v>
      </c>
      <c r="CH172" s="23">
        <f>+'QTR Raw'!BC95</f>
        <v>0</v>
      </c>
      <c r="CI172" s="23">
        <f t="shared" si="1273"/>
        <v>0</v>
      </c>
      <c r="CJ172" s="23">
        <f t="shared" si="1274"/>
        <v>0</v>
      </c>
      <c r="CK172" s="23">
        <f t="shared" si="1273"/>
        <v>0</v>
      </c>
      <c r="CL172" s="24">
        <f t="shared" si="1275"/>
        <v>0</v>
      </c>
      <c r="CM172" s="24">
        <f t="shared" si="1276"/>
        <v>0</v>
      </c>
      <c r="CN172" s="24">
        <f t="shared" si="1277"/>
        <v>0</v>
      </c>
      <c r="CO172" s="24">
        <f t="shared" si="1278"/>
        <v>0</v>
      </c>
      <c r="CP172" s="24">
        <f t="shared" si="1279"/>
        <v>0</v>
      </c>
      <c r="CQ172" s="24">
        <f t="shared" si="1280"/>
        <v>0</v>
      </c>
      <c r="CR172" s="24">
        <f t="shared" si="1281"/>
        <v>0</v>
      </c>
      <c r="CS172" s="24">
        <f t="shared" si="1282"/>
        <v>0</v>
      </c>
      <c r="CT172" s="24">
        <f t="shared" si="1283"/>
        <v>0</v>
      </c>
      <c r="CU172" s="24">
        <f t="shared" si="1284"/>
        <v>0</v>
      </c>
      <c r="CV172" s="24">
        <f t="shared" si="1285"/>
        <v>0</v>
      </c>
      <c r="CW172" s="24">
        <f t="shared" si="1286"/>
        <v>0</v>
      </c>
      <c r="CX172" s="24">
        <f t="shared" si="1287"/>
        <v>0</v>
      </c>
      <c r="CY172" s="24">
        <f t="shared" si="1288"/>
        <v>0</v>
      </c>
      <c r="CZ172" s="24">
        <f t="shared" si="1289"/>
        <v>0</v>
      </c>
      <c r="DB172" s="123"/>
      <c r="DC172" s="23">
        <v>0</v>
      </c>
    </row>
    <row r="173" spans="1:107" s="26" customFormat="1" x14ac:dyDescent="0.2">
      <c r="A173" s="26" t="s">
        <v>438</v>
      </c>
      <c r="B173" s="26">
        <f t="shared" ref="B173:W173" si="1290">B171+B169+B165+B148+B146+B172</f>
        <v>458.54419999999988</v>
      </c>
      <c r="C173" s="26">
        <f t="shared" si="1290"/>
        <v>524.54169999999999</v>
      </c>
      <c r="D173" s="26">
        <f t="shared" si="1290"/>
        <v>614.25760000000002</v>
      </c>
      <c r="E173" s="26">
        <f t="shared" si="1290"/>
        <v>726.1549</v>
      </c>
      <c r="F173" s="26">
        <f t="shared" si="1290"/>
        <v>906.85459999999989</v>
      </c>
      <c r="G173" s="26">
        <f t="shared" si="1290"/>
        <v>1197.3875</v>
      </c>
      <c r="H173" s="26">
        <f t="shared" si="1290"/>
        <v>1626.9103</v>
      </c>
      <c r="I173" s="26">
        <f t="shared" si="1290"/>
        <v>2118.9733999999999</v>
      </c>
      <c r="J173" s="26">
        <f t="shared" si="1290"/>
        <v>2423.7332000000001</v>
      </c>
      <c r="K173" s="26">
        <f t="shared" si="1290"/>
        <v>2423.7036000000007</v>
      </c>
      <c r="L173" s="26">
        <f t="shared" si="1290"/>
        <v>2536.4300000000003</v>
      </c>
      <c r="M173" s="26">
        <f t="shared" si="1290"/>
        <v>2929.3199999999997</v>
      </c>
      <c r="N173" s="26">
        <f t="shared" si="1290"/>
        <v>3297.6699999999996</v>
      </c>
      <c r="O173" s="26">
        <f t="shared" si="1290"/>
        <v>3183.0500000000011</v>
      </c>
      <c r="P173" s="26">
        <f t="shared" si="1290"/>
        <v>3608.55</v>
      </c>
      <c r="Q173" s="26">
        <f t="shared" si="1290"/>
        <v>3886.7400000000007</v>
      </c>
      <c r="R173" s="26">
        <f t="shared" si="1290"/>
        <v>4215.24</v>
      </c>
      <c r="S173" s="26">
        <f t="shared" si="1290"/>
        <v>4014.2400000000002</v>
      </c>
      <c r="T173" s="26">
        <f t="shared" si="1290"/>
        <v>3533.6500000000005</v>
      </c>
      <c r="U173" s="26">
        <f t="shared" si="1290"/>
        <v>3606.3800000000006</v>
      </c>
      <c r="V173" s="26">
        <f t="shared" si="1290"/>
        <v>4045.1899999999996</v>
      </c>
      <c r="W173" s="26">
        <f t="shared" si="1290"/>
        <v>4939.4100000000008</v>
      </c>
      <c r="X173" s="26">
        <f t="shared" ref="X173:Y173" si="1291">X171+X169+X165+X148+X146+X172</f>
        <v>5944.6</v>
      </c>
      <c r="Y173" s="26">
        <f t="shared" si="1291"/>
        <v>7075.4</v>
      </c>
      <c r="Z173" s="26">
        <f t="shared" ref="Z173" si="1292">Z171+Z169+Z165+Z148+Z146+Z172</f>
        <v>7835.99</v>
      </c>
      <c r="AA173" s="27">
        <f t="shared" ref="AA173:AD173" si="1293">AA171+AA169+AA165+AA148+AA146+AA172</f>
        <v>9819.8699999999972</v>
      </c>
      <c r="AB173" s="27">
        <f t="shared" si="1293"/>
        <v>11734.943530487579</v>
      </c>
      <c r="AC173" s="27">
        <f t="shared" si="1293"/>
        <v>14058.723245922647</v>
      </c>
      <c r="AD173" s="27">
        <f t="shared" si="1293"/>
        <v>16646.053400401826</v>
      </c>
      <c r="AI173" s="26">
        <f t="shared" ref="AI173" si="1294">AI171+AI169+AI165+AI148+AI146+AI172</f>
        <v>21.369999999999763</v>
      </c>
      <c r="AJ173" s="26">
        <f t="shared" ref="AJ173:AK173" si="1295">AJ171+AJ169+AJ165+AJ148+AJ146+AJ172</f>
        <v>2929.32</v>
      </c>
      <c r="AK173" s="26">
        <f t="shared" si="1295"/>
        <v>2972.38</v>
      </c>
      <c r="AL173" s="26">
        <f t="shared" ref="AL173:AM173" si="1296">AL171+AL169+AL165+AL148+AL146+AL172</f>
        <v>3445.8999999999996</v>
      </c>
      <c r="AM173" s="26">
        <f t="shared" si="1296"/>
        <v>3483.9299999999994</v>
      </c>
      <c r="AN173" s="26">
        <f t="shared" ref="AN173:AO173" si="1297">AN171+AN169+AN165+AN148+AN146+AN172</f>
        <v>3297.6699999999987</v>
      </c>
      <c r="AO173" s="26">
        <f t="shared" si="1297"/>
        <v>3349.3499999999985</v>
      </c>
      <c r="AP173" s="26">
        <f t="shared" ref="AP173:CE173" si="1298">AP171+AP169+AP165+AP148+AP146+AP172</f>
        <v>3584.9299999999994</v>
      </c>
      <c r="AQ173" s="26">
        <f t="shared" si="1298"/>
        <v>3629.9099999999994</v>
      </c>
      <c r="AR173" s="26">
        <f t="shared" si="1298"/>
        <v>3183.05</v>
      </c>
      <c r="AS173" s="26">
        <f t="shared" si="1298"/>
        <v>3237.34</v>
      </c>
      <c r="AT173" s="26">
        <f t="shared" si="1298"/>
        <v>3586.1099999999988</v>
      </c>
      <c r="AU173" s="26">
        <f t="shared" si="1298"/>
        <v>3644.849999999999</v>
      </c>
      <c r="AV173" s="26">
        <f t="shared" si="1298"/>
        <v>3608.5499999999993</v>
      </c>
      <c r="AW173" s="26">
        <f t="shared" si="1298"/>
        <v>3694</v>
      </c>
      <c r="AX173" s="26">
        <f t="shared" si="1298"/>
        <v>3772.09</v>
      </c>
      <c r="AY173" s="26">
        <f t="shared" si="1298"/>
        <v>3842.66</v>
      </c>
      <c r="AZ173" s="26">
        <f t="shared" si="1298"/>
        <v>3882.8199999999997</v>
      </c>
      <c r="BA173" s="26">
        <f t="shared" si="1298"/>
        <v>3972.8</v>
      </c>
      <c r="BB173" s="26">
        <f t="shared" si="1298"/>
        <v>3953.39</v>
      </c>
      <c r="BC173" s="26">
        <f t="shared" si="1298"/>
        <v>4036.7799999999997</v>
      </c>
      <c r="BD173" s="26">
        <f t="shared" si="1298"/>
        <v>3611.0299999999997</v>
      </c>
      <c r="BE173" s="26">
        <f t="shared" si="1298"/>
        <v>3713.5199999999995</v>
      </c>
      <c r="BF173" s="26">
        <f t="shared" si="1298"/>
        <v>3714.079999999999</v>
      </c>
      <c r="BG173" s="26">
        <f t="shared" si="1298"/>
        <v>3822.4199999999992</v>
      </c>
      <c r="BH173" s="26">
        <f t="shared" ref="BH173:BI173" si="1299">BH171+BH169+BH165+BH148+BH146+BH172</f>
        <v>4009.3499999999995</v>
      </c>
      <c r="BI173" s="26">
        <f t="shared" si="1299"/>
        <v>4125.54</v>
      </c>
      <c r="BJ173" s="26">
        <f t="shared" si="1298"/>
        <v>4147.920000000001</v>
      </c>
      <c r="BK173" s="26">
        <f t="shared" si="1298"/>
        <v>4283.2000000000007</v>
      </c>
      <c r="BL173" s="26">
        <f t="shared" si="1298"/>
        <v>3527.17</v>
      </c>
      <c r="BM173" s="26">
        <f t="shared" si="1298"/>
        <v>3591.81</v>
      </c>
      <c r="BN173" s="26">
        <f t="shared" si="1298"/>
        <v>3584.42</v>
      </c>
      <c r="BO173" s="26">
        <f t="shared" si="1298"/>
        <v>3665.1600000000003</v>
      </c>
      <c r="BP173" s="26">
        <f t="shared" si="1298"/>
        <v>3606.38</v>
      </c>
      <c r="BQ173" s="26">
        <f t="shared" si="1298"/>
        <v>3747.71</v>
      </c>
      <c r="BR173" s="26">
        <f t="shared" si="1298"/>
        <v>3726.3699999999994</v>
      </c>
      <c r="BS173" s="26">
        <f t="shared" si="1298"/>
        <v>3846.2899999999995</v>
      </c>
      <c r="BT173" s="26">
        <f t="shared" si="1298"/>
        <v>4045.1899999999996</v>
      </c>
      <c r="BU173" s="26">
        <f t="shared" si="1298"/>
        <v>4124.8499999999985</v>
      </c>
      <c r="BV173" s="26">
        <f t="shared" si="1298"/>
        <v>4171.59</v>
      </c>
      <c r="BW173" s="26">
        <f t="shared" si="1298"/>
        <v>4369.1500000000005</v>
      </c>
      <c r="BX173" s="26">
        <f t="shared" si="1298"/>
        <v>4939.409999999998</v>
      </c>
      <c r="BY173" s="26">
        <f t="shared" si="1298"/>
        <v>5184.2999999999975</v>
      </c>
      <c r="BZ173" s="26">
        <f t="shared" si="1298"/>
        <v>5368.5</v>
      </c>
      <c r="CA173" s="26">
        <f t="shared" si="1298"/>
        <v>5731.37</v>
      </c>
      <c r="CB173" s="26">
        <f t="shared" si="1298"/>
        <v>5944.5999999999995</v>
      </c>
      <c r="CC173" s="26">
        <f t="shared" si="1298"/>
        <v>6403.8899999999994</v>
      </c>
      <c r="CD173" s="26">
        <f t="shared" si="1298"/>
        <v>6341.5800000000017</v>
      </c>
      <c r="CE173" s="26">
        <f t="shared" si="1298"/>
        <v>6782.0300000000025</v>
      </c>
      <c r="CF173" s="26">
        <f t="shared" ref="CF173:CG173" si="1300">CF171+CF169+CF165+CF148+CF146+CF172</f>
        <v>7075.4000000000015</v>
      </c>
      <c r="CG173" s="26">
        <f t="shared" si="1300"/>
        <v>7550.0300000000007</v>
      </c>
      <c r="CH173" s="26">
        <f t="shared" ref="CH173" si="1301">CH171+CH169+CH165+CH148+CH146+CH172</f>
        <v>7194.3300000000008</v>
      </c>
      <c r="CI173" s="26">
        <f t="shared" ref="CI173:CK173" si="1302">CI171+CI169+CI165+CI148+CI146+CI172</f>
        <v>7603.3700000000008</v>
      </c>
      <c r="CJ173" s="26">
        <f t="shared" ref="CJ173:CZ173" si="1303">CJ171+CJ169+CJ165+CJ148+CJ146+CJ172</f>
        <v>8036.22</v>
      </c>
      <c r="CK173" s="26">
        <f t="shared" si="1302"/>
        <v>9819.8699999999972</v>
      </c>
      <c r="CL173" s="27">
        <f t="shared" si="1303"/>
        <v>10272.255282677303</v>
      </c>
      <c r="CM173" s="27">
        <f t="shared" si="1303"/>
        <v>10745.796131766858</v>
      </c>
      <c r="CN173" s="27">
        <f t="shared" si="1303"/>
        <v>11227.45315792224</v>
      </c>
      <c r="CO173" s="27">
        <f t="shared" si="1303"/>
        <v>11734.943530487579</v>
      </c>
      <c r="CP173" s="27">
        <f t="shared" si="1303"/>
        <v>12307.592503824802</v>
      </c>
      <c r="CQ173" s="27">
        <f t="shared" si="1303"/>
        <v>12883.970104567132</v>
      </c>
      <c r="CR173" s="27">
        <f t="shared" si="1303"/>
        <v>13467.973469865474</v>
      </c>
      <c r="CS173" s="27">
        <f t="shared" si="1303"/>
        <v>14058.723245922647</v>
      </c>
      <c r="CT173" s="27">
        <f t="shared" si="1303"/>
        <v>14696.229961199611</v>
      </c>
      <c r="CU173" s="27">
        <f t="shared" si="1303"/>
        <v>15324.47114768973</v>
      </c>
      <c r="CV173" s="27">
        <f t="shared" si="1303"/>
        <v>15947.700897284865</v>
      </c>
      <c r="CW173" s="27">
        <f t="shared" si="1303"/>
        <v>16646.053400401826</v>
      </c>
      <c r="CX173" s="27">
        <f t="shared" si="1303"/>
        <v>17394.787120579076</v>
      </c>
      <c r="CY173" s="27">
        <f t="shared" si="1303"/>
        <v>18140.477104303685</v>
      </c>
      <c r="CZ173" s="27">
        <f t="shared" si="1303"/>
        <v>18894.72012051495</v>
      </c>
      <c r="DB173" s="121"/>
      <c r="DC173" s="26">
        <v>0</v>
      </c>
    </row>
    <row r="174" spans="1:107" s="23" customFormat="1" x14ac:dyDescent="0.2">
      <c r="A174" s="28" t="s">
        <v>439</v>
      </c>
      <c r="B174" s="23">
        <f t="shared" ref="B174:W174" si="1304">B173-B137</f>
        <v>0</v>
      </c>
      <c r="C174" s="23">
        <f t="shared" si="1304"/>
        <v>0</v>
      </c>
      <c r="D174" s="23">
        <f t="shared" si="1304"/>
        <v>0</v>
      </c>
      <c r="E174" s="23">
        <f t="shared" si="1304"/>
        <v>0</v>
      </c>
      <c r="F174" s="23">
        <f t="shared" si="1304"/>
        <v>0</v>
      </c>
      <c r="G174" s="23">
        <f t="shared" si="1304"/>
        <v>0</v>
      </c>
      <c r="H174" s="23">
        <f t="shared" si="1304"/>
        <v>0</v>
      </c>
      <c r="I174" s="23">
        <f t="shared" si="1304"/>
        <v>0</v>
      </c>
      <c r="J174" s="23">
        <f t="shared" si="1304"/>
        <v>0</v>
      </c>
      <c r="K174" s="23">
        <f t="shared" si="1304"/>
        <v>0</v>
      </c>
      <c r="L174" s="23">
        <f t="shared" si="1304"/>
        <v>0</v>
      </c>
      <c r="M174" s="23">
        <f t="shared" si="1304"/>
        <v>0</v>
      </c>
      <c r="N174" s="23">
        <f t="shared" si="1304"/>
        <v>0</v>
      </c>
      <c r="O174" s="23">
        <f t="shared" si="1304"/>
        <v>0</v>
      </c>
      <c r="P174" s="23">
        <f t="shared" si="1304"/>
        <v>0</v>
      </c>
      <c r="Q174" s="23">
        <f t="shared" si="1304"/>
        <v>0</v>
      </c>
      <c r="R174" s="23">
        <f t="shared" si="1304"/>
        <v>0</v>
      </c>
      <c r="S174" s="23">
        <f t="shared" si="1304"/>
        <v>0</v>
      </c>
      <c r="T174" s="23">
        <f t="shared" si="1304"/>
        <v>0</v>
      </c>
      <c r="U174" s="23">
        <f t="shared" si="1304"/>
        <v>0</v>
      </c>
      <c r="V174" s="23">
        <f t="shared" si="1304"/>
        <v>0</v>
      </c>
      <c r="W174" s="23">
        <f t="shared" si="1304"/>
        <v>0</v>
      </c>
      <c r="X174" s="23">
        <f t="shared" ref="X174:Y174" si="1305">X173-X137</f>
        <v>0</v>
      </c>
      <c r="Y174" s="23">
        <f t="shared" si="1305"/>
        <v>0</v>
      </c>
      <c r="Z174" s="23">
        <f t="shared" ref="Z174" si="1306">Z173-Z137</f>
        <v>0</v>
      </c>
      <c r="AA174" s="24">
        <f t="shared" ref="AA174:AD174" si="1307">AA173-AA137</f>
        <v>0</v>
      </c>
      <c r="AB174" s="24">
        <f t="shared" si="1307"/>
        <v>0</v>
      </c>
      <c r="AC174" s="24">
        <f t="shared" si="1307"/>
        <v>0</v>
      </c>
      <c r="AD174" s="24">
        <f t="shared" si="1307"/>
        <v>0</v>
      </c>
      <c r="AI174" s="23">
        <f t="shared" ref="AI174" si="1308">AI173-AI137</f>
        <v>0</v>
      </c>
      <c r="AJ174" s="23">
        <f t="shared" ref="AJ174:AK174" si="1309">AJ173-AJ137</f>
        <v>0</v>
      </c>
      <c r="AK174" s="23">
        <f t="shared" si="1309"/>
        <v>0</v>
      </c>
      <c r="AL174" s="23">
        <f t="shared" ref="AL174:AM174" si="1310">AL173-AL137</f>
        <v>0</v>
      </c>
      <c r="AM174" s="23">
        <f t="shared" si="1310"/>
        <v>0</v>
      </c>
      <c r="AN174" s="23">
        <f t="shared" ref="AN174:AO174" si="1311">AN173-AN137</f>
        <v>0</v>
      </c>
      <c r="AO174" s="23">
        <f t="shared" si="1311"/>
        <v>0</v>
      </c>
      <c r="AP174" s="23">
        <f t="shared" ref="AP174:CE174" si="1312">AP173-AP137</f>
        <v>0</v>
      </c>
      <c r="AQ174" s="23">
        <f t="shared" si="1312"/>
        <v>0</v>
      </c>
      <c r="AR174" s="23">
        <f t="shared" si="1312"/>
        <v>0</v>
      </c>
      <c r="AS174" s="23">
        <f t="shared" si="1312"/>
        <v>0</v>
      </c>
      <c r="AT174" s="23">
        <f t="shared" si="1312"/>
        <v>0</v>
      </c>
      <c r="AU174" s="23">
        <f t="shared" si="1312"/>
        <v>0</v>
      </c>
      <c r="AV174" s="23">
        <f t="shared" si="1312"/>
        <v>0</v>
      </c>
      <c r="AW174" s="23">
        <f t="shared" si="1312"/>
        <v>0</v>
      </c>
      <c r="AX174" s="23">
        <f t="shared" si="1312"/>
        <v>0</v>
      </c>
      <c r="AY174" s="23">
        <f t="shared" si="1312"/>
        <v>0</v>
      </c>
      <c r="AZ174" s="23">
        <f t="shared" si="1312"/>
        <v>0</v>
      </c>
      <c r="BA174" s="23">
        <f t="shared" si="1312"/>
        <v>0</v>
      </c>
      <c r="BB174" s="23">
        <f t="shared" si="1312"/>
        <v>0</v>
      </c>
      <c r="BC174" s="23">
        <f t="shared" si="1312"/>
        <v>0</v>
      </c>
      <c r="BD174" s="23">
        <f t="shared" si="1312"/>
        <v>0</v>
      </c>
      <c r="BE174" s="23">
        <f t="shared" si="1312"/>
        <v>0</v>
      </c>
      <c r="BF174" s="23">
        <f t="shared" si="1312"/>
        <v>0</v>
      </c>
      <c r="BG174" s="23">
        <f t="shared" si="1312"/>
        <v>0</v>
      </c>
      <c r="BH174" s="23">
        <f t="shared" ref="BH174:BI174" si="1313">BH173-BH137</f>
        <v>0</v>
      </c>
      <c r="BI174" s="23">
        <f t="shared" si="1313"/>
        <v>0</v>
      </c>
      <c r="BJ174" s="23">
        <f t="shared" si="1312"/>
        <v>0</v>
      </c>
      <c r="BK174" s="23">
        <f t="shared" si="1312"/>
        <v>0</v>
      </c>
      <c r="BL174" s="23">
        <f t="shared" si="1312"/>
        <v>0</v>
      </c>
      <c r="BM174" s="23">
        <f t="shared" si="1312"/>
        <v>0</v>
      </c>
      <c r="BN174" s="23">
        <f t="shared" si="1312"/>
        <v>0</v>
      </c>
      <c r="BO174" s="23">
        <f t="shared" si="1312"/>
        <v>0</v>
      </c>
      <c r="BP174" s="23">
        <f t="shared" si="1312"/>
        <v>0</v>
      </c>
      <c r="BQ174" s="23">
        <f t="shared" si="1312"/>
        <v>0</v>
      </c>
      <c r="BR174" s="23">
        <f t="shared" si="1312"/>
        <v>0</v>
      </c>
      <c r="BS174" s="23">
        <f t="shared" si="1312"/>
        <v>0</v>
      </c>
      <c r="BT174" s="23">
        <f t="shared" si="1312"/>
        <v>0</v>
      </c>
      <c r="BU174" s="23">
        <f t="shared" si="1312"/>
        <v>0</v>
      </c>
      <c r="BV174" s="23">
        <f t="shared" si="1312"/>
        <v>0</v>
      </c>
      <c r="BW174" s="23">
        <f t="shared" si="1312"/>
        <v>0</v>
      </c>
      <c r="BX174" s="23">
        <f t="shared" si="1312"/>
        <v>0</v>
      </c>
      <c r="BY174" s="23">
        <f t="shared" si="1312"/>
        <v>0</v>
      </c>
      <c r="BZ174" s="23">
        <f t="shared" si="1312"/>
        <v>0</v>
      </c>
      <c r="CA174" s="23">
        <f t="shared" si="1312"/>
        <v>0</v>
      </c>
      <c r="CB174" s="23">
        <f t="shared" si="1312"/>
        <v>0</v>
      </c>
      <c r="CC174" s="23">
        <f t="shared" si="1312"/>
        <v>0</v>
      </c>
      <c r="CD174" s="23">
        <f t="shared" si="1312"/>
        <v>0</v>
      </c>
      <c r="CE174" s="23">
        <f t="shared" si="1312"/>
        <v>0</v>
      </c>
      <c r="CF174" s="23">
        <f t="shared" ref="CF174:CG174" si="1314">CF173-CF137</f>
        <v>0</v>
      </c>
      <c r="CG174" s="23">
        <f t="shared" si="1314"/>
        <v>0</v>
      </c>
      <c r="CH174" s="23">
        <f t="shared" ref="CH174" si="1315">CH173-CH137</f>
        <v>0</v>
      </c>
      <c r="CI174" s="23">
        <f t="shared" ref="CI174:CK174" si="1316">CI173-CI137</f>
        <v>0</v>
      </c>
      <c r="CJ174" s="23">
        <f t="shared" ref="CJ174:CZ174" si="1317">CJ173-CJ137</f>
        <v>0</v>
      </c>
      <c r="CK174" s="23">
        <f t="shared" si="1316"/>
        <v>0</v>
      </c>
      <c r="CL174" s="24">
        <f t="shared" si="1317"/>
        <v>0</v>
      </c>
      <c r="CM174" s="24">
        <f t="shared" si="1317"/>
        <v>0</v>
      </c>
      <c r="CN174" s="24">
        <f t="shared" si="1317"/>
        <v>0</v>
      </c>
      <c r="CO174" s="24">
        <f t="shared" si="1317"/>
        <v>0</v>
      </c>
      <c r="CP174" s="24">
        <f t="shared" si="1317"/>
        <v>0</v>
      </c>
      <c r="CQ174" s="24">
        <f t="shared" si="1317"/>
        <v>0</v>
      </c>
      <c r="CR174" s="24">
        <f t="shared" si="1317"/>
        <v>0</v>
      </c>
      <c r="CS174" s="24">
        <f t="shared" si="1317"/>
        <v>0</v>
      </c>
      <c r="CT174" s="24">
        <f t="shared" si="1317"/>
        <v>0</v>
      </c>
      <c r="CU174" s="24">
        <f t="shared" si="1317"/>
        <v>0</v>
      </c>
      <c r="CV174" s="24">
        <f t="shared" si="1317"/>
        <v>0</v>
      </c>
      <c r="CW174" s="24">
        <f t="shared" si="1317"/>
        <v>0</v>
      </c>
      <c r="CX174" s="24">
        <f t="shared" si="1317"/>
        <v>0</v>
      </c>
      <c r="CY174" s="24">
        <f t="shared" si="1317"/>
        <v>0</v>
      </c>
      <c r="CZ174" s="24">
        <f t="shared" si="1317"/>
        <v>0</v>
      </c>
      <c r="DB174" s="123"/>
      <c r="DC174" s="23">
        <v>0</v>
      </c>
    </row>
    <row r="175" spans="1:107" s="23" customFormat="1" x14ac:dyDescent="0.2">
      <c r="A175" s="28"/>
      <c r="AA175" s="24"/>
      <c r="AB175" s="24"/>
      <c r="AC175" s="24"/>
      <c r="AD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B175" s="123"/>
    </row>
    <row r="176" spans="1:107" s="22" customFormat="1" x14ac:dyDescent="0.2">
      <c r="A176" s="22" t="s">
        <v>80</v>
      </c>
      <c r="B176" s="22">
        <f t="shared" ref="B176:W176" si="1318">B136-B169</f>
        <v>-131.71880000000002</v>
      </c>
      <c r="C176" s="22">
        <f t="shared" si="1318"/>
        <v>-268.29230000000001</v>
      </c>
      <c r="D176" s="22">
        <f t="shared" si="1318"/>
        <v>-342.92750000000001</v>
      </c>
      <c r="E176" s="22">
        <f t="shared" si="1318"/>
        <v>-415.2577</v>
      </c>
      <c r="F176" s="22">
        <f t="shared" si="1318"/>
        <v>-398.23869999999999</v>
      </c>
      <c r="G176" s="22">
        <f t="shared" si="1318"/>
        <v>-544.89670000000001</v>
      </c>
      <c r="H176" s="22">
        <f t="shared" si="1318"/>
        <v>-642.29759999999999</v>
      </c>
      <c r="I176" s="22">
        <f t="shared" si="1318"/>
        <v>-348.21109999999999</v>
      </c>
      <c r="J176" s="22">
        <f t="shared" si="1318"/>
        <v>-524.14049999999997</v>
      </c>
      <c r="K176" s="22">
        <f t="shared" si="1318"/>
        <v>-587.125</v>
      </c>
      <c r="L176" s="22">
        <f t="shared" si="1318"/>
        <v>-260.02999999999997</v>
      </c>
      <c r="M176" s="22">
        <f t="shared" si="1318"/>
        <v>240.76</v>
      </c>
      <c r="N176" s="22">
        <f t="shared" si="1318"/>
        <v>303.45000000000005</v>
      </c>
      <c r="O176" s="22">
        <f t="shared" si="1318"/>
        <v>145.02999999999997</v>
      </c>
      <c r="P176" s="22">
        <f t="shared" si="1318"/>
        <v>26.329999999999927</v>
      </c>
      <c r="Q176" s="22">
        <f t="shared" si="1318"/>
        <v>-589.20000000000005</v>
      </c>
      <c r="R176" s="22">
        <f t="shared" si="1318"/>
        <v>-1153.7600000000002</v>
      </c>
      <c r="S176" s="22">
        <f t="shared" si="1318"/>
        <v>-1468.2299999999998</v>
      </c>
      <c r="T176" s="22">
        <f t="shared" si="1318"/>
        <v>-1584.11</v>
      </c>
      <c r="U176" s="22">
        <f t="shared" si="1318"/>
        <v>-2206.65</v>
      </c>
      <c r="V176" s="22">
        <f t="shared" si="1318"/>
        <v>-2712.19</v>
      </c>
      <c r="W176" s="22">
        <f t="shared" si="1318"/>
        <v>-3642.23</v>
      </c>
      <c r="X176" s="22">
        <f t="shared" ref="X176:Y176" si="1319">X136-X169</f>
        <v>-4816.17</v>
      </c>
      <c r="Y176" s="22">
        <f t="shared" si="1319"/>
        <v>-5507.82</v>
      </c>
      <c r="Z176" s="22">
        <f t="shared" ref="Z176" si="1320">Z136-Z169</f>
        <v>-5834.87</v>
      </c>
      <c r="AA176" s="21">
        <f t="shared" ref="AA176:AD176" si="1321">AA136-AA169</f>
        <v>-8003.9907486836455</v>
      </c>
      <c r="AB176" s="21">
        <f t="shared" si="1321"/>
        <v>-9732.3478428063518</v>
      </c>
      <c r="AC176" s="21">
        <f t="shared" si="1321"/>
        <v>-11929.410463433405</v>
      </c>
      <c r="AD176" s="21">
        <f t="shared" si="1321"/>
        <v>-14335.472623103236</v>
      </c>
      <c r="AI176" s="22">
        <f t="shared" ref="AI176:AL176" si="1322">AI136-AI169</f>
        <v>-45.399999999999764</v>
      </c>
      <c r="AJ176" s="22">
        <f t="shared" si="1322"/>
        <v>240.76</v>
      </c>
      <c r="AK176" s="22">
        <f t="shared" si="1322"/>
        <v>102.10372241005041</v>
      </c>
      <c r="AL176" s="22">
        <f t="shared" si="1322"/>
        <v>622.93999999999994</v>
      </c>
      <c r="AM176" s="22">
        <f t="shared" ref="AM176:AN176" si="1323">AM136-AM169</f>
        <v>595.76776232761404</v>
      </c>
      <c r="AN176" s="22">
        <f t="shared" si="1323"/>
        <v>303.45000000000005</v>
      </c>
      <c r="AO176" s="22">
        <f t="shared" ref="AO176:CD176" si="1324">AO136-AO169</f>
        <v>-31.254431704228978</v>
      </c>
      <c r="AP176" s="22">
        <f t="shared" si="1324"/>
        <v>569.70000000000005</v>
      </c>
      <c r="AQ176" s="22">
        <f t="shared" si="1324"/>
        <v>519.98645677155992</v>
      </c>
      <c r="AR176" s="22">
        <f t="shared" si="1324"/>
        <v>145.02999999999997</v>
      </c>
      <c r="AS176" s="22">
        <f t="shared" si="1324"/>
        <v>-234.36179417532941</v>
      </c>
      <c r="AT176" s="22">
        <f t="shared" si="1324"/>
        <v>441.79</v>
      </c>
      <c r="AU176" s="22">
        <f t="shared" si="1324"/>
        <v>384.97624817510524</v>
      </c>
      <c r="AV176" s="22">
        <f t="shared" si="1324"/>
        <v>26.329999999999927</v>
      </c>
      <c r="AW176" s="22">
        <f t="shared" si="1324"/>
        <v>-461.91858414058038</v>
      </c>
      <c r="AX176" s="22">
        <f t="shared" si="1324"/>
        <v>-105.43000000000006</v>
      </c>
      <c r="AY176" s="22">
        <f t="shared" si="1324"/>
        <v>-344.39948630875335</v>
      </c>
      <c r="AZ176" s="22">
        <f t="shared" si="1324"/>
        <v>-589.20000000000005</v>
      </c>
      <c r="BA176" s="22">
        <f t="shared" si="1324"/>
        <v>-958.89364587649447</v>
      </c>
      <c r="BB176" s="22">
        <f t="shared" si="1324"/>
        <v>-985.53</v>
      </c>
      <c r="BC176" s="22">
        <f t="shared" si="1324"/>
        <v>-1281.984257590263</v>
      </c>
      <c r="BD176" s="22">
        <f t="shared" si="1324"/>
        <v>-1757.97</v>
      </c>
      <c r="BE176" s="22">
        <f t="shared" si="1324"/>
        <v>-1916.0012874323347</v>
      </c>
      <c r="BF176" s="22">
        <f t="shared" si="1324"/>
        <v>-1588.7499999999998</v>
      </c>
      <c r="BG176" s="22">
        <f t="shared" si="1324"/>
        <v>-1786.7007033595078</v>
      </c>
      <c r="BH176" s="22">
        <f t="shared" si="1324"/>
        <v>-1473.12</v>
      </c>
      <c r="BI176" s="22">
        <f t="shared" si="1324"/>
        <v>-1697.7959665263027</v>
      </c>
      <c r="BJ176" s="22">
        <f t="shared" si="1324"/>
        <v>-1312.62</v>
      </c>
      <c r="BK176" s="22">
        <f t="shared" si="1324"/>
        <v>-1448.6229212806022</v>
      </c>
      <c r="BL176" s="22">
        <f t="shared" si="1324"/>
        <v>-1590.59</v>
      </c>
      <c r="BM176" s="22">
        <f t="shared" si="1324"/>
        <v>-1906.9696312962994</v>
      </c>
      <c r="BN176" s="22">
        <f t="shared" si="1324"/>
        <v>-1511.49</v>
      </c>
      <c r="BO176" s="22">
        <f t="shared" si="1324"/>
        <v>-887.76175870883947</v>
      </c>
      <c r="BP176" s="22">
        <f t="shared" si="1324"/>
        <v>-2206.65</v>
      </c>
      <c r="BQ176" s="22">
        <f t="shared" si="1324"/>
        <v>-2394.2595113949064</v>
      </c>
      <c r="BR176" s="22">
        <f t="shared" si="1324"/>
        <v>-2364.4299999999998</v>
      </c>
      <c r="BS176" s="22">
        <f t="shared" si="1324"/>
        <v>-2404.7365603245012</v>
      </c>
      <c r="BT176" s="22">
        <f t="shared" si="1324"/>
        <v>-2687.74</v>
      </c>
      <c r="BU176" s="22">
        <f t="shared" si="1324"/>
        <v>-2818.3400626219363</v>
      </c>
      <c r="BV176" s="22">
        <f t="shared" si="1324"/>
        <v>-2828.7200000000003</v>
      </c>
      <c r="BW176" s="22">
        <f t="shared" si="1324"/>
        <v>-3049.3799135305185</v>
      </c>
      <c r="BX176" s="22">
        <f t="shared" si="1324"/>
        <v>-3642.23</v>
      </c>
      <c r="BY176" s="22">
        <f t="shared" si="1324"/>
        <v>-3916.4119390500673</v>
      </c>
      <c r="BZ176" s="22">
        <f t="shared" si="1324"/>
        <v>-4150.34</v>
      </c>
      <c r="CA176" s="22">
        <f t="shared" si="1324"/>
        <v>-4525.2695350848871</v>
      </c>
      <c r="CB176" s="22">
        <f t="shared" si="1324"/>
        <v>-4816.17</v>
      </c>
      <c r="CC176" s="22">
        <f t="shared" si="1324"/>
        <v>-5303.8017468422368</v>
      </c>
      <c r="CD176" s="22">
        <f t="shared" si="1324"/>
        <v>-5009.29</v>
      </c>
      <c r="CE176" s="22">
        <f t="shared" ref="CE176:CF176" si="1325">CE136-CE169</f>
        <v>-5476.6070350352893</v>
      </c>
      <c r="CF176" s="22">
        <f t="shared" si="1325"/>
        <v>-5507.82</v>
      </c>
      <c r="CG176" s="22">
        <f t="shared" ref="CG176:CH176" si="1326">CG136-CG169</f>
        <v>-6055.0379928557213</v>
      </c>
      <c r="CH176" s="22">
        <f t="shared" si="1326"/>
        <v>-5261.82</v>
      </c>
      <c r="CI176" s="22">
        <f t="shared" ref="CI176:CZ176" si="1327">CI136-CI169</f>
        <v>-5676.7020280654015</v>
      </c>
      <c r="CJ176" s="22">
        <f t="shared" si="1327"/>
        <v>-6093.2124449210187</v>
      </c>
      <c r="CK176" s="22">
        <f t="shared" ref="CK176" si="1328">CK136-CK169</f>
        <v>-8003.9907486836455</v>
      </c>
      <c r="CL176" s="21">
        <f t="shared" si="1327"/>
        <v>-8338.8240967701549</v>
      </c>
      <c r="CM176" s="21">
        <f t="shared" si="1327"/>
        <v>-8798.0228952769248</v>
      </c>
      <c r="CN176" s="21">
        <f t="shared" si="1327"/>
        <v>-9266.1011791750807</v>
      </c>
      <c r="CO176" s="21">
        <f t="shared" si="1327"/>
        <v>-9732.3478428063518</v>
      </c>
      <c r="CP176" s="21">
        <f t="shared" si="1327"/>
        <v>-10214.735614818488</v>
      </c>
      <c r="CQ176" s="21">
        <f t="shared" si="1327"/>
        <v>-10806.753475216403</v>
      </c>
      <c r="CR176" s="21">
        <f t="shared" si="1327"/>
        <v>-11397.733453520719</v>
      </c>
      <c r="CS176" s="21">
        <f t="shared" si="1327"/>
        <v>-11929.410463433405</v>
      </c>
      <c r="CT176" s="21">
        <f t="shared" si="1327"/>
        <v>-12481.158323535516</v>
      </c>
      <c r="CU176" s="21">
        <f t="shared" si="1327"/>
        <v>-13130.6581235176</v>
      </c>
      <c r="CV176" s="21">
        <f t="shared" si="1327"/>
        <v>-13762.281178096629</v>
      </c>
      <c r="CW176" s="21">
        <f t="shared" si="1327"/>
        <v>-14335.472623103236</v>
      </c>
      <c r="CX176" s="21">
        <f t="shared" si="1327"/>
        <v>-14988.602767247681</v>
      </c>
      <c r="CY176" s="21">
        <f t="shared" si="1327"/>
        <v>-15751.97558723976</v>
      </c>
      <c r="CZ176" s="21">
        <f t="shared" si="1327"/>
        <v>-16504.19828137369</v>
      </c>
      <c r="DB176" s="126"/>
      <c r="DC176" s="22">
        <v>0</v>
      </c>
    </row>
    <row r="177" spans="1:107" x14ac:dyDescent="0.2">
      <c r="Z177" s="2"/>
      <c r="CD177" s="111"/>
      <c r="CF177" s="111"/>
    </row>
    <row r="178" spans="1:107" s="49" customFormat="1" x14ac:dyDescent="0.2">
      <c r="A178" s="49" t="s">
        <v>81</v>
      </c>
      <c r="B178" s="49">
        <f>'Annual Raw'!C85</f>
        <v>52.095199999999998</v>
      </c>
      <c r="C178" s="49">
        <f>'Annual Raw'!D85</f>
        <v>63.305199999999999</v>
      </c>
      <c r="D178" s="49">
        <f>'Annual Raw'!E85</f>
        <v>72.165999999999997</v>
      </c>
      <c r="E178" s="49">
        <f>'Annual Raw'!F85</f>
        <v>86.980400000000003</v>
      </c>
      <c r="F178" s="49">
        <f>'Annual Raw'!G85</f>
        <v>72.210800000000006</v>
      </c>
      <c r="G178" s="49">
        <f>'Annual Raw'!H85</f>
        <v>68.098799999999997</v>
      </c>
      <c r="H178" s="49">
        <f>'Annual Raw'!I85</f>
        <v>58.861400000000003</v>
      </c>
      <c r="I178" s="49">
        <f>'Annual Raw'!J85</f>
        <v>139.06790000000001</v>
      </c>
      <c r="J178" s="49">
        <f>'Annual Raw'!K85</f>
        <v>181.57470000000001</v>
      </c>
      <c r="K178" s="49">
        <f>'Annual Raw'!L85</f>
        <v>306.74</v>
      </c>
      <c r="L178" s="49">
        <f>'Annual Raw'!M85</f>
        <v>452.24</v>
      </c>
      <c r="M178" s="49">
        <f>'Annual Raw'!N85</f>
        <v>629.67999999999995</v>
      </c>
      <c r="N178" s="49">
        <f>'Annual Raw'!O85</f>
        <v>620.52</v>
      </c>
      <c r="O178" s="49">
        <f>'Annual Raw'!P85</f>
        <v>729.31</v>
      </c>
      <c r="P178" s="49">
        <f>'Annual Raw'!Q85</f>
        <v>633.84</v>
      </c>
      <c r="Q178" s="49">
        <f>'Annual Raw'!R85</f>
        <v>650.79999999999995</v>
      </c>
      <c r="R178" s="49">
        <f>'Annual Raw'!S85</f>
        <v>826.69</v>
      </c>
      <c r="S178" s="49">
        <f>'Annual Raw'!T85</f>
        <v>744.27</v>
      </c>
      <c r="T178" s="49">
        <f>'Annual Raw'!U85</f>
        <v>581.04999999999995</v>
      </c>
      <c r="U178" s="49">
        <f>'Annual Raw'!V85</f>
        <v>563.98</v>
      </c>
      <c r="V178" s="49">
        <f>'Annual Raw'!W85</f>
        <v>606.80999999999995</v>
      </c>
      <c r="W178" s="49">
        <f>'Annual Raw'!X85</f>
        <v>549.48</v>
      </c>
      <c r="X178" s="49">
        <f>'Annual Raw'!Y85</f>
        <v>577.25</v>
      </c>
      <c r="Y178" s="49">
        <f>'Annual Raw'!Z85</f>
        <v>630.65</v>
      </c>
      <c r="Z178" s="49">
        <f>'Annual Raw'!AA85</f>
        <v>570.53</v>
      </c>
      <c r="AA178" s="50"/>
      <c r="AB178" s="50"/>
      <c r="AC178" s="50"/>
      <c r="AD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B178" s="138"/>
      <c r="DC178" s="49">
        <v>0</v>
      </c>
    </row>
    <row r="179" spans="1:107" s="29" customFormat="1" x14ac:dyDescent="0.2">
      <c r="A179" s="29" t="s">
        <v>82</v>
      </c>
      <c r="B179" s="29">
        <f>'Annual Raw'!C95</f>
        <v>0</v>
      </c>
      <c r="C179" s="29">
        <f>'Annual Raw'!D95</f>
        <v>0</v>
      </c>
      <c r="D179" s="29">
        <f>'Annual Raw'!E95</f>
        <v>0</v>
      </c>
      <c r="E179" s="29">
        <f>'Annual Raw'!F95</f>
        <v>0</v>
      </c>
      <c r="F179" s="29">
        <f>'Annual Raw'!G95</f>
        <v>0</v>
      </c>
      <c r="G179" s="29">
        <f>'Annual Raw'!H95</f>
        <v>0</v>
      </c>
      <c r="H179" s="29">
        <f>'Annual Raw'!I95</f>
        <v>0</v>
      </c>
      <c r="I179" s="29">
        <f>'Annual Raw'!J95</f>
        <v>0</v>
      </c>
      <c r="J179" s="29">
        <f>'Annual Raw'!K95</f>
        <v>0</v>
      </c>
      <c r="K179" s="29">
        <f>'Annual Raw'!L95</f>
        <v>0</v>
      </c>
      <c r="L179" s="29">
        <f>'Annual Raw'!M95</f>
        <v>0</v>
      </c>
      <c r="M179" s="29">
        <f>'Annual Raw'!N95</f>
        <v>0</v>
      </c>
      <c r="N179" s="29">
        <f>'Annual Raw'!O95</f>
        <v>0</v>
      </c>
      <c r="O179" s="29">
        <f>'Annual Raw'!P95</f>
        <v>0</v>
      </c>
      <c r="P179" s="29">
        <f>'Annual Raw'!Q95</f>
        <v>0</v>
      </c>
      <c r="Q179" s="29">
        <f>'Annual Raw'!R95</f>
        <v>0</v>
      </c>
      <c r="R179" s="29">
        <f>'Annual Raw'!S95</f>
        <v>0</v>
      </c>
      <c r="S179" s="29">
        <f>'Annual Raw'!T95</f>
        <v>0</v>
      </c>
      <c r="T179" s="29">
        <f>'Annual Raw'!U95</f>
        <v>0</v>
      </c>
      <c r="U179" s="29">
        <f>'Annual Raw'!V95</f>
        <v>0</v>
      </c>
      <c r="V179" s="29">
        <f>'Annual Raw'!W95</f>
        <v>0</v>
      </c>
      <c r="W179" s="29">
        <f>'Annual Raw'!X95</f>
        <v>0</v>
      </c>
      <c r="X179" s="29">
        <f>'Annual Raw'!Y95</f>
        <v>0</v>
      </c>
      <c r="Y179" s="29">
        <f>'Annual Raw'!Z95</f>
        <v>0</v>
      </c>
      <c r="Z179" s="29">
        <f>'Annual Raw'!AA95</f>
        <v>0</v>
      </c>
      <c r="AA179" s="30"/>
      <c r="AB179" s="30"/>
      <c r="AC179" s="30"/>
      <c r="AD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B179" s="139"/>
      <c r="DC179" s="29">
        <v>0</v>
      </c>
    </row>
    <row r="180" spans="1:107" s="29" customFormat="1" x14ac:dyDescent="0.2">
      <c r="A180" s="29" t="s">
        <v>83</v>
      </c>
      <c r="B180" s="29">
        <f>'Annual Raw'!C93</f>
        <v>34.460999999999999</v>
      </c>
      <c r="C180" s="29">
        <f>'Annual Raw'!D93</f>
        <v>46.511400000000002</v>
      </c>
      <c r="D180" s="29">
        <f>'Annual Raw'!E93</f>
        <v>54.788800000000002</v>
      </c>
      <c r="E180" s="29">
        <f>'Annual Raw'!F93</f>
        <v>57.848999999999997</v>
      </c>
      <c r="F180" s="29">
        <f>'Annual Raw'!G93</f>
        <v>67.594800000000006</v>
      </c>
      <c r="G180" s="29">
        <f>'Annual Raw'!H93</f>
        <v>67.150199999999998</v>
      </c>
      <c r="H180" s="29">
        <f>'Annual Raw'!I93</f>
        <v>58.789499999999997</v>
      </c>
      <c r="I180" s="29">
        <f>'Annual Raw'!J93</f>
        <v>139.06790000000001</v>
      </c>
      <c r="J180" s="29">
        <f>'Annual Raw'!K93</f>
        <v>181.57470000000001</v>
      </c>
      <c r="K180" s="29">
        <f>'Annual Raw'!L93</f>
        <v>306.74</v>
      </c>
      <c r="L180" s="29">
        <f>'Annual Raw'!M93</f>
        <v>452.24</v>
      </c>
      <c r="M180" s="29">
        <f>'Annual Raw'!N93</f>
        <v>629.67999999999995</v>
      </c>
      <c r="N180" s="29">
        <f>'Annual Raw'!O93</f>
        <v>620.52</v>
      </c>
      <c r="O180" s="29">
        <f>'Annual Raw'!P93</f>
        <v>729.31</v>
      </c>
      <c r="P180" s="29">
        <f>'Annual Raw'!Q93</f>
        <v>633.84</v>
      </c>
      <c r="Q180" s="29">
        <f>'Annual Raw'!R93</f>
        <v>650.79999999999995</v>
      </c>
      <c r="R180" s="29">
        <f>'Annual Raw'!S93</f>
        <v>826.69</v>
      </c>
      <c r="S180" s="29">
        <f>'Annual Raw'!T93</f>
        <v>744.27</v>
      </c>
      <c r="T180" s="29">
        <f>'Annual Raw'!U93</f>
        <v>581.04999999999995</v>
      </c>
      <c r="U180" s="29">
        <f>'Annual Raw'!V93</f>
        <v>563.98</v>
      </c>
      <c r="V180" s="29">
        <f>'Annual Raw'!W93</f>
        <v>606.80999999999995</v>
      </c>
      <c r="W180" s="29">
        <f>'Annual Raw'!X93</f>
        <v>549.48</v>
      </c>
      <c r="X180" s="29">
        <f>'Annual Raw'!Y93</f>
        <v>577.25</v>
      </c>
      <c r="Y180" s="29">
        <f>'Annual Raw'!Z93</f>
        <v>630.65</v>
      </c>
      <c r="Z180" s="29">
        <f>'Annual Raw'!AA93</f>
        <v>570.53</v>
      </c>
      <c r="AA180" s="30"/>
      <c r="AB180" s="30"/>
      <c r="AC180" s="30"/>
      <c r="AD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B180" s="139"/>
      <c r="DC180" s="29">
        <v>0</v>
      </c>
    </row>
    <row r="181" spans="1:107" s="29" customFormat="1" x14ac:dyDescent="0.2">
      <c r="A181" s="29" t="s">
        <v>84</v>
      </c>
      <c r="B181" s="29">
        <f t="shared" ref="B181:V181" si="1329">B178-B179-B180</f>
        <v>17.6342</v>
      </c>
      <c r="C181" s="29">
        <f t="shared" si="1329"/>
        <v>16.793799999999997</v>
      </c>
      <c r="D181" s="29">
        <f t="shared" si="1329"/>
        <v>17.377199999999995</v>
      </c>
      <c r="E181" s="29">
        <f t="shared" si="1329"/>
        <v>29.131400000000006</v>
      </c>
      <c r="F181" s="29">
        <f t="shared" si="1329"/>
        <v>4.6159999999999997</v>
      </c>
      <c r="G181" s="29">
        <f t="shared" si="1329"/>
        <v>0.948599999999999</v>
      </c>
      <c r="H181" s="29">
        <f t="shared" si="1329"/>
        <v>7.1900000000006514E-2</v>
      </c>
      <c r="I181" s="29">
        <f t="shared" si="1329"/>
        <v>0</v>
      </c>
      <c r="J181" s="29">
        <f t="shared" si="1329"/>
        <v>0</v>
      </c>
      <c r="K181" s="29">
        <f t="shared" si="1329"/>
        <v>0</v>
      </c>
      <c r="L181" s="29">
        <f t="shared" si="1329"/>
        <v>0</v>
      </c>
      <c r="M181" s="29">
        <f t="shared" si="1329"/>
        <v>0</v>
      </c>
      <c r="N181" s="29">
        <f t="shared" si="1329"/>
        <v>0</v>
      </c>
      <c r="O181" s="29">
        <f t="shared" si="1329"/>
        <v>0</v>
      </c>
      <c r="P181" s="29">
        <f t="shared" si="1329"/>
        <v>0</v>
      </c>
      <c r="Q181" s="29">
        <f t="shared" si="1329"/>
        <v>0</v>
      </c>
      <c r="R181" s="29">
        <f t="shared" si="1329"/>
        <v>0</v>
      </c>
      <c r="S181" s="29">
        <f t="shared" si="1329"/>
        <v>0</v>
      </c>
      <c r="T181" s="29">
        <f t="shared" si="1329"/>
        <v>0</v>
      </c>
      <c r="U181" s="29">
        <f t="shared" si="1329"/>
        <v>0</v>
      </c>
      <c r="V181" s="29">
        <f t="shared" si="1329"/>
        <v>0</v>
      </c>
      <c r="W181" s="29">
        <f t="shared" ref="W181" si="1330">W178-W179-W180</f>
        <v>0</v>
      </c>
      <c r="X181" s="29">
        <f t="shared" ref="X181:Y181" si="1331">X178-X179-X180</f>
        <v>0</v>
      </c>
      <c r="Y181" s="29">
        <f t="shared" si="1331"/>
        <v>0</v>
      </c>
      <c r="Z181" s="29">
        <f t="shared" ref="Z181" si="1332">Z178-Z179-Z180</f>
        <v>0</v>
      </c>
      <c r="AA181" s="30">
        <f t="shared" ref="AA181:AD181" si="1333">AA178-AA179-AA180</f>
        <v>0</v>
      </c>
      <c r="AB181" s="30">
        <f t="shared" si="1333"/>
        <v>0</v>
      </c>
      <c r="AC181" s="30">
        <f t="shared" si="1333"/>
        <v>0</v>
      </c>
      <c r="AD181" s="30">
        <f t="shared" si="1333"/>
        <v>0</v>
      </c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B181" s="139"/>
      <c r="DC181" s="29">
        <v>0</v>
      </c>
    </row>
    <row r="182" spans="1:107" s="5" customFormat="1" x14ac:dyDescent="0.2">
      <c r="AA182" s="63"/>
      <c r="AB182" s="63"/>
      <c r="AC182" s="63"/>
      <c r="AD182" s="63"/>
      <c r="CD182" s="112"/>
      <c r="CF182" s="112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B182" s="139"/>
    </row>
    <row r="183" spans="1:107" s="95" customFormat="1" x14ac:dyDescent="0.2">
      <c r="A183" s="95" t="s">
        <v>85</v>
      </c>
      <c r="B183" s="95">
        <f t="shared" ref="B183:W183" si="1334">B178/B128</f>
        <v>0.11634950502236192</v>
      </c>
      <c r="C183" s="95">
        <f t="shared" si="1334"/>
        <v>0.12360147052190874</v>
      </c>
      <c r="D183" s="95">
        <f t="shared" si="1334"/>
        <v>0.11944977559510951</v>
      </c>
      <c r="E183" s="95">
        <f t="shared" si="1334"/>
        <v>0.12002897351964373</v>
      </c>
      <c r="F183" s="95">
        <f t="shared" si="1334"/>
        <v>7.9867903645048449E-2</v>
      </c>
      <c r="G183" s="95">
        <f t="shared" si="1334"/>
        <v>5.6946328519374388E-2</v>
      </c>
      <c r="H183" s="95">
        <f t="shared" si="1334"/>
        <v>3.6192459370380556E-2</v>
      </c>
      <c r="I183" s="95">
        <f t="shared" si="1334"/>
        <v>6.5630472631486164E-2</v>
      </c>
      <c r="J183" s="95">
        <f t="shared" si="1334"/>
        <v>7.4915300083359004E-2</v>
      </c>
      <c r="K183" s="95">
        <f t="shared" si="1334"/>
        <v>0.12655837949821919</v>
      </c>
      <c r="L183" s="95">
        <f t="shared" si="1334"/>
        <v>0.17829784381985705</v>
      </c>
      <c r="M183" s="95">
        <f t="shared" si="1334"/>
        <v>0.24203194907827366</v>
      </c>
      <c r="N183" s="95">
        <f t="shared" si="1334"/>
        <v>0.23174830816116165</v>
      </c>
      <c r="O183" s="95">
        <f t="shared" si="1334"/>
        <v>0.25935817466696065</v>
      </c>
      <c r="P183" s="95">
        <f t="shared" si="1334"/>
        <v>0.21067956324475245</v>
      </c>
      <c r="Q183" s="95">
        <f t="shared" si="1334"/>
        <v>0.19801016216874068</v>
      </c>
      <c r="R183" s="95">
        <f t="shared" si="1334"/>
        <v>0.2291974526531167</v>
      </c>
      <c r="S183" s="95">
        <f t="shared" si="1334"/>
        <v>0.18572761845822147</v>
      </c>
      <c r="T183" s="95">
        <f t="shared" si="1334"/>
        <v>0.16506586441900964</v>
      </c>
      <c r="U183" s="95">
        <f t="shared" si="1334"/>
        <v>0.15638396397495552</v>
      </c>
      <c r="V183" s="95">
        <f t="shared" si="1334"/>
        <v>0.15000778702607295</v>
      </c>
      <c r="W183" s="95">
        <f t="shared" si="1334"/>
        <v>0.11124405546411414</v>
      </c>
      <c r="X183" s="95">
        <f t="shared" ref="X183:Y183" si="1335">X178/X128</f>
        <v>9.7104935571779433E-2</v>
      </c>
      <c r="Y183" s="95">
        <f t="shared" si="1335"/>
        <v>8.9132769878734766E-2</v>
      </c>
      <c r="Z183" s="95">
        <f t="shared" ref="Z183" si="1336">Z178/Z128</f>
        <v>7.2808923952174517E-2</v>
      </c>
      <c r="AA183" s="87">
        <f t="shared" ref="AA183:AD183" si="1337">AA178/AA128</f>
        <v>0</v>
      </c>
      <c r="AB183" s="87">
        <f t="shared" si="1337"/>
        <v>0</v>
      </c>
      <c r="AC183" s="87">
        <f t="shared" si="1337"/>
        <v>0</v>
      </c>
      <c r="AD183" s="87">
        <f t="shared" si="1337"/>
        <v>0</v>
      </c>
      <c r="CL183" s="96"/>
      <c r="CM183" s="96"/>
      <c r="CN183" s="96"/>
      <c r="CO183" s="96"/>
      <c r="CP183" s="96"/>
      <c r="CQ183" s="96"/>
      <c r="CR183" s="96"/>
      <c r="CS183" s="96"/>
      <c r="CT183" s="96"/>
      <c r="CU183" s="96"/>
      <c r="CV183" s="96"/>
      <c r="CW183" s="96"/>
      <c r="CX183" s="96"/>
      <c r="CY183" s="96"/>
      <c r="CZ183" s="96"/>
      <c r="DB183" s="140"/>
      <c r="DC183" s="95" t="e">
        <v>#DIV/0!</v>
      </c>
    </row>
    <row r="184" spans="1:107" x14ac:dyDescent="0.2">
      <c r="A184" s="152" t="s">
        <v>492</v>
      </c>
      <c r="Z184" s="2"/>
      <c r="CD184" s="111"/>
      <c r="CF184" s="111"/>
    </row>
    <row r="185" spans="1:107" s="6" customFormat="1" x14ac:dyDescent="0.2">
      <c r="AA185" s="19"/>
      <c r="AB185" s="19"/>
      <c r="AC185" s="19"/>
      <c r="AD185" s="19"/>
      <c r="CD185" s="113"/>
      <c r="CF185" s="113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B185" s="123"/>
    </row>
    <row r="186" spans="1:107" s="62" customFormat="1" x14ac:dyDescent="0.2">
      <c r="A186" s="153" t="s">
        <v>493</v>
      </c>
      <c r="AA186" s="63"/>
      <c r="AB186" s="63"/>
      <c r="AC186" s="63"/>
      <c r="AD186" s="63"/>
      <c r="CD186" s="114"/>
      <c r="CF186" s="114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B186" s="139"/>
    </row>
    <row r="187" spans="1:107" s="62" customFormat="1" outlineLevel="1" x14ac:dyDescent="0.2">
      <c r="A187" s="68" t="s">
        <v>464</v>
      </c>
      <c r="B187" s="67">
        <f t="shared" ref="B187:AD187" si="1338">B152/B16*365</f>
        <v>42.206950083477423</v>
      </c>
      <c r="C187" s="67">
        <f t="shared" si="1338"/>
        <v>34.706673382336639</v>
      </c>
      <c r="D187" s="67">
        <f t="shared" si="1338"/>
        <v>28.591523913415742</v>
      </c>
      <c r="E187" s="67">
        <f t="shared" si="1338"/>
        <v>25.114181561295933</v>
      </c>
      <c r="F187" s="67">
        <f t="shared" si="1338"/>
        <v>22.99323582670236</v>
      </c>
      <c r="G187" s="67">
        <f t="shared" si="1338"/>
        <v>28.116752811315479</v>
      </c>
      <c r="H187" s="67">
        <f t="shared" si="1338"/>
        <v>27.94481093556432</v>
      </c>
      <c r="I187" s="67">
        <f t="shared" si="1338"/>
        <v>31.956519100311052</v>
      </c>
      <c r="J187" s="67">
        <f t="shared" si="1338"/>
        <v>40.993196702291812</v>
      </c>
      <c r="K187" s="67">
        <f t="shared" si="1338"/>
        <v>38.538969233318312</v>
      </c>
      <c r="L187" s="67">
        <f t="shared" si="1338"/>
        <v>46.000994391951465</v>
      </c>
      <c r="M187" s="67">
        <f t="shared" si="1338"/>
        <v>44.764594348845279</v>
      </c>
      <c r="N187" s="67">
        <f t="shared" si="1338"/>
        <v>44.033228942620077</v>
      </c>
      <c r="O187" s="67">
        <f t="shared" si="1338"/>
        <v>39.996064686259871</v>
      </c>
      <c r="P187" s="67">
        <f t="shared" si="1338"/>
        <v>39.551945056339164</v>
      </c>
      <c r="Q187" s="67">
        <f t="shared" si="1338"/>
        <v>37.370338388765965</v>
      </c>
      <c r="R187" s="67">
        <f t="shared" si="1338"/>
        <v>66.965633344943697</v>
      </c>
      <c r="S187" s="67">
        <f t="shared" si="1338"/>
        <v>50.621700358140068</v>
      </c>
      <c r="T187" s="67">
        <f t="shared" si="1338"/>
        <v>42.997794959986656</v>
      </c>
      <c r="U187" s="67">
        <f t="shared" si="1338"/>
        <v>52.723859507468717</v>
      </c>
      <c r="V187" s="67">
        <f t="shared" si="1338"/>
        <v>53.117659359676956</v>
      </c>
      <c r="W187" s="67">
        <f t="shared" si="1338"/>
        <v>60.523966650831682</v>
      </c>
      <c r="X187" s="67">
        <f t="shared" si="1338"/>
        <v>53.971716069278287</v>
      </c>
      <c r="Y187" s="67">
        <f t="shared" si="1338"/>
        <v>52.848369433328607</v>
      </c>
      <c r="Z187" s="67">
        <f t="shared" ref="Z187" si="1339">Z152/Z16*365</f>
        <v>56.424714483321551</v>
      </c>
      <c r="AA187" s="18">
        <f t="shared" si="1338"/>
        <v>58.416005695881417</v>
      </c>
      <c r="AB187" s="18">
        <f t="shared" si="1338"/>
        <v>62.424041164460235</v>
      </c>
      <c r="AC187" s="18">
        <f t="shared" si="1338"/>
        <v>63.274930229697681</v>
      </c>
      <c r="AD187" s="18">
        <f t="shared" si="1338"/>
        <v>63.149248157229636</v>
      </c>
      <c r="AG187" s="67"/>
      <c r="AH187" s="67"/>
      <c r="AI187" s="67">
        <f t="shared" ref="AI187:CK188" si="1340">+AH187</f>
        <v>0</v>
      </c>
      <c r="AJ187" s="67">
        <f>AJ152/AJ16*90</f>
        <v>40.341980905545839</v>
      </c>
      <c r="AK187" s="67">
        <f t="shared" si="1340"/>
        <v>40.341980905545839</v>
      </c>
      <c r="AL187" s="67">
        <f>AL152/AL16*90</f>
        <v>51.013962253376356</v>
      </c>
      <c r="AM187" s="67">
        <f t="shared" si="1340"/>
        <v>51.013962253376356</v>
      </c>
      <c r="AN187" s="67">
        <f>AN152/AN16*90</f>
        <v>40.38191907871154</v>
      </c>
      <c r="AO187" s="67">
        <f t="shared" si="1340"/>
        <v>40.38191907871154</v>
      </c>
      <c r="AP187" s="67">
        <f>AP152/AP16*90</f>
        <v>49.295569043672963</v>
      </c>
      <c r="AQ187" s="67">
        <f t="shared" si="1340"/>
        <v>49.295569043672963</v>
      </c>
      <c r="AR187" s="67">
        <f>AR152/AR16*90</f>
        <v>35.937920220156272</v>
      </c>
      <c r="AS187" s="67">
        <f t="shared" si="1340"/>
        <v>35.937920220156272</v>
      </c>
      <c r="AT187" s="67">
        <f>AT152/AT16*90</f>
        <v>48.830411778714236</v>
      </c>
      <c r="AU187" s="67">
        <f t="shared" si="1340"/>
        <v>48.830411778714236</v>
      </c>
      <c r="AV187" s="67">
        <f>AV152/AV16*90</f>
        <v>32.687264687009566</v>
      </c>
      <c r="AW187" s="67">
        <f t="shared" si="1340"/>
        <v>32.687264687009566</v>
      </c>
      <c r="AX187" s="67">
        <f>AX152/AX16*90</f>
        <v>41.64618369987064</v>
      </c>
      <c r="AY187" s="67">
        <f t="shared" si="1340"/>
        <v>41.64618369987064</v>
      </c>
      <c r="AZ187" s="67">
        <f>AZ152/AZ16*90</f>
        <v>31.875522642177504</v>
      </c>
      <c r="BA187" s="67">
        <f t="shared" si="1340"/>
        <v>31.875522642177504</v>
      </c>
      <c r="BB187" s="67">
        <f>BB152/BB16*90</f>
        <v>39.947409041258815</v>
      </c>
      <c r="BC187" s="67">
        <f t="shared" si="1340"/>
        <v>39.947409041258815</v>
      </c>
      <c r="BD187" s="67">
        <f>BD152/BD16*90</f>
        <v>60.757571324067293</v>
      </c>
      <c r="BE187" s="67">
        <f t="shared" si="1340"/>
        <v>60.757571324067293</v>
      </c>
      <c r="BF187" s="67">
        <f>BF152/BF16*90</f>
        <v>70.907175275556511</v>
      </c>
      <c r="BG187" s="67">
        <f t="shared" si="1340"/>
        <v>70.907175275556511</v>
      </c>
      <c r="BH187" s="67">
        <f>BH152/BH16*90</f>
        <v>42.468418161845477</v>
      </c>
      <c r="BI187" s="67">
        <f t="shared" si="1340"/>
        <v>42.468418161845477</v>
      </c>
      <c r="BJ187" s="67">
        <f>BJ152/BJ16*90</f>
        <v>48.428161668839628</v>
      </c>
      <c r="BK187" s="67">
        <f t="shared" si="1340"/>
        <v>48.428161668839628</v>
      </c>
      <c r="BL187" s="67">
        <f>BL152/BL16*90</f>
        <v>39.70435103131576</v>
      </c>
      <c r="BM187" s="67">
        <f t="shared" si="1340"/>
        <v>39.70435103131576</v>
      </c>
      <c r="BN187" s="67">
        <f>BN152/BN16*90</f>
        <v>104.09919048875004</v>
      </c>
      <c r="BO187" s="67">
        <f t="shared" si="1340"/>
        <v>104.09919048875004</v>
      </c>
      <c r="BP187" s="67">
        <f>BP152/BP16*90</f>
        <v>44.49463769138503</v>
      </c>
      <c r="BQ187" s="67">
        <f t="shared" si="1340"/>
        <v>44.49463769138503</v>
      </c>
      <c r="BR187" s="67">
        <f>BR152/BR16*90</f>
        <v>62.435857848641362</v>
      </c>
      <c r="BS187" s="67">
        <f t="shared" si="1340"/>
        <v>62.435857848641362</v>
      </c>
      <c r="BT187" s="67">
        <f>BT152/BT16*90</f>
        <v>43.21584582441114</v>
      </c>
      <c r="BU187" s="67">
        <f t="shared" si="1340"/>
        <v>43.21584582441114</v>
      </c>
      <c r="BV187" s="67">
        <f>BV152/BV16*90</f>
        <v>56.647424744381162</v>
      </c>
      <c r="BW187" s="67">
        <f t="shared" si="1340"/>
        <v>56.647424744381162</v>
      </c>
      <c r="BX187" s="67">
        <f>BX152/BX16*90</f>
        <v>52.68403031014747</v>
      </c>
      <c r="BY187" s="67">
        <f t="shared" si="1340"/>
        <v>52.68403031014747</v>
      </c>
      <c r="BZ187" s="67">
        <f>BZ152/BZ16*90</f>
        <v>58.013896030901329</v>
      </c>
      <c r="CA187" s="67">
        <f t="shared" si="1340"/>
        <v>58.013896030901329</v>
      </c>
      <c r="CB187" s="67">
        <f>CB152/CB16*90</f>
        <v>50.940674308882357</v>
      </c>
      <c r="CC187" s="67">
        <f t="shared" si="1340"/>
        <v>50.940674308882357</v>
      </c>
      <c r="CD187" s="67">
        <f>CD152/CD16*90</f>
        <v>53.911744134291339</v>
      </c>
      <c r="CE187" s="67">
        <f t="shared" si="1340"/>
        <v>53.911744134291339</v>
      </c>
      <c r="CF187" s="67">
        <f>CF152/CF16*90</f>
        <v>47.554956566704213</v>
      </c>
      <c r="CG187" s="67">
        <f t="shared" si="1340"/>
        <v>47.554956566704213</v>
      </c>
      <c r="CH187" s="67">
        <f>CH152/CH16*90</f>
        <v>65.53217821782178</v>
      </c>
      <c r="CI187" s="67">
        <f t="shared" si="1340"/>
        <v>65.53217821782178</v>
      </c>
      <c r="CJ187" s="67">
        <f t="shared" ref="CJ187:CJ188" si="1341">+CI187</f>
        <v>65.53217821782178</v>
      </c>
      <c r="CK187" s="67">
        <f t="shared" si="1340"/>
        <v>65.53217821782178</v>
      </c>
      <c r="CL187" s="30">
        <f t="shared" ref="CL187:CL188" si="1342">+CK187</f>
        <v>65.53217821782178</v>
      </c>
      <c r="CM187" s="30">
        <f t="shared" ref="CM187:CM188" si="1343">+CL187</f>
        <v>65.53217821782178</v>
      </c>
      <c r="CN187" s="30">
        <f t="shared" ref="CN187:CN188" si="1344">+CM187</f>
        <v>65.53217821782178</v>
      </c>
      <c r="CO187" s="30">
        <f t="shared" ref="CO187:CO188" si="1345">+CN187</f>
        <v>65.53217821782178</v>
      </c>
      <c r="CP187" s="30">
        <f t="shared" ref="CP187:CP188" si="1346">+CO187</f>
        <v>65.53217821782178</v>
      </c>
      <c r="CQ187" s="30">
        <f t="shared" ref="CQ187:CQ188" si="1347">+CP187</f>
        <v>65.53217821782178</v>
      </c>
      <c r="CR187" s="30">
        <f t="shared" ref="CR187:CR188" si="1348">+CQ187</f>
        <v>65.53217821782178</v>
      </c>
      <c r="CS187" s="30">
        <f t="shared" ref="CS187:CS188" si="1349">+CR187</f>
        <v>65.53217821782178</v>
      </c>
      <c r="CT187" s="30">
        <f t="shared" ref="CT187:CT188" si="1350">+CS187</f>
        <v>65.53217821782178</v>
      </c>
      <c r="CU187" s="30">
        <f t="shared" ref="CU187:CU188" si="1351">+CT187</f>
        <v>65.53217821782178</v>
      </c>
      <c r="CV187" s="30">
        <f t="shared" ref="CV187:CV188" si="1352">+CU187</f>
        <v>65.53217821782178</v>
      </c>
      <c r="CW187" s="30">
        <f t="shared" ref="CW187:CW188" si="1353">+CV187</f>
        <v>65.53217821782178</v>
      </c>
      <c r="CX187" s="30">
        <f t="shared" ref="CX187:CX188" si="1354">+CW187</f>
        <v>65.53217821782178</v>
      </c>
      <c r="CY187" s="30">
        <f t="shared" ref="CY187:CY188" si="1355">+CX187</f>
        <v>65.53217821782178</v>
      </c>
      <c r="CZ187" s="30">
        <f t="shared" ref="CZ187:CZ188" si="1356">+CY187</f>
        <v>65.53217821782178</v>
      </c>
      <c r="DB187" s="139"/>
      <c r="DC187" s="62" t="e">
        <v>#DIV/0!</v>
      </c>
    </row>
    <row r="188" spans="1:107" s="62" customFormat="1" outlineLevel="1" x14ac:dyDescent="0.2">
      <c r="A188" s="68" t="s">
        <v>465</v>
      </c>
      <c r="B188" s="67">
        <f t="shared" ref="B188:AD188" si="1357">B153/B16*365</f>
        <v>147.44248026351792</v>
      </c>
      <c r="C188" s="67">
        <f t="shared" si="1357"/>
        <v>145.77569602782071</v>
      </c>
      <c r="D188" s="67">
        <f t="shared" si="1357"/>
        <v>124.02545965384056</v>
      </c>
      <c r="E188" s="67">
        <f t="shared" si="1357"/>
        <v>93.471039325942598</v>
      </c>
      <c r="F188" s="67">
        <f t="shared" si="1357"/>
        <v>117.40204638047399</v>
      </c>
      <c r="G188" s="67">
        <f t="shared" si="1357"/>
        <v>124.47389626569219</v>
      </c>
      <c r="H188" s="67">
        <f t="shared" si="1357"/>
        <v>138.58109745412233</v>
      </c>
      <c r="I188" s="67">
        <f t="shared" si="1357"/>
        <v>147.97865624023066</v>
      </c>
      <c r="J188" s="67">
        <f t="shared" si="1357"/>
        <v>160.60666316528065</v>
      </c>
      <c r="K188" s="67">
        <f t="shared" si="1357"/>
        <v>161.5867048285622</v>
      </c>
      <c r="L188" s="67">
        <f t="shared" si="1357"/>
        <v>151.52727062893612</v>
      </c>
      <c r="M188" s="67">
        <f t="shared" si="1357"/>
        <v>157.34872176262209</v>
      </c>
      <c r="N188" s="67">
        <f t="shared" si="1357"/>
        <v>144.08575573061094</v>
      </c>
      <c r="O188" s="67">
        <f t="shared" si="1357"/>
        <v>141.29061127314142</v>
      </c>
      <c r="P188" s="67">
        <f t="shared" si="1357"/>
        <v>142.74389034334021</v>
      </c>
      <c r="Q188" s="67">
        <f t="shared" si="1357"/>
        <v>118.07158910744464</v>
      </c>
      <c r="R188" s="67">
        <f t="shared" si="1357"/>
        <v>160.46093115058633</v>
      </c>
      <c r="S188" s="67">
        <f t="shared" si="1357"/>
        <v>92.033453809498198</v>
      </c>
      <c r="T188" s="67">
        <f t="shared" si="1357"/>
        <v>97.176523500832516</v>
      </c>
      <c r="U188" s="67">
        <f t="shared" si="1357"/>
        <v>106.28168941495805</v>
      </c>
      <c r="V188" s="67">
        <f t="shared" si="1357"/>
        <v>99.163772714162093</v>
      </c>
      <c r="W188" s="67">
        <f t="shared" si="1357"/>
        <v>89.16704697853406</v>
      </c>
      <c r="X188" s="67">
        <f t="shared" si="1357"/>
        <v>87.982929595238701</v>
      </c>
      <c r="Y188" s="67">
        <f t="shared" si="1357"/>
        <v>88.685294036212369</v>
      </c>
      <c r="Z188" s="67">
        <f t="shared" ref="Z188" si="1358">Z153/Z16*365</f>
        <v>87.299200846968176</v>
      </c>
      <c r="AA188" s="18">
        <f t="shared" si="1357"/>
        <v>75.389655807969334</v>
      </c>
      <c r="AB188" s="18">
        <f t="shared" si="1357"/>
        <v>80.562286336927116</v>
      </c>
      <c r="AC188" s="18">
        <f t="shared" si="1357"/>
        <v>81.660414033178341</v>
      </c>
      <c r="AD188" s="18">
        <f t="shared" si="1357"/>
        <v>81.498213141971803</v>
      </c>
      <c r="AG188" s="67"/>
      <c r="AH188" s="67"/>
      <c r="AI188" s="67">
        <f t="shared" si="1340"/>
        <v>0</v>
      </c>
      <c r="AJ188" s="67">
        <f>AJ153/AJ16*90</f>
        <v>141.80311965729874</v>
      </c>
      <c r="AK188" s="67">
        <f t="shared" si="1340"/>
        <v>141.80311965729874</v>
      </c>
      <c r="AL188" s="67">
        <f>AL153/AL16*90</f>
        <v>162.95491534134712</v>
      </c>
      <c r="AM188" s="67">
        <f t="shared" si="1340"/>
        <v>162.95491534134712</v>
      </c>
      <c r="AN188" s="67">
        <f>AN153/AN16*90</f>
        <v>132.13792102074984</v>
      </c>
      <c r="AO188" s="67">
        <f t="shared" si="1340"/>
        <v>132.13792102074984</v>
      </c>
      <c r="AP188" s="67">
        <f>AP153/AP16*90</f>
        <v>157.38071979716602</v>
      </c>
      <c r="AQ188" s="67">
        <f t="shared" si="1340"/>
        <v>157.38071979716602</v>
      </c>
      <c r="AR188" s="67">
        <f>AR153/AR16*90</f>
        <v>126.95475806487642</v>
      </c>
      <c r="AS188" s="67">
        <f t="shared" si="1340"/>
        <v>126.95475806487642</v>
      </c>
      <c r="AT188" s="67">
        <f>AT153/AT16*90</f>
        <v>150.65105973224547</v>
      </c>
      <c r="AU188" s="67">
        <f t="shared" si="1340"/>
        <v>150.65105973224547</v>
      </c>
      <c r="AV188" s="67">
        <f>AV153/AV16*90</f>
        <v>117.9690991039745</v>
      </c>
      <c r="AW188" s="67">
        <f t="shared" si="1340"/>
        <v>117.9690991039745</v>
      </c>
      <c r="AX188" s="67">
        <f>AX153/AX16*90</f>
        <v>125.75315329883571</v>
      </c>
      <c r="AY188" s="67">
        <f t="shared" si="1340"/>
        <v>125.75315329883571</v>
      </c>
      <c r="AZ188" s="67">
        <f>AZ153/AZ16*90</f>
        <v>103.85030021320033</v>
      </c>
      <c r="BA188" s="67">
        <f t="shared" si="1340"/>
        <v>103.85030021320033</v>
      </c>
      <c r="BB188" s="67">
        <f>BB153/BB16*90</f>
        <v>107.28542931007581</v>
      </c>
      <c r="BC188" s="67">
        <f t="shared" si="1340"/>
        <v>107.28542931007581</v>
      </c>
      <c r="BD188" s="67">
        <f>BD153/BD16*90</f>
        <v>146.83259692757863</v>
      </c>
      <c r="BE188" s="67">
        <f t="shared" si="1340"/>
        <v>146.83259692757863</v>
      </c>
      <c r="BF188" s="67">
        <f>BF153/BF16*90</f>
        <v>158.071104387292</v>
      </c>
      <c r="BG188" s="67">
        <f t="shared" si="1340"/>
        <v>158.071104387292</v>
      </c>
      <c r="BH188" s="67">
        <f>BH153/BH16*90</f>
        <v>77.210270963017223</v>
      </c>
      <c r="BI188" s="67">
        <f t="shared" si="1340"/>
        <v>77.210270963017223</v>
      </c>
      <c r="BJ188" s="67">
        <f>BJ153/BJ16*90</f>
        <v>97.256323337679291</v>
      </c>
      <c r="BK188" s="67">
        <f t="shared" si="1340"/>
        <v>97.256323337679291</v>
      </c>
      <c r="BL188" s="67">
        <f>BL153/BL16*90</f>
        <v>89.733224800724912</v>
      </c>
      <c r="BM188" s="67">
        <f t="shared" si="1340"/>
        <v>89.733224800724912</v>
      </c>
      <c r="BN188" s="67">
        <f>BN153/BN16*90</f>
        <v>146.52001460772181</v>
      </c>
      <c r="BO188" s="67">
        <f t="shared" si="1340"/>
        <v>146.52001460772181</v>
      </c>
      <c r="BP188" s="67">
        <f>BP153/BP16*90</f>
        <v>89.693078388485148</v>
      </c>
      <c r="BQ188" s="67">
        <f t="shared" si="1340"/>
        <v>89.693078388485148</v>
      </c>
      <c r="BR188" s="67">
        <f>BR153/BR16*90</f>
        <v>101.04157309678868</v>
      </c>
      <c r="BS188" s="67">
        <f t="shared" si="1340"/>
        <v>101.04157309678868</v>
      </c>
      <c r="BT188" s="67">
        <f>BT153/BT16*90</f>
        <v>80.678372591006422</v>
      </c>
      <c r="BU188" s="67">
        <f t="shared" si="1340"/>
        <v>80.678372591006422</v>
      </c>
      <c r="BV188" s="67">
        <f>BV153/BV16*90</f>
        <v>85.780680220225463</v>
      </c>
      <c r="BW188" s="67">
        <f t="shared" si="1340"/>
        <v>85.780680220225463</v>
      </c>
      <c r="BX188" s="67">
        <f>BX153/BX16*90</f>
        <v>77.616846112958427</v>
      </c>
      <c r="BY188" s="67">
        <f t="shared" si="1340"/>
        <v>77.616846112958427</v>
      </c>
      <c r="BZ188" s="67">
        <f>BZ153/BZ16*90</f>
        <v>85.848770045801885</v>
      </c>
      <c r="CA188" s="67">
        <f t="shared" si="1340"/>
        <v>85.848770045801885</v>
      </c>
      <c r="CB188" s="67">
        <f>CB153/CB16*90</f>
        <v>83.041824267721736</v>
      </c>
      <c r="CC188" s="67">
        <f t="shared" si="1340"/>
        <v>83.041824267721736</v>
      </c>
      <c r="CD188" s="67">
        <f>CD153/CD16*90</f>
        <v>92.126915495644425</v>
      </c>
      <c r="CE188" s="67">
        <f t="shared" si="1340"/>
        <v>92.126915495644425</v>
      </c>
      <c r="CF188" s="67">
        <f>CF153/CF16*90</f>
        <v>79.80237330345652</v>
      </c>
      <c r="CG188" s="67">
        <f t="shared" si="1340"/>
        <v>79.80237330345652</v>
      </c>
      <c r="CH188" s="67">
        <f>CH153/CH16*90</f>
        <v>84.573539415010202</v>
      </c>
      <c r="CI188" s="67">
        <f t="shared" si="1340"/>
        <v>84.573539415010202</v>
      </c>
      <c r="CJ188" s="67">
        <f t="shared" si="1341"/>
        <v>84.573539415010202</v>
      </c>
      <c r="CK188" s="67">
        <f t="shared" si="1340"/>
        <v>84.573539415010202</v>
      </c>
      <c r="CL188" s="30">
        <f t="shared" si="1342"/>
        <v>84.573539415010202</v>
      </c>
      <c r="CM188" s="30">
        <f t="shared" si="1343"/>
        <v>84.573539415010202</v>
      </c>
      <c r="CN188" s="30">
        <f t="shared" si="1344"/>
        <v>84.573539415010202</v>
      </c>
      <c r="CO188" s="30">
        <f t="shared" si="1345"/>
        <v>84.573539415010202</v>
      </c>
      <c r="CP188" s="30">
        <f t="shared" si="1346"/>
        <v>84.573539415010202</v>
      </c>
      <c r="CQ188" s="30">
        <f t="shared" si="1347"/>
        <v>84.573539415010202</v>
      </c>
      <c r="CR188" s="30">
        <f t="shared" si="1348"/>
        <v>84.573539415010202</v>
      </c>
      <c r="CS188" s="30">
        <f t="shared" si="1349"/>
        <v>84.573539415010202</v>
      </c>
      <c r="CT188" s="30">
        <f t="shared" si="1350"/>
        <v>84.573539415010202</v>
      </c>
      <c r="CU188" s="30">
        <f t="shared" si="1351"/>
        <v>84.573539415010202</v>
      </c>
      <c r="CV188" s="30">
        <f t="shared" si="1352"/>
        <v>84.573539415010202</v>
      </c>
      <c r="CW188" s="30">
        <f t="shared" si="1353"/>
        <v>84.573539415010202</v>
      </c>
      <c r="CX188" s="30">
        <f t="shared" si="1354"/>
        <v>84.573539415010202</v>
      </c>
      <c r="CY188" s="30">
        <f t="shared" si="1355"/>
        <v>84.573539415010202</v>
      </c>
      <c r="CZ188" s="30">
        <f t="shared" si="1356"/>
        <v>84.573539415010202</v>
      </c>
      <c r="DB188" s="139"/>
      <c r="DC188" s="62" t="e">
        <v>#DIV/0!</v>
      </c>
    </row>
    <row r="189" spans="1:107" s="62" customFormat="1" outlineLevel="1" x14ac:dyDescent="0.2">
      <c r="A189" s="68" t="s">
        <v>466</v>
      </c>
      <c r="B189" s="67">
        <f>B190-B188-B187</f>
        <v>31.825044954920244</v>
      </c>
      <c r="C189" s="67">
        <f t="shared" ref="C189:U189" si="1359">C190-C188-C187</f>
        <v>28.803257576221519</v>
      </c>
      <c r="D189" s="67">
        <f t="shared" si="1359"/>
        <v>39.171275995255982</v>
      </c>
      <c r="E189" s="67">
        <f t="shared" si="1359"/>
        <v>29.103009418971997</v>
      </c>
      <c r="F189" s="67">
        <f t="shared" si="1359"/>
        <v>40.529207832114466</v>
      </c>
      <c r="G189" s="67">
        <f t="shared" si="1359"/>
        <v>25.783336480574775</v>
      </c>
      <c r="H189" s="67">
        <f t="shared" si="1359"/>
        <v>31.767480645729378</v>
      </c>
      <c r="I189" s="67">
        <f t="shared" si="1359"/>
        <v>36.451790242091704</v>
      </c>
      <c r="J189" s="67">
        <f t="shared" si="1359"/>
        <v>35.855472516968433</v>
      </c>
      <c r="K189" s="67">
        <f t="shared" si="1359"/>
        <v>39.501304999021613</v>
      </c>
      <c r="L189" s="67">
        <f t="shared" si="1359"/>
        <v>35.156485891309345</v>
      </c>
      <c r="M189" s="67">
        <f t="shared" si="1359"/>
        <v>39.372910775667194</v>
      </c>
      <c r="N189" s="67">
        <f t="shared" si="1359"/>
        <v>203.6674324154514</v>
      </c>
      <c r="O189" s="67">
        <f t="shared" si="1359"/>
        <v>128.39935097972153</v>
      </c>
      <c r="P189" s="67">
        <f t="shared" si="1359"/>
        <v>128.79123946163514</v>
      </c>
      <c r="Q189" s="67">
        <f t="shared" si="1359"/>
        <v>46.171495243653858</v>
      </c>
      <c r="R189" s="67">
        <f t="shared" si="1359"/>
        <v>101.92035295483574</v>
      </c>
      <c r="S189" s="67">
        <f t="shared" si="1359"/>
        <v>212.54512624586698</v>
      </c>
      <c r="T189" s="67">
        <f t="shared" si="1359"/>
        <v>118.87475974223048</v>
      </c>
      <c r="U189" s="67">
        <f t="shared" si="1359"/>
        <v>117.46190913854264</v>
      </c>
      <c r="V189" s="67">
        <f>V190-V188-V187</f>
        <v>77.898074704355338</v>
      </c>
      <c r="W189" s="67">
        <f t="shared" ref="W189" si="1360">W190-W188-W187</f>
        <v>47.037226598564544</v>
      </c>
      <c r="X189" s="67">
        <f t="shared" ref="X189:Y189" si="1361">X190-X188-X187</f>
        <v>31.877256608410534</v>
      </c>
      <c r="Y189" s="67">
        <f t="shared" si="1361"/>
        <v>25.716613001210114</v>
      </c>
      <c r="Z189" s="67">
        <f t="shared" ref="Z189" si="1362">Z190-Z188-Z187</f>
        <v>33.121327740090422</v>
      </c>
      <c r="AA189" s="18">
        <f t="shared" ref="AA189:AD189" si="1363">AA190-AA188-AA187</f>
        <v>26.047250131817954</v>
      </c>
      <c r="AB189" s="18">
        <f t="shared" si="1363"/>
        <v>27.8344024908953</v>
      </c>
      <c r="AC189" s="18">
        <f t="shared" si="1363"/>
        <v>28.213807416868029</v>
      </c>
      <c r="AD189" s="18">
        <f t="shared" si="1363"/>
        <v>28.157766742062165</v>
      </c>
      <c r="AG189" s="67"/>
      <c r="AH189" s="67"/>
      <c r="AI189" s="67">
        <f>AH189</f>
        <v>0</v>
      </c>
      <c r="AJ189" s="67">
        <f t="shared" ref="AJ189" si="1364">AJ190-AJ188-AJ187</f>
        <v>35.482980194786464</v>
      </c>
      <c r="AK189" s="67">
        <f>AJ189</f>
        <v>35.482980194786464</v>
      </c>
      <c r="AL189" s="67">
        <f t="shared" ref="AL189" si="1365">AL190-AL188-AL187</f>
        <v>52.780915398452429</v>
      </c>
      <c r="AM189" s="67">
        <f>AL189</f>
        <v>52.780915398452429</v>
      </c>
      <c r="AN189" s="67">
        <f t="shared" ref="AN189:AX189" si="1366">AN190-AN188-AN187</f>
        <v>41.854102102211108</v>
      </c>
      <c r="AO189" s="67">
        <f>AN189</f>
        <v>41.854102102211108</v>
      </c>
      <c r="AP189" s="67">
        <f t="shared" si="1366"/>
        <v>56.132325017286924</v>
      </c>
      <c r="AQ189" s="67">
        <f>AP189</f>
        <v>56.132325017286924</v>
      </c>
      <c r="AR189" s="67">
        <f t="shared" si="1366"/>
        <v>43.471124592903024</v>
      </c>
      <c r="AS189" s="67">
        <f>AR189</f>
        <v>43.471124592903024</v>
      </c>
      <c r="AT189" s="67">
        <f t="shared" si="1366"/>
        <v>52.223781074952555</v>
      </c>
      <c r="AU189" s="67">
        <f>AT189</f>
        <v>52.223781074952555</v>
      </c>
      <c r="AV189" s="67">
        <f t="shared" si="1366"/>
        <v>38.153406674964636</v>
      </c>
      <c r="AW189" s="67">
        <f>AV189</f>
        <v>38.153406674964636</v>
      </c>
      <c r="AX189" s="67">
        <f t="shared" si="1366"/>
        <v>41.485284605433385</v>
      </c>
      <c r="AY189" s="67">
        <f>AX189</f>
        <v>41.485284605433385</v>
      </c>
      <c r="AZ189" s="67">
        <f t="shared" ref="AZ189:BB189" si="1367">AZ190-AZ188-AZ187</f>
        <v>37.928905596697263</v>
      </c>
      <c r="BA189" s="67">
        <f>AZ189</f>
        <v>37.928905596697263</v>
      </c>
      <c r="BB189" s="67">
        <f t="shared" si="1367"/>
        <v>44.456271904113215</v>
      </c>
      <c r="BC189" s="67">
        <f>BB189</f>
        <v>44.456271904113215</v>
      </c>
      <c r="BD189" s="67">
        <f t="shared" ref="BD189:CD189" si="1368">BD190-BD188-BD187</f>
        <v>91.224579370885124</v>
      </c>
      <c r="BE189" s="67">
        <f>BD189</f>
        <v>91.224579370885124</v>
      </c>
      <c r="BF189" s="67">
        <f t="shared" si="1368"/>
        <v>107.11368057056407</v>
      </c>
      <c r="BG189" s="67">
        <f>BF189</f>
        <v>107.11368057056407</v>
      </c>
      <c r="BH189" s="67">
        <f t="shared" si="1368"/>
        <v>178.31197363603073</v>
      </c>
      <c r="BI189" s="67">
        <f>BH189</f>
        <v>178.31197363603073</v>
      </c>
      <c r="BJ189" s="67">
        <f t="shared" si="1368"/>
        <v>217.74706649282925</v>
      </c>
      <c r="BK189" s="67">
        <f>BJ189</f>
        <v>217.74706649282925</v>
      </c>
      <c r="BL189" s="67">
        <f t="shared" si="1368"/>
        <v>109.76947059636623</v>
      </c>
      <c r="BM189" s="67">
        <f>BL189</f>
        <v>109.76947059636623</v>
      </c>
      <c r="BN189" s="67">
        <f t="shared" si="1368"/>
        <v>198.34821156850415</v>
      </c>
      <c r="BO189" s="67">
        <f>BN189</f>
        <v>198.34821156850415</v>
      </c>
      <c r="BP189" s="67">
        <f t="shared" si="1368"/>
        <v>103.05951456995695</v>
      </c>
      <c r="BQ189" s="67">
        <f>BP189</f>
        <v>103.05951456995695</v>
      </c>
      <c r="BR189" s="67">
        <f t="shared" si="1368"/>
        <v>106.91226420390747</v>
      </c>
      <c r="BS189" s="67">
        <f>BR189</f>
        <v>106.91226420390747</v>
      </c>
      <c r="BT189" s="67">
        <f t="shared" si="1368"/>
        <v>66.373019271948579</v>
      </c>
      <c r="BU189" s="67">
        <f>BT189</f>
        <v>66.373019271948579</v>
      </c>
      <c r="BV189" s="67">
        <f t="shared" si="1368"/>
        <v>60.691279166765987</v>
      </c>
      <c r="BW189" s="67">
        <f>BV189</f>
        <v>60.691279166765987</v>
      </c>
      <c r="BX189" s="67">
        <f t="shared" si="1368"/>
        <v>42.47104342559053</v>
      </c>
      <c r="BY189" s="67">
        <f>BX189</f>
        <v>42.47104342559053</v>
      </c>
      <c r="BZ189" s="67">
        <f t="shared" si="1368"/>
        <v>40.626517262410182</v>
      </c>
      <c r="CA189" s="67">
        <f>BZ189</f>
        <v>40.626517262410182</v>
      </c>
      <c r="CB189" s="67">
        <f t="shared" si="1368"/>
        <v>31.914458438652524</v>
      </c>
      <c r="CC189" s="67">
        <f>CB189</f>
        <v>31.914458438652524</v>
      </c>
      <c r="CD189" s="67">
        <f t="shared" si="1368"/>
        <v>31.029121892287193</v>
      </c>
      <c r="CE189" s="67">
        <f>CD189</f>
        <v>31.029121892287193</v>
      </c>
      <c r="CF189" s="67">
        <f t="shared" ref="CF189" si="1369">CF190-CF188-CF187</f>
        <v>24.718285372949815</v>
      </c>
      <c r="CG189" s="67">
        <f>CF189</f>
        <v>24.718285372949815</v>
      </c>
      <c r="CH189" s="67">
        <f t="shared" ref="CH189" si="1370">CH190-CH188-CH187</f>
        <v>29.220297029702976</v>
      </c>
      <c r="CI189" s="67">
        <f>CH189</f>
        <v>29.220297029702976</v>
      </c>
      <c r="CJ189" s="67">
        <f t="shared" ref="CJ189:CZ189" si="1371">CI189</f>
        <v>29.220297029702976</v>
      </c>
      <c r="CK189" s="67">
        <f>CJ189</f>
        <v>29.220297029702976</v>
      </c>
      <c r="CL189" s="30">
        <f t="shared" si="1371"/>
        <v>29.220297029702976</v>
      </c>
      <c r="CM189" s="30">
        <f t="shared" si="1371"/>
        <v>29.220297029702976</v>
      </c>
      <c r="CN189" s="30">
        <f t="shared" si="1371"/>
        <v>29.220297029702976</v>
      </c>
      <c r="CO189" s="30">
        <f t="shared" si="1371"/>
        <v>29.220297029702976</v>
      </c>
      <c r="CP189" s="30">
        <f t="shared" si="1371"/>
        <v>29.220297029702976</v>
      </c>
      <c r="CQ189" s="30">
        <f t="shared" si="1371"/>
        <v>29.220297029702976</v>
      </c>
      <c r="CR189" s="30">
        <f t="shared" si="1371"/>
        <v>29.220297029702976</v>
      </c>
      <c r="CS189" s="30">
        <f t="shared" si="1371"/>
        <v>29.220297029702976</v>
      </c>
      <c r="CT189" s="30">
        <f t="shared" si="1371"/>
        <v>29.220297029702976</v>
      </c>
      <c r="CU189" s="30">
        <f t="shared" si="1371"/>
        <v>29.220297029702976</v>
      </c>
      <c r="CV189" s="30">
        <f t="shared" si="1371"/>
        <v>29.220297029702976</v>
      </c>
      <c r="CW189" s="30">
        <f t="shared" si="1371"/>
        <v>29.220297029702976</v>
      </c>
      <c r="CX189" s="30">
        <f t="shared" si="1371"/>
        <v>29.220297029702976</v>
      </c>
      <c r="CY189" s="30">
        <f t="shared" si="1371"/>
        <v>29.220297029702976</v>
      </c>
      <c r="CZ189" s="30">
        <f t="shared" si="1371"/>
        <v>29.220297029702976</v>
      </c>
      <c r="DB189" s="139"/>
      <c r="DC189" s="62" t="e">
        <v>#DIV/0!</v>
      </c>
    </row>
    <row r="190" spans="1:107" s="7" customFormat="1" outlineLevel="1" x14ac:dyDescent="0.2">
      <c r="A190" s="69" t="s">
        <v>467</v>
      </c>
      <c r="B190" s="70">
        <f t="shared" ref="B190:AD190" si="1372">B156/B16*365</f>
        <v>221.47447530191559</v>
      </c>
      <c r="C190" s="70">
        <f t="shared" si="1372"/>
        <v>209.28562698637887</v>
      </c>
      <c r="D190" s="70">
        <f t="shared" si="1372"/>
        <v>191.78825956251228</v>
      </c>
      <c r="E190" s="70">
        <f t="shared" si="1372"/>
        <v>147.68823030621053</v>
      </c>
      <c r="F190" s="70">
        <f t="shared" si="1372"/>
        <v>180.92449003929082</v>
      </c>
      <c r="G190" s="70">
        <f t="shared" si="1372"/>
        <v>178.37398555758244</v>
      </c>
      <c r="H190" s="70">
        <f t="shared" si="1372"/>
        <v>198.29338903541603</v>
      </c>
      <c r="I190" s="70">
        <f t="shared" si="1372"/>
        <v>216.38696558263342</v>
      </c>
      <c r="J190" s="70">
        <f t="shared" si="1372"/>
        <v>237.4553323845409</v>
      </c>
      <c r="K190" s="70">
        <f t="shared" si="1372"/>
        <v>239.62697906090213</v>
      </c>
      <c r="L190" s="70">
        <f t="shared" si="1372"/>
        <v>232.68475091219693</v>
      </c>
      <c r="M190" s="70">
        <f t="shared" si="1372"/>
        <v>241.48622688713456</v>
      </c>
      <c r="N190" s="70">
        <f t="shared" si="1372"/>
        <v>391.78641708868241</v>
      </c>
      <c r="O190" s="70">
        <f t="shared" si="1372"/>
        <v>309.68602693912283</v>
      </c>
      <c r="P190" s="70">
        <f t="shared" si="1372"/>
        <v>311.08707486131453</v>
      </c>
      <c r="Q190" s="70">
        <f t="shared" si="1372"/>
        <v>201.61342273986446</v>
      </c>
      <c r="R190" s="70">
        <f t="shared" si="1372"/>
        <v>329.34691745036577</v>
      </c>
      <c r="S190" s="70">
        <f t="shared" si="1372"/>
        <v>355.20028041350525</v>
      </c>
      <c r="T190" s="70">
        <f t="shared" si="1372"/>
        <v>259.04907820304965</v>
      </c>
      <c r="U190" s="70">
        <f t="shared" si="1372"/>
        <v>276.46745806096942</v>
      </c>
      <c r="V190" s="70">
        <f t="shared" si="1372"/>
        <v>230.17950677819439</v>
      </c>
      <c r="W190" s="70">
        <f t="shared" si="1372"/>
        <v>196.72824022793029</v>
      </c>
      <c r="X190" s="70">
        <f t="shared" si="1372"/>
        <v>173.83190227292752</v>
      </c>
      <c r="Y190" s="70">
        <f t="shared" si="1372"/>
        <v>167.25027647075109</v>
      </c>
      <c r="Z190" s="70">
        <f t="shared" ref="Z190" si="1373">Z156/Z16*365</f>
        <v>176.84524307038015</v>
      </c>
      <c r="AA190" s="71">
        <f t="shared" si="1372"/>
        <v>159.8529116356687</v>
      </c>
      <c r="AB190" s="71">
        <f t="shared" si="1372"/>
        <v>170.82072999228265</v>
      </c>
      <c r="AC190" s="71">
        <f t="shared" si="1372"/>
        <v>173.14915167974405</v>
      </c>
      <c r="AD190" s="71">
        <f t="shared" si="1372"/>
        <v>172.8052280412636</v>
      </c>
      <c r="AG190" s="70"/>
      <c r="AH190" s="70"/>
      <c r="AI190" s="70">
        <f>AI187+AI188+AI189</f>
        <v>0</v>
      </c>
      <c r="AJ190" s="70">
        <f t="shared" ref="AJ190" si="1374">AJ156/AJ16*90</f>
        <v>217.62808075763104</v>
      </c>
      <c r="AK190" s="70">
        <f>AK187+AK188+AK189</f>
        <v>217.62808075763104</v>
      </c>
      <c r="AL190" s="70">
        <f t="shared" ref="AL190" si="1375">AL156/AL16*90</f>
        <v>266.7497929931759</v>
      </c>
      <c r="AM190" s="70">
        <f>AM187+AM188+AM189</f>
        <v>266.7497929931759</v>
      </c>
      <c r="AN190" s="70">
        <f t="shared" ref="AN190" si="1376">AN156/AN16*90</f>
        <v>214.37394220167249</v>
      </c>
      <c r="AO190" s="70">
        <f>AO187+AO188+AO189</f>
        <v>214.37394220167249</v>
      </c>
      <c r="AP190" s="70">
        <f t="shared" ref="AP190" si="1377">AP156/AP16*90</f>
        <v>262.80861385812591</v>
      </c>
      <c r="AQ190" s="70">
        <f>AQ187+AQ188+AQ189</f>
        <v>262.80861385812591</v>
      </c>
      <c r="AR190" s="70">
        <f t="shared" ref="AR190" si="1378">AR156/AR16*90</f>
        <v>206.36380287793571</v>
      </c>
      <c r="AS190" s="70">
        <f>AS187+AS188+AS189</f>
        <v>206.36380287793571</v>
      </c>
      <c r="AT190" s="70">
        <f t="shared" ref="AT190" si="1379">AT156/AT16*90</f>
        <v>251.70525258591226</v>
      </c>
      <c r="AU190" s="70">
        <f>AU187+AU188+AU189</f>
        <v>251.70525258591226</v>
      </c>
      <c r="AV190" s="70">
        <f t="shared" ref="AV190" si="1380">AV156/AV16*90</f>
        <v>188.8097704659487</v>
      </c>
      <c r="AW190" s="70">
        <f>AW187+AW188+AW189</f>
        <v>188.8097704659487</v>
      </c>
      <c r="AX190" s="70">
        <f t="shared" ref="AX190" si="1381">AX156/AX16*90</f>
        <v>208.88462160413974</v>
      </c>
      <c r="AY190" s="70">
        <f>AY187+AY188+AY189</f>
        <v>208.88462160413974</v>
      </c>
      <c r="AZ190" s="70">
        <f t="shared" ref="AZ190" si="1382">AZ156/AZ16*90</f>
        <v>173.65472845207509</v>
      </c>
      <c r="BA190" s="70">
        <f>BA187+BA188+BA189</f>
        <v>173.65472845207509</v>
      </c>
      <c r="BB190" s="70">
        <f t="shared" ref="BB190" si="1383">BB156/BB16*90</f>
        <v>191.68911025544784</v>
      </c>
      <c r="BC190" s="70">
        <f>BC187+BC188+BC189</f>
        <v>191.68911025544784</v>
      </c>
      <c r="BD190" s="70">
        <f t="shared" ref="BD190" si="1384">BD156/BD16*90</f>
        <v>298.81474762253106</v>
      </c>
      <c r="BE190" s="70">
        <f>BE187+BE188+BE189</f>
        <v>298.81474762253106</v>
      </c>
      <c r="BF190" s="70">
        <f t="shared" ref="BF190" si="1385">BF156/BF16*90</f>
        <v>336.09196023341258</v>
      </c>
      <c r="BG190" s="70">
        <f>BG187+BG188+BG189</f>
        <v>336.09196023341258</v>
      </c>
      <c r="BH190" s="70">
        <f t="shared" ref="BH190" si="1386">BH156/BH16*90</f>
        <v>297.99066276089343</v>
      </c>
      <c r="BI190" s="70">
        <f>BI187+BI188+BI189</f>
        <v>297.99066276089343</v>
      </c>
      <c r="BJ190" s="70">
        <f t="shared" ref="BJ190" si="1387">BJ156/BJ16*90</f>
        <v>363.43155149934819</v>
      </c>
      <c r="BK190" s="70">
        <f>BK187+BK188+BK189</f>
        <v>363.43155149934819</v>
      </c>
      <c r="BL190" s="70">
        <f t="shared" ref="BL190" si="1388">BL156/BL16*90</f>
        <v>239.2070464284069</v>
      </c>
      <c r="BM190" s="70">
        <f>BM187+BM188+BM189</f>
        <v>239.2070464284069</v>
      </c>
      <c r="BN190" s="70">
        <f t="shared" ref="BN190" si="1389">BN156/BN16*90</f>
        <v>448.96741666497599</v>
      </c>
      <c r="BO190" s="70">
        <f>BO187+BO188+BO189</f>
        <v>448.96741666497599</v>
      </c>
      <c r="BP190" s="70">
        <f t="shared" ref="BP190" si="1390">BP156/BP16*90</f>
        <v>237.24723064982715</v>
      </c>
      <c r="BQ190" s="70">
        <f>BQ187+BQ188+BQ189</f>
        <v>237.24723064982712</v>
      </c>
      <c r="BR190" s="70">
        <f t="shared" ref="BR190" si="1391">BR156/BR16*90</f>
        <v>270.38969514933751</v>
      </c>
      <c r="BS190" s="70">
        <f>BS187+BS188+BS189</f>
        <v>270.38969514933751</v>
      </c>
      <c r="BT190" s="70">
        <f t="shared" ref="BT190" si="1392">BT156/BT16*90</f>
        <v>190.26723768736613</v>
      </c>
      <c r="BU190" s="70">
        <f>BU187+BU188+BU189</f>
        <v>190.26723768736613</v>
      </c>
      <c r="BV190" s="70">
        <f t="shared" ref="BV190" si="1393">BV156/BV16*90</f>
        <v>203.11938413137261</v>
      </c>
      <c r="BW190" s="70">
        <f>BW187+BW188+BW189</f>
        <v>203.11938413137261</v>
      </c>
      <c r="BX190" s="70">
        <f t="shared" ref="BX190" si="1394">BX156/BX16*90</f>
        <v>172.77191984869643</v>
      </c>
      <c r="BY190" s="70">
        <f>BY187+BY188+BY189</f>
        <v>172.77191984869643</v>
      </c>
      <c r="BZ190" s="70">
        <f t="shared" ref="BZ190" si="1395">BZ156/BZ16*90</f>
        <v>184.4891833391134</v>
      </c>
      <c r="CA190" s="70">
        <f>CA187+CA188+CA189</f>
        <v>184.4891833391134</v>
      </c>
      <c r="CB190" s="70">
        <f t="shared" ref="CB190" si="1396">CB156/CB16*90</f>
        <v>165.89695701525662</v>
      </c>
      <c r="CC190" s="70">
        <f>CC187+CC188+CC189</f>
        <v>165.89695701525662</v>
      </c>
      <c r="CD190" s="70">
        <f t="shared" ref="CD190" si="1397">CD156/CD16*90</f>
        <v>177.06778152222296</v>
      </c>
      <c r="CE190" s="70">
        <f>CE187+CE188+CE189</f>
        <v>177.06778152222296</v>
      </c>
      <c r="CF190" s="70">
        <f t="shared" ref="CF190" si="1398">CF156/CF16*90</f>
        <v>152.07561524311055</v>
      </c>
      <c r="CG190" s="70">
        <f>CG187+CG188+CG189</f>
        <v>152.07561524311055</v>
      </c>
      <c r="CH190" s="70">
        <f t="shared" ref="CH190" si="1399">CH156/CH16*90</f>
        <v>179.32601466253496</v>
      </c>
      <c r="CI190" s="70">
        <f>CI187+CI188+CI189</f>
        <v>179.32601466253496</v>
      </c>
      <c r="CJ190" s="70">
        <f t="shared" ref="CJ190:CZ190" si="1400">CJ187+CJ188+CJ189</f>
        <v>179.32601466253496</v>
      </c>
      <c r="CK190" s="70">
        <f>CK187+CK188+CK189</f>
        <v>179.32601466253496</v>
      </c>
      <c r="CL190" s="50">
        <f t="shared" si="1400"/>
        <v>179.32601466253496</v>
      </c>
      <c r="CM190" s="50">
        <f t="shared" si="1400"/>
        <v>179.32601466253496</v>
      </c>
      <c r="CN190" s="50">
        <f t="shared" si="1400"/>
        <v>179.32601466253496</v>
      </c>
      <c r="CO190" s="50">
        <f t="shared" si="1400"/>
        <v>179.32601466253496</v>
      </c>
      <c r="CP190" s="50">
        <f t="shared" si="1400"/>
        <v>179.32601466253496</v>
      </c>
      <c r="CQ190" s="50">
        <f t="shared" si="1400"/>
        <v>179.32601466253496</v>
      </c>
      <c r="CR190" s="50">
        <f t="shared" si="1400"/>
        <v>179.32601466253496</v>
      </c>
      <c r="CS190" s="50">
        <f t="shared" si="1400"/>
        <v>179.32601466253496</v>
      </c>
      <c r="CT190" s="50">
        <f t="shared" si="1400"/>
        <v>179.32601466253496</v>
      </c>
      <c r="CU190" s="50">
        <f t="shared" si="1400"/>
        <v>179.32601466253496</v>
      </c>
      <c r="CV190" s="50">
        <f t="shared" si="1400"/>
        <v>179.32601466253496</v>
      </c>
      <c r="CW190" s="50">
        <f t="shared" si="1400"/>
        <v>179.32601466253496</v>
      </c>
      <c r="CX190" s="50">
        <f t="shared" si="1400"/>
        <v>179.32601466253496</v>
      </c>
      <c r="CY190" s="50">
        <f t="shared" si="1400"/>
        <v>179.32601466253496</v>
      </c>
      <c r="CZ190" s="50">
        <f t="shared" si="1400"/>
        <v>179.32601466253496</v>
      </c>
      <c r="DB190" s="138"/>
      <c r="DC190" s="7" t="e">
        <v>#DIV/0!</v>
      </c>
    </row>
    <row r="191" spans="1:107" s="62" customFormat="1" outlineLevel="1" x14ac:dyDescent="0.2">
      <c r="A191" s="68" t="s">
        <v>468</v>
      </c>
      <c r="B191" s="67">
        <f t="shared" ref="B191:AD191" si="1401">B161/B16*365</f>
        <v>143.10014650551702</v>
      </c>
      <c r="C191" s="67">
        <f t="shared" si="1401"/>
        <v>158.5704349263828</v>
      </c>
      <c r="D191" s="67">
        <f t="shared" si="1401"/>
        <v>146.10755107088724</v>
      </c>
      <c r="E191" s="67">
        <f t="shared" si="1401"/>
        <v>116.5092944931627</v>
      </c>
      <c r="F191" s="67">
        <f t="shared" si="1401"/>
        <v>125.90858423651898</v>
      </c>
      <c r="G191" s="67">
        <f t="shared" si="1401"/>
        <v>124.71121245747288</v>
      </c>
      <c r="H191" s="67">
        <f t="shared" si="1401"/>
        <v>124.21933689077954</v>
      </c>
      <c r="I191" s="67">
        <f t="shared" si="1401"/>
        <v>118.19160359503822</v>
      </c>
      <c r="J191" s="67">
        <f t="shared" si="1401"/>
        <v>115.86518308907547</v>
      </c>
      <c r="K191" s="67">
        <f t="shared" si="1401"/>
        <v>118.51592645307753</v>
      </c>
      <c r="L191" s="67">
        <f t="shared" si="1401"/>
        <v>97.304728125725489</v>
      </c>
      <c r="M191" s="67">
        <f t="shared" si="1401"/>
        <v>92.527659227801664</v>
      </c>
      <c r="N191" s="67">
        <f t="shared" si="1401"/>
        <v>92.736736543784914</v>
      </c>
      <c r="O191" s="67">
        <f t="shared" si="1401"/>
        <v>86.291659464184363</v>
      </c>
      <c r="P191" s="67">
        <f t="shared" si="1401"/>
        <v>88.483674905140305</v>
      </c>
      <c r="Q191" s="67">
        <f t="shared" si="1401"/>
        <v>85.742122846141783</v>
      </c>
      <c r="R191" s="67">
        <f t="shared" si="1401"/>
        <v>157.50087077673288</v>
      </c>
      <c r="S191" s="67">
        <f t="shared" si="1401"/>
        <v>102.26963791381918</v>
      </c>
      <c r="T191" s="67">
        <f t="shared" si="1401"/>
        <v>94.884252487334336</v>
      </c>
      <c r="U191" s="67">
        <f t="shared" si="1401"/>
        <v>107.89821249108822</v>
      </c>
      <c r="V191" s="67">
        <f t="shared" si="1401"/>
        <v>117.57853331410442</v>
      </c>
      <c r="W191" s="67">
        <f t="shared" si="1401"/>
        <v>112.33312284870902</v>
      </c>
      <c r="X191" s="67">
        <f t="shared" si="1401"/>
        <v>107.51325187515809</v>
      </c>
      <c r="Y191" s="67">
        <f t="shared" si="1401"/>
        <v>95.056857696147645</v>
      </c>
      <c r="Z191" s="67">
        <f t="shared" ref="Z191" si="1402">Z161/Z16*365</f>
        <v>94.97611501538745</v>
      </c>
      <c r="AA191" s="18">
        <f t="shared" si="1401"/>
        <v>87.937418379108536</v>
      </c>
      <c r="AB191" s="18">
        <f t="shared" si="1401"/>
        <v>93.97097523874109</v>
      </c>
      <c r="AC191" s="18">
        <f t="shared" si="1401"/>
        <v>95.251873972446717</v>
      </c>
      <c r="AD191" s="18">
        <f t="shared" si="1401"/>
        <v>95.062676562289738</v>
      </c>
      <c r="AG191" s="67"/>
      <c r="AH191" s="67"/>
      <c r="AI191" s="67">
        <f t="shared" ref="AI191:CK191" si="1403">+AH191</f>
        <v>0</v>
      </c>
      <c r="AJ191" s="67">
        <f>AJ161/AJ16*90</f>
        <v>0</v>
      </c>
      <c r="AK191" s="67">
        <f t="shared" si="1403"/>
        <v>0</v>
      </c>
      <c r="AL191" s="67">
        <f>AL161/AL16*90</f>
        <v>93.925534648659436</v>
      </c>
      <c r="AM191" s="67">
        <f t="shared" si="1403"/>
        <v>93.925534648659436</v>
      </c>
      <c r="AN191" s="67">
        <f>AN161/AN16*90</f>
        <v>85.046849405817952</v>
      </c>
      <c r="AO191" s="67">
        <f t="shared" si="1403"/>
        <v>85.046849405817952</v>
      </c>
      <c r="AP191" s="67">
        <f>AP161/AP16*90</f>
        <v>91.639794092789955</v>
      </c>
      <c r="AQ191" s="67">
        <f t="shared" si="1403"/>
        <v>91.639794092789955</v>
      </c>
      <c r="AR191" s="67">
        <f>AR161/AR16*90</f>
        <v>77.53619756881001</v>
      </c>
      <c r="AS191" s="67">
        <f t="shared" si="1403"/>
        <v>77.53619756881001</v>
      </c>
      <c r="AT191" s="67">
        <f>AT161/AT16*90</f>
        <v>92.611072571209661</v>
      </c>
      <c r="AU191" s="67">
        <f t="shared" si="1403"/>
        <v>92.611072571209661</v>
      </c>
      <c r="AV191" s="67">
        <f>AV161/AV16*90</f>
        <v>73.126348097008858</v>
      </c>
      <c r="AW191" s="67">
        <f t="shared" si="1403"/>
        <v>73.126348097008858</v>
      </c>
      <c r="AX191" s="67">
        <f>AX161/AX16*90</f>
        <v>81.462645536869346</v>
      </c>
      <c r="AY191" s="67">
        <f t="shared" si="1403"/>
        <v>81.462645536869346</v>
      </c>
      <c r="AZ191" s="67">
        <f>AZ161/AZ16*90</f>
        <v>73.135212710657754</v>
      </c>
      <c r="BA191" s="67">
        <f t="shared" si="1403"/>
        <v>73.135212710657754</v>
      </c>
      <c r="BB191" s="67">
        <f>BB161/BB16*90</f>
        <v>80.847907959496126</v>
      </c>
      <c r="BC191" s="67">
        <f t="shared" si="1403"/>
        <v>80.847907959496126</v>
      </c>
      <c r="BD191" s="67">
        <f>BD161/BD16*90</f>
        <v>142.89972201901975</v>
      </c>
      <c r="BE191" s="67">
        <f t="shared" si="1403"/>
        <v>142.89972201901975</v>
      </c>
      <c r="BF191" s="67">
        <f>BF161/BF16*90</f>
        <v>163.59412146098987</v>
      </c>
      <c r="BG191" s="67">
        <f t="shared" si="1403"/>
        <v>163.59412146098987</v>
      </c>
      <c r="BH191" s="67">
        <f>BH161/BH16*90</f>
        <v>85.797784694251192</v>
      </c>
      <c r="BI191" s="67">
        <f t="shared" si="1403"/>
        <v>85.797784694251192</v>
      </c>
      <c r="BJ191" s="67">
        <f>BJ161/BJ16*90</f>
        <v>90.512125162972623</v>
      </c>
      <c r="BK191" s="67">
        <f t="shared" si="1403"/>
        <v>90.512125162972623</v>
      </c>
      <c r="BL191" s="67">
        <f>BL161/BL16*90</f>
        <v>87.616531768825539</v>
      </c>
      <c r="BM191" s="67">
        <f t="shared" si="1403"/>
        <v>87.616531768825539</v>
      </c>
      <c r="BN191" s="67">
        <f>BN161/BN16*90</f>
        <v>140.98186207875997</v>
      </c>
      <c r="BO191" s="67">
        <f t="shared" si="1403"/>
        <v>140.98186207875997</v>
      </c>
      <c r="BP191" s="67">
        <f>BP161/BP16*90</f>
        <v>91.057292034149427</v>
      </c>
      <c r="BQ191" s="67">
        <f t="shared" si="1403"/>
        <v>91.057292034149427</v>
      </c>
      <c r="BR191" s="67">
        <f>BR161/BR16*90</f>
        <v>112.1330423310128</v>
      </c>
      <c r="BS191" s="67">
        <f t="shared" si="1403"/>
        <v>112.1330423310128</v>
      </c>
      <c r="BT191" s="67">
        <f>BT161/BT16*90</f>
        <v>83.995717344753743</v>
      </c>
      <c r="BU191" s="67">
        <f t="shared" si="1403"/>
        <v>83.995717344753743</v>
      </c>
      <c r="BV191" s="67">
        <f>BV161/BV16*90</f>
        <v>109.42174130657578</v>
      </c>
      <c r="BW191" s="67">
        <f t="shared" si="1403"/>
        <v>109.42174130657578</v>
      </c>
      <c r="BX191" s="67">
        <f>BX161/BX16*90</f>
        <v>97.782118001903655</v>
      </c>
      <c r="BY191" s="67">
        <f t="shared" si="1403"/>
        <v>97.782118001903655</v>
      </c>
      <c r="BZ191" s="67">
        <f>BZ161/BZ16*90</f>
        <v>111.71476064624915</v>
      </c>
      <c r="CA191" s="67">
        <f t="shared" si="1403"/>
        <v>111.71476064624915</v>
      </c>
      <c r="CB191" s="67">
        <f>CB161/CB16*90</f>
        <v>101.475327199736</v>
      </c>
      <c r="CC191" s="67">
        <f t="shared" si="1403"/>
        <v>101.475327199736</v>
      </c>
      <c r="CD191" s="67">
        <f>CD161/CD16*90</f>
        <v>104.26686589940867</v>
      </c>
      <c r="CE191" s="67">
        <f t="shared" si="1403"/>
        <v>104.26686589940867</v>
      </c>
      <c r="CF191" s="67">
        <f>CF161/CF16*90</f>
        <v>85.535746657434174</v>
      </c>
      <c r="CG191" s="67">
        <f t="shared" si="1403"/>
        <v>85.535746657434174</v>
      </c>
      <c r="CH191" s="67">
        <f>CH161/CH16*90</f>
        <v>98.649856397853526</v>
      </c>
      <c r="CI191" s="67">
        <f t="shared" si="1403"/>
        <v>98.649856397853526</v>
      </c>
      <c r="CJ191" s="67">
        <f t="shared" ref="CJ191" si="1404">+CI191</f>
        <v>98.649856397853526</v>
      </c>
      <c r="CK191" s="67">
        <f t="shared" si="1403"/>
        <v>98.649856397853526</v>
      </c>
      <c r="CL191" s="30">
        <f t="shared" ref="CL191" si="1405">+CK191</f>
        <v>98.649856397853526</v>
      </c>
      <c r="CM191" s="30">
        <f t="shared" ref="CM191" si="1406">+CL191</f>
        <v>98.649856397853526</v>
      </c>
      <c r="CN191" s="30">
        <f t="shared" ref="CN191" si="1407">+CM191</f>
        <v>98.649856397853526</v>
      </c>
      <c r="CO191" s="30">
        <f t="shared" ref="CO191" si="1408">+CN191</f>
        <v>98.649856397853526</v>
      </c>
      <c r="CP191" s="30">
        <f t="shared" ref="CP191" si="1409">+CO191</f>
        <v>98.649856397853526</v>
      </c>
      <c r="CQ191" s="30">
        <f t="shared" ref="CQ191" si="1410">+CP191</f>
        <v>98.649856397853526</v>
      </c>
      <c r="CR191" s="30">
        <f t="shared" ref="CR191" si="1411">+CQ191</f>
        <v>98.649856397853526</v>
      </c>
      <c r="CS191" s="30">
        <f t="shared" ref="CS191" si="1412">+CR191</f>
        <v>98.649856397853526</v>
      </c>
      <c r="CT191" s="30">
        <f t="shared" ref="CT191" si="1413">+CS191</f>
        <v>98.649856397853526</v>
      </c>
      <c r="CU191" s="30">
        <f t="shared" ref="CU191" si="1414">+CT191</f>
        <v>98.649856397853526</v>
      </c>
      <c r="CV191" s="30">
        <f t="shared" ref="CV191" si="1415">+CU191</f>
        <v>98.649856397853526</v>
      </c>
      <c r="CW191" s="30">
        <f t="shared" ref="CW191" si="1416">+CV191</f>
        <v>98.649856397853526</v>
      </c>
      <c r="CX191" s="30">
        <f t="shared" ref="CX191" si="1417">+CW191</f>
        <v>98.649856397853526</v>
      </c>
      <c r="CY191" s="30">
        <f t="shared" ref="CY191" si="1418">+CX191</f>
        <v>98.649856397853526</v>
      </c>
      <c r="CZ191" s="30">
        <f t="shared" ref="CZ191" si="1419">+CY191</f>
        <v>98.649856397853526</v>
      </c>
      <c r="DB191" s="139"/>
      <c r="DC191" s="62" t="e">
        <v>#DIV/0!</v>
      </c>
    </row>
    <row r="192" spans="1:107" s="62" customFormat="1" outlineLevel="1" x14ac:dyDescent="0.2">
      <c r="A192" s="68" t="s">
        <v>466</v>
      </c>
      <c r="B192" s="67">
        <f>B193-B191</f>
        <v>22.385777060077828</v>
      </c>
      <c r="C192" s="67">
        <f t="shared" ref="C192:V192" si="1420">C193-C191</f>
        <v>24.841818585735723</v>
      </c>
      <c r="D192" s="67">
        <f t="shared" si="1420"/>
        <v>34.741333963329168</v>
      </c>
      <c r="E192" s="67">
        <f t="shared" si="1420"/>
        <v>28.085297488013836</v>
      </c>
      <c r="F192" s="67">
        <f t="shared" si="1420"/>
        <v>36.528153497473454</v>
      </c>
      <c r="G192" s="67">
        <f t="shared" si="1420"/>
        <v>33.185646885159414</v>
      </c>
      <c r="H192" s="67">
        <f t="shared" si="1420"/>
        <v>47.28350878316536</v>
      </c>
      <c r="I192" s="67">
        <f t="shared" si="1420"/>
        <v>46.973999661673147</v>
      </c>
      <c r="J192" s="67">
        <f t="shared" si="1420"/>
        <v>60.154360388084157</v>
      </c>
      <c r="K192" s="67">
        <f t="shared" si="1420"/>
        <v>66.360599486001206</v>
      </c>
      <c r="L192" s="67">
        <f t="shared" si="1420"/>
        <v>87.968850437277467</v>
      </c>
      <c r="M192" s="67">
        <f t="shared" si="1420"/>
        <v>78.934305063543931</v>
      </c>
      <c r="N192" s="67">
        <f t="shared" si="1420"/>
        <v>232.36150337266997</v>
      </c>
      <c r="O192" s="67">
        <f t="shared" si="1420"/>
        <v>156.54542590270088</v>
      </c>
      <c r="P192" s="67">
        <f t="shared" si="1420"/>
        <v>154.11733193398456</v>
      </c>
      <c r="Q192" s="67">
        <f t="shared" si="1420"/>
        <v>67.05635747512936</v>
      </c>
      <c r="R192" s="67">
        <f t="shared" si="1420"/>
        <v>113.764077557181</v>
      </c>
      <c r="S192" s="67">
        <f t="shared" si="1420"/>
        <v>173.93929406348468</v>
      </c>
      <c r="T192" s="67">
        <f t="shared" si="1420"/>
        <v>113.04578499697887</v>
      </c>
      <c r="U192" s="67">
        <f t="shared" si="1420"/>
        <v>141.92420481192937</v>
      </c>
      <c r="V192" s="67">
        <f t="shared" si="1420"/>
        <v>94.428353042976653</v>
      </c>
      <c r="W192" s="67">
        <f t="shared" ref="W192" si="1421">W193-W191</f>
        <v>74.216477794650245</v>
      </c>
      <c r="X192" s="67">
        <f t="shared" ref="X192:Y192" si="1422">X193-X191</f>
        <v>67.345688486429793</v>
      </c>
      <c r="Y192" s="67">
        <f t="shared" si="1422"/>
        <v>62.952035785657401</v>
      </c>
      <c r="Z192" s="67">
        <f t="shared" ref="Z192" si="1423">Z193-Z191</f>
        <v>64.501250347318717</v>
      </c>
      <c r="AA192" s="18">
        <f t="shared" ref="AA192:AD192" si="1424">AA193-AA191</f>
        <v>53.680624363537461</v>
      </c>
      <c r="AB192" s="18">
        <f t="shared" si="1424"/>
        <v>57.363756133015528</v>
      </c>
      <c r="AC192" s="18">
        <f t="shared" si="1424"/>
        <v>58.145669510041827</v>
      </c>
      <c r="AD192" s="18">
        <f t="shared" si="1424"/>
        <v>58.030175613445891</v>
      </c>
      <c r="AG192" s="67"/>
      <c r="AH192" s="67"/>
      <c r="AI192" s="67">
        <f>AH192</f>
        <v>0</v>
      </c>
      <c r="AJ192" s="67">
        <f t="shared" ref="AJ192" si="1425">AJ193-AJ191</f>
        <v>154.52201433044547</v>
      </c>
      <c r="AK192" s="67">
        <f>AJ192</f>
        <v>154.52201433044547</v>
      </c>
      <c r="AL192" s="67">
        <f t="shared" ref="AL192" si="1426">AL193-AL191</f>
        <v>78.064586129115156</v>
      </c>
      <c r="AM192" s="67">
        <f>AL192</f>
        <v>78.064586129115156</v>
      </c>
      <c r="AN192" s="67">
        <f t="shared" ref="AN192:AX192" si="1427">AN193-AN191</f>
        <v>68.168812135017063</v>
      </c>
      <c r="AO192" s="67">
        <f>AN192</f>
        <v>68.168812135017063</v>
      </c>
      <c r="AP192" s="67">
        <f t="shared" si="1427"/>
        <v>77.944549934693597</v>
      </c>
      <c r="AQ192" s="67">
        <f>AP192</f>
        <v>77.944549934693597</v>
      </c>
      <c r="AR192" s="67">
        <f t="shared" si="1427"/>
        <v>68.761397599188726</v>
      </c>
      <c r="AS192" s="67">
        <f>AR192</f>
        <v>68.761397599188726</v>
      </c>
      <c r="AT192" s="67">
        <f t="shared" si="1427"/>
        <v>67.946594050589653</v>
      </c>
      <c r="AU192" s="67">
        <f>AT192</f>
        <v>67.946594050589653</v>
      </c>
      <c r="AV192" s="67">
        <f t="shared" si="1427"/>
        <v>59.083873860640622</v>
      </c>
      <c r="AW192" s="67">
        <f>AV192</f>
        <v>59.083873860640622</v>
      </c>
      <c r="AX192" s="67">
        <f t="shared" si="1427"/>
        <v>60.217901034928857</v>
      </c>
      <c r="AY192" s="67">
        <f>AX192</f>
        <v>60.217901034928857</v>
      </c>
      <c r="AZ192" s="67">
        <f t="shared" ref="AZ192:BB192" si="1428">AZ193-AZ191</f>
        <v>57.251523666744504</v>
      </c>
      <c r="BA192" s="67">
        <f>AZ192</f>
        <v>57.251523666744504</v>
      </c>
      <c r="BB192" s="67">
        <f t="shared" si="1428"/>
        <v>75.821696828094645</v>
      </c>
      <c r="BC192" s="67">
        <f>BB192</f>
        <v>75.821696828094645</v>
      </c>
      <c r="BD192" s="67">
        <f t="shared" ref="BD192:CD192" si="1429">BD193-BD191</f>
        <v>135.04134601316758</v>
      </c>
      <c r="BE192" s="67">
        <f>BD192</f>
        <v>135.04134601316758</v>
      </c>
      <c r="BF192" s="67">
        <f t="shared" si="1429"/>
        <v>138.36881348606011</v>
      </c>
      <c r="BG192" s="67">
        <f>BF192</f>
        <v>138.36881348606011</v>
      </c>
      <c r="BH192" s="67">
        <f t="shared" si="1429"/>
        <v>146.14793116074699</v>
      </c>
      <c r="BI192" s="67">
        <f>BH192</f>
        <v>146.14793116074699</v>
      </c>
      <c r="BJ192" s="67">
        <f t="shared" si="1429"/>
        <v>173.55671447196875</v>
      </c>
      <c r="BK192" s="67">
        <f>BJ192</f>
        <v>173.55671447196875</v>
      </c>
      <c r="BL192" s="67">
        <f t="shared" si="1429"/>
        <v>104.68553700603586</v>
      </c>
      <c r="BM192" s="67">
        <f>BL192</f>
        <v>104.68553700603586</v>
      </c>
      <c r="BN192" s="67">
        <f t="shared" si="1429"/>
        <v>203.21258292925401</v>
      </c>
      <c r="BO192" s="67">
        <f>BN192</f>
        <v>203.21258292925401</v>
      </c>
      <c r="BP192" s="67">
        <f t="shared" si="1429"/>
        <v>119.77245466732522</v>
      </c>
      <c r="BQ192" s="67">
        <f>BP192</f>
        <v>119.77245466732522</v>
      </c>
      <c r="BR192" s="67">
        <f t="shared" si="1429"/>
        <v>130.66219402649904</v>
      </c>
      <c r="BS192" s="67">
        <f>BR192</f>
        <v>130.66219402649904</v>
      </c>
      <c r="BT192" s="67">
        <f t="shared" si="1429"/>
        <v>88.490364025695939</v>
      </c>
      <c r="BU192" s="67">
        <f>BT192</f>
        <v>88.490364025695939</v>
      </c>
      <c r="BV192" s="67">
        <f t="shared" si="1429"/>
        <v>78.197058893629176</v>
      </c>
      <c r="BW192" s="67">
        <f>BV192</f>
        <v>78.197058893629176</v>
      </c>
      <c r="BX192" s="67">
        <f t="shared" si="1429"/>
        <v>64.602890094811926</v>
      </c>
      <c r="BY192" s="67">
        <f>BX192</f>
        <v>64.602890094811926</v>
      </c>
      <c r="BZ192" s="67">
        <f t="shared" si="1429"/>
        <v>66.477439877542764</v>
      </c>
      <c r="CA192" s="67">
        <f>BZ192</f>
        <v>66.477439877542764</v>
      </c>
      <c r="CB192" s="67">
        <f t="shared" si="1429"/>
        <v>63.563566866969609</v>
      </c>
      <c r="CC192" s="67">
        <f>CB192</f>
        <v>63.563566866969609</v>
      </c>
      <c r="CD192" s="67">
        <f t="shared" si="1429"/>
        <v>66.199847396197598</v>
      </c>
      <c r="CE192" s="67">
        <f>CD192</f>
        <v>66.199847396197598</v>
      </c>
      <c r="CF192" s="67">
        <f t="shared" ref="CF192" si="1430">CF193-CF191</f>
        <v>56.646616720110046</v>
      </c>
      <c r="CG192" s="67">
        <f>CF192</f>
        <v>56.646616720110046</v>
      </c>
      <c r="CH192" s="67">
        <f t="shared" ref="CH192" si="1431">CH193-CH191</f>
        <v>60.21993802433677</v>
      </c>
      <c r="CI192" s="67">
        <f>CH192</f>
        <v>60.21993802433677</v>
      </c>
      <c r="CJ192" s="67">
        <f t="shared" ref="CJ192:CZ192" si="1432">CI192</f>
        <v>60.21993802433677</v>
      </c>
      <c r="CK192" s="67">
        <f>CJ192</f>
        <v>60.21993802433677</v>
      </c>
      <c r="CL192" s="30">
        <f t="shared" si="1432"/>
        <v>60.21993802433677</v>
      </c>
      <c r="CM192" s="30">
        <f t="shared" si="1432"/>
        <v>60.21993802433677</v>
      </c>
      <c r="CN192" s="30">
        <f t="shared" si="1432"/>
        <v>60.21993802433677</v>
      </c>
      <c r="CO192" s="30">
        <f t="shared" si="1432"/>
        <v>60.21993802433677</v>
      </c>
      <c r="CP192" s="30">
        <f t="shared" si="1432"/>
        <v>60.21993802433677</v>
      </c>
      <c r="CQ192" s="30">
        <f t="shared" si="1432"/>
        <v>60.21993802433677</v>
      </c>
      <c r="CR192" s="30">
        <f t="shared" si="1432"/>
        <v>60.21993802433677</v>
      </c>
      <c r="CS192" s="30">
        <f t="shared" si="1432"/>
        <v>60.21993802433677</v>
      </c>
      <c r="CT192" s="30">
        <f t="shared" si="1432"/>
        <v>60.21993802433677</v>
      </c>
      <c r="CU192" s="30">
        <f t="shared" si="1432"/>
        <v>60.21993802433677</v>
      </c>
      <c r="CV192" s="30">
        <f t="shared" si="1432"/>
        <v>60.21993802433677</v>
      </c>
      <c r="CW192" s="30">
        <f t="shared" si="1432"/>
        <v>60.21993802433677</v>
      </c>
      <c r="CX192" s="30">
        <f t="shared" si="1432"/>
        <v>60.21993802433677</v>
      </c>
      <c r="CY192" s="30">
        <f t="shared" si="1432"/>
        <v>60.21993802433677</v>
      </c>
      <c r="CZ192" s="30">
        <f t="shared" si="1432"/>
        <v>60.21993802433677</v>
      </c>
      <c r="DB192" s="139"/>
      <c r="DC192" s="62" t="e">
        <v>#DIV/0!</v>
      </c>
    </row>
    <row r="193" spans="1:107" s="7" customFormat="1" outlineLevel="1" x14ac:dyDescent="0.2">
      <c r="A193" s="69" t="s">
        <v>469</v>
      </c>
      <c r="B193" s="70">
        <f t="shared" ref="B193:AD193" si="1433">B164/B16*365</f>
        <v>165.48592356559485</v>
      </c>
      <c r="C193" s="70">
        <f t="shared" si="1433"/>
        <v>183.41225351211853</v>
      </c>
      <c r="D193" s="70">
        <f t="shared" si="1433"/>
        <v>180.84888503421641</v>
      </c>
      <c r="E193" s="70">
        <f t="shared" si="1433"/>
        <v>144.59459198117654</v>
      </c>
      <c r="F193" s="70">
        <f t="shared" si="1433"/>
        <v>162.43673773399243</v>
      </c>
      <c r="G193" s="70">
        <f t="shared" si="1433"/>
        <v>157.8968593426323</v>
      </c>
      <c r="H193" s="70">
        <f t="shared" si="1433"/>
        <v>171.5028456739449</v>
      </c>
      <c r="I193" s="70">
        <f t="shared" si="1433"/>
        <v>165.16560325671136</v>
      </c>
      <c r="J193" s="70">
        <f t="shared" si="1433"/>
        <v>176.01954347715963</v>
      </c>
      <c r="K193" s="70">
        <f t="shared" si="1433"/>
        <v>184.87652593907873</v>
      </c>
      <c r="L193" s="70">
        <f t="shared" si="1433"/>
        <v>185.27357856300296</v>
      </c>
      <c r="M193" s="70">
        <f t="shared" si="1433"/>
        <v>171.46196429134559</v>
      </c>
      <c r="N193" s="70">
        <f t="shared" si="1433"/>
        <v>325.09823991645487</v>
      </c>
      <c r="O193" s="70">
        <f t="shared" si="1433"/>
        <v>242.83708536688525</v>
      </c>
      <c r="P193" s="70">
        <f t="shared" si="1433"/>
        <v>242.60100683912486</v>
      </c>
      <c r="Q193" s="70">
        <f t="shared" si="1433"/>
        <v>152.79848032127114</v>
      </c>
      <c r="R193" s="70">
        <f t="shared" si="1433"/>
        <v>271.26494833391388</v>
      </c>
      <c r="S193" s="70">
        <f t="shared" si="1433"/>
        <v>276.20893197730385</v>
      </c>
      <c r="T193" s="70">
        <f t="shared" si="1433"/>
        <v>207.9300374843132</v>
      </c>
      <c r="U193" s="70">
        <f t="shared" si="1433"/>
        <v>249.82241730301757</v>
      </c>
      <c r="V193" s="70">
        <f t="shared" si="1433"/>
        <v>212.00688635708107</v>
      </c>
      <c r="W193" s="70">
        <f t="shared" si="1433"/>
        <v>186.54960064335927</v>
      </c>
      <c r="X193" s="70">
        <f t="shared" si="1433"/>
        <v>174.85894036158788</v>
      </c>
      <c r="Y193" s="70">
        <f t="shared" si="1433"/>
        <v>158.00889348180505</v>
      </c>
      <c r="Z193" s="70">
        <f t="shared" ref="Z193" si="1434">Z164/Z16*365</f>
        <v>159.47736536270617</v>
      </c>
      <c r="AA193" s="71">
        <f t="shared" si="1433"/>
        <v>141.618042742646</v>
      </c>
      <c r="AB193" s="71">
        <f t="shared" si="1433"/>
        <v>151.33473137175662</v>
      </c>
      <c r="AC193" s="71">
        <f t="shared" si="1433"/>
        <v>153.39754348248854</v>
      </c>
      <c r="AD193" s="71">
        <f t="shared" si="1433"/>
        <v>153.09285217573563</v>
      </c>
      <c r="AG193" s="70"/>
      <c r="AH193" s="70"/>
      <c r="AI193" s="70">
        <f>AI191+AI192</f>
        <v>0</v>
      </c>
      <c r="AJ193" s="70">
        <f t="shared" ref="AJ193" si="1435">AJ164/AJ16*90</f>
        <v>154.52201433044547</v>
      </c>
      <c r="AK193" s="70">
        <f>AK191+AK192</f>
        <v>154.52201433044547</v>
      </c>
      <c r="AL193" s="70">
        <f t="shared" ref="AL193" si="1436">AL164/AL16*90</f>
        <v>171.99012077777459</v>
      </c>
      <c r="AM193" s="70">
        <f>AM191+AM192</f>
        <v>171.99012077777459</v>
      </c>
      <c r="AN193" s="70">
        <f t="shared" ref="AN193" si="1437">AN164/AN16*90</f>
        <v>153.21566154083501</v>
      </c>
      <c r="AO193" s="70">
        <f>AO191+AO192</f>
        <v>153.21566154083501</v>
      </c>
      <c r="AP193" s="70">
        <f t="shared" ref="AP193" si="1438">AP164/AP16*90</f>
        <v>169.58434402748355</v>
      </c>
      <c r="AQ193" s="70">
        <f>AQ191+AQ192</f>
        <v>169.58434402748355</v>
      </c>
      <c r="AR193" s="70">
        <f t="shared" ref="AR193" si="1439">AR164/AR16*90</f>
        <v>146.29759516799874</v>
      </c>
      <c r="AS193" s="70">
        <f>AS191+AS192</f>
        <v>146.29759516799874</v>
      </c>
      <c r="AT193" s="70">
        <f t="shared" ref="AT193" si="1440">AT164/AT16*90</f>
        <v>160.55766662179931</v>
      </c>
      <c r="AU193" s="70">
        <f>AU191+AU192</f>
        <v>160.55766662179931</v>
      </c>
      <c r="AV193" s="70">
        <f t="shared" ref="AV193" si="1441">AV164/AV16*90</f>
        <v>132.21022195764948</v>
      </c>
      <c r="AW193" s="70">
        <f>AW191+AW192</f>
        <v>132.21022195764948</v>
      </c>
      <c r="AX193" s="70">
        <f t="shared" ref="AX193" si="1442">AX164/AX16*90</f>
        <v>141.6805465717982</v>
      </c>
      <c r="AY193" s="70">
        <f>AY191+AY192</f>
        <v>141.6805465717982</v>
      </c>
      <c r="AZ193" s="70">
        <f t="shared" ref="AZ193" si="1443">AZ164/AZ16*90</f>
        <v>130.38673637740226</v>
      </c>
      <c r="BA193" s="70">
        <f>BA191+BA192</f>
        <v>130.38673637740226</v>
      </c>
      <c r="BB193" s="70">
        <f t="shared" ref="BB193" si="1444">BB164/BB16*90</f>
        <v>156.66960478759077</v>
      </c>
      <c r="BC193" s="70">
        <f>BC191+BC192</f>
        <v>156.66960478759077</v>
      </c>
      <c r="BD193" s="70">
        <f t="shared" ref="BD193" si="1445">BD164/BD16*90</f>
        <v>277.94106803218733</v>
      </c>
      <c r="BE193" s="70">
        <f>BE191+BE192</f>
        <v>277.94106803218733</v>
      </c>
      <c r="BF193" s="70">
        <f t="shared" ref="BF193" si="1446">BF164/BF16*90</f>
        <v>301.96293494704997</v>
      </c>
      <c r="BG193" s="70">
        <f>BG191+BG192</f>
        <v>301.96293494704997</v>
      </c>
      <c r="BH193" s="70">
        <f t="shared" ref="BH193" si="1447">BH164/BH16*90</f>
        <v>231.94571585499818</v>
      </c>
      <c r="BI193" s="70">
        <f>BI191+BI192</f>
        <v>231.94571585499818</v>
      </c>
      <c r="BJ193" s="70">
        <f t="shared" ref="BJ193" si="1448">BJ164/BJ16*90</f>
        <v>264.06883963494136</v>
      </c>
      <c r="BK193" s="70">
        <f>BK191+BK192</f>
        <v>264.06883963494136</v>
      </c>
      <c r="BL193" s="70">
        <f t="shared" ref="BL193" si="1449">BL164/BL16*90</f>
        <v>192.3020687748614</v>
      </c>
      <c r="BM193" s="70">
        <f>BM191+BM192</f>
        <v>192.3020687748614</v>
      </c>
      <c r="BN193" s="70">
        <f t="shared" ref="BN193" si="1450">BN164/BN16*90</f>
        <v>344.19444500801399</v>
      </c>
      <c r="BO193" s="70">
        <f>BO191+BO192</f>
        <v>344.19444500801399</v>
      </c>
      <c r="BP193" s="70">
        <f t="shared" ref="BP193" si="1451">BP164/BP16*90</f>
        <v>210.82974670147465</v>
      </c>
      <c r="BQ193" s="70">
        <f>BQ191+BQ192</f>
        <v>210.82974670147465</v>
      </c>
      <c r="BR193" s="70">
        <f t="shared" ref="BR193" si="1452">BR164/BR16*90</f>
        <v>242.79523635751184</v>
      </c>
      <c r="BS193" s="70">
        <f>BS191+BS192</f>
        <v>242.79523635751184</v>
      </c>
      <c r="BT193" s="70">
        <f t="shared" ref="BT193" si="1453">BT164/BT16*90</f>
        <v>172.48608137044968</v>
      </c>
      <c r="BU193" s="70">
        <f>BU191+BU192</f>
        <v>172.48608137044968</v>
      </c>
      <c r="BV193" s="70">
        <f t="shared" ref="BV193" si="1454">BV164/BV16*90</f>
        <v>187.61880020020496</v>
      </c>
      <c r="BW193" s="70">
        <f>BW191+BW192</f>
        <v>187.61880020020496</v>
      </c>
      <c r="BX193" s="70">
        <f t="shared" ref="BX193" si="1455">BX164/BX16*90</f>
        <v>162.38500809671558</v>
      </c>
      <c r="BY193" s="70">
        <f>BY191+BY192</f>
        <v>162.38500809671558</v>
      </c>
      <c r="BZ193" s="70">
        <f t="shared" ref="BZ193" si="1456">BZ164/BZ16*90</f>
        <v>178.19220052379191</v>
      </c>
      <c r="CA193" s="70">
        <f>CA191+CA192</f>
        <v>178.19220052379191</v>
      </c>
      <c r="CB193" s="70">
        <f t="shared" ref="CB193" si="1457">CB164/CB16*90</f>
        <v>165.03889406670561</v>
      </c>
      <c r="CC193" s="70">
        <f>CC191+CC192</f>
        <v>165.03889406670561</v>
      </c>
      <c r="CD193" s="70">
        <f t="shared" ref="CD193" si="1458">CD164/CD16*90</f>
        <v>170.46671329560627</v>
      </c>
      <c r="CE193" s="70">
        <f>CE191+CE192</f>
        <v>170.46671329560627</v>
      </c>
      <c r="CF193" s="70">
        <f t="shared" ref="CF193" si="1459">CF164/CF16*90</f>
        <v>142.18236337754422</v>
      </c>
      <c r="CG193" s="70">
        <f>CG191+CG192</f>
        <v>142.18236337754422</v>
      </c>
      <c r="CH193" s="70">
        <f t="shared" ref="CH193" si="1460">CH164/CH16*90</f>
        <v>158.8697944221903</v>
      </c>
      <c r="CI193" s="70">
        <f>CI191+CI192</f>
        <v>158.8697944221903</v>
      </c>
      <c r="CJ193" s="70">
        <f t="shared" ref="CJ193:CZ193" si="1461">CJ191+CJ192</f>
        <v>158.8697944221903</v>
      </c>
      <c r="CK193" s="70">
        <f>CK191+CK192</f>
        <v>158.8697944221903</v>
      </c>
      <c r="CL193" s="50">
        <f t="shared" si="1461"/>
        <v>158.8697944221903</v>
      </c>
      <c r="CM193" s="50">
        <f t="shared" si="1461"/>
        <v>158.8697944221903</v>
      </c>
      <c r="CN193" s="50">
        <f t="shared" si="1461"/>
        <v>158.8697944221903</v>
      </c>
      <c r="CO193" s="50">
        <f t="shared" si="1461"/>
        <v>158.8697944221903</v>
      </c>
      <c r="CP193" s="50">
        <f t="shared" si="1461"/>
        <v>158.8697944221903</v>
      </c>
      <c r="CQ193" s="50">
        <f t="shared" si="1461"/>
        <v>158.8697944221903</v>
      </c>
      <c r="CR193" s="50">
        <f t="shared" si="1461"/>
        <v>158.8697944221903</v>
      </c>
      <c r="CS193" s="50">
        <f t="shared" si="1461"/>
        <v>158.8697944221903</v>
      </c>
      <c r="CT193" s="50">
        <f t="shared" si="1461"/>
        <v>158.8697944221903</v>
      </c>
      <c r="CU193" s="50">
        <f t="shared" si="1461"/>
        <v>158.8697944221903</v>
      </c>
      <c r="CV193" s="50">
        <f t="shared" si="1461"/>
        <v>158.8697944221903</v>
      </c>
      <c r="CW193" s="50">
        <f t="shared" si="1461"/>
        <v>158.8697944221903</v>
      </c>
      <c r="CX193" s="50">
        <f t="shared" si="1461"/>
        <v>158.8697944221903</v>
      </c>
      <c r="CY193" s="50">
        <f t="shared" si="1461"/>
        <v>158.8697944221903</v>
      </c>
      <c r="CZ193" s="50">
        <f t="shared" si="1461"/>
        <v>158.8697944221903</v>
      </c>
      <c r="DB193" s="138"/>
      <c r="DC193" s="7" t="e">
        <v>#DIV/0!</v>
      </c>
    </row>
    <row r="194" spans="1:107" s="7" customFormat="1" x14ac:dyDescent="0.2">
      <c r="A194" s="69" t="s">
        <v>470</v>
      </c>
      <c r="B194" s="70">
        <f>B190-B193</f>
        <v>55.988551736320744</v>
      </c>
      <c r="C194" s="70">
        <f t="shared" ref="C194:V194" si="1462">C190-C193</f>
        <v>25.873373474260347</v>
      </c>
      <c r="D194" s="70">
        <f t="shared" si="1462"/>
        <v>10.939374528295872</v>
      </c>
      <c r="E194" s="70">
        <f t="shared" si="1462"/>
        <v>3.0936383250339929</v>
      </c>
      <c r="F194" s="70">
        <f t="shared" si="1462"/>
        <v>18.487752305298386</v>
      </c>
      <c r="G194" s="70">
        <f t="shared" si="1462"/>
        <v>20.477126214950147</v>
      </c>
      <c r="H194" s="70">
        <f t="shared" si="1462"/>
        <v>26.790543361471123</v>
      </c>
      <c r="I194" s="70">
        <f t="shared" si="1462"/>
        <v>51.221362325922058</v>
      </c>
      <c r="J194" s="70">
        <f t="shared" si="1462"/>
        <v>61.435788907381266</v>
      </c>
      <c r="K194" s="70">
        <f t="shared" si="1462"/>
        <v>54.750453121823398</v>
      </c>
      <c r="L194" s="70">
        <f t="shared" si="1462"/>
        <v>47.411172349193976</v>
      </c>
      <c r="M194" s="70">
        <f t="shared" si="1462"/>
        <v>70.024262595788969</v>
      </c>
      <c r="N194" s="70">
        <f t="shared" si="1462"/>
        <v>66.68817717222754</v>
      </c>
      <c r="O194" s="70">
        <f t="shared" si="1462"/>
        <v>66.848941572237578</v>
      </c>
      <c r="P194" s="70">
        <f t="shared" si="1462"/>
        <v>68.48606802218967</v>
      </c>
      <c r="Q194" s="70">
        <f t="shared" si="1462"/>
        <v>48.814942418593319</v>
      </c>
      <c r="R194" s="70">
        <f t="shared" si="1462"/>
        <v>58.081969116451887</v>
      </c>
      <c r="S194" s="70">
        <f t="shared" si="1462"/>
        <v>78.991348436201406</v>
      </c>
      <c r="T194" s="70">
        <f t="shared" si="1462"/>
        <v>51.119040718736443</v>
      </c>
      <c r="U194" s="70">
        <f t="shared" si="1462"/>
        <v>26.645040757951847</v>
      </c>
      <c r="V194" s="70">
        <f t="shared" si="1462"/>
        <v>18.172620421113322</v>
      </c>
      <c r="W194" s="70">
        <f t="shared" ref="W194" si="1463">W190-W193</f>
        <v>10.178639584571016</v>
      </c>
      <c r="X194" s="70">
        <f t="shared" ref="X194:Y194" si="1464">X190-X193</f>
        <v>-1.0270380886603618</v>
      </c>
      <c r="Y194" s="70">
        <f t="shared" si="1464"/>
        <v>9.241382988946043</v>
      </c>
      <c r="Z194" s="70">
        <f t="shared" ref="Z194" si="1465">Z190-Z193</f>
        <v>17.367877707673983</v>
      </c>
      <c r="AA194" s="71">
        <f t="shared" ref="AA194:AD194" si="1466">AA190-AA193</f>
        <v>18.234868893022707</v>
      </c>
      <c r="AB194" s="71">
        <f t="shared" si="1466"/>
        <v>19.485998620526033</v>
      </c>
      <c r="AC194" s="71">
        <f t="shared" si="1466"/>
        <v>19.751608197255507</v>
      </c>
      <c r="AD194" s="71">
        <f t="shared" si="1466"/>
        <v>19.712375865527974</v>
      </c>
      <c r="AG194" s="70"/>
      <c r="AH194" s="70"/>
      <c r="AI194" s="70">
        <f t="shared" ref="AI194" si="1467">AI190-AI193</f>
        <v>0</v>
      </c>
      <c r="AJ194" s="70">
        <f t="shared" ref="AJ194:AK194" si="1468">AJ190-AJ193</f>
        <v>63.106066427185567</v>
      </c>
      <c r="AK194" s="70">
        <f t="shared" si="1468"/>
        <v>63.106066427185567</v>
      </c>
      <c r="AL194" s="70">
        <f t="shared" ref="AL194:AM194" si="1469">AL190-AL193</f>
        <v>94.759672215401309</v>
      </c>
      <c r="AM194" s="70">
        <f t="shared" si="1469"/>
        <v>94.759672215401309</v>
      </c>
      <c r="AN194" s="70">
        <f t="shared" ref="AN194:AY194" si="1470">AN190-AN193</f>
        <v>61.158280660837477</v>
      </c>
      <c r="AO194" s="70">
        <f t="shared" si="1470"/>
        <v>61.158280660837477</v>
      </c>
      <c r="AP194" s="70">
        <f t="shared" si="1470"/>
        <v>93.224269830642356</v>
      </c>
      <c r="AQ194" s="70">
        <f t="shared" si="1470"/>
        <v>93.224269830642356</v>
      </c>
      <c r="AR194" s="70">
        <f t="shared" si="1470"/>
        <v>60.066207709936975</v>
      </c>
      <c r="AS194" s="70">
        <f t="shared" si="1470"/>
        <v>60.066207709936975</v>
      </c>
      <c r="AT194" s="70">
        <f t="shared" si="1470"/>
        <v>91.147585964112949</v>
      </c>
      <c r="AU194" s="70">
        <f t="shared" si="1470"/>
        <v>91.147585964112949</v>
      </c>
      <c r="AV194" s="70">
        <f t="shared" si="1470"/>
        <v>56.599548508299222</v>
      </c>
      <c r="AW194" s="70">
        <f t="shared" si="1470"/>
        <v>56.599548508299222</v>
      </c>
      <c r="AX194" s="70">
        <f t="shared" si="1470"/>
        <v>67.204075032341535</v>
      </c>
      <c r="AY194" s="70">
        <f t="shared" si="1470"/>
        <v>67.204075032341535</v>
      </c>
      <c r="AZ194" s="70">
        <f t="shared" ref="AZ194:BC194" si="1471">AZ190-AZ193</f>
        <v>43.267992074672833</v>
      </c>
      <c r="BA194" s="70">
        <f t="shared" si="1471"/>
        <v>43.267992074672833</v>
      </c>
      <c r="BB194" s="70">
        <f t="shared" si="1471"/>
        <v>35.019505467857073</v>
      </c>
      <c r="BC194" s="70">
        <f t="shared" si="1471"/>
        <v>35.019505467857073</v>
      </c>
      <c r="BD194" s="70">
        <f t="shared" ref="BD194:CE194" si="1472">BD190-BD193</f>
        <v>20.873679590343727</v>
      </c>
      <c r="BE194" s="70">
        <f t="shared" si="1472"/>
        <v>20.873679590343727</v>
      </c>
      <c r="BF194" s="70">
        <f t="shared" si="1472"/>
        <v>34.129025286362605</v>
      </c>
      <c r="BG194" s="70">
        <f t="shared" si="1472"/>
        <v>34.129025286362605</v>
      </c>
      <c r="BH194" s="70">
        <f t="shared" si="1472"/>
        <v>66.044946905895245</v>
      </c>
      <c r="BI194" s="70">
        <f t="shared" si="1472"/>
        <v>66.044946905895245</v>
      </c>
      <c r="BJ194" s="70">
        <f t="shared" si="1472"/>
        <v>99.362711864406833</v>
      </c>
      <c r="BK194" s="70">
        <f t="shared" si="1472"/>
        <v>99.362711864406833</v>
      </c>
      <c r="BL194" s="70">
        <f t="shared" si="1472"/>
        <v>46.904977653545501</v>
      </c>
      <c r="BM194" s="70">
        <f t="shared" si="1472"/>
        <v>46.904977653545501</v>
      </c>
      <c r="BN194" s="70">
        <f t="shared" si="1472"/>
        <v>104.772971656962</v>
      </c>
      <c r="BO194" s="70">
        <f t="shared" si="1472"/>
        <v>104.772971656962</v>
      </c>
      <c r="BP194" s="70">
        <f t="shared" si="1472"/>
        <v>26.417483948352498</v>
      </c>
      <c r="BQ194" s="70">
        <f t="shared" si="1472"/>
        <v>26.417483948352469</v>
      </c>
      <c r="BR194" s="70">
        <f t="shared" si="1472"/>
        <v>27.594458791825673</v>
      </c>
      <c r="BS194" s="70">
        <f t="shared" si="1472"/>
        <v>27.594458791825673</v>
      </c>
      <c r="BT194" s="70">
        <f t="shared" si="1472"/>
        <v>17.781156316916451</v>
      </c>
      <c r="BU194" s="70">
        <f t="shared" si="1472"/>
        <v>17.781156316916451</v>
      </c>
      <c r="BV194" s="70">
        <f t="shared" si="1472"/>
        <v>15.500583931167654</v>
      </c>
      <c r="BW194" s="70">
        <f t="shared" si="1472"/>
        <v>15.500583931167654</v>
      </c>
      <c r="BX194" s="70">
        <f t="shared" si="1472"/>
        <v>10.386911751980847</v>
      </c>
      <c r="BY194" s="70">
        <f t="shared" si="1472"/>
        <v>10.386911751980847</v>
      </c>
      <c r="BZ194" s="70">
        <f t="shared" si="1472"/>
        <v>6.2969828153214848</v>
      </c>
      <c r="CA194" s="70">
        <f t="shared" si="1472"/>
        <v>6.2969828153214848</v>
      </c>
      <c r="CB194" s="70">
        <f t="shared" si="1472"/>
        <v>0.85806294855100873</v>
      </c>
      <c r="CC194" s="70">
        <f t="shared" si="1472"/>
        <v>0.85806294855100873</v>
      </c>
      <c r="CD194" s="70">
        <f t="shared" si="1472"/>
        <v>6.6010682266166896</v>
      </c>
      <c r="CE194" s="70">
        <f t="shared" si="1472"/>
        <v>6.6010682266166896</v>
      </c>
      <c r="CF194" s="70">
        <f t="shared" ref="CF194:CG194" si="1473">CF190-CF193</f>
        <v>9.8932518655663273</v>
      </c>
      <c r="CG194" s="70">
        <f t="shared" si="1473"/>
        <v>9.8932518655663273</v>
      </c>
      <c r="CH194" s="70">
        <f t="shared" ref="CH194" si="1474">CH190-CH193</f>
        <v>20.456220240344663</v>
      </c>
      <c r="CI194" s="70">
        <f t="shared" ref="CI194:CK194" si="1475">CI190-CI193</f>
        <v>20.456220240344663</v>
      </c>
      <c r="CJ194" s="70">
        <f t="shared" ref="CJ194:CZ194" si="1476">CJ190-CJ193</f>
        <v>20.456220240344663</v>
      </c>
      <c r="CK194" s="70">
        <f t="shared" si="1475"/>
        <v>20.456220240344663</v>
      </c>
      <c r="CL194" s="50">
        <f t="shared" si="1476"/>
        <v>20.456220240344663</v>
      </c>
      <c r="CM194" s="50">
        <f t="shared" si="1476"/>
        <v>20.456220240344663</v>
      </c>
      <c r="CN194" s="50">
        <f t="shared" si="1476"/>
        <v>20.456220240344663</v>
      </c>
      <c r="CO194" s="50">
        <f t="shared" si="1476"/>
        <v>20.456220240344663</v>
      </c>
      <c r="CP194" s="50">
        <f t="shared" si="1476"/>
        <v>20.456220240344663</v>
      </c>
      <c r="CQ194" s="50">
        <f t="shared" si="1476"/>
        <v>20.456220240344663</v>
      </c>
      <c r="CR194" s="50">
        <f t="shared" si="1476"/>
        <v>20.456220240344663</v>
      </c>
      <c r="CS194" s="50">
        <f t="shared" si="1476"/>
        <v>20.456220240344663</v>
      </c>
      <c r="CT194" s="50">
        <f t="shared" si="1476"/>
        <v>20.456220240344663</v>
      </c>
      <c r="CU194" s="50">
        <f t="shared" si="1476"/>
        <v>20.456220240344663</v>
      </c>
      <c r="CV194" s="50">
        <f t="shared" si="1476"/>
        <v>20.456220240344663</v>
      </c>
      <c r="CW194" s="50">
        <f t="shared" si="1476"/>
        <v>20.456220240344663</v>
      </c>
      <c r="CX194" s="50">
        <f t="shared" si="1476"/>
        <v>20.456220240344663</v>
      </c>
      <c r="CY194" s="50">
        <f t="shared" si="1476"/>
        <v>20.456220240344663</v>
      </c>
      <c r="CZ194" s="50">
        <f t="shared" si="1476"/>
        <v>20.456220240344663</v>
      </c>
      <c r="DB194" s="138"/>
      <c r="DC194" s="7" t="e">
        <v>#DIV/0!</v>
      </c>
    </row>
    <row r="195" spans="1:107" s="7" customFormat="1" x14ac:dyDescent="0.2">
      <c r="A195" s="69" t="s">
        <v>86</v>
      </c>
      <c r="AA195" s="77"/>
      <c r="AB195" s="77"/>
      <c r="AC195" s="77"/>
      <c r="AD195" s="77"/>
      <c r="CD195" s="115"/>
      <c r="CF195" s="115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B195" s="138"/>
    </row>
    <row r="196" spans="1:107" s="86" customFormat="1" x14ac:dyDescent="0.2">
      <c r="A196" s="86" t="s">
        <v>440</v>
      </c>
      <c r="C196" s="86">
        <f t="shared" ref="C196:Z196" si="1477">C18/B18-1</f>
        <v>0.12880062288846283</v>
      </c>
      <c r="D196" s="86">
        <f t="shared" si="1477"/>
        <v>0.24886073455957258</v>
      </c>
      <c r="E196" s="86">
        <f t="shared" si="1477"/>
        <v>0.53928631140577132</v>
      </c>
      <c r="F196" s="86">
        <f t="shared" si="1477"/>
        <v>0.31095609786398914</v>
      </c>
      <c r="G196" s="86">
        <f t="shared" si="1477"/>
        <v>0.44243450150024333</v>
      </c>
      <c r="H196" s="86">
        <f t="shared" si="1477"/>
        <v>0.38752889470783347</v>
      </c>
      <c r="I196" s="86">
        <f t="shared" si="1477"/>
        <v>0.1528958664801312</v>
      </c>
      <c r="J196" s="86">
        <f t="shared" si="1477"/>
        <v>-8.7732534214593039E-2</v>
      </c>
      <c r="K196" s="86">
        <f t="shared" si="1477"/>
        <v>8.0020504067739306E-3</v>
      </c>
      <c r="L196" s="86">
        <f t="shared" si="1477"/>
        <v>0.18524852699454142</v>
      </c>
      <c r="M196" s="86">
        <f t="shared" si="1477"/>
        <v>2.1295554490934343E-2</v>
      </c>
      <c r="N196" s="86">
        <f t="shared" si="1477"/>
        <v>1.4652163858258849E-2</v>
      </c>
      <c r="O196" s="86">
        <f t="shared" si="1477"/>
        <v>1.4607633524517105E-3</v>
      </c>
      <c r="P196" s="86">
        <f t="shared" si="1477"/>
        <v>5.2629741364261351E-2</v>
      </c>
      <c r="Q196" s="86">
        <f t="shared" si="1477"/>
        <v>6.166134538534962E-2</v>
      </c>
      <c r="R196" s="86">
        <f t="shared" si="1477"/>
        <v>-0.29488753455424033</v>
      </c>
      <c r="S196" s="86">
        <f t="shared" si="1477"/>
        <v>9.7869449417680165E-2</v>
      </c>
      <c r="T196" s="86">
        <f t="shared" si="1477"/>
        <v>9.3412375263821845E-2</v>
      </c>
      <c r="U196" s="86">
        <f t="shared" si="1477"/>
        <v>-0.20425122965498577</v>
      </c>
      <c r="V196" s="86">
        <f t="shared" si="1477"/>
        <v>0.19121449247974986</v>
      </c>
      <c r="W196" s="86">
        <f t="shared" si="1477"/>
        <v>0.23558263628497267</v>
      </c>
      <c r="X196" s="86">
        <f t="shared" si="1477"/>
        <v>0.21931525188706669</v>
      </c>
      <c r="Y196" s="86">
        <f t="shared" si="1477"/>
        <v>0.16673399371273878</v>
      </c>
      <c r="Z196" s="86">
        <f t="shared" si="1477"/>
        <v>8.3228930015728064E-2</v>
      </c>
      <c r="AA196" s="87">
        <f t="shared" ref="AA196:AD196" si="1478">AA18/Z18-1</f>
        <v>9.7212133887866203E-2</v>
      </c>
      <c r="AB196" s="87">
        <f t="shared" si="1478"/>
        <v>0.17957925203299374</v>
      </c>
      <c r="AC196" s="87">
        <f t="shared" si="1478"/>
        <v>0.12523285149230756</v>
      </c>
      <c r="AD196" s="87">
        <f t="shared" si="1478"/>
        <v>0.17777242681874506</v>
      </c>
      <c r="AM196" s="86">
        <f t="shared" ref="AM196:CH196" si="1479">+(AM18+AL18)/(AI18+AH18)-1</f>
        <v>-4.2072906510670416E-2</v>
      </c>
      <c r="AN196" s="86">
        <f t="shared" si="1479"/>
        <v>2.5413208803127141E-2</v>
      </c>
      <c r="AO196" s="86">
        <f t="shared" si="1479"/>
        <v>-7.8186717855956989E-3</v>
      </c>
      <c r="AP196" s="86">
        <f t="shared" si="1479"/>
        <v>-2.2059256956985407E-2</v>
      </c>
      <c r="AQ196" s="86">
        <f t="shared" si="1479"/>
        <v>3.6782064149503135E-2</v>
      </c>
      <c r="AR196" s="86">
        <f t="shared" si="1479"/>
        <v>2.3462505357451757E-2</v>
      </c>
      <c r="AS196" s="86">
        <f t="shared" si="1479"/>
        <v>5.3080926088531211E-3</v>
      </c>
      <c r="AT196" s="86">
        <f t="shared" si="1479"/>
        <v>2.6384356788834662E-2</v>
      </c>
      <c r="AU196" s="86">
        <f t="shared" si="1479"/>
        <v>6.3657063387098978E-2</v>
      </c>
      <c r="AV196" s="86">
        <f t="shared" si="1479"/>
        <v>7.6088926330637907E-2</v>
      </c>
      <c r="AW196" s="86">
        <f t="shared" si="1479"/>
        <v>9.2684888649833042E-2</v>
      </c>
      <c r="AX196" s="86">
        <f t="shared" si="1479"/>
        <v>9.3956793435463704E-2</v>
      </c>
      <c r="AY196" s="86">
        <f t="shared" si="1479"/>
        <v>6.3854442533052724E-2</v>
      </c>
      <c r="AZ196" s="86">
        <f t="shared" si="1479"/>
        <v>3.8394840330626678E-2</v>
      </c>
      <c r="BA196" s="86">
        <f t="shared" si="1479"/>
        <v>5.2011570169556043E-2</v>
      </c>
      <c r="BB196" s="86">
        <f t="shared" si="1479"/>
        <v>6.9875090589214262E-2</v>
      </c>
      <c r="BC196" s="86">
        <f t="shared" si="1479"/>
        <v>1.706163878486322E-3</v>
      </c>
      <c r="BD196" s="86">
        <f t="shared" si="1479"/>
        <v>-0.20396292619208867</v>
      </c>
      <c r="BE196" s="86">
        <f t="shared" si="1479"/>
        <v>-0.29700985410938485</v>
      </c>
      <c r="BF196" s="86">
        <f t="shared" si="1479"/>
        <v>-0.2628217847751072</v>
      </c>
      <c r="BG196" s="86">
        <f t="shared" si="1479"/>
        <v>-0.24042879756732427</v>
      </c>
      <c r="BH196" s="86">
        <f t="shared" si="1479"/>
        <v>-4.7963327505747166E-2</v>
      </c>
      <c r="BI196" s="86">
        <f t="shared" si="1479"/>
        <v>0.16529016460013235</v>
      </c>
      <c r="BJ196" s="86">
        <f t="shared" si="1479"/>
        <v>0.10637402619903602</v>
      </c>
      <c r="BK196" s="86">
        <f t="shared" si="1479"/>
        <v>9.9460305193612264E-2</v>
      </c>
      <c r="BL196" s="86">
        <f t="shared" si="1479"/>
        <v>6.9697565602641953E-2</v>
      </c>
      <c r="BM196" s="86">
        <f t="shared" si="1479"/>
        <v>-8.9347241109163478E-2</v>
      </c>
      <c r="BN196" s="86">
        <f t="shared" si="1479"/>
        <v>-0.29865212527964202</v>
      </c>
      <c r="BO196" s="86">
        <f t="shared" si="1479"/>
        <v>-0.25160671435197057</v>
      </c>
      <c r="BP196" s="86">
        <f t="shared" si="1479"/>
        <v>-0.10435934521958934</v>
      </c>
      <c r="BQ196" s="86">
        <f t="shared" si="1479"/>
        <v>-4.1909672370287421E-2</v>
      </c>
      <c r="BR196" s="86">
        <f t="shared" si="1479"/>
        <v>0.21773749810607579</v>
      </c>
      <c r="BS196" s="86">
        <f t="shared" si="1479"/>
        <v>0.23302988895090393</v>
      </c>
      <c r="BT196" s="86">
        <f t="shared" si="1479"/>
        <v>0.17113552052110981</v>
      </c>
      <c r="BU196" s="86">
        <f t="shared" si="1479"/>
        <v>0.22416521767855602</v>
      </c>
      <c r="BV196" s="86">
        <f t="shared" si="1479"/>
        <v>0.33351778423174006</v>
      </c>
      <c r="BW196" s="86">
        <f t="shared" si="1479"/>
        <v>0.31661853996597311</v>
      </c>
      <c r="BX196" s="86">
        <f t="shared" si="1479"/>
        <v>0.17185023286742651</v>
      </c>
      <c r="BY196" s="86">
        <f t="shared" si="1479"/>
        <v>0.18687260202729905</v>
      </c>
      <c r="BZ196" s="86">
        <f t="shared" si="1479"/>
        <v>0.20800155179229551</v>
      </c>
      <c r="CA196" s="86">
        <f t="shared" si="1479"/>
        <v>0.25138289876446018</v>
      </c>
      <c r="CB196" s="86">
        <f t="shared" si="1479"/>
        <v>0.21554991037357185</v>
      </c>
      <c r="CC196" s="86">
        <f t="shared" si="1479"/>
        <v>0.20663604871313623</v>
      </c>
      <c r="CD196" s="86">
        <f t="shared" si="1479"/>
        <v>0.20150655305863596</v>
      </c>
      <c r="CE196" s="86">
        <f t="shared" si="1479"/>
        <v>8.8142452755114897E-2</v>
      </c>
      <c r="CF196" s="86">
        <f t="shared" si="1479"/>
        <v>0.13577952767303336</v>
      </c>
      <c r="CG196" s="86">
        <f t="shared" si="1479"/>
        <v>9.2011613864693365E-2</v>
      </c>
      <c r="CH196" s="86">
        <f t="shared" si="1479"/>
        <v>4.6401588842912345E-2</v>
      </c>
      <c r="CI196" s="86">
        <f>+(CI18+CH18)/(CE18+CD18)-1</f>
        <v>0.1293988180434682</v>
      </c>
      <c r="CK196" s="86">
        <f>+(CK18+CJ18)/(CG18+CF18)-1</f>
        <v>5.742274509803913E-2</v>
      </c>
      <c r="CL196" s="87"/>
      <c r="CM196" s="87"/>
      <c r="CN196" s="87"/>
      <c r="CO196" s="87"/>
      <c r="CP196" s="87"/>
      <c r="CQ196" s="87"/>
      <c r="CR196" s="87"/>
      <c r="CS196" s="87"/>
      <c r="CT196" s="87"/>
      <c r="CU196" s="87"/>
      <c r="CV196" s="87"/>
      <c r="CW196" s="87"/>
      <c r="CX196" s="87"/>
      <c r="CY196" s="87"/>
      <c r="CZ196" s="87"/>
      <c r="DB196" s="141"/>
      <c r="DC196" s="86" t="e">
        <v>#DIV/0!</v>
      </c>
    </row>
    <row r="197" spans="1:107" s="86" customFormat="1" x14ac:dyDescent="0.2">
      <c r="A197" s="86" t="s">
        <v>441</v>
      </c>
      <c r="C197" s="86">
        <f t="shared" ref="C197" si="1480">C194/B194-1</f>
        <v>-0.5378810011712476</v>
      </c>
      <c r="D197" s="86">
        <f t="shared" ref="D197" si="1481">D194/C194-1</f>
        <v>-0.57719566259194188</v>
      </c>
      <c r="E197" s="86">
        <f>E194/D194-1</f>
        <v>-0.7172015349660108</v>
      </c>
      <c r="F197" s="86">
        <f t="shared" ref="F197" si="1482">F194/E194-1</f>
        <v>4.9760548463903715</v>
      </c>
      <c r="G197" s="86">
        <f t="shared" ref="G197" si="1483">G194/F194-1</f>
        <v>0.10760496337251491</v>
      </c>
      <c r="H197" s="86">
        <f t="shared" ref="H197" si="1484">H194/G194-1</f>
        <v>0.30831558492380706</v>
      </c>
      <c r="I197" s="86">
        <f t="shared" ref="I197" si="1485">I194/H194-1</f>
        <v>0.9119195021473947</v>
      </c>
      <c r="J197" s="86">
        <f t="shared" ref="J197" si="1486">J194/I194-1</f>
        <v>0.19941731569856946</v>
      </c>
      <c r="K197" s="86">
        <f>K194/J194-1</f>
        <v>-0.108818262196266</v>
      </c>
      <c r="L197" s="86">
        <f t="shared" ref="L197" si="1487">L194/K194-1</f>
        <v>-0.13404968094600123</v>
      </c>
      <c r="M197" s="86">
        <f t="shared" ref="M197" si="1488">M194/L194-1</f>
        <v>0.47695699401914138</v>
      </c>
      <c r="N197" s="86">
        <f t="shared" ref="N197" si="1489">N194/M194-1</f>
        <v>-4.7641850122989382E-2</v>
      </c>
      <c r="O197" s="86">
        <f t="shared" ref="O197" si="1490">O194/N194-1</f>
        <v>2.4106881733301222E-3</v>
      </c>
      <c r="P197" s="86">
        <f t="shared" ref="P197" si="1491">P194/O194-1</f>
        <v>2.4489938231602393E-2</v>
      </c>
      <c r="Q197" s="86">
        <f t="shared" ref="Q197" si="1492">Q194/P194-1</f>
        <v>-0.28722813517667356</v>
      </c>
      <c r="R197" s="86">
        <f t="shared" ref="R197" si="1493">R194/Q194-1</f>
        <v>0.18983995962533018</v>
      </c>
      <c r="S197" s="86">
        <f t="shared" ref="S197" si="1494">S194/R194-1</f>
        <v>0.35999776932195782</v>
      </c>
      <c r="T197" s="86">
        <f t="shared" ref="T197" si="1495">T194/S194-1</f>
        <v>-0.35285266385820047</v>
      </c>
      <c r="U197" s="86">
        <f t="shared" ref="U197" si="1496">U194/T194-1</f>
        <v>-0.47876485193538165</v>
      </c>
      <c r="V197" s="86">
        <f t="shared" ref="V197" si="1497">V194/U194-1</f>
        <v>-0.31797363020771685</v>
      </c>
      <c r="W197" s="86">
        <f t="shared" ref="W197:Z197" si="1498">W194/V194-1</f>
        <v>-0.43989147691957153</v>
      </c>
      <c r="X197" s="86">
        <f t="shared" si="1498"/>
        <v>-1.1009013120198465</v>
      </c>
      <c r="Y197" s="86">
        <f t="shared" si="1498"/>
        <v>-9.9980917854762623</v>
      </c>
      <c r="Z197" s="86">
        <f t="shared" si="1498"/>
        <v>0.87935915311034485</v>
      </c>
      <c r="AA197" s="87">
        <f t="shared" ref="AA197" si="1499">AA194/Z194-1</f>
        <v>4.9919235956253027E-2</v>
      </c>
      <c r="AB197" s="87">
        <f t="shared" ref="AB197" si="1500">AB194/AA194-1</f>
        <v>6.8611939841369152E-2</v>
      </c>
      <c r="AC197" s="87">
        <f t="shared" ref="AC197" si="1501">AC194/AB194-1</f>
        <v>1.3630791108118379E-2</v>
      </c>
      <c r="AD197" s="87">
        <f t="shared" ref="AD197" si="1502">AD194/AC194-1</f>
        <v>-1.9862854374047556E-3</v>
      </c>
      <c r="AM197" s="86" t="e">
        <f t="shared" ref="AM197:CH197" si="1503">+AM194/AI194-1</f>
        <v>#DIV/0!</v>
      </c>
      <c r="AN197" s="86">
        <f t="shared" si="1503"/>
        <v>-3.0865269800891881E-2</v>
      </c>
      <c r="AO197" s="86">
        <f t="shared" si="1503"/>
        <v>-3.0865269800891881E-2</v>
      </c>
      <c r="AP197" s="86">
        <f t="shared" si="1503"/>
        <v>-1.6203120471636745E-2</v>
      </c>
      <c r="AQ197" s="86">
        <f t="shared" si="1503"/>
        <v>-1.6203120471636745E-2</v>
      </c>
      <c r="AR197" s="86">
        <f t="shared" si="1503"/>
        <v>-1.7856501835896266E-2</v>
      </c>
      <c r="AS197" s="86">
        <f t="shared" si="1503"/>
        <v>-1.7856501835896266E-2</v>
      </c>
      <c r="AT197" s="86">
        <f t="shared" si="1503"/>
        <v>-2.2276214877328115E-2</v>
      </c>
      <c r="AU197" s="86">
        <f t="shared" si="1503"/>
        <v>-2.2276214877328115E-2</v>
      </c>
      <c r="AV197" s="86">
        <f t="shared" si="1503"/>
        <v>-5.7713968199531451E-2</v>
      </c>
      <c r="AW197" s="86">
        <f t="shared" si="1503"/>
        <v>-5.7713968199531451E-2</v>
      </c>
      <c r="AX197" s="86">
        <f t="shared" si="1503"/>
        <v>-0.26268946871723586</v>
      </c>
      <c r="AY197" s="86">
        <f t="shared" si="1503"/>
        <v>-0.26268946871723586</v>
      </c>
      <c r="AZ197" s="86">
        <f t="shared" si="1503"/>
        <v>-0.23554174520794235</v>
      </c>
      <c r="BA197" s="86">
        <f t="shared" si="1503"/>
        <v>-0.23554174520794235</v>
      </c>
      <c r="BB197" s="86">
        <f t="shared" si="1503"/>
        <v>-0.47890800593559013</v>
      </c>
      <c r="BC197" s="86">
        <f t="shared" si="1503"/>
        <v>-0.47890800593559013</v>
      </c>
      <c r="BD197" s="86">
        <f t="shared" si="1503"/>
        <v>-0.51757226093784336</v>
      </c>
      <c r="BE197" s="86">
        <f t="shared" si="1503"/>
        <v>-0.51757226093784336</v>
      </c>
      <c r="BF197" s="86">
        <f t="shared" si="1503"/>
        <v>-2.5428119832011986E-2</v>
      </c>
      <c r="BG197" s="86">
        <f t="shared" si="1503"/>
        <v>-2.5428119832011986E-2</v>
      </c>
      <c r="BH197" s="86">
        <f t="shared" si="1503"/>
        <v>2.1640299267814758</v>
      </c>
      <c r="BI197" s="86">
        <f t="shared" si="1503"/>
        <v>2.1640299267814758</v>
      </c>
      <c r="BJ197" s="86">
        <f t="shared" si="1503"/>
        <v>1.9113844017136503</v>
      </c>
      <c r="BK197" s="86">
        <f t="shared" si="1503"/>
        <v>1.9113844017136503</v>
      </c>
      <c r="BL197" s="86">
        <f t="shared" si="1503"/>
        <v>-0.28980217486769289</v>
      </c>
      <c r="BM197" s="86">
        <f t="shared" si="1503"/>
        <v>-0.28980217486769289</v>
      </c>
      <c r="BN197" s="86">
        <f t="shared" si="1503"/>
        <v>5.4449598758316453E-2</v>
      </c>
      <c r="BO197" s="86">
        <f t="shared" si="1503"/>
        <v>5.4449598758316453E-2</v>
      </c>
      <c r="BP197" s="86">
        <f t="shared" si="1503"/>
        <v>-0.43678719679859768</v>
      </c>
      <c r="BQ197" s="86">
        <f t="shared" si="1503"/>
        <v>-0.43678719679859823</v>
      </c>
      <c r="BR197" s="86">
        <f t="shared" si="1503"/>
        <v>-0.73662617032403255</v>
      </c>
      <c r="BS197" s="86">
        <f t="shared" si="1503"/>
        <v>-0.73662617032403255</v>
      </c>
      <c r="BT197" s="86">
        <f t="shared" si="1503"/>
        <v>-0.32691711475326335</v>
      </c>
      <c r="BU197" s="86">
        <f t="shared" si="1503"/>
        <v>-0.32691711475326268</v>
      </c>
      <c r="BV197" s="86">
        <f t="shared" si="1503"/>
        <v>-0.43827186290896192</v>
      </c>
      <c r="BW197" s="86">
        <f t="shared" si="1503"/>
        <v>-0.43827186290896192</v>
      </c>
      <c r="BX197" s="86">
        <f t="shared" si="1503"/>
        <v>-0.4158472279950064</v>
      </c>
      <c r="BY197" s="86">
        <f t="shared" si="1503"/>
        <v>-0.4158472279950064</v>
      </c>
      <c r="BZ197" s="86">
        <f t="shared" si="1503"/>
        <v>-0.59375834850583364</v>
      </c>
      <c r="CA197" s="86">
        <f t="shared" si="1503"/>
        <v>-0.59375834850583364</v>
      </c>
      <c r="CB197" s="86">
        <f t="shared" si="1503"/>
        <v>-0.91738998375649328</v>
      </c>
      <c r="CC197" s="86">
        <f t="shared" si="1503"/>
        <v>-0.91738998375649328</v>
      </c>
      <c r="CD197" s="86">
        <f t="shared" si="1503"/>
        <v>4.8290652875107032E-2</v>
      </c>
      <c r="CE197" s="86">
        <f t="shared" si="1503"/>
        <v>4.8290652875107032E-2</v>
      </c>
      <c r="CF197" s="86">
        <f t="shared" si="1503"/>
        <v>10.529750681197498</v>
      </c>
      <c r="CG197" s="86">
        <f t="shared" si="1503"/>
        <v>10.529750681197498</v>
      </c>
      <c r="CH197" s="86">
        <f t="shared" si="1503"/>
        <v>2.0989257402099737</v>
      </c>
      <c r="CI197" s="86">
        <f>+CI194/CE194-1</f>
        <v>2.0989257402099737</v>
      </c>
      <c r="CK197" s="86">
        <f>+CK194/CG194-1</f>
        <v>1.0676942746745355</v>
      </c>
      <c r="CL197" s="87"/>
      <c r="CM197" s="87"/>
      <c r="CN197" s="87"/>
      <c r="CO197" s="87"/>
      <c r="CP197" s="87"/>
      <c r="CQ197" s="87"/>
      <c r="CR197" s="87"/>
      <c r="CS197" s="87"/>
      <c r="CT197" s="87"/>
      <c r="CU197" s="87"/>
      <c r="CV197" s="87"/>
      <c r="CW197" s="87"/>
      <c r="CX197" s="87"/>
      <c r="CY197" s="87"/>
      <c r="CZ197" s="87"/>
      <c r="DB197" s="141"/>
      <c r="DC197" s="86" t="e">
        <v>#DIV/0!</v>
      </c>
    </row>
    <row r="198" spans="1:107" s="103" customFormat="1" x14ac:dyDescent="0.2">
      <c r="A198" s="147" t="s">
        <v>87</v>
      </c>
      <c r="C198" s="103">
        <f>IF(C197&gt;C196,"RF",0)</f>
        <v>0</v>
      </c>
      <c r="D198" s="103">
        <f>IF(D197&gt;D196,"RF",0)</f>
        <v>0</v>
      </c>
      <c r="E198" s="103">
        <f t="shared" ref="E198:U198" si="1504">IF(E197&gt;E196,"RF",0)</f>
        <v>0</v>
      </c>
      <c r="F198" s="103" t="str">
        <f t="shared" si="1504"/>
        <v>RF</v>
      </c>
      <c r="G198" s="103">
        <f t="shared" si="1504"/>
        <v>0</v>
      </c>
      <c r="H198" s="103">
        <f t="shared" si="1504"/>
        <v>0</v>
      </c>
      <c r="I198" s="103" t="str">
        <f t="shared" si="1504"/>
        <v>RF</v>
      </c>
      <c r="J198" s="103" t="str">
        <f t="shared" si="1504"/>
        <v>RF</v>
      </c>
      <c r="K198" s="103">
        <f t="shared" si="1504"/>
        <v>0</v>
      </c>
      <c r="L198" s="103">
        <f t="shared" si="1504"/>
        <v>0</v>
      </c>
      <c r="M198" s="103" t="str">
        <f t="shared" si="1504"/>
        <v>RF</v>
      </c>
      <c r="N198" s="103">
        <f t="shared" si="1504"/>
        <v>0</v>
      </c>
      <c r="O198" s="103" t="str">
        <f t="shared" si="1504"/>
        <v>RF</v>
      </c>
      <c r="P198" s="103">
        <f t="shared" si="1504"/>
        <v>0</v>
      </c>
      <c r="Q198" s="103">
        <f t="shared" si="1504"/>
        <v>0</v>
      </c>
      <c r="R198" s="103" t="str">
        <f t="shared" si="1504"/>
        <v>RF</v>
      </c>
      <c r="S198" s="103" t="str">
        <f t="shared" si="1504"/>
        <v>RF</v>
      </c>
      <c r="T198" s="103">
        <f t="shared" si="1504"/>
        <v>0</v>
      </c>
      <c r="U198" s="103">
        <f t="shared" si="1504"/>
        <v>0</v>
      </c>
      <c r="V198" s="103">
        <f>IF(V197&gt;V196,"RF",0)</f>
        <v>0</v>
      </c>
      <c r="W198" s="103">
        <f t="shared" ref="W198" si="1505">IF(W197&gt;W196,"RF",0)</f>
        <v>0</v>
      </c>
      <c r="X198" s="103">
        <f t="shared" ref="X198:Y198" si="1506">IF(X197&gt;X196,"RF",0)</f>
        <v>0</v>
      </c>
      <c r="Y198" s="103">
        <f t="shared" si="1506"/>
        <v>0</v>
      </c>
      <c r="Z198" s="103" t="str">
        <f t="shared" ref="Z198" si="1507">IF(Z197&gt;Z196,"RF",0)</f>
        <v>RF</v>
      </c>
      <c r="AA198" s="73">
        <f t="shared" ref="AA198:AD198" si="1508">IF(AA197&gt;AA196,"RF",0)</f>
        <v>0</v>
      </c>
      <c r="AB198" s="73">
        <f t="shared" si="1508"/>
        <v>0</v>
      </c>
      <c r="AC198" s="73">
        <f t="shared" si="1508"/>
        <v>0</v>
      </c>
      <c r="AD198" s="73">
        <f t="shared" si="1508"/>
        <v>0</v>
      </c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B198" s="142"/>
      <c r="DC198" s="103" t="e">
        <v>#DIV/0!</v>
      </c>
    </row>
    <row r="199" spans="1:107" x14ac:dyDescent="0.2">
      <c r="A199" s="153" t="s">
        <v>494</v>
      </c>
      <c r="Z199" s="2"/>
    </row>
    <row r="200" spans="1:107" x14ac:dyDescent="0.2">
      <c r="A200" s="152" t="s">
        <v>495</v>
      </c>
      <c r="Z200" s="2"/>
    </row>
    <row r="201" spans="1:107" s="23" customFormat="1" x14ac:dyDescent="0.2">
      <c r="A201" s="23" t="s">
        <v>22</v>
      </c>
      <c r="C201" s="23">
        <f t="shared" ref="C201:AD201" si="1509">C56</f>
        <v>97.174099999999967</v>
      </c>
      <c r="D201" s="23">
        <f t="shared" si="1509"/>
        <v>124.19349999999996</v>
      </c>
      <c r="E201" s="23">
        <f t="shared" si="1509"/>
        <v>154.31909999999985</v>
      </c>
      <c r="F201" s="23">
        <f t="shared" si="1509"/>
        <v>218.67700000000002</v>
      </c>
      <c r="G201" s="23">
        <f t="shared" si="1509"/>
        <v>340.30619999999965</v>
      </c>
      <c r="H201" s="23">
        <f t="shared" si="1509"/>
        <v>491.66900000000061</v>
      </c>
      <c r="I201" s="23">
        <f t="shared" si="1509"/>
        <v>547.41299999999967</v>
      </c>
      <c r="J201" s="23">
        <f t="shared" si="1509"/>
        <v>354.6391000000001</v>
      </c>
      <c r="K201" s="23">
        <f t="shared" si="1509"/>
        <v>63.230300000000412</v>
      </c>
      <c r="L201" s="23">
        <f t="shared" si="1509"/>
        <v>184.70999999999995</v>
      </c>
      <c r="M201" s="23">
        <f t="shared" si="1509"/>
        <v>140.93999999999988</v>
      </c>
      <c r="N201" s="23">
        <f t="shared" si="1509"/>
        <v>179.30999999999969</v>
      </c>
      <c r="O201" s="23">
        <f t="shared" si="1509"/>
        <v>228.51000000000045</v>
      </c>
      <c r="P201" s="23">
        <f t="shared" si="1509"/>
        <v>299.88000000000147</v>
      </c>
      <c r="Q201" s="23">
        <f t="shared" si="1509"/>
        <v>374.47000000000099</v>
      </c>
      <c r="R201" s="23">
        <f t="shared" si="1509"/>
        <v>419.95</v>
      </c>
      <c r="S201" s="23">
        <f t="shared" si="1509"/>
        <v>510.89000000000055</v>
      </c>
      <c r="T201" s="23">
        <f t="shared" si="1509"/>
        <v>303.4000000000002</v>
      </c>
      <c r="U201" s="23">
        <f t="shared" si="1509"/>
        <v>219.22000000000014</v>
      </c>
      <c r="V201" s="23">
        <f t="shared" si="1509"/>
        <v>519.70999999999981</v>
      </c>
      <c r="W201" s="23">
        <f t="shared" si="1509"/>
        <v>1016.2300000000013</v>
      </c>
      <c r="X201" s="23">
        <f t="shared" si="1509"/>
        <v>1242.0500000000004</v>
      </c>
      <c r="Y201" s="23">
        <f t="shared" si="1509"/>
        <v>1871.640000000001</v>
      </c>
      <c r="Z201" s="23">
        <f t="shared" ref="Z201" si="1510">Z56</f>
        <v>1668.2599999999995</v>
      </c>
      <c r="AA201" s="24">
        <f t="shared" si="1509"/>
        <v>3191.2331579222428</v>
      </c>
      <c r="AB201" s="24">
        <f t="shared" si="1509"/>
        <v>2240.5203119432372</v>
      </c>
      <c r="AC201" s="24">
        <f t="shared" si="1509"/>
        <v>2479.7274274193942</v>
      </c>
      <c r="AD201" s="24">
        <f t="shared" si="1509"/>
        <v>2947.0192232300842</v>
      </c>
      <c r="AH201" s="23">
        <f t="shared" ref="AH201:BM201" si="1511">AH56</f>
        <v>51.630000000000123</v>
      </c>
      <c r="AI201" s="23">
        <f t="shared" si="1511"/>
        <v>21.369999999999763</v>
      </c>
      <c r="AJ201" s="23">
        <f t="shared" si="1511"/>
        <v>16.770000000000259</v>
      </c>
      <c r="AK201" s="23">
        <f t="shared" si="1511"/>
        <v>43.059999999999974</v>
      </c>
      <c r="AL201" s="23">
        <f t="shared" si="1511"/>
        <v>39.630000000000223</v>
      </c>
      <c r="AM201" s="23">
        <f t="shared" si="1511"/>
        <v>38.030000000000186</v>
      </c>
      <c r="AN201" s="23">
        <f t="shared" si="1511"/>
        <v>58.589999999999925</v>
      </c>
      <c r="AO201" s="23">
        <f t="shared" si="1511"/>
        <v>51.680000000000035</v>
      </c>
      <c r="AP201" s="23">
        <f t="shared" si="1511"/>
        <v>47.689999999999941</v>
      </c>
      <c r="AQ201" s="23">
        <f t="shared" si="1511"/>
        <v>44.979999999999869</v>
      </c>
      <c r="AR201" s="23">
        <f t="shared" si="1511"/>
        <v>84.16</v>
      </c>
      <c r="AS201" s="23">
        <f t="shared" si="1511"/>
        <v>54.290000000000035</v>
      </c>
      <c r="AT201" s="23">
        <f t="shared" si="1511"/>
        <v>57.45000000000033</v>
      </c>
      <c r="AU201" s="23">
        <f t="shared" si="1511"/>
        <v>58.740000000000116</v>
      </c>
      <c r="AV201" s="23">
        <f t="shared" si="1511"/>
        <v>129.39999999999986</v>
      </c>
      <c r="AW201" s="23">
        <f t="shared" si="1511"/>
        <v>85.449999999999974</v>
      </c>
      <c r="AX201" s="23">
        <f t="shared" si="1511"/>
        <v>55.639999999999702</v>
      </c>
      <c r="AY201" s="23">
        <f t="shared" si="1511"/>
        <v>70.569999999999538</v>
      </c>
      <c r="AZ201" s="23">
        <f t="shared" si="1511"/>
        <v>162.80999999999986</v>
      </c>
      <c r="BA201" s="23">
        <f t="shared" si="1511"/>
        <v>89.980000000000302</v>
      </c>
      <c r="BB201" s="23">
        <f t="shared" si="1511"/>
        <v>75.059999999999349</v>
      </c>
      <c r="BC201" s="23">
        <f t="shared" si="1511"/>
        <v>83.389999999999645</v>
      </c>
      <c r="BD201" s="23">
        <f t="shared" si="1511"/>
        <v>171.51999999999992</v>
      </c>
      <c r="BE201" s="23">
        <f t="shared" si="1511"/>
        <v>102.49000000000004</v>
      </c>
      <c r="BF201" s="23">
        <f t="shared" si="1511"/>
        <v>102.14999999999976</v>
      </c>
      <c r="BG201" s="23">
        <f t="shared" si="1511"/>
        <v>108.34000000000002</v>
      </c>
      <c r="BH201" s="23">
        <f t="shared" si="1511"/>
        <v>197.91000000000008</v>
      </c>
      <c r="BI201" s="23">
        <f t="shared" si="1511"/>
        <v>116.19000000000011</v>
      </c>
      <c r="BJ201" s="23">
        <f t="shared" si="1511"/>
        <v>130.39999999999998</v>
      </c>
      <c r="BK201" s="23">
        <f t="shared" si="1511"/>
        <v>135.27999999999989</v>
      </c>
      <c r="BL201" s="23">
        <f t="shared" si="1511"/>
        <v>38.659999999999869</v>
      </c>
      <c r="BM201" s="23">
        <f t="shared" si="1511"/>
        <v>64.64</v>
      </c>
      <c r="BN201" s="23">
        <f t="shared" ref="BN201:CS201" si="1512">BN56</f>
        <v>16.280000000000058</v>
      </c>
      <c r="BO201" s="23">
        <f t="shared" si="1512"/>
        <v>80.739999999999881</v>
      </c>
      <c r="BP201" s="23">
        <f t="shared" si="1512"/>
        <v>57.559999999999846</v>
      </c>
      <c r="BQ201" s="23">
        <f t="shared" si="1512"/>
        <v>141.33000000000007</v>
      </c>
      <c r="BR201" s="23">
        <f t="shared" si="1512"/>
        <v>70.260000000000119</v>
      </c>
      <c r="BS201" s="23">
        <f t="shared" si="1512"/>
        <v>119.92000000000006</v>
      </c>
      <c r="BT201" s="23">
        <f t="shared" si="1512"/>
        <v>188.19999999999982</v>
      </c>
      <c r="BU201" s="23">
        <f t="shared" si="1512"/>
        <v>79.659999999999883</v>
      </c>
      <c r="BV201" s="23">
        <f t="shared" si="1512"/>
        <v>145.67000000000002</v>
      </c>
      <c r="BW201" s="23">
        <f t="shared" si="1512"/>
        <v>197.55999999999969</v>
      </c>
      <c r="BX201" s="23">
        <f t="shared" si="1512"/>
        <v>305.32000000000045</v>
      </c>
      <c r="BY201" s="23">
        <f t="shared" si="1512"/>
        <v>244.88999999999967</v>
      </c>
      <c r="BZ201" s="23">
        <f t="shared" si="1512"/>
        <v>295.63000000000022</v>
      </c>
      <c r="CA201" s="23">
        <f t="shared" si="1512"/>
        <v>362.86999999999995</v>
      </c>
      <c r="CB201" s="23">
        <f t="shared" si="1512"/>
        <v>338.6599999999998</v>
      </c>
      <c r="CC201" s="23">
        <f t="shared" si="1512"/>
        <v>459.28999999999968</v>
      </c>
      <c r="CD201" s="23">
        <f t="shared" si="1512"/>
        <v>443.49000000000012</v>
      </c>
      <c r="CE201" s="23">
        <f t="shared" si="1512"/>
        <v>440.45000000000022</v>
      </c>
      <c r="CF201" s="23">
        <f t="shared" si="1512"/>
        <v>528.41000000000031</v>
      </c>
      <c r="CG201" s="23">
        <f t="shared" si="1512"/>
        <v>474.63000000000028</v>
      </c>
      <c r="CH201" s="23">
        <f t="shared" si="1512"/>
        <v>351.73999999999995</v>
      </c>
      <c r="CI201" s="23">
        <f t="shared" si="1512"/>
        <v>409.03999999999979</v>
      </c>
      <c r="CJ201" s="23">
        <f t="shared" si="1512"/>
        <v>432.85000000000014</v>
      </c>
      <c r="CK201" s="23">
        <f t="shared" ref="CK201" si="1513">CK56</f>
        <v>1783.6499999999999</v>
      </c>
      <c r="CL201" s="24">
        <f t="shared" si="1512"/>
        <v>452.3852826773043</v>
      </c>
      <c r="CM201" s="24">
        <f t="shared" si="1512"/>
        <v>473.54084908955429</v>
      </c>
      <c r="CN201" s="24">
        <f t="shared" si="1512"/>
        <v>481.65702615538305</v>
      </c>
      <c r="CO201" s="24">
        <f t="shared" si="1512"/>
        <v>507.49037256533819</v>
      </c>
      <c r="CP201" s="24">
        <f t="shared" si="1512"/>
        <v>572.64897333722638</v>
      </c>
      <c r="CQ201" s="24">
        <f t="shared" si="1512"/>
        <v>576.37760074233131</v>
      </c>
      <c r="CR201" s="24">
        <f t="shared" si="1512"/>
        <v>584.00336529834044</v>
      </c>
      <c r="CS201" s="24">
        <f t="shared" si="1512"/>
        <v>590.74977605717379</v>
      </c>
      <c r="CT201" s="24">
        <f t="shared" ref="CT201:CZ201" si="1514">CT56</f>
        <v>637.50671527696386</v>
      </c>
      <c r="CU201" s="24">
        <f t="shared" si="1514"/>
        <v>628.2411864901195</v>
      </c>
      <c r="CV201" s="24">
        <f t="shared" si="1514"/>
        <v>623.22974959513476</v>
      </c>
      <c r="CW201" s="24">
        <f t="shared" si="1514"/>
        <v>698.35250311696086</v>
      </c>
      <c r="CX201" s="24">
        <f t="shared" si="1514"/>
        <v>748.7337201772483</v>
      </c>
      <c r="CY201" s="24">
        <f t="shared" si="1514"/>
        <v>745.68998372461147</v>
      </c>
      <c r="CZ201" s="24">
        <f t="shared" si="1514"/>
        <v>754.24301621126415</v>
      </c>
      <c r="DB201" s="123"/>
      <c r="DC201" s="23">
        <v>0</v>
      </c>
    </row>
    <row r="202" spans="1:107" s="23" customFormat="1" x14ac:dyDescent="0.2">
      <c r="A202" s="23" t="s">
        <v>88</v>
      </c>
      <c r="C202" s="23">
        <f t="shared" ref="C202:AD202" si="1515">C40</f>
        <v>18.322299999999998</v>
      </c>
      <c r="D202" s="23">
        <f t="shared" si="1515"/>
        <v>18.434999999999999</v>
      </c>
      <c r="E202" s="23">
        <f t="shared" si="1515"/>
        <v>20.3597</v>
      </c>
      <c r="F202" s="23">
        <f t="shared" si="1515"/>
        <v>23.140699999999999</v>
      </c>
      <c r="G202" s="23">
        <f t="shared" si="1515"/>
        <v>26.467500000000001</v>
      </c>
      <c r="H202" s="23">
        <f t="shared" si="1515"/>
        <v>32.405700000000003</v>
      </c>
      <c r="I202" s="23">
        <f t="shared" si="1515"/>
        <v>36.680500000000002</v>
      </c>
      <c r="J202" s="23">
        <f t="shared" si="1515"/>
        <v>48.505800000000001</v>
      </c>
      <c r="K202" s="23">
        <f t="shared" si="1515"/>
        <v>51.660800000000002</v>
      </c>
      <c r="L202" s="23">
        <f t="shared" si="1515"/>
        <v>79.55</v>
      </c>
      <c r="M202" s="23">
        <f t="shared" si="1515"/>
        <v>94.17</v>
      </c>
      <c r="N202" s="23">
        <f t="shared" si="1515"/>
        <v>103.31</v>
      </c>
      <c r="O202" s="23">
        <f t="shared" si="1515"/>
        <v>112.81</v>
      </c>
      <c r="P202" s="23">
        <f t="shared" si="1515"/>
        <v>154.24</v>
      </c>
      <c r="Q202" s="23">
        <f t="shared" si="1515"/>
        <v>150.94999999999999</v>
      </c>
      <c r="R202" s="23">
        <f t="shared" si="1515"/>
        <v>101.23</v>
      </c>
      <c r="S202" s="23">
        <f t="shared" si="1515"/>
        <v>92.76</v>
      </c>
      <c r="T202" s="23">
        <f t="shared" si="1515"/>
        <v>90.4</v>
      </c>
      <c r="U202" s="23">
        <f t="shared" si="1515"/>
        <v>120.36</v>
      </c>
      <c r="V202" s="23">
        <f t="shared" si="1515"/>
        <v>102.7</v>
      </c>
      <c r="W202" s="23">
        <f t="shared" si="1515"/>
        <v>104.7</v>
      </c>
      <c r="X202" s="23">
        <f t="shared" si="1515"/>
        <v>119.92</v>
      </c>
      <c r="Y202" s="23">
        <f t="shared" si="1515"/>
        <v>128.91999999999999</v>
      </c>
      <c r="Z202" s="23">
        <f t="shared" ref="Z202" si="1516">Z40</f>
        <v>145.53</v>
      </c>
      <c r="AA202" s="24">
        <f t="shared" si="1515"/>
        <v>163.7545188409446</v>
      </c>
      <c r="AB202" s="24">
        <f t="shared" si="1515"/>
        <v>161.58797793601843</v>
      </c>
      <c r="AC202" s="24">
        <f t="shared" si="1515"/>
        <v>161.32507715479881</v>
      </c>
      <c r="AD202" s="24">
        <f t="shared" si="1515"/>
        <v>161.1057014246509</v>
      </c>
      <c r="AH202" s="23">
        <f t="shared" ref="AH202:BM202" si="1517">AH40</f>
        <v>23.13</v>
      </c>
      <c r="AI202" s="23">
        <f t="shared" si="1517"/>
        <v>24.03</v>
      </c>
      <c r="AJ202" s="23">
        <f t="shared" si="1517"/>
        <v>24.59</v>
      </c>
      <c r="AK202" s="23">
        <f t="shared" si="1517"/>
        <v>24.63</v>
      </c>
      <c r="AL202" s="23">
        <f t="shared" si="1517"/>
        <v>25.95</v>
      </c>
      <c r="AM202" s="23">
        <f t="shared" si="1517"/>
        <v>25.73</v>
      </c>
      <c r="AN202" s="23">
        <f t="shared" si="1517"/>
        <v>27</v>
      </c>
      <c r="AO202" s="23">
        <f t="shared" si="1517"/>
        <v>27.41</v>
      </c>
      <c r="AP202" s="23">
        <f t="shared" si="1517"/>
        <v>27.86</v>
      </c>
      <c r="AQ202" s="23">
        <f t="shared" si="1517"/>
        <v>28.34</v>
      </c>
      <c r="AR202" s="23">
        <f t="shared" si="1517"/>
        <v>29.2</v>
      </c>
      <c r="AS202" s="23">
        <f t="shared" si="1517"/>
        <v>42.23</v>
      </c>
      <c r="AT202" s="23">
        <f t="shared" si="1517"/>
        <v>37.47</v>
      </c>
      <c r="AU202" s="23">
        <f t="shared" si="1517"/>
        <v>35.9</v>
      </c>
      <c r="AV202" s="23">
        <f t="shared" si="1517"/>
        <v>44.19</v>
      </c>
      <c r="AW202" s="23">
        <f t="shared" si="1517"/>
        <v>35.869999999999997</v>
      </c>
      <c r="AX202" s="23">
        <f t="shared" si="1517"/>
        <v>35.68</v>
      </c>
      <c r="AY202" s="23">
        <f t="shared" si="1517"/>
        <v>40.54</v>
      </c>
      <c r="AZ202" s="23">
        <f t="shared" si="1517"/>
        <v>38.85</v>
      </c>
      <c r="BA202" s="23">
        <f t="shared" si="1517"/>
        <v>37.61</v>
      </c>
      <c r="BB202" s="23">
        <f t="shared" si="1517"/>
        <v>38.32</v>
      </c>
      <c r="BC202" s="23">
        <f t="shared" si="1517"/>
        <v>38.85</v>
      </c>
      <c r="BD202" s="23">
        <f t="shared" si="1517"/>
        <v>27.7</v>
      </c>
      <c r="BE202" s="23">
        <f t="shared" si="1517"/>
        <v>22.54</v>
      </c>
      <c r="BF202" s="23">
        <f t="shared" si="1517"/>
        <v>22.75</v>
      </c>
      <c r="BG202" s="23">
        <f t="shared" si="1517"/>
        <v>23.59</v>
      </c>
      <c r="BH202" s="23">
        <f t="shared" si="1517"/>
        <v>23.88</v>
      </c>
      <c r="BI202" s="23">
        <f t="shared" si="1517"/>
        <v>23.31</v>
      </c>
      <c r="BJ202" s="23">
        <f t="shared" si="1517"/>
        <v>22.01</v>
      </c>
      <c r="BK202" s="23">
        <f t="shared" si="1517"/>
        <v>22.66</v>
      </c>
      <c r="BL202" s="23">
        <f t="shared" si="1517"/>
        <v>22.42</v>
      </c>
      <c r="BM202" s="23">
        <f t="shared" si="1517"/>
        <v>27.07</v>
      </c>
      <c r="BN202" s="23">
        <f t="shared" ref="BN202:CS202" si="1518">BN40</f>
        <v>24.9</v>
      </c>
      <c r="BO202" s="23">
        <f t="shared" si="1518"/>
        <v>24.74</v>
      </c>
      <c r="BP202" s="23">
        <f t="shared" si="1518"/>
        <v>29.65</v>
      </c>
      <c r="BQ202" s="23">
        <f t="shared" si="1518"/>
        <v>25.26</v>
      </c>
      <c r="BR202" s="23">
        <f t="shared" si="1518"/>
        <v>28.4</v>
      </c>
      <c r="BS202" s="23">
        <f t="shared" si="1518"/>
        <v>28.75</v>
      </c>
      <c r="BT202" s="23">
        <f t="shared" si="1518"/>
        <v>22.73</v>
      </c>
      <c r="BU202" s="23">
        <f t="shared" si="1518"/>
        <v>25.92</v>
      </c>
      <c r="BV202" s="23">
        <f t="shared" si="1518"/>
        <v>25.85</v>
      </c>
      <c r="BW202" s="23">
        <f t="shared" si="1518"/>
        <v>26.87</v>
      </c>
      <c r="BX202" s="23">
        <f t="shared" si="1518"/>
        <v>26.82</v>
      </c>
      <c r="BY202" s="23">
        <f t="shared" si="1518"/>
        <v>27.48</v>
      </c>
      <c r="BZ202" s="23">
        <f t="shared" si="1518"/>
        <v>29.23</v>
      </c>
      <c r="CA202" s="23">
        <f t="shared" si="1518"/>
        <v>30.29</v>
      </c>
      <c r="CB202" s="23">
        <f t="shared" si="1518"/>
        <v>32.92</v>
      </c>
      <c r="CC202" s="23">
        <f t="shared" si="1518"/>
        <v>31.42</v>
      </c>
      <c r="CD202" s="23">
        <f t="shared" si="1518"/>
        <v>30.97</v>
      </c>
      <c r="CE202" s="23">
        <f t="shared" si="1518"/>
        <v>32.83</v>
      </c>
      <c r="CF202" s="23">
        <f t="shared" si="1518"/>
        <v>33.700000000000003</v>
      </c>
      <c r="CG202" s="23">
        <f t="shared" si="1518"/>
        <v>33.58</v>
      </c>
      <c r="CH202" s="23">
        <f t="shared" si="1518"/>
        <v>35.54</v>
      </c>
      <c r="CI202" s="23">
        <f t="shared" si="1518"/>
        <v>36.590000000000003</v>
      </c>
      <c r="CJ202" s="23">
        <f t="shared" si="1518"/>
        <v>39.64</v>
      </c>
      <c r="CK202" s="23">
        <f t="shared" ref="CK202" si="1519">CK40</f>
        <v>42.36</v>
      </c>
      <c r="CL202" s="24">
        <f t="shared" si="1518"/>
        <v>40.486023895062246</v>
      </c>
      <c r="CM202" s="24">
        <f t="shared" si="1518"/>
        <v>40.464522545539687</v>
      </c>
      <c r="CN202" s="24">
        <f t="shared" si="1518"/>
        <v>40.443972400342659</v>
      </c>
      <c r="CO202" s="24">
        <f t="shared" si="1518"/>
        <v>40.424331378872076</v>
      </c>
      <c r="CP202" s="24">
        <f t="shared" si="1518"/>
        <v>40.405559262144457</v>
      </c>
      <c r="CQ202" s="24">
        <f t="shared" si="1518"/>
        <v>40.387617610435427</v>
      </c>
      <c r="CR202" s="24">
        <f t="shared" si="1518"/>
        <v>40.370469684566466</v>
      </c>
      <c r="CS202" s="24">
        <f t="shared" si="1518"/>
        <v>40.354080370674083</v>
      </c>
      <c r="CT202" s="24">
        <f t="shared" ref="CT202:CZ202" si="1520">CT40</f>
        <v>40.338416108306973</v>
      </c>
      <c r="CU202" s="24">
        <f t="shared" si="1520"/>
        <v>40.323444821704207</v>
      </c>
      <c r="CV202" s="24">
        <f t="shared" si="1520"/>
        <v>40.309135854113563</v>
      </c>
      <c r="CW202" s="24">
        <f t="shared" si="1520"/>
        <v>40.295459905015633</v>
      </c>
      <c r="CX202" s="24">
        <f t="shared" si="1520"/>
        <v>40.28238897012502</v>
      </c>
      <c r="CY202" s="24">
        <f t="shared" si="1520"/>
        <v>40.269896284045885</v>
      </c>
      <c r="CZ202" s="24">
        <f t="shared" si="1520"/>
        <v>40.257956265464351</v>
      </c>
      <c r="DB202" s="123"/>
      <c r="DC202" s="23">
        <v>0</v>
      </c>
    </row>
    <row r="203" spans="1:107" s="22" customFormat="1" x14ac:dyDescent="0.2">
      <c r="A203" s="22" t="s">
        <v>89</v>
      </c>
      <c r="C203" s="22">
        <f t="shared" ref="C203:W203" si="1521">C201+C202</f>
        <v>115.49639999999997</v>
      </c>
      <c r="D203" s="22">
        <f t="shared" si="1521"/>
        <v>142.62849999999995</v>
      </c>
      <c r="E203" s="22">
        <f t="shared" si="1521"/>
        <v>174.67879999999985</v>
      </c>
      <c r="F203" s="22">
        <f t="shared" si="1521"/>
        <v>241.81770000000003</v>
      </c>
      <c r="G203" s="22">
        <f t="shared" si="1521"/>
        <v>366.77369999999962</v>
      </c>
      <c r="H203" s="22">
        <f t="shared" si="1521"/>
        <v>524.07470000000058</v>
      </c>
      <c r="I203" s="22">
        <f t="shared" si="1521"/>
        <v>584.09349999999972</v>
      </c>
      <c r="J203" s="22">
        <f t="shared" si="1521"/>
        <v>403.14490000000012</v>
      </c>
      <c r="K203" s="22">
        <f t="shared" si="1521"/>
        <v>114.89110000000042</v>
      </c>
      <c r="L203" s="22">
        <f t="shared" si="1521"/>
        <v>264.25999999999993</v>
      </c>
      <c r="M203" s="22">
        <f t="shared" si="1521"/>
        <v>235.1099999999999</v>
      </c>
      <c r="N203" s="22">
        <f t="shared" si="1521"/>
        <v>282.61999999999966</v>
      </c>
      <c r="O203" s="22">
        <f t="shared" si="1521"/>
        <v>341.32000000000045</v>
      </c>
      <c r="P203" s="22">
        <f t="shared" si="1521"/>
        <v>454.12000000000148</v>
      </c>
      <c r="Q203" s="22">
        <f t="shared" si="1521"/>
        <v>525.42000000000098</v>
      </c>
      <c r="R203" s="22">
        <f t="shared" si="1521"/>
        <v>521.17999999999995</v>
      </c>
      <c r="S203" s="22">
        <f t="shared" si="1521"/>
        <v>603.65000000000055</v>
      </c>
      <c r="T203" s="22">
        <f t="shared" si="1521"/>
        <v>393.80000000000018</v>
      </c>
      <c r="U203" s="22">
        <f t="shared" si="1521"/>
        <v>339.58000000000015</v>
      </c>
      <c r="V203" s="22">
        <f t="shared" si="1521"/>
        <v>622.40999999999985</v>
      </c>
      <c r="W203" s="22">
        <f t="shared" si="1521"/>
        <v>1120.9300000000012</v>
      </c>
      <c r="X203" s="22">
        <f t="shared" ref="X203:Y203" si="1522">X201+X202</f>
        <v>1361.9700000000005</v>
      </c>
      <c r="Y203" s="22">
        <f t="shared" si="1522"/>
        <v>2000.5600000000011</v>
      </c>
      <c r="Z203" s="22">
        <f t="shared" ref="Z203" si="1523">Z201+Z202</f>
        <v>1813.7899999999995</v>
      </c>
      <c r="AA203" s="21">
        <f t="shared" ref="AA203:AD203" si="1524">AA201+AA202</f>
        <v>3354.9876767631872</v>
      </c>
      <c r="AB203" s="21">
        <f t="shared" si="1524"/>
        <v>2402.1082898792556</v>
      </c>
      <c r="AC203" s="21">
        <f t="shared" si="1524"/>
        <v>2641.0525045741929</v>
      </c>
      <c r="AD203" s="21">
        <f t="shared" si="1524"/>
        <v>3108.124924654735</v>
      </c>
      <c r="AH203" s="22">
        <f t="shared" ref="AH203" si="1525">AH201+AH202</f>
        <v>74.760000000000119</v>
      </c>
      <c r="AI203" s="22">
        <f t="shared" ref="AI203:AK203" si="1526">AI201+AI202</f>
        <v>45.399999999999764</v>
      </c>
      <c r="AJ203" s="22">
        <f t="shared" si="1526"/>
        <v>41.360000000000255</v>
      </c>
      <c r="AK203" s="22">
        <f t="shared" si="1526"/>
        <v>67.689999999999969</v>
      </c>
      <c r="AL203" s="22">
        <f t="shared" ref="AL203" si="1527">AL201+AL202</f>
        <v>65.580000000000226</v>
      </c>
      <c r="AM203" s="22">
        <f t="shared" ref="AM203:CC203" si="1528">AM201+AM202</f>
        <v>63.76000000000019</v>
      </c>
      <c r="AN203" s="22">
        <f t="shared" si="1528"/>
        <v>85.589999999999918</v>
      </c>
      <c r="AO203" s="22">
        <f t="shared" si="1528"/>
        <v>79.090000000000032</v>
      </c>
      <c r="AP203" s="22">
        <f t="shared" si="1528"/>
        <v>75.54999999999994</v>
      </c>
      <c r="AQ203" s="22">
        <f t="shared" si="1528"/>
        <v>73.319999999999865</v>
      </c>
      <c r="AR203" s="22">
        <f t="shared" si="1528"/>
        <v>113.36</v>
      </c>
      <c r="AS203" s="22">
        <f t="shared" si="1528"/>
        <v>96.520000000000039</v>
      </c>
      <c r="AT203" s="22">
        <f t="shared" si="1528"/>
        <v>94.920000000000329</v>
      </c>
      <c r="AU203" s="22">
        <f t="shared" si="1528"/>
        <v>94.640000000000114</v>
      </c>
      <c r="AV203" s="22">
        <f t="shared" si="1528"/>
        <v>173.58999999999986</v>
      </c>
      <c r="AW203" s="22">
        <f t="shared" si="1528"/>
        <v>121.31999999999996</v>
      </c>
      <c r="AX203" s="22">
        <f t="shared" si="1528"/>
        <v>91.319999999999709</v>
      </c>
      <c r="AY203" s="22">
        <f t="shared" si="1528"/>
        <v>111.10999999999953</v>
      </c>
      <c r="AZ203" s="22">
        <f t="shared" si="1528"/>
        <v>201.65999999999985</v>
      </c>
      <c r="BA203" s="22">
        <f t="shared" si="1528"/>
        <v>127.5900000000003</v>
      </c>
      <c r="BB203" s="22">
        <f t="shared" si="1528"/>
        <v>113.37999999999934</v>
      </c>
      <c r="BC203" s="22">
        <f t="shared" si="1528"/>
        <v>122.23999999999964</v>
      </c>
      <c r="BD203" s="22">
        <f t="shared" si="1528"/>
        <v>199.21999999999991</v>
      </c>
      <c r="BE203" s="22">
        <f t="shared" si="1528"/>
        <v>125.03000000000003</v>
      </c>
      <c r="BF203" s="22">
        <f t="shared" si="1528"/>
        <v>124.89999999999976</v>
      </c>
      <c r="BG203" s="22">
        <f t="shared" si="1528"/>
        <v>131.93</v>
      </c>
      <c r="BH203" s="22">
        <f t="shared" si="1528"/>
        <v>221.79000000000008</v>
      </c>
      <c r="BI203" s="22">
        <f t="shared" si="1528"/>
        <v>139.50000000000011</v>
      </c>
      <c r="BJ203" s="22">
        <f t="shared" si="1528"/>
        <v>152.40999999999997</v>
      </c>
      <c r="BK203" s="22">
        <f t="shared" si="1528"/>
        <v>157.93999999999988</v>
      </c>
      <c r="BL203" s="22">
        <f t="shared" si="1528"/>
        <v>61.07999999999987</v>
      </c>
      <c r="BM203" s="22">
        <f t="shared" si="1528"/>
        <v>91.710000000000008</v>
      </c>
      <c r="BN203" s="22">
        <f t="shared" si="1528"/>
        <v>41.180000000000057</v>
      </c>
      <c r="BO203" s="22">
        <f t="shared" si="1528"/>
        <v>105.47999999999988</v>
      </c>
      <c r="BP203" s="22">
        <f t="shared" si="1528"/>
        <v>87.209999999999837</v>
      </c>
      <c r="BQ203" s="22">
        <f t="shared" si="1528"/>
        <v>166.59000000000006</v>
      </c>
      <c r="BR203" s="22">
        <f t="shared" si="1528"/>
        <v>98.66000000000011</v>
      </c>
      <c r="BS203" s="22">
        <f t="shared" si="1528"/>
        <v>148.67000000000007</v>
      </c>
      <c r="BT203" s="22">
        <f t="shared" si="1528"/>
        <v>210.92999999999981</v>
      </c>
      <c r="BU203" s="22">
        <f t="shared" si="1528"/>
        <v>105.57999999999988</v>
      </c>
      <c r="BV203" s="22">
        <f t="shared" si="1528"/>
        <v>171.52</v>
      </c>
      <c r="BW203" s="22">
        <f t="shared" si="1528"/>
        <v>224.42999999999969</v>
      </c>
      <c r="BX203" s="22">
        <f t="shared" si="1528"/>
        <v>332.14000000000044</v>
      </c>
      <c r="BY203" s="22">
        <f t="shared" si="1528"/>
        <v>272.36999999999966</v>
      </c>
      <c r="BZ203" s="22">
        <f t="shared" si="1528"/>
        <v>324.86000000000024</v>
      </c>
      <c r="CA203" s="22">
        <f t="shared" si="1528"/>
        <v>393.15999999999997</v>
      </c>
      <c r="CB203" s="22">
        <f t="shared" si="1528"/>
        <v>371.57999999999981</v>
      </c>
      <c r="CC203" s="22">
        <f t="shared" si="1528"/>
        <v>490.7099999999997</v>
      </c>
      <c r="CD203" s="22">
        <f t="shared" ref="CD203:CE203" si="1529">CD201+CD202</f>
        <v>474.46000000000015</v>
      </c>
      <c r="CE203" s="22">
        <f t="shared" si="1529"/>
        <v>473.2800000000002</v>
      </c>
      <c r="CF203" s="22">
        <f t="shared" ref="CF203:CG203" si="1530">CF201+CF202</f>
        <v>562.11000000000035</v>
      </c>
      <c r="CG203" s="22">
        <f t="shared" si="1530"/>
        <v>508.21000000000026</v>
      </c>
      <c r="CH203" s="22">
        <f t="shared" ref="CH203:CI203" si="1531">CH201+CH202</f>
        <v>387.28</v>
      </c>
      <c r="CI203" s="22">
        <f t="shared" si="1531"/>
        <v>445.62999999999977</v>
      </c>
      <c r="CJ203" s="22">
        <f t="shared" ref="CJ203:CZ203" si="1532">CJ201+CJ202</f>
        <v>472.49000000000012</v>
      </c>
      <c r="CK203" s="22">
        <f t="shared" si="1532"/>
        <v>1826.0099999999998</v>
      </c>
      <c r="CL203" s="21">
        <f t="shared" si="1532"/>
        <v>492.87130657236656</v>
      </c>
      <c r="CM203" s="21">
        <f t="shared" si="1532"/>
        <v>514.00537163509398</v>
      </c>
      <c r="CN203" s="21">
        <f t="shared" si="1532"/>
        <v>522.10099855572571</v>
      </c>
      <c r="CO203" s="21">
        <f t="shared" si="1532"/>
        <v>547.91470394421026</v>
      </c>
      <c r="CP203" s="21">
        <f t="shared" si="1532"/>
        <v>613.05453259937087</v>
      </c>
      <c r="CQ203" s="21">
        <f t="shared" si="1532"/>
        <v>616.76521835276674</v>
      </c>
      <c r="CR203" s="21">
        <f t="shared" si="1532"/>
        <v>624.37383498290694</v>
      </c>
      <c r="CS203" s="21">
        <f t="shared" si="1532"/>
        <v>631.10385642784786</v>
      </c>
      <c r="CT203" s="21">
        <f t="shared" si="1532"/>
        <v>677.84513138527086</v>
      </c>
      <c r="CU203" s="21">
        <f t="shared" si="1532"/>
        <v>668.56463131182375</v>
      </c>
      <c r="CV203" s="21">
        <f t="shared" si="1532"/>
        <v>663.53888544924837</v>
      </c>
      <c r="CW203" s="21">
        <f t="shared" si="1532"/>
        <v>738.64796302197647</v>
      </c>
      <c r="CX203" s="21">
        <f t="shared" si="1532"/>
        <v>789.0161091473733</v>
      </c>
      <c r="CY203" s="21">
        <f t="shared" si="1532"/>
        <v>785.95988000865736</v>
      </c>
      <c r="CZ203" s="21">
        <f t="shared" si="1532"/>
        <v>794.50097247672852</v>
      </c>
      <c r="DB203" s="126"/>
      <c r="DC203" s="22">
        <v>0</v>
      </c>
    </row>
    <row r="204" spans="1:107" s="23" customFormat="1" x14ac:dyDescent="0.2">
      <c r="A204" s="23" t="s">
        <v>65</v>
      </c>
      <c r="C204" s="23">
        <f t="shared" ref="C204:AA204" si="1533">B156-C156+B171+B172-C171-C172</f>
        <v>-41.02130000000011</v>
      </c>
      <c r="D204" s="23">
        <f t="shared" si="1533"/>
        <v>-154.72640000000001</v>
      </c>
      <c r="E204" s="23">
        <f>D156-E156+D171+D172-E171-E172</f>
        <v>-162.54310000000001</v>
      </c>
      <c r="F204" s="23">
        <f t="shared" si="1533"/>
        <v>-601.3223999999999</v>
      </c>
      <c r="G204" s="23">
        <f t="shared" si="1533"/>
        <v>-655.9761000000002</v>
      </c>
      <c r="H204" s="23">
        <f t="shared" si="1533"/>
        <v>-1221.3289</v>
      </c>
      <c r="I204" s="23">
        <f t="shared" si="1533"/>
        <v>-892.75940000000037</v>
      </c>
      <c r="J204" s="23">
        <f>I156-J156+I171+I172-J171-J172</f>
        <v>122.57000000000026</v>
      </c>
      <c r="K204" s="23">
        <f>J156-K156+J171+J172-K171-K172</f>
        <v>-118.47190000000046</v>
      </c>
      <c r="L204" s="23">
        <f t="shared" si="1533"/>
        <v>-429.27679999999924</v>
      </c>
      <c r="M204" s="23">
        <f t="shared" si="1533"/>
        <v>-277.1599999999994</v>
      </c>
      <c r="N204" s="23">
        <f t="shared" si="1533"/>
        <v>-3776.11</v>
      </c>
      <c r="O204" s="23">
        <f t="shared" si="1533"/>
        <v>1890.2399999999991</v>
      </c>
      <c r="P204" s="23">
        <f t="shared" si="1533"/>
        <v>-502.93999999999909</v>
      </c>
      <c r="Q204" s="23">
        <f t="shared" si="1533"/>
        <v>2235.8999999999987</v>
      </c>
      <c r="R204" s="23">
        <f t="shared" si="1533"/>
        <v>-587.58999999999912</v>
      </c>
      <c r="S204" s="23">
        <f t="shared" si="1533"/>
        <v>-834.83000000000015</v>
      </c>
      <c r="T204" s="23">
        <f t="shared" si="1533"/>
        <v>1323.4499999999991</v>
      </c>
      <c r="U204" s="23">
        <f t="shared" si="1533"/>
        <v>775.7500000000008</v>
      </c>
      <c r="V204" s="23">
        <f t="shared" si="1533"/>
        <v>59.620000000000417</v>
      </c>
      <c r="W204" s="23">
        <f t="shared" si="1533"/>
        <v>-240.94000000000003</v>
      </c>
      <c r="X204" s="23">
        <f t="shared" si="1533"/>
        <v>-422.0100000000005</v>
      </c>
      <c r="Y204" s="23">
        <f t="shared" si="1533"/>
        <v>-595.73999999999978</v>
      </c>
      <c r="Z204" s="23">
        <f t="shared" si="1533"/>
        <v>-765.53999999999974</v>
      </c>
      <c r="AA204" s="24">
        <f t="shared" si="1533"/>
        <v>70.864552817877197</v>
      </c>
      <c r="AB204" s="24">
        <f t="shared" ref="AB204" si="1534">AA156-AB156+AA171+AA172-AB171-AB172</f>
        <v>-1652.7628843089497</v>
      </c>
      <c r="AC204" s="24">
        <f t="shared" ref="AC204" si="1535">AB156-AC156+AB171+AB172-AC171-AC172</f>
        <v>-1124.1489997988392</v>
      </c>
      <c r="AD204" s="24">
        <f t="shared" ref="AD204" si="1536">AC156-AD156+AC171+AC172-AD171-AD172</f>
        <v>-1600.1575726721203</v>
      </c>
      <c r="AH204" s="23">
        <f>AG156-AH156+AG171+AG172-AH171-AI172</f>
        <v>0</v>
      </c>
      <c r="AI204" s="23">
        <f t="shared" ref="AI204:AK204" si="1537">AH156-AI156+AH171+AH172-AI171-AJ172</f>
        <v>0</v>
      </c>
      <c r="AJ204" s="23">
        <f t="shared" si="1537"/>
        <v>-5050.13</v>
      </c>
      <c r="AK204" s="23">
        <f t="shared" si="1537"/>
        <v>244.73486726088777</v>
      </c>
      <c r="AL204" s="23">
        <f t="shared" ref="AL204" si="1538">AK156-AL156+AK171+AK172-AL171-AL172</f>
        <v>-398.04486726088749</v>
      </c>
      <c r="AM204" s="23">
        <f t="shared" ref="AM204" si="1539">AL156-AM156+AL171+AL172-AM171-AM172</f>
        <v>-102.99505896125447</v>
      </c>
      <c r="AN204" s="23">
        <f t="shared" ref="AN204" si="1540">AM156-AN156+AM171+AM172-AN171-AN172</f>
        <v>29.035058961255167</v>
      </c>
      <c r="AO204" s="23">
        <f t="shared" ref="AO204" si="1541">AN156-AO156+AN171+AN172-AO171-AO172</f>
        <v>895.98780109534528</v>
      </c>
      <c r="AP204" s="23">
        <f t="shared" ref="AP204" si="1542">AO156-AP156+AO171+AO172-AP171-AP172</f>
        <v>-949.46780109534564</v>
      </c>
      <c r="AQ204" s="23">
        <f t="shared" ref="AQ204" si="1543">AP156-AQ156+AP171+AP172-AQ171-AQ172</f>
        <v>-66.54898122029681</v>
      </c>
      <c r="AR204" s="23">
        <f t="shared" ref="AR204" si="1544">AQ156-AR156+AQ171+AQ172-AR171-AR172</f>
        <v>249.67898122029598</v>
      </c>
      <c r="AS204" s="23">
        <f t="shared" ref="AS204" si="1545">AR156-AS156+AR171+AR172-AS171-AS172</f>
        <v>971.83593568649121</v>
      </c>
      <c r="AT204" s="23">
        <f t="shared" ref="AT204" si="1546">AS156-AT156+AS171+AS172-AT171-AT172</f>
        <v>-1245.45593568649</v>
      </c>
      <c r="AU204" s="23">
        <f t="shared" ref="AU204" si="1547">AT156-AU156+AT171+AT172-AU171-AU172</f>
        <v>-104.45767982315192</v>
      </c>
      <c r="AV204" s="23">
        <f t="shared" ref="AV204" si="1548">AU156-AV156+AU171+AU172-AV171-AV172</f>
        <v>49.677679823151443</v>
      </c>
      <c r="AW204" s="23">
        <f t="shared" ref="AW204" si="1549">AV156-AW156+AV171+AV172-AW171-AW172</f>
        <v>1224.0327630673592</v>
      </c>
      <c r="AX204" s="23">
        <f t="shared" ref="AX204" si="1550">AW156-AX156+AW171+AW172-AX171-AX172</f>
        <v>-968.62276306735976</v>
      </c>
      <c r="AY204" s="23">
        <f t="shared" ref="AY204" si="1551">AX156-AY156+AX171+AX172-AY171-AY172</f>
        <v>397.41459730307633</v>
      </c>
      <c r="AZ204" s="23">
        <f t="shared" ref="AZ204" si="1552">AY156-AZ156+AY171+AY172-AZ171-AZ172</f>
        <v>-377.42459730307553</v>
      </c>
      <c r="BA204" s="23">
        <f t="shared" ref="BA204" si="1553">AZ156-BA156+AZ171+AZ172-BA171-BA172</f>
        <v>971.675385568671</v>
      </c>
      <c r="BB204" s="23">
        <f t="shared" ref="BB204" si="1554">BA156-BB156+BA171+BA172-BB171-BB172</f>
        <v>-947.36538556867197</v>
      </c>
      <c r="BC204" s="23">
        <f t="shared" ref="BC204" si="1555">BB156-BC156+BB171+BB172-BC171-BC172</f>
        <v>953.61072594079633</v>
      </c>
      <c r="BD204" s="23">
        <f t="shared" ref="BD204" si="1556">BC156-BD156+BC171+BC172-BD171-BD172</f>
        <v>-1567.8007259407959</v>
      </c>
      <c r="BE204" s="23">
        <f t="shared" ref="BE204" si="1557">BD156-BE156+BD171+BD172-BE171-BE172</f>
        <v>472.42611599122205</v>
      </c>
      <c r="BF204" s="23">
        <f t="shared" ref="BF204" si="1558">BE156-BF156+BE171+BE172-BF171-BF172</f>
        <v>-1017.2361159912216</v>
      </c>
      <c r="BG204" s="23">
        <f t="shared" ref="BG204" si="1559">BF156-BG156+BF171+BF172-BG171-BG172</f>
        <v>650.15122529596738</v>
      </c>
      <c r="BH204" s="23">
        <f t="shared" ref="BH204" si="1560">BG156-BH156+BG171+BG172-BH171-BH172</f>
        <v>-940.17122529596804</v>
      </c>
      <c r="BI204" s="23">
        <f t="shared" ref="BI204" si="1561">BH156-BI156+BH171+BH172-BI171-BI172</f>
        <v>384.30862474063179</v>
      </c>
      <c r="BJ204" s="23">
        <f t="shared" ref="BJ204" si="1562">BI156-BJ156+BI171+BI172-BJ171-BJ172</f>
        <v>-824.45862474063279</v>
      </c>
      <c r="BK204" s="23">
        <f t="shared" ref="BK204" si="1563">BJ156-BK156+BJ171+BJ172-BK171-BK172</f>
        <v>-80.237610314356061</v>
      </c>
      <c r="BL204" s="23">
        <f t="shared" ref="BL204" si="1564">BK156-BL156+BK171+BK172-BL171-BL172</f>
        <v>1843.8376103143571</v>
      </c>
      <c r="BM204" s="23">
        <f t="shared" ref="BM204" si="1565">BL156-BM156+BL171+BL172-BM171-BM172</f>
        <v>1145.7751738313546</v>
      </c>
      <c r="BN204" s="23">
        <f t="shared" ref="BN204" si="1566">BM156-BN156+BM171+BM172-BN171-BN172</f>
        <v>-882.13517383135456</v>
      </c>
      <c r="BO204" s="23">
        <f t="shared" ref="BO204" si="1567">BN156-BO156+BN171+BN172-BO171-BO172</f>
        <v>-3124.7633347197134</v>
      </c>
      <c r="BP204" s="23">
        <f t="shared" ref="BP204" si="1568">BO156-BP156+BO171+BO172-BP171-BP172</f>
        <v>3562.5833347197135</v>
      </c>
      <c r="BQ204" s="23">
        <f t="shared" ref="BQ204" si="1569">BP156-BQ156+BP171+BP172-BQ171-BQ172</f>
        <v>188.76971318704636</v>
      </c>
      <c r="BR204" s="23">
        <f t="shared" ref="BR204" si="1570">BQ156-BR156+BQ171+BQ172-BR171-BR172</f>
        <v>29.170286812953577</v>
      </c>
      <c r="BS204" s="23">
        <f t="shared" ref="BS204" si="1571">BR156-BS156+BR171+BR172-BS171-BS172</f>
        <v>-1061.8203328514483</v>
      </c>
      <c r="BT204" s="23">
        <f t="shared" ref="BT204" si="1572">BS156-BT156+BS171+BS172-BT171-BT172</f>
        <v>907.83033285144859</v>
      </c>
      <c r="BU204" s="23">
        <f t="shared" ref="BU204" si="1573">BT156-BU156+BT171+BT172-BU171-BU172</f>
        <v>267.72714423031175</v>
      </c>
      <c r="BV204" s="23">
        <f t="shared" ref="BV204" si="1574">BU156-BV156+BU171+BU172-BV171-BV172</f>
        <v>-562.57714423031234</v>
      </c>
      <c r="BW204" s="23">
        <f t="shared" ref="BW204" si="1575">BV156-BW156+BV171+BV172-BW171-BW172</f>
        <v>-49.40314798484178</v>
      </c>
      <c r="BX204" s="23">
        <f t="shared" ref="BX204" si="1576">BW156-BX156+BW171+BW172-BX171-BX172</f>
        <v>132.10314798484319</v>
      </c>
      <c r="BY204" s="23">
        <f t="shared" ref="BY204" si="1577">BX156-BY156+BX171+BX172-BY171-BY172</f>
        <v>30.13910157360624</v>
      </c>
      <c r="BZ204" s="23">
        <f t="shared" ref="BZ204" si="1578">BY156-BZ156+BY171+BY172-BZ171-BZ172</f>
        <v>-510.46910157360759</v>
      </c>
      <c r="CA204" s="23">
        <f t="shared" ref="CA204" si="1579">BZ156-CA156+BZ171+BZ172-CA171-CA172</f>
        <v>-534.11668456488223</v>
      </c>
      <c r="CB204" s="23">
        <f t="shared" ref="CB204" si="1580">CA156-CB156+CA171+CA172-CB171-CB172</f>
        <v>577.61668456488337</v>
      </c>
      <c r="CC204" s="23">
        <f t="shared" ref="CC204" si="1581">CB156-CC156+CB171+CB172-CC171-CC172</f>
        <v>-595.14611679462087</v>
      </c>
      <c r="CD204" s="23">
        <f t="shared" ref="CD204" si="1582">CC156-CD156+CC171+CC172-CD171-CD172</f>
        <v>103.56611679461936</v>
      </c>
      <c r="CE204" s="23">
        <f t="shared" ref="CE204" si="1583">CD156-CE156+CD171+CD172-CE171-CE172</f>
        <v>-159.95122930840898</v>
      </c>
      <c r="CF204" s="23">
        <f t="shared" ref="CF204" si="1584">CE156-CF156+CE171+CE172-CF171-CF172</f>
        <v>52.801229308409077</v>
      </c>
      <c r="CG204" s="23">
        <f t="shared" ref="CG204:CK204" si="1585">CF156-CG156+CF171+CF172-CG171-CG172</f>
        <v>599.61725361300341</v>
      </c>
      <c r="CH204" s="23">
        <f t="shared" si="1585"/>
        <v>-1218.1372536130032</v>
      </c>
      <c r="CI204" s="23">
        <f t="shared" si="1585"/>
        <v>-269.54692515053011</v>
      </c>
      <c r="CJ204" s="23">
        <f t="shared" ref="CJ204" si="1586">CI156-CJ156+CI171+CI172-CJ171-CJ172</f>
        <v>-490.73560168039785</v>
      </c>
      <c r="CK204" s="23">
        <f t="shared" si="1585"/>
        <v>743.10707964880567</v>
      </c>
      <c r="CL204" s="24">
        <f t="shared" ref="CL204" si="1587">CK156-CL156+CK171+CK172-CL171-CL172</f>
        <v>-1034.7599129003975</v>
      </c>
      <c r="CM204" s="24">
        <f t="shared" ref="CM204" si="1588">CL156-CM156+CL171+CL172-CM171-CM172</f>
        <v>-129.79933334287489</v>
      </c>
      <c r="CN204" s="24">
        <f t="shared" ref="CN204" si="1589">CM156-CN156+CM171+CM172-CN171-CN172</f>
        <v>-122.92776987864727</v>
      </c>
      <c r="CO204" s="24">
        <f t="shared" ref="CO204" si="1590">CN156-CO156+CN171+CN172-CO171-CO172</f>
        <v>-365.27586818703003</v>
      </c>
      <c r="CP204" s="24">
        <f t="shared" ref="CP204" si="1591">CO156-CP156+CO171+CO172-CP171-CP172</f>
        <v>-794.8149094720884</v>
      </c>
      <c r="CQ204" s="24">
        <f t="shared" ref="CQ204" si="1592">CP156-CQ156+CP171+CP172-CQ171-CQ172</f>
        <v>133.70972148784858</v>
      </c>
      <c r="CR204" s="24">
        <f t="shared" ref="CR204" si="1593">CQ156-CR156+CQ171+CQ172-CR171-CR172</f>
        <v>57.911644487548998</v>
      </c>
      <c r="CS204" s="24">
        <f t="shared" ref="CS204" si="1594">CR156-CS156+CR171+CR172-CS171-CS172</f>
        <v>-520.95545630214838</v>
      </c>
      <c r="CT204" s="24">
        <f t="shared" ref="CT204" si="1595">CS156-CT156+CS171+CS172-CT171-CT172</f>
        <v>-754.75724992820687</v>
      </c>
      <c r="CU204" s="24">
        <f t="shared" ref="CU204" si="1596">CT156-CU156+CT171+CT172-CU171-CU172</f>
        <v>183.52463552977315</v>
      </c>
      <c r="CV204" s="24">
        <f t="shared" ref="CV204" si="1597">CU156-CV156+CU171+CU172-CV171-CV172</f>
        <v>70.868509180514607</v>
      </c>
      <c r="CW204" s="24">
        <f t="shared" ref="CW204" si="1598">CV156-CW156+CV171+CV172-CW171-CW172</f>
        <v>-1099.7934674542012</v>
      </c>
      <c r="CX204" s="24">
        <f t="shared" ref="CX204" si="1599">CW156-CX156+CW171+CW172-CX171-CX172</f>
        <v>-840.56818728095641</v>
      </c>
      <c r="CY204" s="24">
        <f t="shared" ref="CY204" si="1600">CX156-CY156+CX171+CX172-CY171-CY172</f>
        <v>152.64761007152265</v>
      </c>
      <c r="CZ204" s="24">
        <f t="shared" ref="CZ204" si="1601">CY156-CZ156+CY171+CY172-CZ171-CZ172</f>
        <v>-19.972143959441382</v>
      </c>
      <c r="DB204" s="123"/>
      <c r="DC204" s="23">
        <v>0</v>
      </c>
    </row>
    <row r="205" spans="1:107" s="23" customFormat="1" x14ac:dyDescent="0.2">
      <c r="A205" s="23" t="s">
        <v>73</v>
      </c>
      <c r="C205" s="23">
        <f t="shared" ref="C205:AA205" si="1602">B164-C164</f>
        <v>-118.57089999999999</v>
      </c>
      <c r="D205" s="23">
        <f t="shared" si="1602"/>
        <v>-190.41510000000005</v>
      </c>
      <c r="E205" s="23">
        <f>D164-E164</f>
        <v>-187.66919999999993</v>
      </c>
      <c r="F205" s="23">
        <f t="shared" si="1602"/>
        <v>-455.17130000000009</v>
      </c>
      <c r="G205" s="23">
        <f t="shared" si="1602"/>
        <v>-567.83330000000001</v>
      </c>
      <c r="H205" s="23">
        <f t="shared" si="1602"/>
        <v>-1007.4050999999999</v>
      </c>
      <c r="I205" s="23">
        <f t="shared" si="1602"/>
        <v>-322.20920000000024</v>
      </c>
      <c r="J205" s="23">
        <f>I164-J164</f>
        <v>189.54410000000007</v>
      </c>
      <c r="K205" s="23">
        <f>J164-K164</f>
        <v>-215.71459999999979</v>
      </c>
      <c r="L205" s="23">
        <f t="shared" si="1602"/>
        <v>-434.82889999999952</v>
      </c>
      <c r="M205" s="23">
        <f t="shared" si="1602"/>
        <v>207.42999999999984</v>
      </c>
      <c r="N205" s="23">
        <f t="shared" si="1602"/>
        <v>-3725.61</v>
      </c>
      <c r="O205" s="23">
        <f t="shared" si="1602"/>
        <v>1873.8500000000004</v>
      </c>
      <c r="P205" s="23">
        <f t="shared" si="1602"/>
        <v>-336.22000000000025</v>
      </c>
      <c r="Q205" s="23">
        <f t="shared" si="1602"/>
        <v>1918.6099999999997</v>
      </c>
      <c r="R205" s="23">
        <f t="shared" si="1602"/>
        <v>-828.34999999999945</v>
      </c>
      <c r="S205" s="23">
        <f t="shared" si="1602"/>
        <v>-389.85000000000036</v>
      </c>
      <c r="T205" s="23">
        <f t="shared" si="1602"/>
        <v>895.47999999999956</v>
      </c>
      <c r="U205" s="23">
        <f t="shared" si="1602"/>
        <v>183.0600000000004</v>
      </c>
      <c r="V205" s="23">
        <f t="shared" si="1602"/>
        <v>-43.430000000000291</v>
      </c>
      <c r="W205" s="23">
        <f t="shared" si="1602"/>
        <v>-351.26999999999953</v>
      </c>
      <c r="X205" s="23">
        <f t="shared" si="1602"/>
        <v>-677.77000000000044</v>
      </c>
      <c r="Y205" s="23">
        <f t="shared" si="1602"/>
        <v>-259.34000000000015</v>
      </c>
      <c r="Z205" s="23">
        <f t="shared" si="1602"/>
        <v>-486.5600000000004</v>
      </c>
      <c r="AA205" s="24">
        <f t="shared" si="1602"/>
        <v>181.92380413423143</v>
      </c>
      <c r="AB205" s="24">
        <f t="shared" ref="AB205" si="1603">AA164-AB164</f>
        <v>-1464.2275977242598</v>
      </c>
      <c r="AC205" s="24">
        <f t="shared" ref="AC205" si="1604">AB164-AC164</f>
        <v>-995.91417806300251</v>
      </c>
      <c r="AD205" s="24">
        <f t="shared" ref="AD205" si="1605">AC164-AD164</f>
        <v>-1417.6231211736304</v>
      </c>
      <c r="AH205" s="23">
        <f t="shared" ref="AH205" si="1606">AG164-AH164</f>
        <v>0</v>
      </c>
      <c r="AI205" s="23">
        <f t="shared" ref="AI205" si="1607">AH164-AI164</f>
        <v>0</v>
      </c>
      <c r="AJ205" s="23">
        <f t="shared" ref="AJ205" si="1608">AI164-AJ164</f>
        <v>-3575.09</v>
      </c>
      <c r="AK205" s="23">
        <f t="shared" ref="AK205" si="1609">AJ164-AK164</f>
        <v>173.76858967093813</v>
      </c>
      <c r="AL205" s="23">
        <f t="shared" ref="AL205" si="1610">AK164-AL164</f>
        <v>54.871410329061746</v>
      </c>
      <c r="AM205" s="23">
        <f t="shared" ref="AM205" si="1611">AL164-AM164</f>
        <v>-66.407296633640271</v>
      </c>
      <c r="AN205" s="23">
        <f t="shared" ref="AN205" si="1612">AM164-AN164</f>
        <v>-339.00270336636004</v>
      </c>
      <c r="AO205" s="23">
        <f t="shared" ref="AO205" si="1613">AN164-AO164</f>
        <v>640.37336939111628</v>
      </c>
      <c r="AP205" s="23">
        <f t="shared" ref="AP205" si="1614">AO164-AP164</f>
        <v>-321.99336939111572</v>
      </c>
      <c r="AQ205" s="23">
        <f t="shared" ref="AQ205" si="1615">AP164-AQ164</f>
        <v>-42.942524448737004</v>
      </c>
      <c r="AR205" s="23">
        <f t="shared" ref="AR205" si="1616">AQ164-AR164</f>
        <v>-162.17747555126334</v>
      </c>
      <c r="AS205" s="23">
        <f t="shared" ref="AS205" si="1617">AR164-AS164</f>
        <v>688.96414151116187</v>
      </c>
      <c r="AT205" s="23">
        <f t="shared" ref="AT205" si="1618">AS164-AT164</f>
        <v>-496.32414151116154</v>
      </c>
      <c r="AU205" s="23">
        <f t="shared" ref="AU205" si="1619">AT164-AU164</f>
        <v>-66.6314316480466</v>
      </c>
      <c r="AV205" s="23">
        <f t="shared" ref="AV205" si="1620">AU164-AV164</f>
        <v>-287.68856835195356</v>
      </c>
      <c r="AW205" s="23">
        <f t="shared" ref="AW205" si="1621">AV164-AW164</f>
        <v>857.10417892677879</v>
      </c>
      <c r="AX205" s="23">
        <f t="shared" ref="AX205" si="1622">AW164-AX164</f>
        <v>-561.43417892677871</v>
      </c>
      <c r="AY205" s="23">
        <f t="shared" ref="AY205" si="1623">AX164-AY164</f>
        <v>269.5551109943226</v>
      </c>
      <c r="AZ205" s="23">
        <f t="shared" ref="AZ205" si="1624">AY164-AZ164</f>
        <v>-611.03511099432217</v>
      </c>
      <c r="BA205" s="23">
        <f t="shared" ref="BA205" si="1625">AZ164-BA164</f>
        <v>729.57173969217683</v>
      </c>
      <c r="BB205" s="23">
        <f t="shared" ref="BB205" si="1626">BA164-BB164</f>
        <v>-1011.0817396921775</v>
      </c>
      <c r="BC205" s="23">
        <f t="shared" ref="BC205" si="1627">BB164-BC164</f>
        <v>779.39646835053281</v>
      </c>
      <c r="BD205" s="23">
        <f t="shared" ref="BD205" si="1628">BC164-BD164</f>
        <v>-1928.8164683505329</v>
      </c>
      <c r="BE205" s="23">
        <f t="shared" ref="BE205" si="1629">BD164-BE164</f>
        <v>439.42482855888738</v>
      </c>
      <c r="BF205" s="23">
        <f t="shared" ref="BF205" si="1630">BE164-BF164</f>
        <v>-751.13482855888742</v>
      </c>
      <c r="BG205" s="23">
        <f t="shared" ref="BG205" si="1631">BF164-BG164</f>
        <v>584.13052193645944</v>
      </c>
      <c r="BH205" s="23">
        <f t="shared" ref="BH205" si="1632">BG164-BH164</f>
        <v>-62.950521936459154</v>
      </c>
      <c r="BI205" s="23">
        <f t="shared" ref="BI205" si="1633">BH164-BI164</f>
        <v>299.13265821432924</v>
      </c>
      <c r="BJ205" s="23">
        <f t="shared" ref="BJ205" si="1634">BI164-BJ164</f>
        <v>-295.10265821432949</v>
      </c>
      <c r="BK205" s="23">
        <f t="shared" ref="BK205" si="1635">BJ164-BK164</f>
        <v>-58.300531594958557</v>
      </c>
      <c r="BL205" s="23">
        <f t="shared" ref="BL205" si="1636">BK164-BL164</f>
        <v>948.16053159495914</v>
      </c>
      <c r="BM205" s="23">
        <f t="shared" ref="BM205" si="1637">BL164-BM164</f>
        <v>921.10554253505506</v>
      </c>
      <c r="BN205" s="23">
        <f t="shared" ref="BN205" si="1638">BM164-BN164</f>
        <v>-517.44554253505521</v>
      </c>
      <c r="BO205" s="23">
        <f t="shared" ref="BO205" si="1639">BN164-BO164</f>
        <v>-2395.5550934285529</v>
      </c>
      <c r="BP205" s="23">
        <f t="shared" ref="BP205" si="1640">BO164-BP164</f>
        <v>2181.4350934285526</v>
      </c>
      <c r="BQ205" s="23">
        <f t="shared" ref="BQ205" si="1641">BP164-BQ164</f>
        <v>167.75020179214016</v>
      </c>
      <c r="BR205" s="23">
        <f t="shared" ref="BR205" si="1642">BQ164-BR164</f>
        <v>-27.78020179214036</v>
      </c>
      <c r="BS205" s="23">
        <f t="shared" ref="BS205" si="1643">BR164-BS164</f>
        <v>-953.45689317594952</v>
      </c>
      <c r="BT205" s="23">
        <f t="shared" ref="BT205" si="1644">BS164-BT164</f>
        <v>770.05689317594988</v>
      </c>
      <c r="BU205" s="23">
        <f t="shared" ref="BU205" si="1645">BT164-BU164</f>
        <v>242.70708160837466</v>
      </c>
      <c r="BV205" s="23">
        <f t="shared" ref="BV205" si="1646">BU164-BV164</f>
        <v>-588.44708160837445</v>
      </c>
      <c r="BW205" s="23">
        <f t="shared" ref="BW205" si="1647">BV164-BW164</f>
        <v>-45.633061515360168</v>
      </c>
      <c r="BX205" s="23">
        <f t="shared" ref="BX205" si="1648">BW164-BX164</f>
        <v>40.103061515359514</v>
      </c>
      <c r="BY205" s="23">
        <f t="shared" ref="BY205" si="1649">BX164-BY164</f>
        <v>28.327162523538391</v>
      </c>
      <c r="BZ205" s="23">
        <f t="shared" ref="BZ205" si="1650">BY164-BZ164</f>
        <v>-616.37716252353857</v>
      </c>
      <c r="CA205" s="23">
        <f t="shared" ref="CA205" si="1651">BZ164-CA164</f>
        <v>-515.88621964976937</v>
      </c>
      <c r="CB205" s="23">
        <f t="shared" ref="CB205" si="1652">CA164-CB164</f>
        <v>426.16621964977003</v>
      </c>
      <c r="CC205" s="23">
        <f t="shared" ref="CC205" si="1653">CB164-CC164</f>
        <v>-592.06786363685751</v>
      </c>
      <c r="CD205" s="23">
        <f t="shared" ref="CD205" si="1654">CC164-CD164</f>
        <v>286.79786363685798</v>
      </c>
      <c r="CE205" s="23">
        <f t="shared" ref="CE205" si="1655">CD164-CE164</f>
        <v>-153.98826434369767</v>
      </c>
      <c r="CF205" s="23">
        <f t="shared" ref="CF205" si="1656">CE164-CF164</f>
        <v>199.91826434369796</v>
      </c>
      <c r="CG205" s="23">
        <f t="shared" ref="CG205:CK205" si="1657">CF164-CG164</f>
        <v>560.60926075728185</v>
      </c>
      <c r="CH205" s="23">
        <f t="shared" si="1657"/>
        <v>-850.02926075728192</v>
      </c>
      <c r="CI205" s="23">
        <f t="shared" si="1657"/>
        <v>-238.79895321593176</v>
      </c>
      <c r="CJ205" s="23">
        <f t="shared" ref="CJ205" si="1658">CI164-CJ164</f>
        <v>-434.75601853601529</v>
      </c>
      <c r="CK205" s="23">
        <f t="shared" si="1657"/>
        <v>658.33877588617725</v>
      </c>
      <c r="CL205" s="24">
        <f t="shared" ref="CL205" si="1659">CK164-CL164</f>
        <v>-916.72195441454096</v>
      </c>
      <c r="CM205" s="24">
        <f t="shared" ref="CM205" si="1660">CL164-CM164</f>
        <v>-114.99276021454989</v>
      </c>
      <c r="CN205" s="24">
        <f t="shared" ref="CN205" si="1661">CM164-CN164</f>
        <v>-108.90505522107742</v>
      </c>
      <c r="CO205" s="24">
        <f t="shared" ref="CO205" si="1662">CN164-CO164</f>
        <v>-323.60782787409153</v>
      </c>
      <c r="CP205" s="24">
        <f t="shared" ref="CP205" si="1663">CO164-CP164</f>
        <v>-704.1481488848558</v>
      </c>
      <c r="CQ205" s="24">
        <f t="shared" ref="CQ205" si="1664">CP164-CQ164</f>
        <v>118.45707944270089</v>
      </c>
      <c r="CR205" s="24">
        <f t="shared" ref="CR205" si="1665">CQ164-CR164</f>
        <v>51.305501166139038</v>
      </c>
      <c r="CS205" s="24">
        <f t="shared" ref="CS205" si="1666">CR164-CS164</f>
        <v>-461.52860978698664</v>
      </c>
      <c r="CT205" s="24">
        <f t="shared" ref="CT205" si="1667">CS164-CT164</f>
        <v>-668.65997864504607</v>
      </c>
      <c r="CU205" s="24">
        <f t="shared" ref="CU205" si="1668">CT164-CU164</f>
        <v>162.58946685951196</v>
      </c>
      <c r="CV205" s="24">
        <f t="shared" ref="CV205" si="1669">CU164-CV164</f>
        <v>62.78434005073359</v>
      </c>
      <c r="CW205" s="24">
        <f t="shared" ref="CW205" si="1670">CV164-CW164</f>
        <v>-974.33694943882983</v>
      </c>
      <c r="CX205" s="24">
        <f t="shared" ref="CX205" si="1671">CW164-CX164</f>
        <v>-744.68222227802835</v>
      </c>
      <c r="CY205" s="24">
        <f t="shared" ref="CY205" si="1672">CX164-CY164</f>
        <v>135.23467008810076</v>
      </c>
      <c r="CZ205" s="24">
        <f t="shared" ref="CZ205" si="1673">CY164-CZ164</f>
        <v>-17.693865616643961</v>
      </c>
      <c r="DB205" s="123"/>
      <c r="DC205" s="23">
        <v>0</v>
      </c>
    </row>
    <row r="206" spans="1:107" s="22" customFormat="1" x14ac:dyDescent="0.2">
      <c r="A206" s="22" t="s">
        <v>90</v>
      </c>
      <c r="C206" s="22">
        <f t="shared" ref="C206:W206" si="1674">C204-C205</f>
        <v>77.549599999999884</v>
      </c>
      <c r="D206" s="22">
        <f t="shared" si="1674"/>
        <v>35.68870000000004</v>
      </c>
      <c r="E206" s="22">
        <f t="shared" si="1674"/>
        <v>25.126099999999923</v>
      </c>
      <c r="F206" s="22">
        <f t="shared" si="1674"/>
        <v>-146.15109999999981</v>
      </c>
      <c r="G206" s="22">
        <f t="shared" si="1674"/>
        <v>-88.142800000000193</v>
      </c>
      <c r="H206" s="22">
        <f t="shared" si="1674"/>
        <v>-213.92380000000003</v>
      </c>
      <c r="I206" s="22">
        <f t="shared" si="1674"/>
        <v>-570.55020000000013</v>
      </c>
      <c r="J206" s="22">
        <f>J204-J205</f>
        <v>-66.974099999999808</v>
      </c>
      <c r="K206" s="22">
        <f t="shared" si="1674"/>
        <v>97.242699999999331</v>
      </c>
      <c r="L206" s="22">
        <f t="shared" si="1674"/>
        <v>5.55210000000028</v>
      </c>
      <c r="M206" s="22">
        <f t="shared" si="1674"/>
        <v>-484.58999999999924</v>
      </c>
      <c r="N206" s="22">
        <f t="shared" si="1674"/>
        <v>-50.5</v>
      </c>
      <c r="O206" s="22">
        <f t="shared" si="1674"/>
        <v>16.389999999998736</v>
      </c>
      <c r="P206" s="22">
        <f t="shared" si="1674"/>
        <v>-166.71999999999883</v>
      </c>
      <c r="Q206" s="22">
        <f t="shared" si="1674"/>
        <v>317.28999999999905</v>
      </c>
      <c r="R206" s="22">
        <f t="shared" si="1674"/>
        <v>240.76000000000033</v>
      </c>
      <c r="S206" s="22">
        <f t="shared" si="1674"/>
        <v>-444.97999999999979</v>
      </c>
      <c r="T206" s="22">
        <f t="shared" si="1674"/>
        <v>427.96999999999957</v>
      </c>
      <c r="U206" s="22">
        <f t="shared" si="1674"/>
        <v>592.6900000000004</v>
      </c>
      <c r="V206" s="22">
        <f t="shared" si="1674"/>
        <v>103.05000000000071</v>
      </c>
      <c r="W206" s="22">
        <f t="shared" si="1674"/>
        <v>110.3299999999995</v>
      </c>
      <c r="X206" s="22">
        <f t="shared" ref="X206:Y206" si="1675">X204-X205</f>
        <v>255.75999999999993</v>
      </c>
      <c r="Y206" s="22">
        <f t="shared" si="1675"/>
        <v>-336.39999999999964</v>
      </c>
      <c r="Z206" s="22">
        <f t="shared" ref="Z206" si="1676">Z204-Z205</f>
        <v>-278.97999999999934</v>
      </c>
      <c r="AA206" s="21">
        <f t="shared" ref="AA206:AD206" si="1677">AA204-AA205</f>
        <v>-111.05925131635423</v>
      </c>
      <c r="AB206" s="21">
        <f t="shared" si="1677"/>
        <v>-188.53528658468986</v>
      </c>
      <c r="AC206" s="21">
        <f t="shared" si="1677"/>
        <v>-128.2348217358367</v>
      </c>
      <c r="AD206" s="21">
        <f t="shared" si="1677"/>
        <v>-182.53445149848994</v>
      </c>
      <c r="AH206" s="22">
        <f t="shared" ref="AH206" si="1678">AH204-AH205</f>
        <v>0</v>
      </c>
      <c r="AI206" s="22">
        <f t="shared" ref="AI206:AK206" si="1679">AI204-AI205</f>
        <v>0</v>
      </c>
      <c r="AJ206" s="22">
        <f t="shared" si="1679"/>
        <v>-1475.04</v>
      </c>
      <c r="AK206" s="22">
        <f t="shared" si="1679"/>
        <v>70.966277589949641</v>
      </c>
      <c r="AL206" s="22">
        <f t="shared" ref="AL206" si="1680">AL204-AL205</f>
        <v>-452.91627758994923</v>
      </c>
      <c r="AM206" s="22">
        <f t="shared" ref="AM206:CC206" si="1681">AM204-AM205</f>
        <v>-36.5877623276142</v>
      </c>
      <c r="AN206" s="22">
        <f t="shared" si="1681"/>
        <v>368.03776232761521</v>
      </c>
      <c r="AO206" s="22">
        <f t="shared" si="1681"/>
        <v>255.61443170422899</v>
      </c>
      <c r="AP206" s="22">
        <f t="shared" si="1681"/>
        <v>-627.47443170422991</v>
      </c>
      <c r="AQ206" s="22">
        <f t="shared" si="1681"/>
        <v>-23.606456771559806</v>
      </c>
      <c r="AR206" s="22">
        <f t="shared" si="1681"/>
        <v>411.85645677155935</v>
      </c>
      <c r="AS206" s="22">
        <f t="shared" si="1681"/>
        <v>282.87179417532934</v>
      </c>
      <c r="AT206" s="22">
        <f t="shared" si="1681"/>
        <v>-749.13179417532842</v>
      </c>
      <c r="AU206" s="22">
        <f t="shared" si="1681"/>
        <v>-37.82624817510532</v>
      </c>
      <c r="AV206" s="22">
        <f t="shared" si="1681"/>
        <v>337.366248175105</v>
      </c>
      <c r="AW206" s="22">
        <f t="shared" si="1681"/>
        <v>366.92858414058037</v>
      </c>
      <c r="AX206" s="22">
        <f t="shared" si="1681"/>
        <v>-407.18858414058104</v>
      </c>
      <c r="AY206" s="22">
        <f t="shared" si="1681"/>
        <v>127.85948630875373</v>
      </c>
      <c r="AZ206" s="22">
        <f t="shared" si="1681"/>
        <v>233.61051369124664</v>
      </c>
      <c r="BA206" s="22">
        <f t="shared" si="1681"/>
        <v>242.10364587649417</v>
      </c>
      <c r="BB206" s="22">
        <f t="shared" si="1681"/>
        <v>63.716354123505539</v>
      </c>
      <c r="BC206" s="22">
        <f t="shared" si="1681"/>
        <v>174.21425759026351</v>
      </c>
      <c r="BD206" s="22">
        <f t="shared" si="1681"/>
        <v>361.01574240973696</v>
      </c>
      <c r="BE206" s="22">
        <f t="shared" si="1681"/>
        <v>33.001287432334664</v>
      </c>
      <c r="BF206" s="22">
        <f t="shared" si="1681"/>
        <v>-266.10128743233417</v>
      </c>
      <c r="BG206" s="22">
        <f t="shared" si="1681"/>
        <v>66.020703359507934</v>
      </c>
      <c r="BH206" s="22">
        <f t="shared" si="1681"/>
        <v>-877.22070335950889</v>
      </c>
      <c r="BI206" s="22">
        <f t="shared" si="1681"/>
        <v>85.175966526302545</v>
      </c>
      <c r="BJ206" s="22">
        <f t="shared" si="1681"/>
        <v>-529.35596652630329</v>
      </c>
      <c r="BK206" s="22">
        <f t="shared" si="1681"/>
        <v>-21.937078719397505</v>
      </c>
      <c r="BL206" s="22">
        <f t="shared" si="1681"/>
        <v>895.67707871939797</v>
      </c>
      <c r="BM206" s="22">
        <f t="shared" si="1681"/>
        <v>224.66963129629949</v>
      </c>
      <c r="BN206" s="22">
        <f t="shared" si="1681"/>
        <v>-364.68963129629935</v>
      </c>
      <c r="BO206" s="22">
        <f t="shared" si="1681"/>
        <v>-729.20824129116045</v>
      </c>
      <c r="BP206" s="22">
        <f t="shared" si="1681"/>
        <v>1381.148241291161</v>
      </c>
      <c r="BQ206" s="22">
        <f t="shared" si="1681"/>
        <v>21.019511394906203</v>
      </c>
      <c r="BR206" s="22">
        <f t="shared" si="1681"/>
        <v>56.950488605093938</v>
      </c>
      <c r="BS206" s="22">
        <f t="shared" si="1681"/>
        <v>-108.36343967549874</v>
      </c>
      <c r="BT206" s="22">
        <f t="shared" si="1681"/>
        <v>137.77343967549871</v>
      </c>
      <c r="BU206" s="22">
        <f t="shared" si="1681"/>
        <v>25.020062621937086</v>
      </c>
      <c r="BV206" s="22">
        <f t="shared" si="1681"/>
        <v>25.869937378062104</v>
      </c>
      <c r="BW206" s="22">
        <f t="shared" si="1681"/>
        <v>-3.7700864694816119</v>
      </c>
      <c r="BX206" s="22">
        <f t="shared" si="1681"/>
        <v>92.000086469483676</v>
      </c>
      <c r="BY206" s="22">
        <f t="shared" si="1681"/>
        <v>1.8119390500678492</v>
      </c>
      <c r="BZ206" s="22">
        <f t="shared" si="1681"/>
        <v>105.90806094993098</v>
      </c>
      <c r="CA206" s="22">
        <f t="shared" si="1681"/>
        <v>-18.230464915112861</v>
      </c>
      <c r="CB206" s="22">
        <f t="shared" si="1681"/>
        <v>151.45046491511334</v>
      </c>
      <c r="CC206" s="22">
        <f t="shared" si="1681"/>
        <v>-3.0782531577633563</v>
      </c>
      <c r="CD206" s="22">
        <f t="shared" ref="CD206:CE206" si="1682">CD204-CD205</f>
        <v>-183.23174684223864</v>
      </c>
      <c r="CE206" s="22">
        <f t="shared" si="1682"/>
        <v>-5.9629649647113183</v>
      </c>
      <c r="CF206" s="22">
        <f t="shared" ref="CF206:CG206" si="1683">CF204-CF205</f>
        <v>-147.11703503528889</v>
      </c>
      <c r="CG206" s="22">
        <f t="shared" si="1683"/>
        <v>39.007992855721568</v>
      </c>
      <c r="CH206" s="22">
        <f t="shared" ref="CH206:CI206" si="1684">CH204-CH205</f>
        <v>-368.10799285572125</v>
      </c>
      <c r="CI206" s="22">
        <f t="shared" si="1684"/>
        <v>-30.747971934598354</v>
      </c>
      <c r="CJ206" s="22">
        <f t="shared" ref="CJ206:CZ206" si="1685">CJ204-CJ205</f>
        <v>-55.979583144382559</v>
      </c>
      <c r="CK206" s="22">
        <f t="shared" si="1685"/>
        <v>84.76830376262842</v>
      </c>
      <c r="CL206" s="21">
        <f t="shared" si="1685"/>
        <v>-118.03795848585651</v>
      </c>
      <c r="CM206" s="21">
        <f t="shared" si="1685"/>
        <v>-14.806573128324999</v>
      </c>
      <c r="CN206" s="21">
        <f t="shared" si="1685"/>
        <v>-14.02271465756985</v>
      </c>
      <c r="CO206" s="21">
        <f t="shared" si="1685"/>
        <v>-41.668040312938501</v>
      </c>
      <c r="CP206" s="21">
        <f t="shared" si="1685"/>
        <v>-90.666760587232602</v>
      </c>
      <c r="CQ206" s="21">
        <f t="shared" si="1685"/>
        <v>15.252642045147695</v>
      </c>
      <c r="CR206" s="21">
        <f t="shared" si="1685"/>
        <v>6.6061433214099594</v>
      </c>
      <c r="CS206" s="21">
        <f t="shared" si="1685"/>
        <v>-59.426846515161742</v>
      </c>
      <c r="CT206" s="21">
        <f t="shared" si="1685"/>
        <v>-86.097271283160808</v>
      </c>
      <c r="CU206" s="21">
        <f t="shared" si="1685"/>
        <v>20.935168670261191</v>
      </c>
      <c r="CV206" s="21">
        <f t="shared" si="1685"/>
        <v>8.0841691297810172</v>
      </c>
      <c r="CW206" s="21">
        <f t="shared" si="1685"/>
        <v>-125.45651801537133</v>
      </c>
      <c r="CX206" s="21">
        <f t="shared" si="1685"/>
        <v>-95.88596500292806</v>
      </c>
      <c r="CY206" s="21">
        <f t="shared" si="1685"/>
        <v>17.412939983421893</v>
      </c>
      <c r="CZ206" s="21">
        <f t="shared" si="1685"/>
        <v>-2.2782783427974209</v>
      </c>
      <c r="DB206" s="126"/>
      <c r="DC206" s="22">
        <v>0</v>
      </c>
    </row>
    <row r="207" spans="1:107" s="22" customFormat="1" x14ac:dyDescent="0.2">
      <c r="A207" s="22" t="s">
        <v>91</v>
      </c>
      <c r="C207" s="22">
        <f t="shared" ref="C207:W207" si="1686">C203+C206</f>
        <v>193.04599999999985</v>
      </c>
      <c r="D207" s="22">
        <f>D203+D206</f>
        <v>178.31719999999999</v>
      </c>
      <c r="E207" s="22">
        <f t="shared" si="1686"/>
        <v>199.80489999999978</v>
      </c>
      <c r="F207" s="22">
        <f t="shared" si="1686"/>
        <v>95.666600000000216</v>
      </c>
      <c r="G207" s="22">
        <f t="shared" si="1686"/>
        <v>278.63089999999943</v>
      </c>
      <c r="H207" s="22">
        <f t="shared" si="1686"/>
        <v>310.15090000000055</v>
      </c>
      <c r="I207" s="22">
        <f t="shared" si="1686"/>
        <v>13.54329999999959</v>
      </c>
      <c r="J207" s="22">
        <f>J203+J206</f>
        <v>336.17080000000033</v>
      </c>
      <c r="K207" s="22">
        <f t="shared" si="1686"/>
        <v>212.13379999999975</v>
      </c>
      <c r="L207" s="22">
        <f t="shared" si="1686"/>
        <v>269.81210000000021</v>
      </c>
      <c r="M207" s="22">
        <f t="shared" si="1686"/>
        <v>-249.47999999999934</v>
      </c>
      <c r="N207" s="22">
        <f t="shared" si="1686"/>
        <v>232.11999999999966</v>
      </c>
      <c r="O207" s="22">
        <f t="shared" si="1686"/>
        <v>357.70999999999918</v>
      </c>
      <c r="P207" s="22">
        <f t="shared" si="1686"/>
        <v>287.40000000000265</v>
      </c>
      <c r="Q207" s="22">
        <f t="shared" si="1686"/>
        <v>842.71</v>
      </c>
      <c r="R207" s="22">
        <f t="shared" si="1686"/>
        <v>761.94000000000028</v>
      </c>
      <c r="S207" s="22">
        <f t="shared" si="1686"/>
        <v>158.67000000000075</v>
      </c>
      <c r="T207" s="22">
        <f t="shared" si="1686"/>
        <v>821.76999999999975</v>
      </c>
      <c r="U207" s="22">
        <f t="shared" si="1686"/>
        <v>932.27000000000055</v>
      </c>
      <c r="V207" s="22">
        <f t="shared" si="1686"/>
        <v>725.4600000000006</v>
      </c>
      <c r="W207" s="22">
        <f t="shared" si="1686"/>
        <v>1231.2600000000007</v>
      </c>
      <c r="X207" s="22">
        <f t="shared" ref="X207:Y207" si="1687">X203+X206</f>
        <v>1617.7300000000005</v>
      </c>
      <c r="Y207" s="22">
        <f t="shared" si="1687"/>
        <v>1664.1600000000014</v>
      </c>
      <c r="Z207" s="22">
        <f t="shared" ref="Z207" si="1688">Z203+Z206</f>
        <v>1534.8100000000002</v>
      </c>
      <c r="AA207" s="21">
        <f t="shared" ref="AA207:AD207" si="1689">AA203+AA206</f>
        <v>3243.928425446833</v>
      </c>
      <c r="AB207" s="21">
        <f t="shared" si="1689"/>
        <v>2213.5730032945658</v>
      </c>
      <c r="AC207" s="21">
        <f t="shared" si="1689"/>
        <v>2512.8176828383562</v>
      </c>
      <c r="AD207" s="21">
        <f t="shared" si="1689"/>
        <v>2925.590473156245</v>
      </c>
      <c r="AH207" s="22">
        <f t="shared" ref="AH207" si="1690">AH203+AH206</f>
        <v>74.760000000000119</v>
      </c>
      <c r="AI207" s="22">
        <f t="shared" ref="AI207:AK207" si="1691">AI203+AI206</f>
        <v>45.399999999999764</v>
      </c>
      <c r="AJ207" s="22">
        <f t="shared" si="1691"/>
        <v>-1433.6799999999996</v>
      </c>
      <c r="AK207" s="22">
        <f t="shared" si="1691"/>
        <v>138.65627758994961</v>
      </c>
      <c r="AL207" s="22">
        <f t="shared" ref="AL207" si="1692">AL203+AL206</f>
        <v>-387.33627758994902</v>
      </c>
      <c r="AM207" s="22">
        <f t="shared" ref="AM207:CC207" si="1693">AM203+AM206</f>
        <v>27.17223767238599</v>
      </c>
      <c r="AN207" s="22">
        <f t="shared" si="1693"/>
        <v>453.62776232761513</v>
      </c>
      <c r="AO207" s="22">
        <f t="shared" si="1693"/>
        <v>334.70443170422902</v>
      </c>
      <c r="AP207" s="22">
        <f t="shared" si="1693"/>
        <v>-551.92443170422996</v>
      </c>
      <c r="AQ207" s="22">
        <f t="shared" si="1693"/>
        <v>49.713543228440059</v>
      </c>
      <c r="AR207" s="22">
        <f t="shared" si="1693"/>
        <v>525.21645677155936</v>
      </c>
      <c r="AS207" s="22">
        <f t="shared" si="1693"/>
        <v>379.39179417532938</v>
      </c>
      <c r="AT207" s="22">
        <f t="shared" si="1693"/>
        <v>-654.21179417532812</v>
      </c>
      <c r="AU207" s="22">
        <f t="shared" si="1693"/>
        <v>56.813751824894794</v>
      </c>
      <c r="AV207" s="22">
        <f t="shared" si="1693"/>
        <v>510.95624817510486</v>
      </c>
      <c r="AW207" s="22">
        <f t="shared" si="1693"/>
        <v>488.24858414058031</v>
      </c>
      <c r="AX207" s="22">
        <f t="shared" si="1693"/>
        <v>-315.86858414058133</v>
      </c>
      <c r="AY207" s="22">
        <f t="shared" si="1693"/>
        <v>238.96948630875326</v>
      </c>
      <c r="AZ207" s="22">
        <f t="shared" si="1693"/>
        <v>435.27051369124649</v>
      </c>
      <c r="BA207" s="22">
        <f t="shared" si="1693"/>
        <v>369.69364587649449</v>
      </c>
      <c r="BB207" s="22">
        <f t="shared" si="1693"/>
        <v>177.09635412350488</v>
      </c>
      <c r="BC207" s="22">
        <f t="shared" si="1693"/>
        <v>296.45425759026318</v>
      </c>
      <c r="BD207" s="22">
        <f t="shared" si="1693"/>
        <v>560.23574240973687</v>
      </c>
      <c r="BE207" s="22">
        <f t="shared" si="1693"/>
        <v>158.03128743233469</v>
      </c>
      <c r="BF207" s="22">
        <f t="shared" si="1693"/>
        <v>-141.20128743233442</v>
      </c>
      <c r="BG207" s="22">
        <f t="shared" si="1693"/>
        <v>197.95070335950794</v>
      </c>
      <c r="BH207" s="22">
        <f t="shared" si="1693"/>
        <v>-655.43070335950881</v>
      </c>
      <c r="BI207" s="22">
        <f t="shared" si="1693"/>
        <v>224.67596652630266</v>
      </c>
      <c r="BJ207" s="22">
        <f t="shared" si="1693"/>
        <v>-376.94596652630332</v>
      </c>
      <c r="BK207" s="22">
        <f t="shared" si="1693"/>
        <v>136.00292128060238</v>
      </c>
      <c r="BL207" s="22">
        <f t="shared" si="1693"/>
        <v>956.7570787193979</v>
      </c>
      <c r="BM207" s="22">
        <f t="shared" si="1693"/>
        <v>316.37963129629952</v>
      </c>
      <c r="BN207" s="22">
        <f t="shared" si="1693"/>
        <v>-323.50963129629929</v>
      </c>
      <c r="BO207" s="22">
        <f t="shared" si="1693"/>
        <v>-623.72824129116054</v>
      </c>
      <c r="BP207" s="22">
        <f t="shared" si="1693"/>
        <v>1468.3582412911608</v>
      </c>
      <c r="BQ207" s="22">
        <f t="shared" si="1693"/>
        <v>187.60951139490626</v>
      </c>
      <c r="BR207" s="22">
        <f t="shared" si="1693"/>
        <v>155.61048860509405</v>
      </c>
      <c r="BS207" s="22">
        <f t="shared" si="1693"/>
        <v>40.306560324501334</v>
      </c>
      <c r="BT207" s="22">
        <f t="shared" si="1693"/>
        <v>348.70343967549854</v>
      </c>
      <c r="BU207" s="22">
        <f t="shared" si="1693"/>
        <v>130.60006262193696</v>
      </c>
      <c r="BV207" s="22">
        <f t="shared" si="1693"/>
        <v>197.38993737806211</v>
      </c>
      <c r="BW207" s="22">
        <f t="shared" si="1693"/>
        <v>220.65991353051808</v>
      </c>
      <c r="BX207" s="22">
        <f t="shared" si="1693"/>
        <v>424.14008646948412</v>
      </c>
      <c r="BY207" s="22">
        <f t="shared" si="1693"/>
        <v>274.18193905006751</v>
      </c>
      <c r="BZ207" s="22">
        <f t="shared" si="1693"/>
        <v>430.76806094993123</v>
      </c>
      <c r="CA207" s="22">
        <f t="shared" si="1693"/>
        <v>374.92953508488711</v>
      </c>
      <c r="CB207" s="22">
        <f t="shared" si="1693"/>
        <v>523.03046491511316</v>
      </c>
      <c r="CC207" s="22">
        <f t="shared" si="1693"/>
        <v>487.63174684223634</v>
      </c>
      <c r="CD207" s="22">
        <f t="shared" ref="CD207:CE207" si="1694">CD203+CD206</f>
        <v>291.22825315776151</v>
      </c>
      <c r="CE207" s="22">
        <f t="shared" si="1694"/>
        <v>467.31703503528888</v>
      </c>
      <c r="CF207" s="22">
        <f t="shared" ref="CF207:CG207" si="1695">CF203+CF206</f>
        <v>414.99296496471146</v>
      </c>
      <c r="CG207" s="22">
        <f t="shared" si="1695"/>
        <v>547.21799285572183</v>
      </c>
      <c r="CH207" s="22">
        <f t="shared" ref="CH207:CI207" si="1696">CH203+CH206</f>
        <v>19.172007144278723</v>
      </c>
      <c r="CI207" s="22">
        <f t="shared" si="1696"/>
        <v>414.88202806540141</v>
      </c>
      <c r="CJ207" s="22">
        <f t="shared" ref="CJ207:CZ207" si="1697">CJ203+CJ206</f>
        <v>416.51041685561756</v>
      </c>
      <c r="CK207" s="22">
        <f t="shared" si="1697"/>
        <v>1910.7783037626282</v>
      </c>
      <c r="CL207" s="21">
        <f t="shared" si="1697"/>
        <v>374.83334808651006</v>
      </c>
      <c r="CM207" s="21">
        <f t="shared" si="1697"/>
        <v>499.19879850676898</v>
      </c>
      <c r="CN207" s="21">
        <f t="shared" si="1697"/>
        <v>508.07828389815586</v>
      </c>
      <c r="CO207" s="21">
        <f t="shared" si="1697"/>
        <v>506.24666363127176</v>
      </c>
      <c r="CP207" s="21">
        <f t="shared" si="1697"/>
        <v>522.38777201213827</v>
      </c>
      <c r="CQ207" s="21">
        <f t="shared" si="1697"/>
        <v>632.01786039791443</v>
      </c>
      <c r="CR207" s="21">
        <f t="shared" si="1697"/>
        <v>630.97997830431689</v>
      </c>
      <c r="CS207" s="21">
        <f t="shared" si="1697"/>
        <v>571.67700991268612</v>
      </c>
      <c r="CT207" s="21">
        <f t="shared" si="1697"/>
        <v>591.74786010211005</v>
      </c>
      <c r="CU207" s="21">
        <f t="shared" si="1697"/>
        <v>689.49979998208494</v>
      </c>
      <c r="CV207" s="21">
        <f t="shared" si="1697"/>
        <v>671.62305457902937</v>
      </c>
      <c r="CW207" s="21">
        <f t="shared" si="1697"/>
        <v>613.19144500660514</v>
      </c>
      <c r="CX207" s="21">
        <f t="shared" si="1697"/>
        <v>693.13014414444524</v>
      </c>
      <c r="CY207" s="21">
        <f t="shared" si="1697"/>
        <v>803.37281999207926</v>
      </c>
      <c r="CZ207" s="21">
        <f t="shared" si="1697"/>
        <v>792.2226941339311</v>
      </c>
      <c r="DB207" s="126"/>
      <c r="DC207" s="22">
        <v>0</v>
      </c>
    </row>
    <row r="208" spans="1:107" s="23" customFormat="1" x14ac:dyDescent="0.2">
      <c r="AA208" s="24"/>
      <c r="AB208" s="24"/>
      <c r="AC208" s="24"/>
      <c r="AD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B208" s="123"/>
    </row>
    <row r="209" spans="1:107" s="22" customFormat="1" x14ac:dyDescent="0.2">
      <c r="A209" s="22" t="s">
        <v>92</v>
      </c>
      <c r="C209" s="22">
        <f t="shared" ref="C209:W209" si="1698">C210+C211</f>
        <v>-23.722799999999996</v>
      </c>
      <c r="D209" s="22">
        <f>D210+D211</f>
        <v>-71.470100000000002</v>
      </c>
      <c r="E209" s="22">
        <f t="shared" si="1698"/>
        <v>-93.663799999999995</v>
      </c>
      <c r="F209" s="22">
        <f t="shared" si="1698"/>
        <v>-73.474800000000016</v>
      </c>
      <c r="G209" s="22">
        <f t="shared" si="1698"/>
        <v>-83.380600000000001</v>
      </c>
      <c r="H209" s="22">
        <f t="shared" si="1698"/>
        <v>-151.58350000000004</v>
      </c>
      <c r="I209" s="22">
        <f t="shared" si="1698"/>
        <v>-252.82569999999998</v>
      </c>
      <c r="J209" s="22">
        <f t="shared" si="1698"/>
        <v>-110.38230000000006</v>
      </c>
      <c r="K209" s="22">
        <f t="shared" si="1698"/>
        <v>-85.889400000000009</v>
      </c>
      <c r="L209" s="22">
        <f t="shared" si="1698"/>
        <v>-524.92349999999988</v>
      </c>
      <c r="M209" s="22">
        <f t="shared" si="1698"/>
        <v>-175.58000000000007</v>
      </c>
      <c r="N209" s="22">
        <f t="shared" si="1698"/>
        <v>-191.42</v>
      </c>
      <c r="O209" s="22">
        <f t="shared" si="1698"/>
        <v>-105.19999999999997</v>
      </c>
      <c r="P209" s="22">
        <f t="shared" si="1698"/>
        <v>-65.390000000000029</v>
      </c>
      <c r="Q209" s="22">
        <f t="shared" si="1698"/>
        <v>-130.85999999999984</v>
      </c>
      <c r="R209" s="22">
        <f t="shared" si="1698"/>
        <v>-97.620000000000061</v>
      </c>
      <c r="S209" s="22">
        <f t="shared" si="1698"/>
        <v>266.25999999999971</v>
      </c>
      <c r="T209" s="22">
        <f t="shared" si="1698"/>
        <v>84.720000000000226</v>
      </c>
      <c r="U209" s="22">
        <f t="shared" si="1698"/>
        <v>-176.78000000000031</v>
      </c>
      <c r="V209" s="22">
        <f t="shared" si="1698"/>
        <v>-139.01999999999975</v>
      </c>
      <c r="W209" s="22">
        <f t="shared" si="1698"/>
        <v>-179.21000000000026</v>
      </c>
      <c r="X209" s="22">
        <f t="shared" ref="X209:Y209" si="1699">X210+X211</f>
        <v>-206.92999999999967</v>
      </c>
      <c r="Y209" s="22">
        <f t="shared" si="1699"/>
        <v>-231.66999999999996</v>
      </c>
      <c r="Z209" s="22">
        <f t="shared" ref="Z209" si="1700">Z210+Z211</f>
        <v>-300.09000000000015</v>
      </c>
      <c r="AA209" s="21">
        <f t="shared" ref="AA209:AD209" si="1701">AA210+AA211</f>
        <v>132.54548115905538</v>
      </c>
      <c r="AB209" s="21">
        <f t="shared" si="1701"/>
        <v>-159.76912771620175</v>
      </c>
      <c r="AC209" s="21">
        <f t="shared" si="1701"/>
        <v>-159.80735022697843</v>
      </c>
      <c r="AD209" s="21">
        <f t="shared" si="1701"/>
        <v>-159.83924473551053</v>
      </c>
      <c r="AH209" s="22">
        <f t="shared" ref="AH209" si="1702">AH210+AH211</f>
        <v>-23.13</v>
      </c>
      <c r="AI209" s="22">
        <f t="shared" ref="AI209:AK209" si="1703">AI210+AI211</f>
        <v>0</v>
      </c>
      <c r="AJ209" s="22">
        <f t="shared" si="1703"/>
        <v>-1415.98</v>
      </c>
      <c r="AK209" s="22">
        <f t="shared" si="1703"/>
        <v>0</v>
      </c>
      <c r="AL209" s="22">
        <f t="shared" ref="AL209" si="1704">AL210+AL211</f>
        <v>-106.91000000000022</v>
      </c>
      <c r="AM209" s="22">
        <f t="shared" ref="AM209:CC209" si="1705">AM210+AM211</f>
        <v>0</v>
      </c>
      <c r="AN209" s="22">
        <f t="shared" si="1705"/>
        <v>-84.509999999999991</v>
      </c>
      <c r="AO209" s="22">
        <f t="shared" si="1705"/>
        <v>0</v>
      </c>
      <c r="AP209" s="22">
        <f t="shared" si="1705"/>
        <v>-49.029999999999902</v>
      </c>
      <c r="AQ209" s="22">
        <f t="shared" si="1705"/>
        <v>0</v>
      </c>
      <c r="AR209" s="22">
        <f t="shared" si="1705"/>
        <v>-56.170000000000073</v>
      </c>
      <c r="AS209" s="22">
        <f t="shared" si="1705"/>
        <v>0</v>
      </c>
      <c r="AT209" s="22">
        <f t="shared" si="1705"/>
        <v>-12.999999999999925</v>
      </c>
      <c r="AU209" s="22">
        <f t="shared" si="1705"/>
        <v>0</v>
      </c>
      <c r="AV209" s="22">
        <f t="shared" si="1705"/>
        <v>-57.940000000000282</v>
      </c>
      <c r="AW209" s="22">
        <f t="shared" si="1705"/>
        <v>0</v>
      </c>
      <c r="AX209" s="22">
        <f t="shared" si="1705"/>
        <v>-47.929999999999993</v>
      </c>
      <c r="AY209" s="22">
        <f t="shared" si="1705"/>
        <v>0</v>
      </c>
      <c r="AZ209" s="22">
        <f t="shared" si="1705"/>
        <v>-82.919999999999845</v>
      </c>
      <c r="BA209" s="22">
        <f t="shared" si="1705"/>
        <v>0</v>
      </c>
      <c r="BB209" s="22">
        <f t="shared" si="1705"/>
        <v>-56.029999999999959</v>
      </c>
      <c r="BC209" s="22">
        <f t="shared" si="1705"/>
        <v>0</v>
      </c>
      <c r="BD209" s="22">
        <f t="shared" si="1705"/>
        <v>-82.839999999999876</v>
      </c>
      <c r="BE209" s="22">
        <f t="shared" si="1705"/>
        <v>0</v>
      </c>
      <c r="BF209" s="22">
        <f t="shared" si="1705"/>
        <v>-84.649999999999793</v>
      </c>
      <c r="BG209" s="22">
        <f t="shared" si="1705"/>
        <v>0</v>
      </c>
      <c r="BH209" s="22">
        <f t="shared" si="1705"/>
        <v>350.90999999999985</v>
      </c>
      <c r="BI209" s="22">
        <f t="shared" si="1705"/>
        <v>0</v>
      </c>
      <c r="BJ209" s="22">
        <f t="shared" si="1705"/>
        <v>99.790000000000077</v>
      </c>
      <c r="BK209" s="22">
        <f t="shared" si="1705"/>
        <v>0</v>
      </c>
      <c r="BL209" s="22">
        <f t="shared" si="1705"/>
        <v>-15.069999999999968</v>
      </c>
      <c r="BM209" s="22">
        <f t="shared" si="1705"/>
        <v>0</v>
      </c>
      <c r="BN209" s="22">
        <f t="shared" si="1705"/>
        <v>-55.360000000000014</v>
      </c>
      <c r="BO209" s="22">
        <f t="shared" si="1705"/>
        <v>0</v>
      </c>
      <c r="BP209" s="22">
        <f t="shared" si="1705"/>
        <v>-33.129999999999995</v>
      </c>
      <c r="BQ209" s="22">
        <f t="shared" si="1705"/>
        <v>0</v>
      </c>
      <c r="BR209" s="22">
        <f t="shared" si="1705"/>
        <v>-93.839999999999918</v>
      </c>
      <c r="BS209" s="22">
        <f t="shared" si="1705"/>
        <v>0</v>
      </c>
      <c r="BT209" s="22">
        <f t="shared" si="1705"/>
        <v>-76.400000000000091</v>
      </c>
      <c r="BU209" s="22">
        <f t="shared" si="1705"/>
        <v>0</v>
      </c>
      <c r="BV209" s="22">
        <f t="shared" si="1705"/>
        <v>-88.080000000000041</v>
      </c>
      <c r="BW209" s="22">
        <f t="shared" si="1705"/>
        <v>0</v>
      </c>
      <c r="BX209" s="22">
        <f t="shared" si="1705"/>
        <v>-96.230000000000018</v>
      </c>
      <c r="BY209" s="22">
        <f t="shared" si="1705"/>
        <v>0</v>
      </c>
      <c r="BZ209" s="22">
        <f t="shared" si="1705"/>
        <v>-85.410000000000025</v>
      </c>
      <c r="CA209" s="22">
        <f t="shared" si="1705"/>
        <v>0</v>
      </c>
      <c r="CB209" s="22">
        <f t="shared" si="1705"/>
        <v>-106.69999999999993</v>
      </c>
      <c r="CC209" s="22">
        <f t="shared" si="1705"/>
        <v>0</v>
      </c>
      <c r="CD209" s="22">
        <f t="shared" ref="CD209:CE209" si="1706">CD210+CD211</f>
        <v>-79.939999999999941</v>
      </c>
      <c r="CE209" s="22">
        <f t="shared" si="1706"/>
        <v>0</v>
      </c>
      <c r="CF209" s="22">
        <f t="shared" ref="CF209:CG209" si="1707">CF210+CF211</f>
        <v>-148.74</v>
      </c>
      <c r="CG209" s="22">
        <f t="shared" si="1707"/>
        <v>0</v>
      </c>
      <c r="CH209" s="22">
        <f t="shared" ref="CH209:CI209" si="1708">CH210+CH211</f>
        <v>-104.95000000000005</v>
      </c>
      <c r="CI209" s="22">
        <f t="shared" si="1708"/>
        <v>0</v>
      </c>
      <c r="CJ209" s="22">
        <f t="shared" ref="CJ209:CZ209" si="1709">CJ210+CJ211</f>
        <v>0</v>
      </c>
      <c r="CK209" s="22">
        <f t="shared" si="1709"/>
        <v>0</v>
      </c>
      <c r="CL209" s="21">
        <f t="shared" si="1709"/>
        <v>-40</v>
      </c>
      <c r="CM209" s="21">
        <f t="shared" si="1709"/>
        <v>-40</v>
      </c>
      <c r="CN209" s="21">
        <f t="shared" si="1709"/>
        <v>-40</v>
      </c>
      <c r="CO209" s="21">
        <f t="shared" si="1709"/>
        <v>-40</v>
      </c>
      <c r="CP209" s="21">
        <f t="shared" si="1709"/>
        <v>-40.000000000000114</v>
      </c>
      <c r="CQ209" s="21">
        <f t="shared" si="1709"/>
        <v>-40</v>
      </c>
      <c r="CR209" s="21">
        <f t="shared" si="1709"/>
        <v>-40.000000000000114</v>
      </c>
      <c r="CS209" s="21">
        <f t="shared" si="1709"/>
        <v>-39.999999999999886</v>
      </c>
      <c r="CT209" s="21">
        <f t="shared" si="1709"/>
        <v>-40.000000000000114</v>
      </c>
      <c r="CU209" s="21">
        <f t="shared" si="1709"/>
        <v>-40</v>
      </c>
      <c r="CV209" s="21">
        <f t="shared" si="1709"/>
        <v>-40</v>
      </c>
      <c r="CW209" s="21">
        <f t="shared" si="1709"/>
        <v>-40</v>
      </c>
      <c r="CX209" s="21">
        <f t="shared" si="1709"/>
        <v>-40</v>
      </c>
      <c r="CY209" s="21">
        <f t="shared" si="1709"/>
        <v>-40</v>
      </c>
      <c r="CZ209" s="21">
        <f t="shared" si="1709"/>
        <v>-40</v>
      </c>
      <c r="DB209" s="126"/>
      <c r="DC209" s="22">
        <v>0</v>
      </c>
    </row>
    <row r="210" spans="1:107" s="23" customFormat="1" x14ac:dyDescent="0.2">
      <c r="A210" s="23" t="s">
        <v>93</v>
      </c>
      <c r="C210" s="23">
        <f t="shared" ref="C210:AA210" si="1710">B148-C148</f>
        <v>-14.7974</v>
      </c>
      <c r="D210" s="23">
        <f t="shared" si="1710"/>
        <v>-31.012899999999998</v>
      </c>
      <c r="E210" s="23">
        <f>D148-E148</f>
        <v>-48.378799999999998</v>
      </c>
      <c r="F210" s="23">
        <f t="shared" si="1710"/>
        <v>19.816599999999994</v>
      </c>
      <c r="G210" s="23">
        <f t="shared" si="1710"/>
        <v>9.7956999999999965</v>
      </c>
      <c r="H210" s="23">
        <f t="shared" si="1710"/>
        <v>6.9000000000000057</v>
      </c>
      <c r="I210" s="23">
        <f t="shared" si="1710"/>
        <v>9.3301999999999978</v>
      </c>
      <c r="J210" s="23">
        <f>I148-J148</f>
        <v>44.245199999999997</v>
      </c>
      <c r="K210" s="23">
        <f>J148-K148</f>
        <v>8.3400000000001029E-2</v>
      </c>
      <c r="L210" s="23">
        <f t="shared" si="1710"/>
        <v>0.15579999999999927</v>
      </c>
      <c r="M210" s="23">
        <f t="shared" si="1710"/>
        <v>8.0000000000001847E-2</v>
      </c>
      <c r="N210" s="23">
        <f t="shared" si="1710"/>
        <v>8.9999999999999858E-2</v>
      </c>
      <c r="O210" s="23">
        <f t="shared" si="1710"/>
        <v>7.9999999999998295E-2</v>
      </c>
      <c r="P210" s="23">
        <f t="shared" si="1710"/>
        <v>8.0000000000001847E-2</v>
      </c>
      <c r="Q210" s="23">
        <f t="shared" si="1710"/>
        <v>7.9999999999998295E-2</v>
      </c>
      <c r="R210" s="23">
        <f t="shared" si="1710"/>
        <v>16.059999999999999</v>
      </c>
      <c r="S210" s="23">
        <f t="shared" si="1710"/>
        <v>8.0000000000000016E-2</v>
      </c>
      <c r="T210" s="23">
        <f t="shared" si="1710"/>
        <v>0.09</v>
      </c>
      <c r="U210" s="23">
        <f t="shared" si="1710"/>
        <v>0</v>
      </c>
      <c r="V210" s="23">
        <f t="shared" si="1710"/>
        <v>0</v>
      </c>
      <c r="W210" s="23">
        <f t="shared" si="1710"/>
        <v>0</v>
      </c>
      <c r="X210" s="23">
        <f t="shared" si="1710"/>
        <v>-1.56</v>
      </c>
      <c r="Y210" s="23">
        <f t="shared" si="1710"/>
        <v>0</v>
      </c>
      <c r="Z210" s="23">
        <f t="shared" si="1710"/>
        <v>0</v>
      </c>
      <c r="AA210" s="24">
        <f t="shared" si="1710"/>
        <v>0</v>
      </c>
      <c r="AB210" s="24">
        <f t="shared" ref="AB210" si="1711">AA148-AB148</f>
        <v>0</v>
      </c>
      <c r="AC210" s="24">
        <f t="shared" ref="AC210" si="1712">AB148-AC148</f>
        <v>0</v>
      </c>
      <c r="AD210" s="24">
        <f t="shared" ref="AD210" si="1713">AC148-AD148</f>
        <v>0</v>
      </c>
      <c r="AH210" s="23">
        <f t="shared" ref="AH210" si="1714">AG148-AH148</f>
        <v>0</v>
      </c>
      <c r="AI210" s="23">
        <f t="shared" ref="AI210" si="1715">AH148-AI148</f>
        <v>0</v>
      </c>
      <c r="AJ210" s="23">
        <f t="shared" ref="AJ210" si="1716">AI148-AJ148</f>
        <v>-16.559999999999999</v>
      </c>
      <c r="AK210" s="23">
        <f t="shared" ref="AK210" si="1717">AJ148-AK148</f>
        <v>0</v>
      </c>
      <c r="AL210" s="23">
        <f t="shared" ref="AL210" si="1718">AK148-AL148</f>
        <v>8.9999999999999858E-2</v>
      </c>
      <c r="AM210" s="23">
        <f t="shared" ref="AM210" si="1719">AL148-AM148</f>
        <v>0</v>
      </c>
      <c r="AN210" s="23">
        <f t="shared" ref="AN210" si="1720">AM148-AN148</f>
        <v>0</v>
      </c>
      <c r="AO210" s="23">
        <f t="shared" ref="AO210" si="1721">AN148-AO148</f>
        <v>0</v>
      </c>
      <c r="AP210" s="23">
        <f t="shared" ref="AP210" si="1722">AO148-AP148</f>
        <v>7.9999999999998295E-2</v>
      </c>
      <c r="AQ210" s="23">
        <f t="shared" ref="AQ210" si="1723">AP148-AQ148</f>
        <v>0</v>
      </c>
      <c r="AR210" s="23">
        <f t="shared" ref="AR210" si="1724">AQ148-AR148</f>
        <v>0</v>
      </c>
      <c r="AS210" s="23">
        <f t="shared" ref="AS210" si="1725">AR148-AS148</f>
        <v>0</v>
      </c>
      <c r="AT210" s="23">
        <f t="shared" ref="AT210" si="1726">AS148-AT148</f>
        <v>8.0000000000001847E-2</v>
      </c>
      <c r="AU210" s="23">
        <f t="shared" ref="AU210" si="1727">AT148-AU148</f>
        <v>0</v>
      </c>
      <c r="AV210" s="23">
        <f t="shared" ref="AV210" si="1728">AU148-AV148</f>
        <v>0</v>
      </c>
      <c r="AW210" s="23">
        <f t="shared" ref="AW210" si="1729">AV148-AW148</f>
        <v>0</v>
      </c>
      <c r="AX210" s="23">
        <f t="shared" ref="AX210" si="1730">AW148-AX148</f>
        <v>7.9999999999998295E-2</v>
      </c>
      <c r="AY210" s="23">
        <f t="shared" ref="AY210" si="1731">AX148-AY148</f>
        <v>0</v>
      </c>
      <c r="AZ210" s="23">
        <f t="shared" ref="AZ210" si="1732">AY148-AZ148</f>
        <v>0</v>
      </c>
      <c r="BA210" s="23">
        <f t="shared" ref="BA210" si="1733">AZ148-BA148</f>
        <v>0</v>
      </c>
      <c r="BB210" s="23">
        <f t="shared" ref="BB210" si="1734">BA148-BB148</f>
        <v>1.0000000000001563E-2</v>
      </c>
      <c r="BC210" s="23">
        <f t="shared" ref="BC210" si="1735">BB148-BC148</f>
        <v>0</v>
      </c>
      <c r="BD210" s="23">
        <f t="shared" ref="BD210" si="1736">BC148-BD148</f>
        <v>16.049999999999997</v>
      </c>
      <c r="BE210" s="23">
        <f t="shared" ref="BE210" si="1737">BD148-BE148</f>
        <v>0</v>
      </c>
      <c r="BF210" s="23">
        <f t="shared" ref="BF210" si="1738">BE148-BF148</f>
        <v>8.0000000000000016E-2</v>
      </c>
      <c r="BG210" s="23">
        <f t="shared" ref="BG210" si="1739">BF148-BG148</f>
        <v>0</v>
      </c>
      <c r="BH210" s="23">
        <f t="shared" ref="BH210" si="1740">BG148-BH148</f>
        <v>0</v>
      </c>
      <c r="BI210" s="23">
        <f t="shared" ref="BI210" si="1741">BH148-BI148</f>
        <v>0</v>
      </c>
      <c r="BJ210" s="23">
        <f t="shared" ref="BJ210" si="1742">BI148-BJ148</f>
        <v>0</v>
      </c>
      <c r="BK210" s="23">
        <f t="shared" ref="BK210" si="1743">BJ148-BK148</f>
        <v>0</v>
      </c>
      <c r="BL210" s="23">
        <f t="shared" ref="BL210" si="1744">BK148-BL148</f>
        <v>0.09</v>
      </c>
      <c r="BM210" s="23">
        <f t="shared" ref="BM210" si="1745">BL148-BM148</f>
        <v>0</v>
      </c>
      <c r="BN210" s="23">
        <f t="shared" ref="BN210" si="1746">BM148-BN148</f>
        <v>0</v>
      </c>
      <c r="BO210" s="23">
        <f t="shared" ref="BO210" si="1747">BN148-BO148</f>
        <v>0</v>
      </c>
      <c r="BP210" s="23">
        <f t="shared" ref="BP210" si="1748">BO148-BP148</f>
        <v>0</v>
      </c>
      <c r="BQ210" s="23">
        <f t="shared" ref="BQ210" si="1749">BP148-BQ148</f>
        <v>0</v>
      </c>
      <c r="BR210" s="23">
        <f t="shared" ref="BR210" si="1750">BQ148-BR148</f>
        <v>0</v>
      </c>
      <c r="BS210" s="23">
        <f t="shared" ref="BS210" si="1751">BR148-BS148</f>
        <v>0</v>
      </c>
      <c r="BT210" s="23">
        <f t="shared" ref="BT210" si="1752">BS148-BT148</f>
        <v>0</v>
      </c>
      <c r="BU210" s="23">
        <f t="shared" ref="BU210" si="1753">BT148-BU148</f>
        <v>0</v>
      </c>
      <c r="BV210" s="23">
        <f t="shared" ref="BV210" si="1754">BU148-BV148</f>
        <v>-100.12</v>
      </c>
      <c r="BW210" s="23">
        <f t="shared" ref="BW210" si="1755">BV148-BW148</f>
        <v>0</v>
      </c>
      <c r="BX210" s="23">
        <f t="shared" ref="BX210" si="1756">BW148-BX148</f>
        <v>100.12</v>
      </c>
      <c r="BY210" s="23">
        <f t="shared" ref="BY210" si="1757">BX148-BY148</f>
        <v>0</v>
      </c>
      <c r="BZ210" s="23">
        <f t="shared" ref="BZ210" si="1758">BY148-BZ148</f>
        <v>-1.56</v>
      </c>
      <c r="CA210" s="23">
        <f t="shared" ref="CA210" si="1759">BZ148-CA148</f>
        <v>0</v>
      </c>
      <c r="CB210" s="23">
        <f t="shared" ref="CB210" si="1760">CA148-CB148</f>
        <v>0</v>
      </c>
      <c r="CC210" s="23">
        <f t="shared" ref="CC210" si="1761">CB148-CC148</f>
        <v>0</v>
      </c>
      <c r="CD210" s="23">
        <f t="shared" ref="CD210" si="1762">CC148-CD148</f>
        <v>0</v>
      </c>
      <c r="CE210" s="23">
        <f t="shared" ref="CE210" si="1763">CD148-CE148</f>
        <v>0</v>
      </c>
      <c r="CF210" s="23">
        <f t="shared" ref="CF210" si="1764">CE148-CF148</f>
        <v>0</v>
      </c>
      <c r="CG210" s="23">
        <f t="shared" ref="CG210:CK210" si="1765">CF148-CG148</f>
        <v>0</v>
      </c>
      <c r="CH210" s="23">
        <f t="shared" si="1765"/>
        <v>0</v>
      </c>
      <c r="CI210" s="23">
        <f t="shared" si="1765"/>
        <v>0</v>
      </c>
      <c r="CJ210" s="23">
        <f t="shared" ref="CJ210" si="1766">CI148-CJ148</f>
        <v>0</v>
      </c>
      <c r="CK210" s="23">
        <f t="shared" si="1765"/>
        <v>0</v>
      </c>
      <c r="CL210" s="24">
        <f t="shared" ref="CL210" si="1767">CK148-CL148</f>
        <v>0</v>
      </c>
      <c r="CM210" s="24">
        <f t="shared" ref="CM210" si="1768">CL148-CM148</f>
        <v>0</v>
      </c>
      <c r="CN210" s="24">
        <f t="shared" ref="CN210" si="1769">CM148-CN148</f>
        <v>0</v>
      </c>
      <c r="CO210" s="24">
        <f t="shared" ref="CO210" si="1770">CN148-CO148</f>
        <v>0</v>
      </c>
      <c r="CP210" s="24">
        <f t="shared" ref="CP210" si="1771">CO148-CP148</f>
        <v>0</v>
      </c>
      <c r="CQ210" s="24">
        <f t="shared" ref="CQ210" si="1772">CP148-CQ148</f>
        <v>0</v>
      </c>
      <c r="CR210" s="24">
        <f t="shared" ref="CR210" si="1773">CQ148-CR148</f>
        <v>0</v>
      </c>
      <c r="CS210" s="24">
        <f t="shared" ref="CS210" si="1774">CR148-CS148</f>
        <v>0</v>
      </c>
      <c r="CT210" s="24">
        <f t="shared" ref="CT210" si="1775">CS148-CT148</f>
        <v>0</v>
      </c>
      <c r="CU210" s="24">
        <f t="shared" ref="CU210" si="1776">CT148-CU148</f>
        <v>0</v>
      </c>
      <c r="CV210" s="24">
        <f t="shared" ref="CV210" si="1777">CU148-CV148</f>
        <v>0</v>
      </c>
      <c r="CW210" s="24">
        <f t="shared" ref="CW210" si="1778">CV148-CW148</f>
        <v>0</v>
      </c>
      <c r="CX210" s="24">
        <f t="shared" ref="CX210" si="1779">CW148-CX148</f>
        <v>0</v>
      </c>
      <c r="CY210" s="24">
        <f t="shared" ref="CY210" si="1780">CX148-CY148</f>
        <v>0</v>
      </c>
      <c r="CZ210" s="24">
        <f t="shared" ref="CZ210" si="1781">CY148-CZ148</f>
        <v>0</v>
      </c>
      <c r="DB210" s="123"/>
      <c r="DC210" s="23">
        <v>0</v>
      </c>
    </row>
    <row r="211" spans="1:107" s="23" customFormat="1" x14ac:dyDescent="0.2">
      <c r="A211" s="23" t="s">
        <v>94</v>
      </c>
      <c r="C211" s="23">
        <f t="shared" ref="C211:AD211" si="1782">B146-C40-C146</f>
        <v>-8.9253999999999962</v>
      </c>
      <c r="D211" s="23">
        <f t="shared" si="1782"/>
        <v>-40.4572</v>
      </c>
      <c r="E211" s="23">
        <f t="shared" si="1782"/>
        <v>-45.284999999999997</v>
      </c>
      <c r="F211" s="23">
        <f t="shared" si="1782"/>
        <v>-93.29140000000001</v>
      </c>
      <c r="G211" s="23">
        <f t="shared" si="1782"/>
        <v>-93.176299999999998</v>
      </c>
      <c r="H211" s="23">
        <f t="shared" si="1782"/>
        <v>-158.48350000000005</v>
      </c>
      <c r="I211" s="23">
        <f t="shared" si="1782"/>
        <v>-262.15589999999997</v>
      </c>
      <c r="J211" s="23">
        <f t="shared" si="1782"/>
        <v>-154.62750000000005</v>
      </c>
      <c r="K211" s="23">
        <f t="shared" si="1782"/>
        <v>-85.972800000000007</v>
      </c>
      <c r="L211" s="23">
        <f t="shared" si="1782"/>
        <v>-525.07929999999988</v>
      </c>
      <c r="M211" s="23">
        <f t="shared" si="1782"/>
        <v>-175.66000000000008</v>
      </c>
      <c r="N211" s="23">
        <f t="shared" si="1782"/>
        <v>-191.51</v>
      </c>
      <c r="O211" s="23">
        <f t="shared" si="1782"/>
        <v>-105.27999999999997</v>
      </c>
      <c r="P211" s="23">
        <f t="shared" si="1782"/>
        <v>-65.470000000000027</v>
      </c>
      <c r="Q211" s="23">
        <f t="shared" si="1782"/>
        <v>-130.93999999999983</v>
      </c>
      <c r="R211" s="23">
        <f t="shared" si="1782"/>
        <v>-113.68000000000006</v>
      </c>
      <c r="S211" s="23">
        <f t="shared" si="1782"/>
        <v>266.17999999999972</v>
      </c>
      <c r="T211" s="23">
        <f t="shared" si="1782"/>
        <v>84.630000000000223</v>
      </c>
      <c r="U211" s="23">
        <f t="shared" si="1782"/>
        <v>-176.78000000000031</v>
      </c>
      <c r="V211" s="23">
        <f t="shared" si="1782"/>
        <v>-139.01999999999975</v>
      </c>
      <c r="W211" s="23">
        <f t="shared" si="1782"/>
        <v>-179.21000000000026</v>
      </c>
      <c r="X211" s="23">
        <f t="shared" si="1782"/>
        <v>-205.36999999999966</v>
      </c>
      <c r="Y211" s="23">
        <f t="shared" si="1782"/>
        <v>-231.66999999999996</v>
      </c>
      <c r="Z211" s="23">
        <f t="shared" si="1782"/>
        <v>-300.09000000000015</v>
      </c>
      <c r="AA211" s="24">
        <f t="shared" si="1782"/>
        <v>132.54548115905538</v>
      </c>
      <c r="AB211" s="24">
        <f t="shared" si="1782"/>
        <v>-159.76912771620175</v>
      </c>
      <c r="AC211" s="24">
        <f t="shared" si="1782"/>
        <v>-159.80735022697843</v>
      </c>
      <c r="AD211" s="24">
        <f t="shared" si="1782"/>
        <v>-159.83924473551053</v>
      </c>
      <c r="AH211" s="23">
        <f t="shared" ref="AH211:BM211" si="1783">AG146-AH40-AH146</f>
        <v>-23.13</v>
      </c>
      <c r="AI211" s="23">
        <f t="shared" si="1783"/>
        <v>0</v>
      </c>
      <c r="AJ211" s="23">
        <f t="shared" si="1783"/>
        <v>-1399.42</v>
      </c>
      <c r="AK211" s="23">
        <f t="shared" si="1783"/>
        <v>0</v>
      </c>
      <c r="AL211" s="23">
        <f t="shared" si="1783"/>
        <v>-107.00000000000023</v>
      </c>
      <c r="AM211" s="23">
        <f t="shared" si="1783"/>
        <v>0</v>
      </c>
      <c r="AN211" s="23">
        <f t="shared" si="1783"/>
        <v>-84.509999999999991</v>
      </c>
      <c r="AO211" s="23">
        <f t="shared" si="1783"/>
        <v>0</v>
      </c>
      <c r="AP211" s="23">
        <f t="shared" si="1783"/>
        <v>-49.1099999999999</v>
      </c>
      <c r="AQ211" s="23">
        <f t="shared" si="1783"/>
        <v>0</v>
      </c>
      <c r="AR211" s="23">
        <f t="shared" si="1783"/>
        <v>-56.170000000000073</v>
      </c>
      <c r="AS211" s="23">
        <f t="shared" si="1783"/>
        <v>0</v>
      </c>
      <c r="AT211" s="23">
        <f t="shared" si="1783"/>
        <v>-13.079999999999927</v>
      </c>
      <c r="AU211" s="23">
        <f t="shared" si="1783"/>
        <v>0</v>
      </c>
      <c r="AV211" s="23">
        <f t="shared" si="1783"/>
        <v>-57.940000000000282</v>
      </c>
      <c r="AW211" s="23">
        <f t="shared" si="1783"/>
        <v>0</v>
      </c>
      <c r="AX211" s="23">
        <f t="shared" si="1783"/>
        <v>-48.009999999999991</v>
      </c>
      <c r="AY211" s="23">
        <f t="shared" si="1783"/>
        <v>0</v>
      </c>
      <c r="AZ211" s="23">
        <f t="shared" si="1783"/>
        <v>-82.919999999999845</v>
      </c>
      <c r="BA211" s="23">
        <f t="shared" si="1783"/>
        <v>0</v>
      </c>
      <c r="BB211" s="23">
        <f t="shared" si="1783"/>
        <v>-56.039999999999964</v>
      </c>
      <c r="BC211" s="23">
        <f t="shared" si="1783"/>
        <v>0</v>
      </c>
      <c r="BD211" s="23">
        <f t="shared" si="1783"/>
        <v>-98.889999999999873</v>
      </c>
      <c r="BE211" s="23">
        <f t="shared" si="1783"/>
        <v>0</v>
      </c>
      <c r="BF211" s="23">
        <f t="shared" si="1783"/>
        <v>-84.729999999999791</v>
      </c>
      <c r="BG211" s="23">
        <f t="shared" si="1783"/>
        <v>0</v>
      </c>
      <c r="BH211" s="23">
        <f t="shared" si="1783"/>
        <v>350.90999999999985</v>
      </c>
      <c r="BI211" s="23">
        <f t="shared" si="1783"/>
        <v>0</v>
      </c>
      <c r="BJ211" s="23">
        <f t="shared" si="1783"/>
        <v>99.790000000000077</v>
      </c>
      <c r="BK211" s="23">
        <f t="shared" si="1783"/>
        <v>0</v>
      </c>
      <c r="BL211" s="23">
        <f t="shared" si="1783"/>
        <v>-15.159999999999968</v>
      </c>
      <c r="BM211" s="23">
        <f t="shared" si="1783"/>
        <v>0</v>
      </c>
      <c r="BN211" s="23">
        <f t="shared" ref="BN211:CS211" si="1784">BM146-BN40-BN146</f>
        <v>-55.360000000000014</v>
      </c>
      <c r="BO211" s="23">
        <f t="shared" si="1784"/>
        <v>0</v>
      </c>
      <c r="BP211" s="23">
        <f t="shared" si="1784"/>
        <v>-33.129999999999995</v>
      </c>
      <c r="BQ211" s="23">
        <f t="shared" si="1784"/>
        <v>0</v>
      </c>
      <c r="BR211" s="23">
        <f t="shared" si="1784"/>
        <v>-93.839999999999918</v>
      </c>
      <c r="BS211" s="23">
        <f t="shared" si="1784"/>
        <v>0</v>
      </c>
      <c r="BT211" s="23">
        <f t="shared" si="1784"/>
        <v>-76.400000000000091</v>
      </c>
      <c r="BU211" s="23">
        <f t="shared" si="1784"/>
        <v>0</v>
      </c>
      <c r="BV211" s="23">
        <f t="shared" si="1784"/>
        <v>12.039999999999964</v>
      </c>
      <c r="BW211" s="23">
        <f t="shared" si="1784"/>
        <v>0</v>
      </c>
      <c r="BX211" s="23">
        <f t="shared" si="1784"/>
        <v>-196.35000000000002</v>
      </c>
      <c r="BY211" s="23">
        <f t="shared" si="1784"/>
        <v>0</v>
      </c>
      <c r="BZ211" s="23">
        <f t="shared" si="1784"/>
        <v>-83.850000000000023</v>
      </c>
      <c r="CA211" s="23">
        <f t="shared" si="1784"/>
        <v>0</v>
      </c>
      <c r="CB211" s="23">
        <f t="shared" si="1784"/>
        <v>-106.69999999999993</v>
      </c>
      <c r="CC211" s="23">
        <f t="shared" si="1784"/>
        <v>0</v>
      </c>
      <c r="CD211" s="23">
        <f t="shared" si="1784"/>
        <v>-79.939999999999941</v>
      </c>
      <c r="CE211" s="23">
        <f t="shared" si="1784"/>
        <v>0</v>
      </c>
      <c r="CF211" s="23">
        <f t="shared" si="1784"/>
        <v>-148.74</v>
      </c>
      <c r="CG211" s="23">
        <f t="shared" si="1784"/>
        <v>0</v>
      </c>
      <c r="CH211" s="23">
        <f t="shared" si="1784"/>
        <v>-104.95000000000005</v>
      </c>
      <c r="CI211" s="23">
        <f t="shared" si="1784"/>
        <v>0</v>
      </c>
      <c r="CJ211" s="23">
        <f t="shared" si="1784"/>
        <v>0</v>
      </c>
      <c r="CK211" s="23">
        <f t="shared" si="1784"/>
        <v>0</v>
      </c>
      <c r="CL211" s="24">
        <f t="shared" si="1784"/>
        <v>-40</v>
      </c>
      <c r="CM211" s="24">
        <f t="shared" si="1784"/>
        <v>-40</v>
      </c>
      <c r="CN211" s="24">
        <f t="shared" si="1784"/>
        <v>-40</v>
      </c>
      <c r="CO211" s="24">
        <f t="shared" si="1784"/>
        <v>-40</v>
      </c>
      <c r="CP211" s="24">
        <f t="shared" si="1784"/>
        <v>-40.000000000000114</v>
      </c>
      <c r="CQ211" s="24">
        <f t="shared" si="1784"/>
        <v>-40</v>
      </c>
      <c r="CR211" s="24">
        <f t="shared" si="1784"/>
        <v>-40.000000000000114</v>
      </c>
      <c r="CS211" s="24">
        <f t="shared" si="1784"/>
        <v>-39.999999999999886</v>
      </c>
      <c r="CT211" s="24">
        <f t="shared" ref="CT211:CZ211" si="1785">CS146-CT40-CT146</f>
        <v>-40.000000000000114</v>
      </c>
      <c r="CU211" s="24">
        <f t="shared" si="1785"/>
        <v>-40</v>
      </c>
      <c r="CV211" s="24">
        <f t="shared" si="1785"/>
        <v>-40</v>
      </c>
      <c r="CW211" s="24">
        <f t="shared" si="1785"/>
        <v>-40</v>
      </c>
      <c r="CX211" s="24">
        <f t="shared" si="1785"/>
        <v>-40</v>
      </c>
      <c r="CY211" s="24">
        <f t="shared" si="1785"/>
        <v>-40</v>
      </c>
      <c r="CZ211" s="24">
        <f t="shared" si="1785"/>
        <v>-40</v>
      </c>
      <c r="DB211" s="123"/>
      <c r="DC211" s="23">
        <v>0</v>
      </c>
    </row>
    <row r="212" spans="1:107" s="23" customFormat="1" x14ac:dyDescent="0.2">
      <c r="AA212" s="24"/>
      <c r="AB212" s="24"/>
      <c r="AC212" s="24"/>
      <c r="AD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B212" s="123"/>
    </row>
    <row r="213" spans="1:107" s="22" customFormat="1" x14ac:dyDescent="0.2">
      <c r="A213" s="22" t="s">
        <v>95</v>
      </c>
      <c r="C213" s="22">
        <f t="shared" ref="C213:W213" si="1786">C214+C215</f>
        <v>-31.176599999999905</v>
      </c>
      <c r="D213" s="22">
        <f t="shared" si="1786"/>
        <v>-34.47760000000001</v>
      </c>
      <c r="E213" s="22">
        <f t="shared" si="1786"/>
        <v>-42.421799999999834</v>
      </c>
      <c r="F213" s="22">
        <f t="shared" si="1786"/>
        <v>-37.97729999999995</v>
      </c>
      <c r="G213" s="22">
        <f t="shared" si="1786"/>
        <v>-49.773299999999793</v>
      </c>
      <c r="H213" s="22">
        <f t="shared" si="1786"/>
        <v>-62.146200000000498</v>
      </c>
      <c r="I213" s="22">
        <f t="shared" si="1786"/>
        <v>-55.349899999999607</v>
      </c>
      <c r="J213" s="22">
        <f t="shared" si="1786"/>
        <v>-49.879299999999674</v>
      </c>
      <c r="K213" s="22">
        <f t="shared" si="1786"/>
        <v>-63.259900000000926</v>
      </c>
      <c r="L213" s="22">
        <f t="shared" si="1786"/>
        <v>-71.983600000000024</v>
      </c>
      <c r="M213" s="22">
        <f t="shared" si="1786"/>
        <v>251.95000000000044</v>
      </c>
      <c r="N213" s="22">
        <f t="shared" si="1786"/>
        <v>189.04000000000013</v>
      </c>
      <c r="O213" s="22">
        <f t="shared" si="1786"/>
        <v>-343.13000000000062</v>
      </c>
      <c r="P213" s="22">
        <f t="shared" si="1786"/>
        <v>125.6199999999987</v>
      </c>
      <c r="Q213" s="22">
        <f t="shared" si="1786"/>
        <v>-96.280000000001564</v>
      </c>
      <c r="R213" s="22">
        <f t="shared" si="1786"/>
        <v>-91.449999999999704</v>
      </c>
      <c r="S213" s="22">
        <f t="shared" si="1786"/>
        <v>-711.89000000000055</v>
      </c>
      <c r="T213" s="22">
        <f t="shared" si="1786"/>
        <v>-783.99000000000012</v>
      </c>
      <c r="U213" s="22">
        <f t="shared" si="1786"/>
        <v>-146.49000000000026</v>
      </c>
      <c r="V213" s="22">
        <f t="shared" si="1786"/>
        <v>-80.900000000000091</v>
      </c>
      <c r="W213" s="22">
        <f t="shared" si="1786"/>
        <v>-122.01000000000113</v>
      </c>
      <c r="X213" s="22">
        <f t="shared" ref="X213:Y213" si="1787">X214+X215</f>
        <v>-236.86000000000058</v>
      </c>
      <c r="Y213" s="22">
        <f t="shared" si="1787"/>
        <v>-740.84000000000106</v>
      </c>
      <c r="Z213" s="22">
        <f t="shared" ref="Z213" si="1788">Z214+Z215</f>
        <v>-907.66999999999916</v>
      </c>
      <c r="AA213" s="21">
        <f t="shared" ref="AA213:AD213" si="1789">AA214+AA215</f>
        <v>-1207.3531579222436</v>
      </c>
      <c r="AB213" s="21">
        <f t="shared" si="1789"/>
        <v>-325.4467814556574</v>
      </c>
      <c r="AC213" s="21">
        <f t="shared" si="1789"/>
        <v>-155.94771198432318</v>
      </c>
      <c r="AD213" s="21">
        <f t="shared" si="1789"/>
        <v>-359.68906875090215</v>
      </c>
      <c r="AH213" s="22">
        <f t="shared" ref="AH213" si="1790">AH214+AH215</f>
        <v>-51.630000000000123</v>
      </c>
      <c r="AI213" s="22">
        <f t="shared" ref="AI213:AK213" si="1791">AI214+AI215</f>
        <v>0</v>
      </c>
      <c r="AJ213" s="22">
        <f t="shared" si="1791"/>
        <v>2891.18</v>
      </c>
      <c r="AK213" s="22">
        <f t="shared" si="1791"/>
        <v>0</v>
      </c>
      <c r="AL213" s="22">
        <f t="shared" ref="AL213" si="1792">AL214+AL215</f>
        <v>433.88999999999982</v>
      </c>
      <c r="AM213" s="22">
        <f t="shared" ref="AM213:CC213" si="1793">AM214+AM215</f>
        <v>0</v>
      </c>
      <c r="AN213" s="22">
        <f t="shared" si="1793"/>
        <v>-244.85000000000059</v>
      </c>
      <c r="AO213" s="22">
        <f t="shared" si="1793"/>
        <v>0</v>
      </c>
      <c r="AP213" s="22">
        <f t="shared" si="1793"/>
        <v>187.89000000000044</v>
      </c>
      <c r="AQ213" s="22">
        <f t="shared" si="1793"/>
        <v>0</v>
      </c>
      <c r="AR213" s="22">
        <f t="shared" si="1793"/>
        <v>-531.02000000000021</v>
      </c>
      <c r="AS213" s="22">
        <f t="shared" si="1793"/>
        <v>0</v>
      </c>
      <c r="AT213" s="22">
        <f t="shared" si="1793"/>
        <v>291.32</v>
      </c>
      <c r="AU213" s="22">
        <f t="shared" si="1793"/>
        <v>0</v>
      </c>
      <c r="AV213" s="22">
        <f t="shared" si="1793"/>
        <v>-165.69999999999993</v>
      </c>
      <c r="AW213" s="22">
        <f t="shared" si="1793"/>
        <v>0</v>
      </c>
      <c r="AX213" s="22">
        <f t="shared" si="1793"/>
        <v>22.450000000000387</v>
      </c>
      <c r="AY213" s="22">
        <f t="shared" si="1793"/>
        <v>0</v>
      </c>
      <c r="AZ213" s="22">
        <f t="shared" si="1793"/>
        <v>-122.64999999999975</v>
      </c>
      <c r="BA213" s="22">
        <f t="shared" si="1793"/>
        <v>0</v>
      </c>
      <c r="BB213" s="22">
        <f t="shared" si="1793"/>
        <v>-94.4699999999998</v>
      </c>
      <c r="BC213" s="22">
        <f t="shared" si="1793"/>
        <v>0</v>
      </c>
      <c r="BD213" s="22">
        <f t="shared" si="1793"/>
        <v>-597.26999999999941</v>
      </c>
      <c r="BE213" s="22">
        <f t="shared" si="1793"/>
        <v>0</v>
      </c>
      <c r="BF213" s="22">
        <f t="shared" si="1793"/>
        <v>-101.59000000000009</v>
      </c>
      <c r="BG213" s="22">
        <f t="shared" si="1793"/>
        <v>0</v>
      </c>
      <c r="BH213" s="22">
        <f t="shared" si="1793"/>
        <v>-10.9800000000004</v>
      </c>
      <c r="BI213" s="22">
        <f t="shared" si="1793"/>
        <v>0</v>
      </c>
      <c r="BJ213" s="22">
        <f t="shared" si="1793"/>
        <v>-108.01999999999998</v>
      </c>
      <c r="BK213" s="22">
        <f t="shared" si="1793"/>
        <v>0</v>
      </c>
      <c r="BL213" s="22">
        <f t="shared" si="1793"/>
        <v>-794.68999999999983</v>
      </c>
      <c r="BM213" s="22">
        <f t="shared" si="1793"/>
        <v>0</v>
      </c>
      <c r="BN213" s="22">
        <f t="shared" si="1793"/>
        <v>-23.670000000000126</v>
      </c>
      <c r="BO213" s="22">
        <f t="shared" si="1793"/>
        <v>0</v>
      </c>
      <c r="BP213" s="22">
        <f t="shared" si="1793"/>
        <v>-116.33999999999969</v>
      </c>
      <c r="BQ213" s="22">
        <f t="shared" si="1793"/>
        <v>0</v>
      </c>
      <c r="BR213" s="22">
        <f t="shared" si="1793"/>
        <v>-91.600000000000364</v>
      </c>
      <c r="BS213" s="22">
        <f t="shared" si="1793"/>
        <v>0</v>
      </c>
      <c r="BT213" s="22">
        <f t="shared" si="1793"/>
        <v>10.700000000000273</v>
      </c>
      <c r="BU213" s="22">
        <f t="shared" si="1793"/>
        <v>-4.5474735088646412E-13</v>
      </c>
      <c r="BV213" s="22">
        <f t="shared" si="1793"/>
        <v>-98.929999999999382</v>
      </c>
      <c r="BW213" s="22">
        <f t="shared" si="1793"/>
        <v>0</v>
      </c>
      <c r="BX213" s="22">
        <f t="shared" si="1793"/>
        <v>264.9399999999996</v>
      </c>
      <c r="BY213" s="22">
        <f t="shared" si="1793"/>
        <v>0</v>
      </c>
      <c r="BZ213" s="22">
        <f t="shared" si="1793"/>
        <v>-111.42999999999938</v>
      </c>
      <c r="CA213" s="22">
        <f t="shared" si="1793"/>
        <v>0</v>
      </c>
      <c r="CB213" s="22">
        <f t="shared" si="1793"/>
        <v>-125.42999999999938</v>
      </c>
      <c r="CC213" s="22">
        <f t="shared" si="1793"/>
        <v>0</v>
      </c>
      <c r="CD213" s="22">
        <f t="shared" ref="CD213:CE213" si="1794">CD214+CD215</f>
        <v>-505.80000000000018</v>
      </c>
      <c r="CE213" s="22">
        <f t="shared" si="1794"/>
        <v>0</v>
      </c>
      <c r="CF213" s="22">
        <f t="shared" ref="CF213:CG213" si="1795">CF214+CF215</f>
        <v>-235.03999999999996</v>
      </c>
      <c r="CG213" s="22">
        <f t="shared" si="1795"/>
        <v>0</v>
      </c>
      <c r="CH213" s="22">
        <f t="shared" ref="CH213:CI213" si="1796">CH214+CH215</f>
        <v>-707.44000000000051</v>
      </c>
      <c r="CI213" s="22">
        <f t="shared" si="1796"/>
        <v>0</v>
      </c>
      <c r="CJ213" s="22">
        <f t="shared" ref="CJ213:CZ213" si="1797">CJ214+CJ215</f>
        <v>0</v>
      </c>
      <c r="CK213" s="22">
        <f t="shared" si="1797"/>
        <v>-9.0949470177292824E-13</v>
      </c>
      <c r="CL213" s="21">
        <f t="shared" si="1797"/>
        <v>0</v>
      </c>
      <c r="CM213" s="21">
        <f t="shared" si="1797"/>
        <v>0</v>
      </c>
      <c r="CN213" s="21">
        <f t="shared" si="1797"/>
        <v>0</v>
      </c>
      <c r="CO213" s="21">
        <f t="shared" si="1797"/>
        <v>0</v>
      </c>
      <c r="CP213" s="21">
        <f t="shared" si="1797"/>
        <v>-1.8189894035458565E-12</v>
      </c>
      <c r="CQ213" s="21">
        <f t="shared" si="1797"/>
        <v>0</v>
      </c>
      <c r="CR213" s="21">
        <f t="shared" si="1797"/>
        <v>0</v>
      </c>
      <c r="CS213" s="21">
        <f t="shared" si="1797"/>
        <v>0</v>
      </c>
      <c r="CT213" s="21">
        <f t="shared" si="1797"/>
        <v>0</v>
      </c>
      <c r="CU213" s="21">
        <f t="shared" si="1797"/>
        <v>0</v>
      </c>
      <c r="CV213" s="21">
        <f t="shared" si="1797"/>
        <v>0</v>
      </c>
      <c r="CW213" s="21">
        <f t="shared" si="1797"/>
        <v>1.8189894035458565E-12</v>
      </c>
      <c r="CX213" s="21">
        <f t="shared" si="1797"/>
        <v>0</v>
      </c>
      <c r="CY213" s="21">
        <f t="shared" si="1797"/>
        <v>0</v>
      </c>
      <c r="CZ213" s="21">
        <f t="shared" si="1797"/>
        <v>0</v>
      </c>
      <c r="DB213" s="126"/>
      <c r="DC213" s="22">
        <v>0</v>
      </c>
    </row>
    <row r="214" spans="1:107" s="23" customFormat="1" x14ac:dyDescent="0.2">
      <c r="A214" s="23" t="s">
        <v>49</v>
      </c>
      <c r="C214" s="23">
        <f t="shared" ref="C214:AA214" si="1798">C136-B136</f>
        <v>1.5731000000000002</v>
      </c>
      <c r="D214" s="23">
        <f t="shared" si="1798"/>
        <v>-2.2656999999999989</v>
      </c>
      <c r="E214" s="23">
        <f>E136-D136</f>
        <v>-8.6109000000000009</v>
      </c>
      <c r="F214" s="23">
        <f t="shared" si="1798"/>
        <v>1.2335</v>
      </c>
      <c r="G214" s="23">
        <f t="shared" si="1798"/>
        <v>-1.181</v>
      </c>
      <c r="H214" s="23">
        <f t="shared" si="1798"/>
        <v>-0.97970000000000013</v>
      </c>
      <c r="I214" s="23">
        <f t="shared" si="1798"/>
        <v>-0.54579999999999995</v>
      </c>
      <c r="J214" s="23">
        <f>J136-I136</f>
        <v>-2.0199999999999999E-2</v>
      </c>
      <c r="K214" s="23">
        <f>K136-J136</f>
        <v>0</v>
      </c>
      <c r="L214" s="23">
        <f t="shared" si="1798"/>
        <v>0</v>
      </c>
      <c r="M214" s="23">
        <f t="shared" si="1798"/>
        <v>327.68</v>
      </c>
      <c r="N214" s="23">
        <f t="shared" si="1798"/>
        <v>292.43</v>
      </c>
      <c r="O214" s="23">
        <f t="shared" si="1798"/>
        <v>-249.04000000000002</v>
      </c>
      <c r="P214" s="23">
        <f t="shared" si="1798"/>
        <v>228.93</v>
      </c>
      <c r="Q214" s="23">
        <f t="shared" si="1798"/>
        <v>3.999999999996362E-2</v>
      </c>
      <c r="R214" s="23">
        <f t="shared" si="1798"/>
        <v>8.3100000000000591</v>
      </c>
      <c r="S214" s="23">
        <f t="shared" si="1798"/>
        <v>-601.43000000000006</v>
      </c>
      <c r="T214" s="23">
        <f t="shared" si="1798"/>
        <v>6.6199999999999992</v>
      </c>
      <c r="U214" s="23">
        <f t="shared" si="1798"/>
        <v>-13.54</v>
      </c>
      <c r="V214" s="23">
        <f t="shared" si="1798"/>
        <v>0</v>
      </c>
      <c r="W214" s="23">
        <f t="shared" si="1798"/>
        <v>0</v>
      </c>
      <c r="X214" s="23">
        <f t="shared" si="1798"/>
        <v>0</v>
      </c>
      <c r="Y214" s="23">
        <f t="shared" si="1798"/>
        <v>0</v>
      </c>
      <c r="Z214" s="23">
        <f t="shared" si="1798"/>
        <v>0</v>
      </c>
      <c r="AA214" s="24">
        <f t="shared" si="1798"/>
        <v>0</v>
      </c>
      <c r="AB214" s="24">
        <f t="shared" ref="AB214" si="1799">AB136-AA136</f>
        <v>0</v>
      </c>
      <c r="AC214" s="24">
        <f t="shared" ref="AC214" si="1800">AC136-AB136</f>
        <v>0</v>
      </c>
      <c r="AD214" s="24">
        <f t="shared" ref="AD214" si="1801">AD136-AC136</f>
        <v>0</v>
      </c>
      <c r="AH214" s="23">
        <f t="shared" ref="AH214" si="1802">AH136-AG136</f>
        <v>0</v>
      </c>
      <c r="AI214" s="23">
        <f t="shared" ref="AI214" si="1803">AI136-AH136</f>
        <v>0</v>
      </c>
      <c r="AJ214" s="23">
        <f t="shared" ref="AJ214" si="1804">AJ136-AI136</f>
        <v>327.68</v>
      </c>
      <c r="AK214" s="23">
        <f t="shared" ref="AK214" si="1805">AK136-AJ136</f>
        <v>0</v>
      </c>
      <c r="AL214" s="23">
        <f t="shared" ref="AL214" si="1806">AL136-AK136</f>
        <v>460.47999999999996</v>
      </c>
      <c r="AM214" s="23">
        <f t="shared" ref="AM214" si="1807">AM136-AL136</f>
        <v>0</v>
      </c>
      <c r="AN214" s="23">
        <f t="shared" ref="AN214" si="1808">AN136-AM136</f>
        <v>-168.04999999999995</v>
      </c>
      <c r="AO214" s="23">
        <f t="shared" ref="AO214" si="1809">AO136-AN136</f>
        <v>0</v>
      </c>
      <c r="AP214" s="23">
        <f t="shared" ref="AP214" si="1810">AP136-AO136</f>
        <v>187.89</v>
      </c>
      <c r="AQ214" s="23">
        <f t="shared" ref="AQ214" si="1811">AQ136-AP136</f>
        <v>0</v>
      </c>
      <c r="AR214" s="23">
        <f t="shared" ref="AR214" si="1812">AR136-AQ136</f>
        <v>-436.93</v>
      </c>
      <c r="AS214" s="23">
        <f t="shared" ref="AS214" si="1813">AS136-AR136</f>
        <v>0</v>
      </c>
      <c r="AT214" s="23">
        <f t="shared" ref="AT214" si="1814">AT136-AS136</f>
        <v>300.26000000000005</v>
      </c>
      <c r="AU214" s="23">
        <f t="shared" ref="AU214" si="1815">AU136-AT136</f>
        <v>0</v>
      </c>
      <c r="AV214" s="23">
        <f t="shared" ref="AV214" si="1816">AV136-AU136</f>
        <v>-71.330000000000041</v>
      </c>
      <c r="AW214" s="23">
        <f t="shared" ref="AW214" si="1817">AW136-AV136</f>
        <v>0</v>
      </c>
      <c r="AX214" s="23">
        <f t="shared" ref="AX214" si="1818">AX136-AW136</f>
        <v>15.139999999999986</v>
      </c>
      <c r="AY214" s="23">
        <f t="shared" ref="AY214" si="1819">AY136-AX136</f>
        <v>0</v>
      </c>
      <c r="AZ214" s="23">
        <f t="shared" ref="AZ214" si="1820">AZ136-AY136</f>
        <v>-15.100000000000023</v>
      </c>
      <c r="BA214" s="23">
        <f t="shared" ref="BA214" si="1821">BA136-AZ136</f>
        <v>0</v>
      </c>
      <c r="BB214" s="23">
        <f t="shared" ref="BB214" si="1822">BB136-BA136</f>
        <v>-3.999999999996362E-2</v>
      </c>
      <c r="BC214" s="23">
        <f t="shared" ref="BC214" si="1823">BC136-BB136</f>
        <v>0</v>
      </c>
      <c r="BD214" s="23">
        <f t="shared" ref="BD214" si="1824">BD136-BC136</f>
        <v>-595.86</v>
      </c>
      <c r="BE214" s="23">
        <f t="shared" ref="BE214" si="1825">BE136-BD136</f>
        <v>0</v>
      </c>
      <c r="BF214" s="23">
        <f t="shared" ref="BF214" si="1826">BF136-BE136</f>
        <v>-0.1899999999999995</v>
      </c>
      <c r="BG214" s="23">
        <f t="shared" ref="BG214" si="1827">BG136-BF136</f>
        <v>0</v>
      </c>
      <c r="BH214" s="23">
        <f t="shared" ref="BH214" si="1828">BH136-BG136</f>
        <v>-1.9200000000000004</v>
      </c>
      <c r="BI214" s="23">
        <f t="shared" ref="BI214" si="1829">BI136-BH136</f>
        <v>0</v>
      </c>
      <c r="BJ214" s="23">
        <f t="shared" ref="BJ214" si="1830">BJ136-BI136</f>
        <v>0</v>
      </c>
      <c r="BK214" s="23">
        <f t="shared" ref="BK214" si="1831">BK136-BJ136</f>
        <v>0</v>
      </c>
      <c r="BL214" s="23">
        <f t="shared" ref="BL214" si="1832">BL136-BK136</f>
        <v>5.0299999999999994</v>
      </c>
      <c r="BM214" s="23">
        <f t="shared" ref="BM214" si="1833">BM136-BL136</f>
        <v>0</v>
      </c>
      <c r="BN214" s="23">
        <f t="shared" ref="BN214" si="1834">BN136-BM136</f>
        <v>-7.06</v>
      </c>
      <c r="BO214" s="23">
        <f t="shared" ref="BO214" si="1835">BO136-BN136</f>
        <v>0</v>
      </c>
      <c r="BP214" s="23">
        <f t="shared" ref="BP214" si="1836">BP136-BO136</f>
        <v>0</v>
      </c>
      <c r="BQ214" s="23">
        <f t="shared" ref="BQ214" si="1837">BQ136-BP136</f>
        <v>0</v>
      </c>
      <c r="BR214" s="23">
        <f t="shared" ref="BR214" si="1838">BR136-BQ136</f>
        <v>0</v>
      </c>
      <c r="BS214" s="23">
        <f t="shared" ref="BS214" si="1839">BS136-BR136</f>
        <v>0</v>
      </c>
      <c r="BT214" s="23">
        <f t="shared" ref="BT214" si="1840">BT136-BS136</f>
        <v>0</v>
      </c>
      <c r="BU214" s="23">
        <f t="shared" ref="BU214" si="1841">BU136-BT136</f>
        <v>0</v>
      </c>
      <c r="BV214" s="23">
        <f t="shared" ref="BV214" si="1842">BV136-BU136</f>
        <v>0</v>
      </c>
      <c r="BW214" s="23">
        <f t="shared" ref="BW214" si="1843">BW136-BV136</f>
        <v>0</v>
      </c>
      <c r="BX214" s="23">
        <f t="shared" ref="BX214" si="1844">BX136-BW136</f>
        <v>0</v>
      </c>
      <c r="BY214" s="23">
        <f t="shared" ref="BY214" si="1845">BY136-BX136</f>
        <v>0</v>
      </c>
      <c r="BZ214" s="23">
        <f t="shared" ref="BZ214" si="1846">BZ136-BY136</f>
        <v>0</v>
      </c>
      <c r="CA214" s="23">
        <f t="shared" ref="CA214" si="1847">CA136-BZ136</f>
        <v>0</v>
      </c>
      <c r="CB214" s="23">
        <f t="shared" ref="CB214" si="1848">CB136-CA136</f>
        <v>0</v>
      </c>
      <c r="CC214" s="23">
        <f t="shared" ref="CC214" si="1849">CC136-CB136</f>
        <v>0</v>
      </c>
      <c r="CD214" s="23">
        <f t="shared" ref="CD214" si="1850">CD136-CC136</f>
        <v>0</v>
      </c>
      <c r="CE214" s="23">
        <f t="shared" ref="CE214" si="1851">CE136-CD136</f>
        <v>0</v>
      </c>
      <c r="CF214" s="23">
        <f t="shared" ref="CF214" si="1852">CF136-CE136</f>
        <v>0</v>
      </c>
      <c r="CG214" s="23">
        <f t="shared" ref="CG214:CK214" si="1853">CG136-CF136</f>
        <v>0</v>
      </c>
      <c r="CH214" s="23">
        <f t="shared" si="1853"/>
        <v>0</v>
      </c>
      <c r="CI214" s="23">
        <f t="shared" si="1853"/>
        <v>0</v>
      </c>
      <c r="CJ214" s="23">
        <f t="shared" ref="CJ214" si="1854">CJ136-CI136</f>
        <v>0</v>
      </c>
      <c r="CK214" s="23">
        <f t="shared" si="1853"/>
        <v>0</v>
      </c>
      <c r="CL214" s="24">
        <f t="shared" ref="CL214" si="1855">CL136-CK136</f>
        <v>0</v>
      </c>
      <c r="CM214" s="24">
        <f t="shared" ref="CM214" si="1856">CM136-CL136</f>
        <v>0</v>
      </c>
      <c r="CN214" s="24">
        <f t="shared" ref="CN214" si="1857">CN136-CM136</f>
        <v>0</v>
      </c>
      <c r="CO214" s="24">
        <f t="shared" ref="CO214" si="1858">CO136-CN136</f>
        <v>0</v>
      </c>
      <c r="CP214" s="24">
        <f t="shared" ref="CP214" si="1859">CP136-CO136</f>
        <v>0</v>
      </c>
      <c r="CQ214" s="24">
        <f t="shared" ref="CQ214" si="1860">CQ136-CP136</f>
        <v>0</v>
      </c>
      <c r="CR214" s="24">
        <f t="shared" ref="CR214" si="1861">CR136-CQ136</f>
        <v>0</v>
      </c>
      <c r="CS214" s="24">
        <f t="shared" ref="CS214" si="1862">CS136-CR136</f>
        <v>0</v>
      </c>
      <c r="CT214" s="24">
        <f t="shared" ref="CT214" si="1863">CT136-CS136</f>
        <v>0</v>
      </c>
      <c r="CU214" s="24">
        <f t="shared" ref="CU214" si="1864">CU136-CT136</f>
        <v>0</v>
      </c>
      <c r="CV214" s="24">
        <f t="shared" ref="CV214" si="1865">CV136-CU136</f>
        <v>0</v>
      </c>
      <c r="CW214" s="24">
        <f t="shared" ref="CW214" si="1866">CW136-CV136</f>
        <v>0</v>
      </c>
      <c r="CX214" s="24">
        <f t="shared" ref="CX214" si="1867">CX136-CW136</f>
        <v>0</v>
      </c>
      <c r="CY214" s="24">
        <f t="shared" ref="CY214" si="1868">CY136-CX136</f>
        <v>0</v>
      </c>
      <c r="CZ214" s="24">
        <f t="shared" ref="CZ214" si="1869">CZ136-CY136</f>
        <v>0</v>
      </c>
      <c r="DB214" s="123"/>
      <c r="DC214" s="23">
        <v>0</v>
      </c>
    </row>
    <row r="215" spans="1:107" s="23" customFormat="1" x14ac:dyDescent="0.2">
      <c r="A215" s="23" t="s">
        <v>27</v>
      </c>
      <c r="C215" s="23">
        <f t="shared" ref="C215:AD215" si="1870">C128-C56-B128+C130-B130</f>
        <v>-32.749699999999905</v>
      </c>
      <c r="D215" s="23">
        <f t="shared" si="1870"/>
        <v>-32.211900000000014</v>
      </c>
      <c r="E215" s="23">
        <f t="shared" si="1870"/>
        <v>-33.810899999999833</v>
      </c>
      <c r="F215" s="23">
        <f t="shared" si="1870"/>
        <v>-39.210799999999949</v>
      </c>
      <c r="G215" s="23">
        <f t="shared" si="1870"/>
        <v>-48.592299999999796</v>
      </c>
      <c r="H215" s="23">
        <f t="shared" si="1870"/>
        <v>-61.166500000000497</v>
      </c>
      <c r="I215" s="23">
        <f t="shared" si="1870"/>
        <v>-54.804099999999607</v>
      </c>
      <c r="J215" s="23">
        <f t="shared" si="1870"/>
        <v>-49.859099999999671</v>
      </c>
      <c r="K215" s="23">
        <f t="shared" si="1870"/>
        <v>-63.259900000000926</v>
      </c>
      <c r="L215" s="23">
        <f t="shared" si="1870"/>
        <v>-71.983600000000024</v>
      </c>
      <c r="M215" s="23">
        <f t="shared" si="1870"/>
        <v>-75.729999999999563</v>
      </c>
      <c r="N215" s="23">
        <f t="shared" si="1870"/>
        <v>-103.38999999999987</v>
      </c>
      <c r="O215" s="23">
        <f t="shared" si="1870"/>
        <v>-94.0900000000006</v>
      </c>
      <c r="P215" s="23">
        <f t="shared" si="1870"/>
        <v>-103.31000000000131</v>
      </c>
      <c r="Q215" s="23">
        <f t="shared" si="1870"/>
        <v>-96.320000000001528</v>
      </c>
      <c r="R215" s="23">
        <f t="shared" si="1870"/>
        <v>-99.759999999999764</v>
      </c>
      <c r="S215" s="23">
        <f t="shared" si="1870"/>
        <v>-110.46000000000049</v>
      </c>
      <c r="T215" s="23">
        <f t="shared" si="1870"/>
        <v>-790.61000000000013</v>
      </c>
      <c r="U215" s="23">
        <f t="shared" si="1870"/>
        <v>-132.95000000000027</v>
      </c>
      <c r="V215" s="23">
        <f t="shared" si="1870"/>
        <v>-80.900000000000091</v>
      </c>
      <c r="W215" s="23">
        <f t="shared" si="1870"/>
        <v>-122.01000000000113</v>
      </c>
      <c r="X215" s="23">
        <f t="shared" si="1870"/>
        <v>-236.86000000000058</v>
      </c>
      <c r="Y215" s="23">
        <f t="shared" si="1870"/>
        <v>-740.84000000000106</v>
      </c>
      <c r="Z215" s="23">
        <f t="shared" si="1870"/>
        <v>-907.66999999999916</v>
      </c>
      <c r="AA215" s="24">
        <f t="shared" si="1870"/>
        <v>-1207.3531579222436</v>
      </c>
      <c r="AB215" s="24">
        <f t="shared" si="1870"/>
        <v>-325.4467814556574</v>
      </c>
      <c r="AC215" s="24">
        <f t="shared" si="1870"/>
        <v>-155.94771198432318</v>
      </c>
      <c r="AD215" s="24">
        <f t="shared" si="1870"/>
        <v>-359.68906875090215</v>
      </c>
      <c r="AH215" s="23">
        <f t="shared" ref="AH215:BM215" si="1871">AH128-AH56-AG128+AH130-AG130</f>
        <v>-51.630000000000123</v>
      </c>
      <c r="AI215" s="23">
        <f t="shared" si="1871"/>
        <v>0</v>
      </c>
      <c r="AJ215" s="23">
        <f t="shared" si="1871"/>
        <v>2563.5</v>
      </c>
      <c r="AK215" s="23">
        <f t="shared" si="1871"/>
        <v>0</v>
      </c>
      <c r="AL215" s="23">
        <f t="shared" si="1871"/>
        <v>-26.590000000000146</v>
      </c>
      <c r="AM215" s="23">
        <f t="shared" si="1871"/>
        <v>0</v>
      </c>
      <c r="AN215" s="23">
        <f t="shared" si="1871"/>
        <v>-76.800000000000637</v>
      </c>
      <c r="AO215" s="23">
        <f t="shared" si="1871"/>
        <v>0</v>
      </c>
      <c r="AP215" s="23">
        <f t="shared" si="1871"/>
        <v>4.5474735088646412E-13</v>
      </c>
      <c r="AQ215" s="23">
        <f t="shared" si="1871"/>
        <v>0</v>
      </c>
      <c r="AR215" s="23">
        <f t="shared" si="1871"/>
        <v>-94.090000000000146</v>
      </c>
      <c r="AS215" s="23">
        <f t="shared" si="1871"/>
        <v>0</v>
      </c>
      <c r="AT215" s="23">
        <f t="shared" si="1871"/>
        <v>-8.9400000000000546</v>
      </c>
      <c r="AU215" s="23">
        <f t="shared" si="1871"/>
        <v>0</v>
      </c>
      <c r="AV215" s="23">
        <f t="shared" si="1871"/>
        <v>-94.369999999999891</v>
      </c>
      <c r="AW215" s="23">
        <f t="shared" si="1871"/>
        <v>0</v>
      </c>
      <c r="AX215" s="23">
        <f t="shared" si="1871"/>
        <v>7.3100000000004002</v>
      </c>
      <c r="AY215" s="23">
        <f t="shared" si="1871"/>
        <v>0</v>
      </c>
      <c r="AZ215" s="23">
        <f t="shared" si="1871"/>
        <v>-107.54999999999973</v>
      </c>
      <c r="BA215" s="23">
        <f t="shared" si="1871"/>
        <v>0</v>
      </c>
      <c r="BB215" s="23">
        <f t="shared" si="1871"/>
        <v>-94.429999999999836</v>
      </c>
      <c r="BC215" s="23">
        <f t="shared" si="1871"/>
        <v>0</v>
      </c>
      <c r="BD215" s="23">
        <f t="shared" si="1871"/>
        <v>-1.4099999999993997</v>
      </c>
      <c r="BE215" s="23">
        <f t="shared" si="1871"/>
        <v>0</v>
      </c>
      <c r="BF215" s="23">
        <f t="shared" si="1871"/>
        <v>-101.40000000000009</v>
      </c>
      <c r="BG215" s="23">
        <f t="shared" si="1871"/>
        <v>0</v>
      </c>
      <c r="BH215" s="23">
        <f t="shared" si="1871"/>
        <v>-9.0600000000004002</v>
      </c>
      <c r="BI215" s="23">
        <f t="shared" si="1871"/>
        <v>0</v>
      </c>
      <c r="BJ215" s="23">
        <f t="shared" si="1871"/>
        <v>-108.01999999999998</v>
      </c>
      <c r="BK215" s="23">
        <f t="shared" si="1871"/>
        <v>0</v>
      </c>
      <c r="BL215" s="23">
        <f t="shared" si="1871"/>
        <v>-799.7199999999998</v>
      </c>
      <c r="BM215" s="23">
        <f t="shared" si="1871"/>
        <v>0</v>
      </c>
      <c r="BN215" s="23">
        <f t="shared" ref="BN215:CS215" si="1872">BN128-BN56-BM128+BN130-BM130</f>
        <v>-16.610000000000127</v>
      </c>
      <c r="BO215" s="23">
        <f t="shared" si="1872"/>
        <v>0</v>
      </c>
      <c r="BP215" s="23">
        <f t="shared" si="1872"/>
        <v>-116.33999999999969</v>
      </c>
      <c r="BQ215" s="23">
        <f t="shared" si="1872"/>
        <v>0</v>
      </c>
      <c r="BR215" s="23">
        <f t="shared" si="1872"/>
        <v>-91.600000000000364</v>
      </c>
      <c r="BS215" s="23">
        <f t="shared" si="1872"/>
        <v>0</v>
      </c>
      <c r="BT215" s="23">
        <f t="shared" si="1872"/>
        <v>10.700000000000273</v>
      </c>
      <c r="BU215" s="23">
        <f t="shared" si="1872"/>
        <v>-4.5474735088646412E-13</v>
      </c>
      <c r="BV215" s="23">
        <f t="shared" si="1872"/>
        <v>-98.929999999999382</v>
      </c>
      <c r="BW215" s="23">
        <f t="shared" si="1872"/>
        <v>0</v>
      </c>
      <c r="BX215" s="23">
        <f t="shared" si="1872"/>
        <v>264.9399999999996</v>
      </c>
      <c r="BY215" s="23">
        <f t="shared" si="1872"/>
        <v>0</v>
      </c>
      <c r="BZ215" s="23">
        <f t="shared" si="1872"/>
        <v>-111.42999999999938</v>
      </c>
      <c r="CA215" s="23">
        <f t="shared" si="1872"/>
        <v>0</v>
      </c>
      <c r="CB215" s="23">
        <f t="shared" si="1872"/>
        <v>-125.42999999999938</v>
      </c>
      <c r="CC215" s="23">
        <f t="shared" si="1872"/>
        <v>0</v>
      </c>
      <c r="CD215" s="23">
        <f t="shared" si="1872"/>
        <v>-505.80000000000018</v>
      </c>
      <c r="CE215" s="23">
        <f t="shared" si="1872"/>
        <v>0</v>
      </c>
      <c r="CF215" s="23">
        <f t="shared" si="1872"/>
        <v>-235.03999999999996</v>
      </c>
      <c r="CG215" s="23">
        <f t="shared" si="1872"/>
        <v>0</v>
      </c>
      <c r="CH215" s="23">
        <f t="shared" si="1872"/>
        <v>-707.44000000000051</v>
      </c>
      <c r="CI215" s="23">
        <f t="shared" si="1872"/>
        <v>0</v>
      </c>
      <c r="CJ215" s="23">
        <f t="shared" si="1872"/>
        <v>0</v>
      </c>
      <c r="CK215" s="23">
        <f t="shared" si="1872"/>
        <v>-9.0949470177292824E-13</v>
      </c>
      <c r="CL215" s="24">
        <f t="shared" si="1872"/>
        <v>0</v>
      </c>
      <c r="CM215" s="24">
        <f t="shared" si="1872"/>
        <v>0</v>
      </c>
      <c r="CN215" s="24">
        <f t="shared" si="1872"/>
        <v>0</v>
      </c>
      <c r="CO215" s="24">
        <f t="shared" si="1872"/>
        <v>0</v>
      </c>
      <c r="CP215" s="24">
        <f t="shared" si="1872"/>
        <v>-1.8189894035458565E-12</v>
      </c>
      <c r="CQ215" s="24">
        <f t="shared" si="1872"/>
        <v>0</v>
      </c>
      <c r="CR215" s="24">
        <f t="shared" si="1872"/>
        <v>0</v>
      </c>
      <c r="CS215" s="24">
        <f t="shared" si="1872"/>
        <v>0</v>
      </c>
      <c r="CT215" s="24">
        <f t="shared" ref="CT215:CZ215" si="1873">CT128-CT56-CS128+CT130-CS130</f>
        <v>0</v>
      </c>
      <c r="CU215" s="24">
        <f t="shared" si="1873"/>
        <v>0</v>
      </c>
      <c r="CV215" s="24">
        <f t="shared" si="1873"/>
        <v>0</v>
      </c>
      <c r="CW215" s="24">
        <f t="shared" si="1873"/>
        <v>1.8189894035458565E-12</v>
      </c>
      <c r="CX215" s="24">
        <f t="shared" si="1873"/>
        <v>0</v>
      </c>
      <c r="CY215" s="24">
        <f t="shared" si="1873"/>
        <v>0</v>
      </c>
      <c r="CZ215" s="24">
        <f t="shared" si="1873"/>
        <v>0</v>
      </c>
      <c r="DB215" s="123"/>
      <c r="DC215" s="23">
        <v>0</v>
      </c>
    </row>
    <row r="216" spans="1:107" s="23" customFormat="1" x14ac:dyDescent="0.2">
      <c r="AA216" s="24"/>
      <c r="AB216" s="24"/>
      <c r="AC216" s="24"/>
      <c r="AD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B216" s="123"/>
    </row>
    <row r="217" spans="1:107" s="23" customFormat="1" x14ac:dyDescent="0.2">
      <c r="A217" s="23" t="s">
        <v>442</v>
      </c>
      <c r="C217" s="23">
        <f t="shared" ref="C217" si="1874">B169</f>
        <v>142.5155</v>
      </c>
      <c r="D217" s="23">
        <f t="shared" ref="D217" si="1875">C169</f>
        <v>280.66210000000001</v>
      </c>
      <c r="E217" s="23">
        <f>D169</f>
        <v>353.03160000000003</v>
      </c>
      <c r="F217" s="23">
        <f t="shared" ref="F217" si="1876">E169</f>
        <v>416.7509</v>
      </c>
      <c r="G217" s="23">
        <f t="shared" ref="G217" si="1877">F169</f>
        <v>400.96539999999999</v>
      </c>
      <c r="H217" s="23">
        <f t="shared" ref="H217" si="1878">G169</f>
        <v>546.44240000000002</v>
      </c>
      <c r="I217" s="23">
        <f t="shared" ref="I217" si="1879">H169</f>
        <v>642.86360000000002</v>
      </c>
      <c r="J217" s="23">
        <f>I169</f>
        <v>348.23129999999998</v>
      </c>
      <c r="K217" s="23">
        <f>J169</f>
        <v>524.14049999999997</v>
      </c>
      <c r="L217" s="23">
        <f t="shared" ref="L217" si="1880">K169</f>
        <v>587.125</v>
      </c>
      <c r="M217" s="23">
        <f t="shared" ref="M217" si="1881">L169</f>
        <v>260.02999999999997</v>
      </c>
      <c r="N217" s="23">
        <f t="shared" ref="N217" si="1882">M169</f>
        <v>86.92</v>
      </c>
      <c r="O217" s="23">
        <f t="shared" ref="O217" si="1883">N169</f>
        <v>316.65999999999997</v>
      </c>
      <c r="P217" s="23">
        <f t="shared" ref="P217" si="1884">O169</f>
        <v>226.04000000000002</v>
      </c>
      <c r="Q217" s="23">
        <f t="shared" ref="Q217" si="1885">P169</f>
        <v>573.67000000000007</v>
      </c>
      <c r="R217" s="23">
        <f t="shared" ref="R217" si="1886">Q169</f>
        <v>1189.24</v>
      </c>
      <c r="S217" s="23">
        <f t="shared" ref="S217" si="1887">R169</f>
        <v>1762.1100000000001</v>
      </c>
      <c r="T217" s="23">
        <f t="shared" ref="T217" si="1888">S169</f>
        <v>1475.1499999999999</v>
      </c>
      <c r="U217" s="23">
        <f t="shared" ref="U217" si="1889">T169</f>
        <v>1597.6499999999999</v>
      </c>
      <c r="V217" s="23">
        <f t="shared" ref="V217" si="1890">U169</f>
        <v>2206.65</v>
      </c>
      <c r="W217" s="23">
        <f t="shared" ref="W217:Z217" si="1891">V169</f>
        <v>2712.19</v>
      </c>
      <c r="X217" s="23">
        <f t="shared" si="1891"/>
        <v>3642.23</v>
      </c>
      <c r="Y217" s="23">
        <f t="shared" si="1891"/>
        <v>4816.17</v>
      </c>
      <c r="Z217" s="23">
        <f t="shared" si="1891"/>
        <v>5507.82</v>
      </c>
      <c r="AA217" s="24">
        <f t="shared" ref="AA217" si="1892">Z169</f>
        <v>5834.87</v>
      </c>
      <c r="AB217" s="24">
        <f t="shared" ref="AB217" si="1893">AA169</f>
        <v>8003.9907486836455</v>
      </c>
      <c r="AC217" s="24">
        <f t="shared" ref="AC217" si="1894">AB169</f>
        <v>9732.3478428063518</v>
      </c>
      <c r="AD217" s="24">
        <f t="shared" ref="AD217" si="1895">AC169</f>
        <v>11929.410463433405</v>
      </c>
      <c r="AH217" s="23">
        <f t="shared" ref="AH217" si="1896">AG169</f>
        <v>0</v>
      </c>
      <c r="AI217" s="23">
        <f t="shared" ref="AI217" si="1897">AH169</f>
        <v>0</v>
      </c>
      <c r="AJ217" s="23">
        <f t="shared" ref="AJ217" si="1898">AI169</f>
        <v>45.399999999999764</v>
      </c>
      <c r="AK217" s="23">
        <f t="shared" ref="AK217" si="1899">AJ169</f>
        <v>86.92</v>
      </c>
      <c r="AL217" s="23">
        <f t="shared" ref="AL217" si="1900">AK169</f>
        <v>225.5762775899496</v>
      </c>
      <c r="AM217" s="23">
        <f t="shared" ref="AM217" si="1901">AL169</f>
        <v>165.22</v>
      </c>
      <c r="AN217" s="23">
        <f t="shared" ref="AN217" si="1902">AM169</f>
        <v>192.39223767238599</v>
      </c>
      <c r="AO217" s="23">
        <f t="shared" ref="AO217" si="1903">AN169</f>
        <v>316.65999999999997</v>
      </c>
      <c r="AP217" s="23">
        <f t="shared" ref="AP217" si="1904">AO169</f>
        <v>651.36443170422899</v>
      </c>
      <c r="AQ217" s="23">
        <f t="shared" ref="AQ217" si="1905">AP169</f>
        <v>238.3</v>
      </c>
      <c r="AR217" s="23">
        <f t="shared" ref="AR217" si="1906">AQ169</f>
        <v>288.01354322844008</v>
      </c>
      <c r="AS217" s="23">
        <f t="shared" ref="AS217" si="1907">AR169</f>
        <v>226.04000000000002</v>
      </c>
      <c r="AT217" s="23">
        <f t="shared" ref="AT217" si="1908">AS169</f>
        <v>605.4317941753294</v>
      </c>
      <c r="AU217" s="23">
        <f t="shared" ref="AU217" si="1909">AT169</f>
        <v>229.54000000000002</v>
      </c>
      <c r="AV217" s="23">
        <f t="shared" ref="AV217" si="1910">AU169</f>
        <v>286.3537518248948</v>
      </c>
      <c r="AW217" s="23">
        <f t="shared" ref="AW217" si="1911">AV169</f>
        <v>573.67000000000007</v>
      </c>
      <c r="AX217" s="23">
        <f t="shared" ref="AX217" si="1912">AW169</f>
        <v>1061.9185841405804</v>
      </c>
      <c r="AY217" s="23">
        <f t="shared" ref="AY217" si="1913">AX169</f>
        <v>720.57</v>
      </c>
      <c r="AZ217" s="23">
        <f t="shared" ref="AZ217" si="1914">AY169</f>
        <v>959.53948630875334</v>
      </c>
      <c r="BA217" s="23">
        <f t="shared" ref="BA217" si="1915">AZ169</f>
        <v>1189.24</v>
      </c>
      <c r="BB217" s="23">
        <f t="shared" ref="BB217" si="1916">BA169</f>
        <v>1558.9336458764944</v>
      </c>
      <c r="BC217" s="23">
        <f t="shared" ref="BC217" si="1917">BB169</f>
        <v>1585.53</v>
      </c>
      <c r="BD217" s="23">
        <f t="shared" ref="BD217" si="1918">BC169</f>
        <v>1881.984257590263</v>
      </c>
      <c r="BE217" s="23">
        <f t="shared" ref="BE217" si="1919">BD169</f>
        <v>1762.1100000000001</v>
      </c>
      <c r="BF217" s="23">
        <f t="shared" ref="BF217" si="1920">BE169</f>
        <v>1920.1412874323348</v>
      </c>
      <c r="BG217" s="23">
        <f t="shared" ref="BG217" si="1921">BF169</f>
        <v>1592.6999999999998</v>
      </c>
      <c r="BH217" s="23">
        <f t="shared" ref="BH217" si="1922">BG169</f>
        <v>1790.6507033595078</v>
      </c>
      <c r="BI217" s="23">
        <f t="shared" ref="BI217" si="1923">BH169</f>
        <v>1475.1499999999999</v>
      </c>
      <c r="BJ217" s="23">
        <f t="shared" ref="BJ217" si="1924">BI169</f>
        <v>1699.8259665263026</v>
      </c>
      <c r="BK217" s="23">
        <f t="shared" ref="BK217" si="1925">BJ169</f>
        <v>1314.6499999999999</v>
      </c>
      <c r="BL217" s="23">
        <f t="shared" ref="BL217" si="1926">BK169</f>
        <v>1450.6529212806022</v>
      </c>
      <c r="BM217" s="23">
        <f t="shared" ref="BM217" si="1927">BL169</f>
        <v>1597.6499999999999</v>
      </c>
      <c r="BN217" s="23">
        <f t="shared" ref="BN217" si="1928">BM169</f>
        <v>1914.0296312962994</v>
      </c>
      <c r="BO217" s="23">
        <f t="shared" ref="BO217" si="1929">BN169</f>
        <v>1511.49</v>
      </c>
      <c r="BP217" s="23">
        <f t="shared" ref="BP217" si="1930">BO169</f>
        <v>887.76175870883947</v>
      </c>
      <c r="BQ217" s="23">
        <f t="shared" ref="BQ217" si="1931">BP169</f>
        <v>2206.65</v>
      </c>
      <c r="BR217" s="23">
        <f t="shared" ref="BR217" si="1932">BQ169</f>
        <v>2394.2595113949064</v>
      </c>
      <c r="BS217" s="23">
        <f t="shared" ref="BS217" si="1933">BR169</f>
        <v>2364.4299999999998</v>
      </c>
      <c r="BT217" s="23">
        <f t="shared" ref="BT217" si="1934">BS169</f>
        <v>2404.7365603245012</v>
      </c>
      <c r="BU217" s="23">
        <f t="shared" ref="BU217" si="1935">BT169</f>
        <v>2687.74</v>
      </c>
      <c r="BV217" s="23">
        <f t="shared" ref="BV217" si="1936">BU169</f>
        <v>2818.3400626219363</v>
      </c>
      <c r="BW217" s="23">
        <f t="shared" ref="BW217" si="1937">BV169</f>
        <v>2828.7200000000003</v>
      </c>
      <c r="BX217" s="23">
        <f t="shared" ref="BX217" si="1938">BW169</f>
        <v>3049.3799135305185</v>
      </c>
      <c r="BY217" s="23">
        <f t="shared" ref="BY217" si="1939">BX169</f>
        <v>3642.23</v>
      </c>
      <c r="BZ217" s="23">
        <f t="shared" ref="BZ217" si="1940">BY169</f>
        <v>3916.4119390500673</v>
      </c>
      <c r="CA217" s="23">
        <f t="shared" ref="CA217" si="1941">BZ169</f>
        <v>4150.34</v>
      </c>
      <c r="CB217" s="23">
        <f t="shared" ref="CB217" si="1942">CA169</f>
        <v>4525.2695350848871</v>
      </c>
      <c r="CC217" s="23">
        <f t="shared" ref="CC217" si="1943">CB169</f>
        <v>4816.17</v>
      </c>
      <c r="CD217" s="23">
        <f t="shared" ref="CD217" si="1944">CC169</f>
        <v>5303.8017468422368</v>
      </c>
      <c r="CE217" s="23">
        <f t="shared" ref="CE217" si="1945">CD169</f>
        <v>5009.29</v>
      </c>
      <c r="CF217" s="23">
        <f t="shared" ref="CF217" si="1946">CE169</f>
        <v>5476.6070350352893</v>
      </c>
      <c r="CG217" s="23">
        <f t="shared" ref="CG217:CK217" si="1947">CF169</f>
        <v>5507.82</v>
      </c>
      <c r="CH217" s="23">
        <f t="shared" si="1947"/>
        <v>6055.0379928557213</v>
      </c>
      <c r="CI217" s="23">
        <f t="shared" si="1947"/>
        <v>5261.82</v>
      </c>
      <c r="CJ217" s="23">
        <f t="shared" ref="CJ217" si="1948">CI169</f>
        <v>5676.7020280654015</v>
      </c>
      <c r="CK217" s="23">
        <f t="shared" si="1947"/>
        <v>6093.2124449210187</v>
      </c>
      <c r="CL217" s="24">
        <f t="shared" ref="CL217" si="1949">CK169</f>
        <v>8003.9907486836455</v>
      </c>
      <c r="CM217" s="24">
        <f t="shared" ref="CM217" si="1950">CL169</f>
        <v>8338.8240967701549</v>
      </c>
      <c r="CN217" s="24">
        <f t="shared" ref="CN217" si="1951">CM169</f>
        <v>8798.0228952769248</v>
      </c>
      <c r="CO217" s="24">
        <f t="shared" ref="CO217" si="1952">CN169</f>
        <v>9266.1011791750807</v>
      </c>
      <c r="CP217" s="24">
        <f t="shared" ref="CP217" si="1953">CO169</f>
        <v>9732.3478428063518</v>
      </c>
      <c r="CQ217" s="24">
        <f t="shared" ref="CQ217" si="1954">CP169</f>
        <v>10214.735614818488</v>
      </c>
      <c r="CR217" s="24">
        <f t="shared" ref="CR217" si="1955">CQ169</f>
        <v>10806.753475216403</v>
      </c>
      <c r="CS217" s="24">
        <f t="shared" ref="CS217" si="1956">CR169</f>
        <v>11397.733453520719</v>
      </c>
      <c r="CT217" s="24">
        <f t="shared" ref="CT217" si="1957">CS169</f>
        <v>11929.410463433405</v>
      </c>
      <c r="CU217" s="24">
        <f t="shared" ref="CU217" si="1958">CT169</f>
        <v>12481.158323535516</v>
      </c>
      <c r="CV217" s="24">
        <f t="shared" ref="CV217" si="1959">CU169</f>
        <v>13130.6581235176</v>
      </c>
      <c r="CW217" s="24">
        <f t="shared" ref="CW217" si="1960">CV169</f>
        <v>13762.281178096629</v>
      </c>
      <c r="CX217" s="24">
        <f t="shared" ref="CX217" si="1961">CW169</f>
        <v>14335.472623103236</v>
      </c>
      <c r="CY217" s="24">
        <f t="shared" ref="CY217" si="1962">CX169</f>
        <v>14988.602767247681</v>
      </c>
      <c r="CZ217" s="24">
        <f t="shared" ref="CZ217" si="1963">CY169</f>
        <v>15751.97558723976</v>
      </c>
      <c r="DB217" s="123"/>
      <c r="DC217" s="23">
        <v>0</v>
      </c>
    </row>
    <row r="218" spans="1:107" s="23" customFormat="1" x14ac:dyDescent="0.2">
      <c r="A218" s="23" t="s">
        <v>443</v>
      </c>
      <c r="C218" s="23">
        <f t="shared" ref="C218:W218" si="1964">C217+C213+C209+C207</f>
        <v>280.66209999999995</v>
      </c>
      <c r="D218" s="23">
        <f t="shared" si="1964"/>
        <v>353.03160000000003</v>
      </c>
      <c r="E218" s="23">
        <f t="shared" si="1964"/>
        <v>416.7509</v>
      </c>
      <c r="F218" s="23">
        <f t="shared" si="1964"/>
        <v>400.96540000000027</v>
      </c>
      <c r="G218" s="23">
        <f t="shared" si="1964"/>
        <v>546.44239999999968</v>
      </c>
      <c r="H218" s="23">
        <f t="shared" si="1964"/>
        <v>642.86360000000002</v>
      </c>
      <c r="I218" s="23">
        <f t="shared" si="1964"/>
        <v>348.23130000000003</v>
      </c>
      <c r="J218" s="23">
        <f>J217+J213+J209+J207</f>
        <v>524.14050000000066</v>
      </c>
      <c r="K218" s="23">
        <f>K217+K213+K209+K207</f>
        <v>587.12499999999875</v>
      </c>
      <c r="L218" s="23">
        <f>L217+L213+L209+L207</f>
        <v>260.03000000000031</v>
      </c>
      <c r="M218" s="23">
        <f>M217+M213+M209+M207</f>
        <v>86.920000000000982</v>
      </c>
      <c r="N218" s="23">
        <f t="shared" si="1964"/>
        <v>316.65999999999985</v>
      </c>
      <c r="O218" s="23">
        <f t="shared" si="1964"/>
        <v>226.03999999999854</v>
      </c>
      <c r="P218" s="23">
        <f t="shared" si="1964"/>
        <v>573.67000000000132</v>
      </c>
      <c r="Q218" s="23">
        <f t="shared" si="1964"/>
        <v>1189.2399999999986</v>
      </c>
      <c r="R218" s="23">
        <f t="shared" si="1964"/>
        <v>1762.1100000000006</v>
      </c>
      <c r="S218" s="23">
        <f t="shared" si="1964"/>
        <v>1475.15</v>
      </c>
      <c r="T218" s="23">
        <f t="shared" si="1964"/>
        <v>1597.6499999999996</v>
      </c>
      <c r="U218" s="23">
        <f t="shared" si="1964"/>
        <v>2206.6499999999996</v>
      </c>
      <c r="V218" s="23">
        <f t="shared" si="1964"/>
        <v>2712.190000000001</v>
      </c>
      <c r="W218" s="23">
        <f t="shared" si="1964"/>
        <v>3642.2299999999991</v>
      </c>
      <c r="X218" s="23">
        <f t="shared" ref="X218:Y218" si="1965">X217+X213+X209+X207</f>
        <v>4816.17</v>
      </c>
      <c r="Y218" s="23">
        <f t="shared" si="1965"/>
        <v>5507.8200000000006</v>
      </c>
      <c r="Z218" s="23">
        <f t="shared" ref="Z218" si="1966">Z217+Z213+Z209+Z207</f>
        <v>5834.8700000000008</v>
      </c>
      <c r="AA218" s="24">
        <f t="shared" ref="AA218:AD218" si="1967">AA217+AA213+AA209+AA207</f>
        <v>8003.9907486836446</v>
      </c>
      <c r="AB218" s="24">
        <f t="shared" si="1967"/>
        <v>9732.3478428063518</v>
      </c>
      <c r="AC218" s="24">
        <f t="shared" si="1967"/>
        <v>11929.410463433407</v>
      </c>
      <c r="AD218" s="24">
        <f t="shared" si="1967"/>
        <v>14335.472623103236</v>
      </c>
      <c r="AH218" s="23">
        <f t="shared" ref="AH218" si="1968">AH217+AH213+AH209+AH207</f>
        <v>0</v>
      </c>
      <c r="AI218" s="23">
        <f t="shared" ref="AI218:AK218" si="1969">AI217+AI213+AI209+AI207</f>
        <v>45.399999999999764</v>
      </c>
      <c r="AJ218" s="23">
        <f t="shared" si="1969"/>
        <v>86.919999999999845</v>
      </c>
      <c r="AK218" s="23">
        <f t="shared" si="1969"/>
        <v>225.5762775899496</v>
      </c>
      <c r="AL218" s="23">
        <f t="shared" ref="AL218" si="1970">AL217+AL213+AL209+AL207</f>
        <v>165.2200000000002</v>
      </c>
      <c r="AM218" s="23">
        <f t="shared" ref="AM218:CC218" si="1971">AM217+AM213+AM209+AM207</f>
        <v>192.39223767238599</v>
      </c>
      <c r="AN218" s="23">
        <f t="shared" si="1971"/>
        <v>316.66000000000054</v>
      </c>
      <c r="AO218" s="23">
        <f t="shared" si="1971"/>
        <v>651.36443170422899</v>
      </c>
      <c r="AP218" s="23">
        <f t="shared" si="1971"/>
        <v>238.29999999999961</v>
      </c>
      <c r="AQ218" s="23">
        <f t="shared" si="1971"/>
        <v>288.01354322844008</v>
      </c>
      <c r="AR218" s="23">
        <f t="shared" si="1971"/>
        <v>226.03999999999917</v>
      </c>
      <c r="AS218" s="23">
        <f t="shared" si="1971"/>
        <v>605.4317941753294</v>
      </c>
      <c r="AT218" s="23">
        <f t="shared" si="1971"/>
        <v>229.54000000000144</v>
      </c>
      <c r="AU218" s="23">
        <f t="shared" si="1971"/>
        <v>286.3537518248948</v>
      </c>
      <c r="AV218" s="23">
        <f t="shared" si="1971"/>
        <v>573.66999999999939</v>
      </c>
      <c r="AW218" s="23">
        <f t="shared" si="1971"/>
        <v>1061.9185841405804</v>
      </c>
      <c r="AX218" s="23">
        <f t="shared" si="1971"/>
        <v>720.56999999999948</v>
      </c>
      <c r="AY218" s="23">
        <f t="shared" si="1971"/>
        <v>959.53948630875334</v>
      </c>
      <c r="AZ218" s="23">
        <f t="shared" si="1971"/>
        <v>1189.2400000000002</v>
      </c>
      <c r="BA218" s="23">
        <f t="shared" si="1971"/>
        <v>1558.9336458764944</v>
      </c>
      <c r="BB218" s="23">
        <f t="shared" si="1971"/>
        <v>1585.5299999999995</v>
      </c>
      <c r="BC218" s="23">
        <f t="shared" si="1971"/>
        <v>1881.984257590263</v>
      </c>
      <c r="BD218" s="23">
        <f t="shared" si="1971"/>
        <v>1762.1100000000006</v>
      </c>
      <c r="BE218" s="23">
        <f t="shared" si="1971"/>
        <v>1920.1412874323348</v>
      </c>
      <c r="BF218" s="23">
        <f t="shared" si="1971"/>
        <v>1592.7000000000003</v>
      </c>
      <c r="BG218" s="23">
        <f t="shared" si="1971"/>
        <v>1790.6507033595078</v>
      </c>
      <c r="BH218" s="23">
        <f t="shared" si="1971"/>
        <v>1475.1499999999987</v>
      </c>
      <c r="BI218" s="23">
        <f t="shared" si="1971"/>
        <v>1699.8259665263026</v>
      </c>
      <c r="BJ218" s="23">
        <f t="shared" si="1971"/>
        <v>1314.6499999999992</v>
      </c>
      <c r="BK218" s="23">
        <f t="shared" si="1971"/>
        <v>1450.6529212806022</v>
      </c>
      <c r="BL218" s="23">
        <f t="shared" si="1971"/>
        <v>1597.6500000000003</v>
      </c>
      <c r="BM218" s="23">
        <f t="shared" si="1971"/>
        <v>1914.0296312962994</v>
      </c>
      <c r="BN218" s="23">
        <f t="shared" si="1971"/>
        <v>1511.4900000000002</v>
      </c>
      <c r="BO218" s="23">
        <f t="shared" si="1971"/>
        <v>887.76175870883947</v>
      </c>
      <c r="BP218" s="23">
        <f t="shared" si="1971"/>
        <v>2206.6500000000005</v>
      </c>
      <c r="BQ218" s="23">
        <f t="shared" si="1971"/>
        <v>2394.2595113949064</v>
      </c>
      <c r="BR218" s="23">
        <f t="shared" si="1971"/>
        <v>2364.4299999999998</v>
      </c>
      <c r="BS218" s="23">
        <f t="shared" si="1971"/>
        <v>2404.7365603245012</v>
      </c>
      <c r="BT218" s="23">
        <f t="shared" si="1971"/>
        <v>2687.74</v>
      </c>
      <c r="BU218" s="23">
        <f t="shared" si="1971"/>
        <v>2818.3400626219363</v>
      </c>
      <c r="BV218" s="23">
        <f t="shared" si="1971"/>
        <v>2828.7199999999993</v>
      </c>
      <c r="BW218" s="23">
        <f t="shared" si="1971"/>
        <v>3049.3799135305185</v>
      </c>
      <c r="BX218" s="23">
        <f t="shared" si="1971"/>
        <v>3642.2300000000023</v>
      </c>
      <c r="BY218" s="23">
        <f t="shared" si="1971"/>
        <v>3916.4119390500673</v>
      </c>
      <c r="BZ218" s="23">
        <f t="shared" si="1971"/>
        <v>4150.3399999999992</v>
      </c>
      <c r="CA218" s="23">
        <f t="shared" si="1971"/>
        <v>4525.2695350848871</v>
      </c>
      <c r="CB218" s="23">
        <f t="shared" si="1971"/>
        <v>4816.170000000001</v>
      </c>
      <c r="CC218" s="23">
        <f t="shared" si="1971"/>
        <v>5303.8017468422368</v>
      </c>
      <c r="CD218" s="23">
        <f t="shared" ref="CD218:CE218" si="1972">CD217+CD213+CD209+CD207</f>
        <v>5009.2899999999981</v>
      </c>
      <c r="CE218" s="23">
        <f t="shared" si="1972"/>
        <v>5476.6070350352893</v>
      </c>
      <c r="CF218" s="23">
        <f t="shared" ref="CF218:CG218" si="1973">CF217+CF213+CF209+CF207</f>
        <v>5507.8200000000006</v>
      </c>
      <c r="CG218" s="23">
        <f t="shared" si="1973"/>
        <v>6055.0379928557213</v>
      </c>
      <c r="CH218" s="23">
        <f t="shared" ref="CH218:CI218" si="1974">CH217+CH213+CH209+CH207</f>
        <v>5261.82</v>
      </c>
      <c r="CI218" s="23">
        <f t="shared" si="1974"/>
        <v>5676.7020280654015</v>
      </c>
      <c r="CJ218" s="23">
        <f t="shared" ref="CJ218:CZ218" si="1975">CJ217+CJ213+CJ209+CJ207</f>
        <v>6093.2124449210187</v>
      </c>
      <c r="CK218" s="23">
        <f t="shared" si="1975"/>
        <v>8003.9907486836455</v>
      </c>
      <c r="CL218" s="24">
        <f t="shared" si="1975"/>
        <v>8338.8240967701549</v>
      </c>
      <c r="CM218" s="24">
        <f t="shared" si="1975"/>
        <v>8798.0228952769248</v>
      </c>
      <c r="CN218" s="24">
        <f t="shared" si="1975"/>
        <v>9266.1011791750807</v>
      </c>
      <c r="CO218" s="24">
        <f t="shared" si="1975"/>
        <v>9732.3478428063518</v>
      </c>
      <c r="CP218" s="24">
        <f t="shared" si="1975"/>
        <v>10214.735614818488</v>
      </c>
      <c r="CQ218" s="24">
        <f t="shared" si="1975"/>
        <v>10806.753475216403</v>
      </c>
      <c r="CR218" s="24">
        <f t="shared" si="1975"/>
        <v>11397.733453520719</v>
      </c>
      <c r="CS218" s="24">
        <f t="shared" si="1975"/>
        <v>11929.410463433405</v>
      </c>
      <c r="CT218" s="24">
        <f t="shared" si="1975"/>
        <v>12481.158323535516</v>
      </c>
      <c r="CU218" s="24">
        <f t="shared" si="1975"/>
        <v>13130.6581235176</v>
      </c>
      <c r="CV218" s="24">
        <f t="shared" si="1975"/>
        <v>13762.281178096629</v>
      </c>
      <c r="CW218" s="24">
        <f t="shared" si="1975"/>
        <v>14335.472623103236</v>
      </c>
      <c r="CX218" s="24">
        <f t="shared" si="1975"/>
        <v>14988.602767247681</v>
      </c>
      <c r="CY218" s="24">
        <f t="shared" si="1975"/>
        <v>15751.97558723976</v>
      </c>
      <c r="CZ218" s="24">
        <f t="shared" si="1975"/>
        <v>16504.19828137369</v>
      </c>
      <c r="DB218" s="123"/>
      <c r="DC218" s="23">
        <v>0</v>
      </c>
    </row>
    <row r="219" spans="1:107" s="28" customFormat="1" x14ac:dyDescent="0.2">
      <c r="A219" s="28" t="s">
        <v>444</v>
      </c>
      <c r="C219" s="28">
        <f t="shared" ref="C219:W219" si="1976">C218-C169</f>
        <v>0</v>
      </c>
      <c r="D219" s="28">
        <f t="shared" si="1976"/>
        <v>0</v>
      </c>
      <c r="E219" s="28">
        <f t="shared" si="1976"/>
        <v>0</v>
      </c>
      <c r="F219" s="28">
        <f t="shared" si="1976"/>
        <v>0</v>
      </c>
      <c r="G219" s="28">
        <f t="shared" si="1976"/>
        <v>0</v>
      </c>
      <c r="H219" s="28">
        <f t="shared" si="1976"/>
        <v>0</v>
      </c>
      <c r="I219" s="28">
        <f t="shared" si="1976"/>
        <v>0</v>
      </c>
      <c r="J219" s="28">
        <f>J218-J169</f>
        <v>0</v>
      </c>
      <c r="K219" s="28">
        <f t="shared" si="1976"/>
        <v>-1.2505552149377763E-12</v>
      </c>
      <c r="L219" s="28">
        <f t="shared" si="1976"/>
        <v>0</v>
      </c>
      <c r="M219" s="28">
        <f t="shared" si="1976"/>
        <v>9.8054897534893826E-13</v>
      </c>
      <c r="N219" s="28">
        <f t="shared" si="1976"/>
        <v>0</v>
      </c>
      <c r="O219" s="28">
        <f t="shared" si="1976"/>
        <v>-1.4779288903810084E-12</v>
      </c>
      <c r="P219" s="28">
        <f t="shared" si="1976"/>
        <v>1.2505552149377763E-12</v>
      </c>
      <c r="Q219" s="28">
        <f t="shared" si="1976"/>
        <v>0</v>
      </c>
      <c r="R219" s="28">
        <f t="shared" si="1976"/>
        <v>0</v>
      </c>
      <c r="S219" s="28">
        <f t="shared" si="1976"/>
        <v>0</v>
      </c>
      <c r="T219" s="28">
        <f t="shared" si="1976"/>
        <v>0</v>
      </c>
      <c r="U219" s="28">
        <f t="shared" si="1976"/>
        <v>0</v>
      </c>
      <c r="V219" s="28">
        <f t="shared" si="1976"/>
        <v>0</v>
      </c>
      <c r="W219" s="28">
        <f t="shared" si="1976"/>
        <v>0</v>
      </c>
      <c r="X219" s="28">
        <f t="shared" ref="X219:Y219" si="1977">X218-X169</f>
        <v>0</v>
      </c>
      <c r="Y219" s="28">
        <f t="shared" si="1977"/>
        <v>0</v>
      </c>
      <c r="Z219" s="28">
        <f t="shared" ref="Z219" si="1978">Z218-Z169</f>
        <v>0</v>
      </c>
      <c r="AA219" s="30">
        <f t="shared" ref="AA219:AD219" si="1979">AA218-AA169</f>
        <v>0</v>
      </c>
      <c r="AB219" s="30">
        <f t="shared" si="1979"/>
        <v>0</v>
      </c>
      <c r="AC219" s="30">
        <f t="shared" si="1979"/>
        <v>0</v>
      </c>
      <c r="AD219" s="30">
        <f t="shared" si="1979"/>
        <v>0</v>
      </c>
      <c r="AH219" s="28">
        <f t="shared" ref="AH219" si="1980">AH218-AH169</f>
        <v>0</v>
      </c>
      <c r="AI219" s="28">
        <f t="shared" ref="AI219:AK219" si="1981">AI218-AI169</f>
        <v>0</v>
      </c>
      <c r="AJ219" s="28">
        <f t="shared" si="1981"/>
        <v>-1.5631940186722204E-13</v>
      </c>
      <c r="AK219" s="28">
        <f t="shared" si="1981"/>
        <v>0</v>
      </c>
      <c r="AL219" s="28">
        <f t="shared" ref="AL219" si="1982">AL218-AL169</f>
        <v>0</v>
      </c>
      <c r="AM219" s="28">
        <f t="shared" ref="AM219:CC219" si="1983">AM218-AM169</f>
        <v>0</v>
      </c>
      <c r="AN219" s="28">
        <f t="shared" si="1983"/>
        <v>5.6843418860808015E-13</v>
      </c>
      <c r="AO219" s="28">
        <f t="shared" si="1983"/>
        <v>0</v>
      </c>
      <c r="AP219" s="28">
        <f t="shared" si="1983"/>
        <v>-3.979039320256561E-13</v>
      </c>
      <c r="AQ219" s="28">
        <f t="shared" si="1983"/>
        <v>0</v>
      </c>
      <c r="AR219" s="28">
        <f t="shared" si="1983"/>
        <v>-8.5265128291212022E-13</v>
      </c>
      <c r="AS219" s="28">
        <f t="shared" si="1983"/>
        <v>0</v>
      </c>
      <c r="AT219" s="28">
        <f t="shared" si="1983"/>
        <v>1.4210854715202004E-12</v>
      </c>
      <c r="AU219" s="28">
        <f t="shared" si="1983"/>
        <v>0</v>
      </c>
      <c r="AV219" s="28">
        <f t="shared" si="1983"/>
        <v>0</v>
      </c>
      <c r="AW219" s="28">
        <f t="shared" si="1983"/>
        <v>0</v>
      </c>
      <c r="AX219" s="28">
        <f t="shared" si="1983"/>
        <v>0</v>
      </c>
      <c r="AY219" s="28">
        <f t="shared" si="1983"/>
        <v>0</v>
      </c>
      <c r="AZ219" s="28">
        <f t="shared" si="1983"/>
        <v>0</v>
      </c>
      <c r="BA219" s="28">
        <f t="shared" si="1983"/>
        <v>0</v>
      </c>
      <c r="BB219" s="28">
        <f t="shared" si="1983"/>
        <v>0</v>
      </c>
      <c r="BC219" s="28">
        <f t="shared" si="1983"/>
        <v>0</v>
      </c>
      <c r="BD219" s="28">
        <f t="shared" si="1983"/>
        <v>0</v>
      </c>
      <c r="BE219" s="28">
        <f t="shared" si="1983"/>
        <v>0</v>
      </c>
      <c r="BF219" s="28">
        <f t="shared" si="1983"/>
        <v>0</v>
      </c>
      <c r="BG219" s="28">
        <f t="shared" si="1983"/>
        <v>0</v>
      </c>
      <c r="BH219" s="28">
        <f t="shared" si="1983"/>
        <v>0</v>
      </c>
      <c r="BI219" s="28">
        <f t="shared" si="1983"/>
        <v>0</v>
      </c>
      <c r="BJ219" s="28">
        <f t="shared" si="1983"/>
        <v>0</v>
      </c>
      <c r="BK219" s="28">
        <f t="shared" si="1983"/>
        <v>0</v>
      </c>
      <c r="BL219" s="28">
        <f t="shared" si="1983"/>
        <v>0</v>
      </c>
      <c r="BM219" s="28">
        <f t="shared" si="1983"/>
        <v>0</v>
      </c>
      <c r="BN219" s="28">
        <f t="shared" si="1983"/>
        <v>0</v>
      </c>
      <c r="BO219" s="28">
        <f t="shared" si="1983"/>
        <v>0</v>
      </c>
      <c r="BP219" s="28">
        <f t="shared" si="1983"/>
        <v>0</v>
      </c>
      <c r="BQ219" s="28">
        <f t="shared" si="1983"/>
        <v>0</v>
      </c>
      <c r="BR219" s="28">
        <f t="shared" si="1983"/>
        <v>0</v>
      </c>
      <c r="BS219" s="28">
        <f t="shared" si="1983"/>
        <v>0</v>
      </c>
      <c r="BT219" s="28">
        <f t="shared" si="1983"/>
        <v>0</v>
      </c>
      <c r="BU219" s="28">
        <f t="shared" si="1983"/>
        <v>0</v>
      </c>
      <c r="BV219" s="28">
        <f t="shared" si="1983"/>
        <v>0</v>
      </c>
      <c r="BW219" s="28">
        <f t="shared" si="1983"/>
        <v>0</v>
      </c>
      <c r="BX219" s="28">
        <f t="shared" si="1983"/>
        <v>0</v>
      </c>
      <c r="BY219" s="28">
        <f t="shared" si="1983"/>
        <v>0</v>
      </c>
      <c r="BZ219" s="28">
        <f t="shared" si="1983"/>
        <v>0</v>
      </c>
      <c r="CA219" s="28">
        <f t="shared" si="1983"/>
        <v>0</v>
      </c>
      <c r="CB219" s="28">
        <f t="shared" si="1983"/>
        <v>0</v>
      </c>
      <c r="CC219" s="28">
        <f t="shared" si="1983"/>
        <v>0</v>
      </c>
      <c r="CD219" s="28">
        <f t="shared" ref="CD219:CE219" si="1984">CD218-CD169</f>
        <v>0</v>
      </c>
      <c r="CE219" s="28">
        <f t="shared" si="1984"/>
        <v>0</v>
      </c>
      <c r="CF219" s="28">
        <f t="shared" ref="CF219:CG219" si="1985">CF218-CF169</f>
        <v>0</v>
      </c>
      <c r="CG219" s="28">
        <f t="shared" si="1985"/>
        <v>0</v>
      </c>
      <c r="CH219" s="28">
        <f t="shared" ref="CH219:CI219" si="1986">CH218-CH169</f>
        <v>0</v>
      </c>
      <c r="CI219" s="28">
        <f t="shared" si="1986"/>
        <v>0</v>
      </c>
      <c r="CJ219" s="28">
        <f t="shared" ref="CJ219:CZ219" si="1987">CJ218-CJ169</f>
        <v>0</v>
      </c>
      <c r="CK219" s="28">
        <f t="shared" si="1987"/>
        <v>0</v>
      </c>
      <c r="CL219" s="30">
        <f t="shared" si="1987"/>
        <v>0</v>
      </c>
      <c r="CM219" s="30">
        <f t="shared" si="1987"/>
        <v>0</v>
      </c>
      <c r="CN219" s="30">
        <f t="shared" si="1987"/>
        <v>0</v>
      </c>
      <c r="CO219" s="30">
        <f t="shared" si="1987"/>
        <v>0</v>
      </c>
      <c r="CP219" s="30">
        <f t="shared" si="1987"/>
        <v>0</v>
      </c>
      <c r="CQ219" s="30">
        <f t="shared" si="1987"/>
        <v>0</v>
      </c>
      <c r="CR219" s="30">
        <f t="shared" si="1987"/>
        <v>0</v>
      </c>
      <c r="CS219" s="30">
        <f t="shared" si="1987"/>
        <v>0</v>
      </c>
      <c r="CT219" s="30">
        <f t="shared" si="1987"/>
        <v>0</v>
      </c>
      <c r="CU219" s="30">
        <f t="shared" si="1987"/>
        <v>0</v>
      </c>
      <c r="CV219" s="30">
        <f t="shared" si="1987"/>
        <v>0</v>
      </c>
      <c r="CW219" s="30">
        <f t="shared" si="1987"/>
        <v>0</v>
      </c>
      <c r="CX219" s="30">
        <f t="shared" si="1987"/>
        <v>0</v>
      </c>
      <c r="CY219" s="30">
        <f t="shared" si="1987"/>
        <v>0</v>
      </c>
      <c r="CZ219" s="30">
        <f t="shared" si="1987"/>
        <v>0</v>
      </c>
      <c r="DB219" s="139"/>
      <c r="DC219" s="28">
        <v>0</v>
      </c>
    </row>
    <row r="220" spans="1:107" s="23" customFormat="1" x14ac:dyDescent="0.2">
      <c r="AA220" s="24"/>
      <c r="AB220" s="24"/>
      <c r="AC220" s="24"/>
      <c r="AD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B220" s="123"/>
    </row>
    <row r="221" spans="1:107" s="22" customFormat="1" x14ac:dyDescent="0.2">
      <c r="A221" s="22" t="s">
        <v>96</v>
      </c>
      <c r="C221" s="22">
        <f t="shared" ref="C221:W221" si="1988">C207+C209</f>
        <v>169.32319999999984</v>
      </c>
      <c r="D221" s="22">
        <f t="shared" si="1988"/>
        <v>106.84709999999998</v>
      </c>
      <c r="E221" s="22">
        <f t="shared" si="1988"/>
        <v>106.14109999999978</v>
      </c>
      <c r="F221" s="22">
        <f t="shared" si="1988"/>
        <v>22.1918000000002</v>
      </c>
      <c r="G221" s="22">
        <f t="shared" si="1988"/>
        <v>195.25029999999941</v>
      </c>
      <c r="H221" s="22">
        <f t="shared" si="1988"/>
        <v>158.5674000000005</v>
      </c>
      <c r="I221" s="22">
        <f t="shared" si="1988"/>
        <v>-239.28240000000039</v>
      </c>
      <c r="J221" s="22">
        <f>J207+J209</f>
        <v>225.78850000000028</v>
      </c>
      <c r="K221" s="22">
        <f t="shared" si="1988"/>
        <v>126.24439999999974</v>
      </c>
      <c r="L221" s="22">
        <f t="shared" si="1988"/>
        <v>-255.11139999999966</v>
      </c>
      <c r="M221" s="22">
        <f t="shared" si="1988"/>
        <v>-425.05999999999938</v>
      </c>
      <c r="N221" s="22">
        <f t="shared" si="1988"/>
        <v>40.699999999999676</v>
      </c>
      <c r="O221" s="22">
        <f t="shared" si="1988"/>
        <v>252.5099999999992</v>
      </c>
      <c r="P221" s="22">
        <f t="shared" si="1988"/>
        <v>222.01000000000261</v>
      </c>
      <c r="Q221" s="22">
        <f t="shared" si="1988"/>
        <v>711.85000000000014</v>
      </c>
      <c r="R221" s="22">
        <f t="shared" si="1988"/>
        <v>664.32000000000016</v>
      </c>
      <c r="S221" s="22">
        <f t="shared" si="1988"/>
        <v>424.93000000000046</v>
      </c>
      <c r="T221" s="22">
        <f t="shared" si="1988"/>
        <v>906.49</v>
      </c>
      <c r="U221" s="22">
        <f t="shared" si="1988"/>
        <v>755.49000000000024</v>
      </c>
      <c r="V221" s="22">
        <f t="shared" si="1988"/>
        <v>586.44000000000085</v>
      </c>
      <c r="W221" s="22">
        <f t="shared" si="1988"/>
        <v>1052.0500000000004</v>
      </c>
      <c r="X221" s="22">
        <f t="shared" ref="X221:Y221" si="1989">X207+X209</f>
        <v>1410.8000000000009</v>
      </c>
      <c r="Y221" s="22">
        <f t="shared" si="1989"/>
        <v>1432.4900000000016</v>
      </c>
      <c r="Z221" s="22">
        <f t="shared" ref="Z221" si="1990">Z207+Z209</f>
        <v>1234.72</v>
      </c>
      <c r="AA221" s="21">
        <f t="shared" ref="AA221:AD221" si="1991">AA207+AA209</f>
        <v>3376.4739066058883</v>
      </c>
      <c r="AB221" s="21">
        <f t="shared" si="1991"/>
        <v>2053.8038755783641</v>
      </c>
      <c r="AC221" s="21">
        <f t="shared" si="1991"/>
        <v>2353.0103326113776</v>
      </c>
      <c r="AD221" s="21">
        <f t="shared" si="1991"/>
        <v>2765.7512284207346</v>
      </c>
      <c r="AH221" s="22">
        <f t="shared" ref="AH221" si="1992">AH207+AH209</f>
        <v>51.630000000000123</v>
      </c>
      <c r="AI221" s="22">
        <f t="shared" ref="AI221:AK221" si="1993">AI207+AI209</f>
        <v>45.399999999999764</v>
      </c>
      <c r="AJ221" s="22">
        <f t="shared" si="1993"/>
        <v>-2849.66</v>
      </c>
      <c r="AK221" s="22">
        <f t="shared" si="1993"/>
        <v>138.65627758994961</v>
      </c>
      <c r="AL221" s="22">
        <f t="shared" ref="AL221" si="1994">AL207+AL209</f>
        <v>-494.24627758994927</v>
      </c>
      <c r="AM221" s="22">
        <f t="shared" ref="AM221:CC221" si="1995">AM207+AM209</f>
        <v>27.17223767238599</v>
      </c>
      <c r="AN221" s="22">
        <f t="shared" si="1995"/>
        <v>369.11776232761514</v>
      </c>
      <c r="AO221" s="22">
        <f t="shared" si="1995"/>
        <v>334.70443170422902</v>
      </c>
      <c r="AP221" s="22">
        <f t="shared" si="1995"/>
        <v>-600.95443170422982</v>
      </c>
      <c r="AQ221" s="22">
        <f t="shared" si="1995"/>
        <v>49.713543228440059</v>
      </c>
      <c r="AR221" s="22">
        <f t="shared" si="1995"/>
        <v>469.04645677155929</v>
      </c>
      <c r="AS221" s="22">
        <f t="shared" si="1995"/>
        <v>379.39179417532938</v>
      </c>
      <c r="AT221" s="22">
        <f t="shared" si="1995"/>
        <v>-667.21179417532801</v>
      </c>
      <c r="AU221" s="22">
        <f t="shared" si="1995"/>
        <v>56.813751824894794</v>
      </c>
      <c r="AV221" s="22">
        <f t="shared" si="1995"/>
        <v>453.01624817510458</v>
      </c>
      <c r="AW221" s="22">
        <f t="shared" si="1995"/>
        <v>488.24858414058031</v>
      </c>
      <c r="AX221" s="22">
        <f t="shared" si="1995"/>
        <v>-363.79858414058134</v>
      </c>
      <c r="AY221" s="22">
        <f t="shared" si="1995"/>
        <v>238.96948630875326</v>
      </c>
      <c r="AZ221" s="22">
        <f t="shared" si="1995"/>
        <v>352.35051369124665</v>
      </c>
      <c r="BA221" s="22">
        <f t="shared" si="1995"/>
        <v>369.69364587649449</v>
      </c>
      <c r="BB221" s="22">
        <f t="shared" si="1995"/>
        <v>121.06635412350492</v>
      </c>
      <c r="BC221" s="22">
        <f t="shared" si="1995"/>
        <v>296.45425759026318</v>
      </c>
      <c r="BD221" s="22">
        <f t="shared" si="1995"/>
        <v>477.39574240973701</v>
      </c>
      <c r="BE221" s="22">
        <f t="shared" si="1995"/>
        <v>158.03128743233469</v>
      </c>
      <c r="BF221" s="22">
        <f t="shared" si="1995"/>
        <v>-225.85128743233423</v>
      </c>
      <c r="BG221" s="22">
        <f t="shared" si="1995"/>
        <v>197.95070335950794</v>
      </c>
      <c r="BH221" s="22">
        <f t="shared" si="1995"/>
        <v>-304.52070335950896</v>
      </c>
      <c r="BI221" s="22">
        <f t="shared" si="1995"/>
        <v>224.67596652630266</v>
      </c>
      <c r="BJ221" s="22">
        <f t="shared" si="1995"/>
        <v>-277.15596652630325</v>
      </c>
      <c r="BK221" s="22">
        <f t="shared" si="1995"/>
        <v>136.00292128060238</v>
      </c>
      <c r="BL221" s="22">
        <f t="shared" si="1995"/>
        <v>941.68707871939796</v>
      </c>
      <c r="BM221" s="22">
        <f t="shared" si="1995"/>
        <v>316.37963129629952</v>
      </c>
      <c r="BN221" s="22">
        <f t="shared" si="1995"/>
        <v>-378.8696312962993</v>
      </c>
      <c r="BO221" s="22">
        <f t="shared" si="1995"/>
        <v>-623.72824129116054</v>
      </c>
      <c r="BP221" s="22">
        <f t="shared" si="1995"/>
        <v>1435.2282412911609</v>
      </c>
      <c r="BQ221" s="22">
        <f t="shared" si="1995"/>
        <v>187.60951139490626</v>
      </c>
      <c r="BR221" s="22">
        <f t="shared" si="1995"/>
        <v>61.77048860509413</v>
      </c>
      <c r="BS221" s="22">
        <f t="shared" si="1995"/>
        <v>40.306560324501334</v>
      </c>
      <c r="BT221" s="22">
        <f t="shared" si="1995"/>
        <v>272.30343967549845</v>
      </c>
      <c r="BU221" s="22">
        <f t="shared" si="1995"/>
        <v>130.60006262193696</v>
      </c>
      <c r="BV221" s="22">
        <f t="shared" si="1995"/>
        <v>109.30993737806207</v>
      </c>
      <c r="BW221" s="22">
        <f t="shared" si="1995"/>
        <v>220.65991353051808</v>
      </c>
      <c r="BX221" s="22">
        <f t="shared" si="1995"/>
        <v>327.9100864694841</v>
      </c>
      <c r="BY221" s="22">
        <f t="shared" si="1995"/>
        <v>274.18193905006751</v>
      </c>
      <c r="BZ221" s="22">
        <f t="shared" si="1995"/>
        <v>345.3580609499312</v>
      </c>
      <c r="CA221" s="22">
        <f t="shared" si="1995"/>
        <v>374.92953508488711</v>
      </c>
      <c r="CB221" s="22">
        <f t="shared" si="1995"/>
        <v>416.33046491511323</v>
      </c>
      <c r="CC221" s="22">
        <f t="shared" si="1995"/>
        <v>487.63174684223634</v>
      </c>
      <c r="CD221" s="22">
        <f t="shared" ref="CD221:CE221" si="1996">CD207+CD209</f>
        <v>211.28825315776157</v>
      </c>
      <c r="CE221" s="22">
        <f t="shared" si="1996"/>
        <v>467.31703503528888</v>
      </c>
      <c r="CF221" s="22">
        <f t="shared" ref="CF221:CG221" si="1997">CF207+CF209</f>
        <v>266.25296496471145</v>
      </c>
      <c r="CG221" s="22">
        <f t="shared" si="1997"/>
        <v>547.21799285572183</v>
      </c>
      <c r="CH221" s="22">
        <f t="shared" ref="CH221:CI221" si="1998">CH207+CH209</f>
        <v>-85.777992855721322</v>
      </c>
      <c r="CI221" s="22">
        <f t="shared" si="1998"/>
        <v>414.88202806540141</v>
      </c>
      <c r="CJ221" s="22">
        <f t="shared" ref="CJ221:CZ221" si="1999">CJ207+CJ209</f>
        <v>416.51041685561756</v>
      </c>
      <c r="CK221" s="22">
        <f t="shared" si="1999"/>
        <v>1910.7783037626282</v>
      </c>
      <c r="CL221" s="21">
        <f t="shared" si="1999"/>
        <v>334.83334808651006</v>
      </c>
      <c r="CM221" s="21">
        <f t="shared" si="1999"/>
        <v>459.19879850676898</v>
      </c>
      <c r="CN221" s="21">
        <f t="shared" si="1999"/>
        <v>468.07828389815586</v>
      </c>
      <c r="CO221" s="21">
        <f t="shared" si="1999"/>
        <v>466.24666363127176</v>
      </c>
      <c r="CP221" s="21">
        <f t="shared" si="1999"/>
        <v>482.38777201213816</v>
      </c>
      <c r="CQ221" s="21">
        <f t="shared" si="1999"/>
        <v>592.01786039791443</v>
      </c>
      <c r="CR221" s="21">
        <f t="shared" si="1999"/>
        <v>590.97997830431677</v>
      </c>
      <c r="CS221" s="21">
        <f t="shared" si="1999"/>
        <v>531.67700991268623</v>
      </c>
      <c r="CT221" s="21">
        <f t="shared" si="1999"/>
        <v>551.74786010210994</v>
      </c>
      <c r="CU221" s="21">
        <f t="shared" si="1999"/>
        <v>649.49979998208494</v>
      </c>
      <c r="CV221" s="21">
        <f t="shared" si="1999"/>
        <v>631.62305457902937</v>
      </c>
      <c r="CW221" s="21">
        <f t="shared" si="1999"/>
        <v>573.19144500660514</v>
      </c>
      <c r="CX221" s="21">
        <f t="shared" si="1999"/>
        <v>653.13014414444524</v>
      </c>
      <c r="CY221" s="21">
        <f t="shared" si="1999"/>
        <v>763.37281999207926</v>
      </c>
      <c r="CZ221" s="21">
        <f t="shared" si="1999"/>
        <v>752.2226941339311</v>
      </c>
      <c r="DB221" s="126"/>
      <c r="DC221" s="22">
        <v>0</v>
      </c>
    </row>
    <row r="222" spans="1:107" x14ac:dyDescent="0.2">
      <c r="A222" s="152" t="s">
        <v>496</v>
      </c>
      <c r="Z222" s="2"/>
    </row>
    <row r="223" spans="1:107" x14ac:dyDescent="0.2">
      <c r="Z223" s="2"/>
    </row>
    <row r="224" spans="1:107" s="7" customFormat="1" hidden="1" outlineLevel="1" x14ac:dyDescent="0.2">
      <c r="A224" s="61" t="s">
        <v>97</v>
      </c>
      <c r="AA224" s="77"/>
      <c r="AB224" s="77"/>
      <c r="AC224" s="77"/>
      <c r="AD224" s="77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B224" s="138"/>
    </row>
    <row r="225" spans="1:107" s="62" customFormat="1" hidden="1" outlineLevel="1" x14ac:dyDescent="0.2">
      <c r="A225" s="62" t="s">
        <v>98</v>
      </c>
      <c r="AA225" s="63"/>
      <c r="AB225" s="63"/>
      <c r="AC225" s="63"/>
      <c r="AD225" s="63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B225" s="139"/>
    </row>
    <row r="226" spans="1:107" s="62" customFormat="1" hidden="1" outlineLevel="1" x14ac:dyDescent="0.2">
      <c r="A226" s="62" t="s">
        <v>99</v>
      </c>
      <c r="AA226" s="63"/>
      <c r="AB226" s="63"/>
      <c r="AC226" s="63"/>
      <c r="AD226" s="63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B226" s="139"/>
    </row>
    <row r="227" spans="1:107" s="62" customFormat="1" hidden="1" outlineLevel="1" x14ac:dyDescent="0.2">
      <c r="A227" s="62" t="s">
        <v>100</v>
      </c>
      <c r="AA227" s="63"/>
      <c r="AB227" s="63"/>
      <c r="AC227" s="63"/>
      <c r="AD227" s="63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B227" s="139"/>
    </row>
    <row r="228" spans="1:107" s="62" customFormat="1" hidden="1" outlineLevel="1" x14ac:dyDescent="0.2">
      <c r="AA228" s="63"/>
      <c r="AB228" s="63"/>
      <c r="AC228" s="63"/>
      <c r="AD228" s="63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B228" s="139"/>
    </row>
    <row r="229" spans="1:107" s="62" customFormat="1" hidden="1" outlineLevel="1" x14ac:dyDescent="0.2">
      <c r="AA229" s="63"/>
      <c r="AB229" s="63"/>
      <c r="AC229" s="63"/>
      <c r="AD229" s="63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B229" s="139"/>
    </row>
    <row r="230" spans="1:107" s="62" customFormat="1" hidden="1" outlineLevel="1" x14ac:dyDescent="0.2">
      <c r="AA230" s="63"/>
      <c r="AB230" s="63"/>
      <c r="AC230" s="63"/>
      <c r="AD230" s="63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B230" s="139"/>
    </row>
    <row r="231" spans="1:107" s="11" customFormat="1" collapsed="1" x14ac:dyDescent="0.2">
      <c r="AA231" s="63"/>
      <c r="AB231" s="63"/>
      <c r="AC231" s="63"/>
      <c r="AD231" s="63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B231" s="139"/>
    </row>
    <row r="232" spans="1:107" s="83" customFormat="1" x14ac:dyDescent="0.2">
      <c r="A232" s="82" t="s">
        <v>101</v>
      </c>
      <c r="AA232" s="72"/>
      <c r="AB232" s="72"/>
      <c r="AC232" s="72"/>
      <c r="AD232" s="72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B232" s="139"/>
    </row>
    <row r="233" spans="1:107" s="66" customFormat="1" x14ac:dyDescent="0.2">
      <c r="A233" s="66" t="s">
        <v>471</v>
      </c>
      <c r="AA233" s="50"/>
      <c r="AB233" s="50"/>
      <c r="AC233" s="50"/>
      <c r="AD233" s="50"/>
      <c r="AK233" s="66">
        <f t="shared" ref="AK233:BP233" si="2000">SUM(AH18:AK18)</f>
        <v>7755.75</v>
      </c>
      <c r="AL233" s="66">
        <f t="shared" si="2000"/>
        <v>7623.1100000000006</v>
      </c>
      <c r="AM233" s="66">
        <f t="shared" si="2000"/>
        <v>7600.4</v>
      </c>
      <c r="AN233" s="66">
        <f t="shared" si="2000"/>
        <v>7721.9900000000007</v>
      </c>
      <c r="AO233" s="66">
        <f t="shared" si="2000"/>
        <v>7568.63</v>
      </c>
      <c r="AP233" s="66">
        <f t="shared" si="2000"/>
        <v>7639.66</v>
      </c>
      <c r="AQ233" s="66">
        <f t="shared" si="2000"/>
        <v>7698.7300000000005</v>
      </c>
      <c r="AR233" s="66">
        <f t="shared" si="2000"/>
        <v>7733.27</v>
      </c>
      <c r="AS233" s="66">
        <f t="shared" si="2000"/>
        <v>7720.1299999999992</v>
      </c>
      <c r="AT233" s="66">
        <f t="shared" si="2000"/>
        <v>7829.57</v>
      </c>
      <c r="AU233" s="66">
        <f t="shared" si="2000"/>
        <v>7953.57</v>
      </c>
      <c r="AV233" s="66">
        <f t="shared" si="2000"/>
        <v>8140.27</v>
      </c>
      <c r="AW233" s="66">
        <f t="shared" si="2000"/>
        <v>8329.2200000000012</v>
      </c>
      <c r="AX233" s="66">
        <f t="shared" si="2000"/>
        <v>8492.25</v>
      </c>
      <c r="AY233" s="66">
        <f t="shared" si="2000"/>
        <v>8578.2899999999991</v>
      </c>
      <c r="AZ233" s="66">
        <f t="shared" si="2000"/>
        <v>8660.9600000000009</v>
      </c>
      <c r="BA233" s="66">
        <f t="shared" si="2000"/>
        <v>8808.630000000001</v>
      </c>
      <c r="BB233" s="66">
        <f t="shared" si="2000"/>
        <v>8947.32</v>
      </c>
      <c r="BC233" s="66">
        <f t="shared" si="2000"/>
        <v>8815.7100000000009</v>
      </c>
      <c r="BD233" s="66">
        <f t="shared" si="2000"/>
        <v>8016.68</v>
      </c>
      <c r="BE233" s="66">
        <f t="shared" si="2000"/>
        <v>7431.95</v>
      </c>
      <c r="BF233" s="66">
        <f t="shared" si="2000"/>
        <v>6864.33</v>
      </c>
      <c r="BG233" s="66">
        <f t="shared" si="2000"/>
        <v>6432.55</v>
      </c>
      <c r="BH233" s="66">
        <f t="shared" si="2000"/>
        <v>6690.12</v>
      </c>
      <c r="BI233" s="66">
        <f t="shared" si="2000"/>
        <v>6973.91</v>
      </c>
      <c r="BJ233" s="66">
        <f t="shared" si="2000"/>
        <v>7033.9400000000005</v>
      </c>
      <c r="BK233" s="66">
        <f t="shared" si="2000"/>
        <v>7287.94</v>
      </c>
      <c r="BL233" s="66">
        <f t="shared" si="2000"/>
        <v>7274.95</v>
      </c>
      <c r="BM233" s="66">
        <f t="shared" si="2000"/>
        <v>6946.94</v>
      </c>
      <c r="BN233" s="66">
        <f t="shared" si="2000"/>
        <v>6206.9699999999993</v>
      </c>
      <c r="BO233" s="66">
        <f t="shared" si="2000"/>
        <v>6073.5199999999995</v>
      </c>
      <c r="BP233" s="66">
        <f t="shared" si="2000"/>
        <v>5820.95</v>
      </c>
      <c r="BQ233" s="66">
        <f t="shared" ref="BQ233:CV233" si="2001">SUM(BN18:BQ18)</f>
        <v>5927.8600000000006</v>
      </c>
      <c r="BR233" s="66">
        <f t="shared" si="2001"/>
        <v>6367.04</v>
      </c>
      <c r="BS233" s="66">
        <f t="shared" si="2001"/>
        <v>6533.26</v>
      </c>
      <c r="BT233" s="66">
        <f t="shared" si="2001"/>
        <v>6934</v>
      </c>
      <c r="BU233" s="66">
        <f t="shared" si="2001"/>
        <v>7279.7100000000009</v>
      </c>
      <c r="BV233" s="66">
        <f t="shared" si="2001"/>
        <v>7952.6</v>
      </c>
      <c r="BW233" s="66">
        <f t="shared" si="2001"/>
        <v>8293.9500000000007</v>
      </c>
      <c r="BX233" s="66">
        <f t="shared" si="2001"/>
        <v>8619.36</v>
      </c>
      <c r="BY233" s="66">
        <f t="shared" si="2001"/>
        <v>9055.7099999999991</v>
      </c>
      <c r="BZ233" s="66">
        <f t="shared" si="2001"/>
        <v>9466.49</v>
      </c>
      <c r="CA233" s="66">
        <f t="shared" si="2001"/>
        <v>10115.94</v>
      </c>
      <c r="CB233" s="66">
        <f t="shared" si="2001"/>
        <v>10446.52</v>
      </c>
      <c r="CC233" s="66">
        <f t="shared" si="2001"/>
        <v>11115.669999999998</v>
      </c>
      <c r="CD233" s="66">
        <f t="shared" si="2001"/>
        <v>11437.900000000001</v>
      </c>
      <c r="CE233" s="66">
        <f t="shared" si="2001"/>
        <v>11580.869999999999</v>
      </c>
      <c r="CF233" s="66">
        <f t="shared" si="2001"/>
        <v>12188.31</v>
      </c>
      <c r="CG233" s="66">
        <f t="shared" si="2001"/>
        <v>12118.02</v>
      </c>
      <c r="CH233" s="66">
        <f t="shared" si="2001"/>
        <v>12462.6</v>
      </c>
      <c r="CI233" s="66">
        <f t="shared" si="2001"/>
        <v>12861.16</v>
      </c>
      <c r="CJ233" s="66">
        <f t="shared" si="2001"/>
        <v>13053.24</v>
      </c>
      <c r="CK233" s="66">
        <f t="shared" si="2001"/>
        <v>13227.23</v>
      </c>
      <c r="CL233" s="50">
        <f t="shared" si="2001"/>
        <v>13755.174495870215</v>
      </c>
      <c r="CM233" s="50">
        <f t="shared" si="2001"/>
        <v>14212.982579651209</v>
      </c>
      <c r="CN233" s="50">
        <f t="shared" si="2001"/>
        <v>14486.195556445347</v>
      </c>
      <c r="CO233" s="50">
        <f t="shared" si="2001"/>
        <v>15315.682900307467</v>
      </c>
      <c r="CP233" s="50">
        <f t="shared" si="2001"/>
        <v>16024.746833493857</v>
      </c>
      <c r="CQ233" s="50">
        <f t="shared" si="2001"/>
        <v>16601.561048314543</v>
      </c>
      <c r="CR233" s="50">
        <f t="shared" si="2001"/>
        <v>17087.61571927548</v>
      </c>
      <c r="CS233" s="50">
        <f t="shared" si="2001"/>
        <v>17651.802740173083</v>
      </c>
      <c r="CT233" s="50">
        <f t="shared" si="2001"/>
        <v>18195.885654225211</v>
      </c>
      <c r="CU233" s="50">
        <f t="shared" si="2001"/>
        <v>18714.967498174872</v>
      </c>
      <c r="CV233" s="50">
        <f t="shared" si="2001"/>
        <v>19227.546561005125</v>
      </c>
      <c r="CW233" s="50">
        <f t="shared" ref="CW233:CZ233" si="2002">SUM(CT18:CW18)</f>
        <v>20030.632392202031</v>
      </c>
      <c r="CX233" s="50">
        <f t="shared" si="2002"/>
        <v>20876.784949530567</v>
      </c>
      <c r="CY233" s="50">
        <f t="shared" si="2002"/>
        <v>21738.434044249239</v>
      </c>
      <c r="CZ233" s="50">
        <f t="shared" si="2002"/>
        <v>22645.674174925422</v>
      </c>
      <c r="DB233" s="138"/>
    </row>
    <row r="234" spans="1:107" s="66" customFormat="1" x14ac:dyDescent="0.2">
      <c r="A234" s="66" t="s">
        <v>472</v>
      </c>
      <c r="AA234" s="50"/>
      <c r="AB234" s="50"/>
      <c r="AC234" s="50"/>
      <c r="AD234" s="50"/>
      <c r="AK234" s="66">
        <f t="shared" ref="AK234:BP234" si="2003">SUM(AH36:AK36)</f>
        <v>346.13000000000011</v>
      </c>
      <c r="AL234" s="66">
        <f t="shared" si="2003"/>
        <v>348.02000000000021</v>
      </c>
      <c r="AM234" s="66">
        <f t="shared" si="2003"/>
        <v>387.05000000000064</v>
      </c>
      <c r="AN234" s="66">
        <f t="shared" si="2003"/>
        <v>469.9200000000003</v>
      </c>
      <c r="AO234" s="66">
        <f t="shared" si="2003"/>
        <v>488.48000000000036</v>
      </c>
      <c r="AP234" s="66">
        <f t="shared" si="2003"/>
        <v>506.41000000000008</v>
      </c>
      <c r="AQ234" s="66">
        <f t="shared" si="2003"/>
        <v>525.11999999999978</v>
      </c>
      <c r="AR234" s="66">
        <f t="shared" si="2003"/>
        <v>555.68999999999983</v>
      </c>
      <c r="AS234" s="66">
        <f t="shared" si="2003"/>
        <v>573.56999999999982</v>
      </c>
      <c r="AT234" s="66">
        <f t="shared" si="2003"/>
        <v>597.77000000000021</v>
      </c>
      <c r="AU234" s="66">
        <f t="shared" si="2003"/>
        <v>629.38000000000045</v>
      </c>
      <c r="AV234" s="66">
        <f t="shared" si="2003"/>
        <v>712.50000000000034</v>
      </c>
      <c r="AW234" s="66">
        <f t="shared" si="2003"/>
        <v>741.7900000000003</v>
      </c>
      <c r="AX234" s="66">
        <f t="shared" si="2003"/>
        <v>705.34999999999968</v>
      </c>
      <c r="AY234" s="66">
        <f t="shared" si="2003"/>
        <v>667.8599999999991</v>
      </c>
      <c r="AZ234" s="66">
        <f t="shared" si="2003"/>
        <v>694.51999999999907</v>
      </c>
      <c r="BA234" s="66">
        <f t="shared" si="2003"/>
        <v>682.51999999999941</v>
      </c>
      <c r="BB234" s="66">
        <f t="shared" si="2003"/>
        <v>716.26999999999907</v>
      </c>
      <c r="BC234" s="66">
        <f t="shared" si="2003"/>
        <v>732.16999999999916</v>
      </c>
      <c r="BD234" s="66">
        <f t="shared" si="2003"/>
        <v>587.94999999999925</v>
      </c>
      <c r="BE234" s="66">
        <f t="shared" si="2003"/>
        <v>516.53999999999894</v>
      </c>
      <c r="BF234" s="66">
        <f t="shared" si="2003"/>
        <v>458.58999999999935</v>
      </c>
      <c r="BG234" s="66">
        <f t="shared" si="2003"/>
        <v>389.16999999999973</v>
      </c>
      <c r="BH234" s="66">
        <f t="shared" si="2003"/>
        <v>459.00999999999993</v>
      </c>
      <c r="BI234" s="66">
        <f t="shared" si="2003"/>
        <v>515.04999999999995</v>
      </c>
      <c r="BJ234" s="66">
        <f t="shared" si="2003"/>
        <v>549.55000000000018</v>
      </c>
      <c r="BK234" s="66">
        <f t="shared" si="2003"/>
        <v>608.18000000000006</v>
      </c>
      <c r="BL234" s="66">
        <f t="shared" si="2003"/>
        <v>531.14999999999986</v>
      </c>
      <c r="BM234" s="66">
        <f t="shared" si="2003"/>
        <v>400.12999999999977</v>
      </c>
      <c r="BN234" s="66">
        <f t="shared" si="2003"/>
        <v>299.69999999999982</v>
      </c>
      <c r="BO234" s="66">
        <f t="shared" si="2003"/>
        <v>297.73999999999978</v>
      </c>
      <c r="BP234" s="66">
        <f t="shared" si="2003"/>
        <v>244.64999999999975</v>
      </c>
      <c r="BQ234" s="66">
        <f t="shared" ref="BQ234:CV234" si="2004">SUM(BN36:BQ36)</f>
        <v>333.68999999999983</v>
      </c>
      <c r="BR234" s="66">
        <f t="shared" si="2004"/>
        <v>404.99999999999989</v>
      </c>
      <c r="BS234" s="66">
        <f t="shared" si="2004"/>
        <v>464.91000000000008</v>
      </c>
      <c r="BT234" s="66">
        <f t="shared" si="2004"/>
        <v>564.80000000000007</v>
      </c>
      <c r="BU234" s="66">
        <f t="shared" si="2004"/>
        <v>648.9899999999999</v>
      </c>
      <c r="BV234" s="66">
        <f t="shared" si="2004"/>
        <v>760.73999999999978</v>
      </c>
      <c r="BW234" s="66">
        <f t="shared" si="2004"/>
        <v>790.37999999999943</v>
      </c>
      <c r="BX234" s="66">
        <f t="shared" si="2004"/>
        <v>969.46</v>
      </c>
      <c r="BY234" s="66">
        <f t="shared" si="2004"/>
        <v>1067.04</v>
      </c>
      <c r="BZ234" s="66">
        <f t="shared" si="2004"/>
        <v>1209.2600000000002</v>
      </c>
      <c r="CA234" s="66">
        <f t="shared" si="2004"/>
        <v>1436.8400000000004</v>
      </c>
      <c r="CB234" s="66">
        <f t="shared" si="2004"/>
        <v>1489.7799999999997</v>
      </c>
      <c r="CC234" s="66">
        <f t="shared" si="2004"/>
        <v>1769.6499999999999</v>
      </c>
      <c r="CD234" s="66">
        <f t="shared" si="2004"/>
        <v>1963.4199999999996</v>
      </c>
      <c r="CE234" s="66">
        <f t="shared" si="2004"/>
        <v>2065.1099999999997</v>
      </c>
      <c r="CF234" s="66">
        <f t="shared" si="2004"/>
        <v>2305.2300000000005</v>
      </c>
      <c r="CG234" s="66">
        <f t="shared" si="2004"/>
        <v>2299.650000000001</v>
      </c>
      <c r="CH234" s="66">
        <f t="shared" si="2004"/>
        <v>2171.2500000000009</v>
      </c>
      <c r="CI234" s="66">
        <f t="shared" si="2004"/>
        <v>2131.4200000000005</v>
      </c>
      <c r="CJ234" s="66">
        <f t="shared" si="2004"/>
        <v>2086.27</v>
      </c>
      <c r="CK234" s="66">
        <f t="shared" si="2004"/>
        <v>1935.0699999999995</v>
      </c>
      <c r="CL234" s="50">
        <f t="shared" si="2004"/>
        <v>2049.690703605404</v>
      </c>
      <c r="CM234" s="50">
        <f t="shared" si="2004"/>
        <v>2099.0873094673943</v>
      </c>
      <c r="CN234" s="50">
        <f t="shared" si="2004"/>
        <v>2040.5153213974961</v>
      </c>
      <c r="CO234" s="50">
        <f t="shared" si="2004"/>
        <v>2217.8519740388988</v>
      </c>
      <c r="CP234" s="50">
        <f t="shared" si="2004"/>
        <v>2352.0949137990156</v>
      </c>
      <c r="CQ234" s="50">
        <f t="shared" si="2004"/>
        <v>2463.1649478578975</v>
      </c>
      <c r="CR234" s="50">
        <f t="shared" si="2004"/>
        <v>2572.5674646154957</v>
      </c>
      <c r="CS234" s="50">
        <f t="shared" si="2004"/>
        <v>2651.1066221331139</v>
      </c>
      <c r="CT234" s="50">
        <f t="shared" si="2004"/>
        <v>2706.3647387833817</v>
      </c>
      <c r="CU234" s="50">
        <f t="shared" si="2004"/>
        <v>2743.7360817711028</v>
      </c>
      <c r="CV234" s="50">
        <f t="shared" si="2004"/>
        <v>2763.3100696028973</v>
      </c>
      <c r="CW234" s="50">
        <f t="shared" ref="CW234:CZ234" si="2005">SUM(CT36:CW36)</f>
        <v>2872.4024385645521</v>
      </c>
      <c r="CX234" s="50">
        <f t="shared" si="2005"/>
        <v>2986.1852024121367</v>
      </c>
      <c r="CY234" s="50">
        <f t="shared" si="2005"/>
        <v>3106.7897364907044</v>
      </c>
      <c r="CZ234" s="50">
        <f t="shared" si="2005"/>
        <v>3243.6911370697653</v>
      </c>
      <c r="DB234" s="138"/>
    </row>
    <row r="235" spans="1:107" s="66" customFormat="1" x14ac:dyDescent="0.2">
      <c r="A235" s="66" t="s">
        <v>473</v>
      </c>
      <c r="AA235" s="50"/>
      <c r="AB235" s="50"/>
      <c r="AC235" s="50"/>
      <c r="AD235" s="50"/>
      <c r="AK235" s="66">
        <f t="shared" ref="AK235:BP235" si="2006">SUM(AH49:AK49)</f>
        <v>132.83000000000013</v>
      </c>
      <c r="AL235" s="66">
        <f t="shared" si="2006"/>
        <v>120.83000000000021</v>
      </c>
      <c r="AM235" s="66">
        <f t="shared" si="2006"/>
        <v>135.07000000000065</v>
      </c>
      <c r="AN235" s="66">
        <f t="shared" si="2006"/>
        <v>176.8900000000003</v>
      </c>
      <c r="AO235" s="66">
        <f t="shared" si="2006"/>
        <v>185.51000000000036</v>
      </c>
      <c r="AP235" s="66">
        <f t="shared" si="2006"/>
        <v>193.57000000000008</v>
      </c>
      <c r="AQ235" s="66">
        <f t="shared" si="2006"/>
        <v>202.93999999999977</v>
      </c>
      <c r="AR235" s="66">
        <f t="shared" si="2006"/>
        <v>228.50999999999985</v>
      </c>
      <c r="AS235" s="66">
        <f t="shared" si="2006"/>
        <v>231.11999999999983</v>
      </c>
      <c r="AT235" s="66">
        <f t="shared" si="2006"/>
        <v>240.88000000000022</v>
      </c>
      <c r="AU235" s="66">
        <f t="shared" si="2006"/>
        <v>254.6400000000005</v>
      </c>
      <c r="AV235" s="66">
        <f t="shared" si="2006"/>
        <v>299.88000000000034</v>
      </c>
      <c r="AW235" s="66">
        <f t="shared" si="2006"/>
        <v>331.0400000000003</v>
      </c>
      <c r="AX235" s="66">
        <f t="shared" si="2006"/>
        <v>329.22999999999968</v>
      </c>
      <c r="AY235" s="66">
        <f t="shared" si="2006"/>
        <v>341.05999999999909</v>
      </c>
      <c r="AZ235" s="66">
        <f t="shared" si="2006"/>
        <v>374.46999999999912</v>
      </c>
      <c r="BA235" s="66">
        <f t="shared" si="2006"/>
        <v>378.99999999999937</v>
      </c>
      <c r="BB235" s="66">
        <f t="shared" si="2006"/>
        <v>398.41999999999905</v>
      </c>
      <c r="BC235" s="66">
        <f t="shared" si="2006"/>
        <v>411.23999999999916</v>
      </c>
      <c r="BD235" s="66">
        <f t="shared" si="2006"/>
        <v>330.05999999999921</v>
      </c>
      <c r="BE235" s="66">
        <f t="shared" si="2006"/>
        <v>285.67999999999893</v>
      </c>
      <c r="BF235" s="66">
        <f t="shared" si="2006"/>
        <v>255.04999999999939</v>
      </c>
      <c r="BG235" s="66">
        <f t="shared" si="2006"/>
        <v>207.38999999999973</v>
      </c>
      <c r="BH235" s="66">
        <f t="shared" si="2006"/>
        <v>254.39999999999992</v>
      </c>
      <c r="BI235" s="66">
        <f t="shared" si="2006"/>
        <v>297.82</v>
      </c>
      <c r="BJ235" s="66">
        <f t="shared" si="2006"/>
        <v>323.13000000000022</v>
      </c>
      <c r="BK235" s="66">
        <f t="shared" si="2006"/>
        <v>366.21000000000009</v>
      </c>
      <c r="BL235" s="66">
        <f t="shared" si="2006"/>
        <v>371.92999999999984</v>
      </c>
      <c r="BM235" s="66">
        <f t="shared" si="2006"/>
        <v>292.11999999999972</v>
      </c>
      <c r="BN235" s="66">
        <f t="shared" si="2006"/>
        <v>237.12999999999982</v>
      </c>
      <c r="BO235" s="66">
        <f t="shared" si="2006"/>
        <v>243.80999999999983</v>
      </c>
      <c r="BP235" s="66">
        <f t="shared" si="2006"/>
        <v>171.64999999999978</v>
      </c>
      <c r="BQ235" s="66">
        <f t="shared" ref="BQ235:CV235" si="2007">SUM(BN49:BQ49)</f>
        <v>238.52999999999983</v>
      </c>
      <c r="BR235" s="66">
        <f t="shared" si="2007"/>
        <v>292.09999999999991</v>
      </c>
      <c r="BS235" s="66">
        <f t="shared" si="2007"/>
        <v>326.58000000000004</v>
      </c>
      <c r="BT235" s="66">
        <f t="shared" si="2007"/>
        <v>411.15000000000003</v>
      </c>
      <c r="BU235" s="66">
        <f t="shared" si="2007"/>
        <v>411.78999999999985</v>
      </c>
      <c r="BV235" s="66">
        <f t="shared" si="2007"/>
        <v>495.91999999999985</v>
      </c>
      <c r="BW235" s="66">
        <f t="shared" si="2007"/>
        <v>532.5399999999994</v>
      </c>
      <c r="BX235" s="66">
        <f t="shared" si="2007"/>
        <v>691.68000000000006</v>
      </c>
      <c r="BY235" s="66">
        <f t="shared" si="2007"/>
        <v>860.11999999999989</v>
      </c>
      <c r="BZ235" s="66">
        <f t="shared" si="2007"/>
        <v>1003.48</v>
      </c>
      <c r="CA235" s="66">
        <f t="shared" si="2007"/>
        <v>1208.8900000000003</v>
      </c>
      <c r="CB235" s="66">
        <f t="shared" si="2007"/>
        <v>1248.1799999999996</v>
      </c>
      <c r="CC235" s="66">
        <f t="shared" si="2007"/>
        <v>1462.6099999999997</v>
      </c>
      <c r="CD235" s="66">
        <f t="shared" si="2007"/>
        <v>1609.4299999999996</v>
      </c>
      <c r="CE235" s="66">
        <f t="shared" si="2007"/>
        <v>1687.8999999999999</v>
      </c>
      <c r="CF235" s="66">
        <f t="shared" si="2007"/>
        <v>1874.6100000000004</v>
      </c>
      <c r="CG235" s="66">
        <f t="shared" si="2007"/>
        <v>1872.3200000000011</v>
      </c>
      <c r="CH235" s="66">
        <f t="shared" si="2007"/>
        <v>1781.7700000000009</v>
      </c>
      <c r="CI235" s="66">
        <f t="shared" si="2007"/>
        <v>1750.1800000000003</v>
      </c>
      <c r="CJ235" s="66">
        <f t="shared" si="2007"/>
        <v>1718.5300000000002</v>
      </c>
      <c r="CK235" s="66">
        <f t="shared" si="2007"/>
        <v>1603.1299999999997</v>
      </c>
      <c r="CL235" s="50">
        <f t="shared" si="2007"/>
        <v>1703.435282677304</v>
      </c>
      <c r="CM235" s="50">
        <f t="shared" si="2007"/>
        <v>1768.0961317668584</v>
      </c>
      <c r="CN235" s="50">
        <f t="shared" si="2007"/>
        <v>1749.4931579222416</v>
      </c>
      <c r="CO235" s="50">
        <f t="shared" si="2007"/>
        <v>1915.07353048758</v>
      </c>
      <c r="CP235" s="50">
        <f t="shared" si="2007"/>
        <v>2035.3372211475019</v>
      </c>
      <c r="CQ235" s="50">
        <f t="shared" si="2007"/>
        <v>2138.173972800279</v>
      </c>
      <c r="CR235" s="50">
        <f t="shared" si="2007"/>
        <v>2240.5203119432363</v>
      </c>
      <c r="CS235" s="50">
        <f t="shared" si="2007"/>
        <v>2323.7797154350719</v>
      </c>
      <c r="CT235" s="50">
        <f t="shared" si="2007"/>
        <v>2388.6374573748094</v>
      </c>
      <c r="CU235" s="50">
        <f t="shared" si="2007"/>
        <v>2440.5010431225978</v>
      </c>
      <c r="CV235" s="50">
        <f t="shared" si="2007"/>
        <v>2479.7274274193919</v>
      </c>
      <c r="CW235" s="50">
        <f t="shared" ref="CW235:CZ235" si="2008">SUM(CT49:CW49)</f>
        <v>2587.3301544791793</v>
      </c>
      <c r="CX235" s="50">
        <f t="shared" si="2008"/>
        <v>2698.5571593794634</v>
      </c>
      <c r="CY235" s="50">
        <f t="shared" si="2008"/>
        <v>2816.0059566139553</v>
      </c>
      <c r="CZ235" s="50">
        <f t="shared" si="2008"/>
        <v>2947.0192232300847</v>
      </c>
      <c r="DB235" s="138"/>
    </row>
    <row r="236" spans="1:107" s="93" customFormat="1" x14ac:dyDescent="0.2">
      <c r="AA236" s="30"/>
      <c r="AB236" s="30"/>
      <c r="AC236" s="30"/>
      <c r="AD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B236" s="139"/>
    </row>
    <row r="237" spans="1:107" s="11" customFormat="1" x14ac:dyDescent="0.2">
      <c r="AA237" s="63"/>
      <c r="AB237" s="63"/>
      <c r="AC237" s="63"/>
      <c r="AD237" s="63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B237" s="139"/>
    </row>
    <row r="238" spans="1:107" s="62" customFormat="1" hidden="1" outlineLevel="1" x14ac:dyDescent="0.2">
      <c r="A238" s="61" t="s">
        <v>339</v>
      </c>
      <c r="AA238" s="63"/>
      <c r="AB238" s="63"/>
      <c r="AC238" s="63"/>
      <c r="AD238" s="63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B238" s="139"/>
    </row>
    <row r="239" spans="1:107" s="64" customFormat="1" hidden="1" outlineLevel="1" x14ac:dyDescent="0.2">
      <c r="A239" s="64" t="s">
        <v>474</v>
      </c>
      <c r="B239" s="64">
        <f t="shared" ref="B239:Y239" si="2009">B16-B245</f>
        <v>1041.5989999999999</v>
      </c>
      <c r="C239" s="64">
        <f t="shared" si="2009"/>
        <v>1175.7575999999999</v>
      </c>
      <c r="D239" s="64">
        <f t="shared" si="2009"/>
        <v>1576.73</v>
      </c>
      <c r="E239" s="64">
        <f t="shared" si="2009"/>
        <v>2445.7977000000001</v>
      </c>
      <c r="F239" s="64">
        <f t="shared" si="2009"/>
        <v>3199.9328</v>
      </c>
      <c r="G239" s="64">
        <f t="shared" si="2009"/>
        <v>4604.5614999999998</v>
      </c>
      <c r="H239" s="64">
        <f t="shared" si="2009"/>
        <v>6383.2682000000004</v>
      </c>
      <c r="I239" s="64">
        <f t="shared" si="2009"/>
        <v>7340.2390999999998</v>
      </c>
      <c r="J239" s="64">
        <f t="shared" si="2009"/>
        <v>6494.5709999999999</v>
      </c>
      <c r="K239" s="64">
        <f t="shared" si="2009"/>
        <v>6609.3153000000002</v>
      </c>
      <c r="L239" s="64">
        <f t="shared" si="2009"/>
        <v>7451.79</v>
      </c>
      <c r="M239" s="64">
        <f t="shared" si="2009"/>
        <v>7610.48</v>
      </c>
      <c r="N239" s="64">
        <f t="shared" si="2009"/>
        <v>8196.77</v>
      </c>
      <c r="O239" s="64">
        <f t="shared" si="2009"/>
        <v>8156.91</v>
      </c>
      <c r="P239" s="64">
        <f t="shared" si="2009"/>
        <v>8670.7000000000007</v>
      </c>
      <c r="Q239" s="64">
        <f t="shared" si="2009"/>
        <v>9183.52</v>
      </c>
      <c r="R239" s="64">
        <f t="shared" si="2009"/>
        <v>6287.49</v>
      </c>
      <c r="S239" s="64">
        <f t="shared" si="2009"/>
        <v>6690.12</v>
      </c>
      <c r="T239" s="64">
        <f t="shared" si="2009"/>
        <v>7315.06</v>
      </c>
      <c r="U239" s="64">
        <f t="shared" si="2009"/>
        <v>5820.95</v>
      </c>
      <c r="V239" s="64">
        <f t="shared" si="2009"/>
        <v>6934</v>
      </c>
      <c r="W239" s="64">
        <f t="shared" si="2009"/>
        <v>8567.5300000000007</v>
      </c>
      <c r="X239" s="64">
        <f t="shared" si="2009"/>
        <v>10555.11</v>
      </c>
      <c r="Y239" s="64">
        <f t="shared" si="2009"/>
        <v>12279.78</v>
      </c>
      <c r="Z239" s="64">
        <f t="shared" ref="Z239" si="2010">Z16-Z245</f>
        <v>13280.31</v>
      </c>
      <c r="AA239" s="30"/>
      <c r="AB239" s="30"/>
      <c r="AC239" s="30"/>
      <c r="AD239" s="30"/>
      <c r="AH239" s="64">
        <f t="shared" ref="AH239:BM239" si="2011">AH16-AH245</f>
        <v>1883.79</v>
      </c>
      <c r="AI239" s="64">
        <f t="shared" si="2011"/>
        <v>1808.61</v>
      </c>
      <c r="AJ239" s="64">
        <f t="shared" si="2011"/>
        <v>2082.2800000000002</v>
      </c>
      <c r="AK239" s="64">
        <f t="shared" si="2011"/>
        <v>1981.07</v>
      </c>
      <c r="AL239" s="64">
        <f t="shared" si="2011"/>
        <v>1751.15</v>
      </c>
      <c r="AM239" s="64">
        <f t="shared" si="2011"/>
        <v>1785.9</v>
      </c>
      <c r="AN239" s="64">
        <f t="shared" si="2011"/>
        <v>2203.87</v>
      </c>
      <c r="AO239" s="64">
        <f t="shared" si="2011"/>
        <v>1827.71</v>
      </c>
      <c r="AP239" s="64">
        <f t="shared" si="2011"/>
        <v>1822.18</v>
      </c>
      <c r="AQ239" s="64">
        <f t="shared" si="2011"/>
        <v>1844.97</v>
      </c>
      <c r="AR239" s="64">
        <f t="shared" si="2011"/>
        <v>2238.41</v>
      </c>
      <c r="AS239" s="64">
        <f t="shared" si="2011"/>
        <v>1814.57</v>
      </c>
      <c r="AT239" s="64">
        <f t="shared" si="2011"/>
        <v>1931.6200000000001</v>
      </c>
      <c r="AU239" s="64">
        <f t="shared" si="2011"/>
        <v>1968.97</v>
      </c>
      <c r="AV239" s="64">
        <f t="shared" si="2011"/>
        <v>2586.98</v>
      </c>
      <c r="AW239" s="64">
        <f t="shared" si="2011"/>
        <v>2123.61</v>
      </c>
      <c r="AX239" s="64">
        <f t="shared" si="2011"/>
        <v>2226.2399999999998</v>
      </c>
      <c r="AY239" s="64">
        <f t="shared" si="2011"/>
        <v>2197.64</v>
      </c>
      <c r="AZ239" s="64">
        <f t="shared" si="2011"/>
        <v>2654.78</v>
      </c>
      <c r="BA239" s="64">
        <f t="shared" si="2011"/>
        <v>2301.1800000000003</v>
      </c>
      <c r="BB239" s="64">
        <f t="shared" si="2011"/>
        <v>2371.1299999999997</v>
      </c>
      <c r="BC239" s="64">
        <f t="shared" si="2011"/>
        <v>1923.3999999999999</v>
      </c>
      <c r="BD239" s="64">
        <f t="shared" si="2011"/>
        <v>1708.75</v>
      </c>
      <c r="BE239" s="64">
        <f t="shared" si="2011"/>
        <v>1566.46</v>
      </c>
      <c r="BF239" s="64">
        <f t="shared" si="2011"/>
        <v>1665.7199999999998</v>
      </c>
      <c r="BG239" s="64">
        <f t="shared" si="2011"/>
        <v>1491.6200000000001</v>
      </c>
      <c r="BH239" s="64">
        <f t="shared" si="2011"/>
        <v>1966.32</v>
      </c>
      <c r="BI239" s="64">
        <f t="shared" si="2011"/>
        <v>1850.25</v>
      </c>
      <c r="BJ239" s="64">
        <f t="shared" si="2011"/>
        <v>1725.75</v>
      </c>
      <c r="BK239" s="64">
        <f t="shared" si="2011"/>
        <v>1745.62</v>
      </c>
      <c r="BL239" s="64">
        <f t="shared" si="2011"/>
        <v>1953.33</v>
      </c>
      <c r="BM239" s="64">
        <f t="shared" si="2011"/>
        <v>1522.24</v>
      </c>
      <c r="BN239" s="64">
        <f t="shared" ref="BN239:CS239" si="2012">BN16-BN245</f>
        <v>985.78</v>
      </c>
      <c r="BO239" s="64">
        <f t="shared" si="2012"/>
        <v>1612.1699999999998</v>
      </c>
      <c r="BP239" s="64">
        <f t="shared" si="2012"/>
        <v>1700.76</v>
      </c>
      <c r="BQ239" s="64">
        <f t="shared" si="2012"/>
        <v>1629.15</v>
      </c>
      <c r="BR239" s="64">
        <f t="shared" si="2012"/>
        <v>1424.96</v>
      </c>
      <c r="BS239" s="64">
        <f t="shared" si="2012"/>
        <v>1778.39</v>
      </c>
      <c r="BT239" s="64">
        <f t="shared" si="2012"/>
        <v>2101.5</v>
      </c>
      <c r="BU239" s="64">
        <f t="shared" si="2012"/>
        <v>1974.8600000000001</v>
      </c>
      <c r="BV239" s="64">
        <f t="shared" si="2012"/>
        <v>2097.85</v>
      </c>
      <c r="BW239" s="64">
        <f t="shared" si="2012"/>
        <v>2119.7399999999998</v>
      </c>
      <c r="BX239" s="64">
        <f t="shared" si="2012"/>
        <v>2426.9100000000003</v>
      </c>
      <c r="BY239" s="64">
        <f t="shared" si="2012"/>
        <v>2411.21</v>
      </c>
      <c r="BZ239" s="64">
        <f t="shared" si="2012"/>
        <v>2508.63</v>
      </c>
      <c r="CA239" s="64">
        <f t="shared" si="2012"/>
        <v>2769.19</v>
      </c>
      <c r="CB239" s="64">
        <f t="shared" si="2012"/>
        <v>2757.49</v>
      </c>
      <c r="CC239" s="64">
        <f t="shared" si="2012"/>
        <v>3080.3599999999997</v>
      </c>
      <c r="CD239" s="64">
        <f t="shared" si="2012"/>
        <v>2830.86</v>
      </c>
      <c r="CE239" s="64">
        <f t="shared" si="2012"/>
        <v>2912.1600000000003</v>
      </c>
      <c r="CF239" s="64">
        <f t="shared" si="2012"/>
        <v>3364.9300000000003</v>
      </c>
      <c r="CG239" s="64">
        <f t="shared" si="2012"/>
        <v>3010.07</v>
      </c>
      <c r="CH239" s="64">
        <f t="shared" si="2012"/>
        <v>3175.44</v>
      </c>
      <c r="CI239" s="64">
        <f t="shared" si="2012"/>
        <v>3310.72</v>
      </c>
      <c r="CJ239" s="64">
        <f t="shared" si="2012"/>
        <v>3557.01</v>
      </c>
      <c r="CK239" s="64">
        <f t="shared" ref="CK239" si="2013">CK16-CK245</f>
        <v>3184.06</v>
      </c>
      <c r="CL239" s="30">
        <f t="shared" si="2012"/>
        <v>3703.3844958702148</v>
      </c>
      <c r="CM239" s="30">
        <f t="shared" si="2012"/>
        <v>3768.5280837809951</v>
      </c>
      <c r="CN239" s="30">
        <f t="shared" si="2012"/>
        <v>3830.2229767941376</v>
      </c>
      <c r="CO239" s="30">
        <f t="shared" si="2012"/>
        <v>4013.5473438621184</v>
      </c>
      <c r="CP239" s="30">
        <f t="shared" si="2012"/>
        <v>4412.448429056607</v>
      </c>
      <c r="CQ239" s="30">
        <f t="shared" si="2012"/>
        <v>4345.3422986016785</v>
      </c>
      <c r="CR239" s="30">
        <f t="shared" si="2012"/>
        <v>4316.277647755076</v>
      </c>
      <c r="CS239" s="30">
        <f t="shared" si="2012"/>
        <v>4577.7343647597218</v>
      </c>
      <c r="CT239" s="30">
        <f t="shared" ref="CT239:CZ239" si="2014">CT16-CT245</f>
        <v>4956.5313431087325</v>
      </c>
      <c r="CU239" s="30">
        <f t="shared" si="2014"/>
        <v>4864.4241425513419</v>
      </c>
      <c r="CV239" s="30">
        <f t="shared" si="2014"/>
        <v>4828.8567105853272</v>
      </c>
      <c r="CW239" s="30">
        <f t="shared" si="2014"/>
        <v>5380.8201959566304</v>
      </c>
      <c r="CX239" s="30">
        <f t="shared" si="2014"/>
        <v>5802.6839004372678</v>
      </c>
      <c r="CY239" s="30">
        <f t="shared" si="2014"/>
        <v>5726.0732372700159</v>
      </c>
      <c r="CZ239" s="30">
        <f t="shared" si="2014"/>
        <v>5736.0968412615084</v>
      </c>
      <c r="DB239" s="139"/>
      <c r="DC239" s="64">
        <v>0</v>
      </c>
    </row>
    <row r="240" spans="1:107" s="64" customFormat="1" hidden="1" outlineLevel="1" x14ac:dyDescent="0.2">
      <c r="A240" s="64" t="s">
        <v>475</v>
      </c>
      <c r="B240" s="64">
        <f t="shared" ref="B240:Y240" si="2015">B36-B246</f>
        <v>100.97009999999989</v>
      </c>
      <c r="C240" s="64">
        <f t="shared" si="2015"/>
        <v>119.31719999999996</v>
      </c>
      <c r="D240" s="64">
        <f t="shared" si="2015"/>
        <v>141.91089999999997</v>
      </c>
      <c r="E240" s="64">
        <f t="shared" si="2015"/>
        <v>218.36289999999985</v>
      </c>
      <c r="F240" s="64">
        <f t="shared" si="2015"/>
        <v>324.93209999999999</v>
      </c>
      <c r="G240" s="64">
        <f t="shared" si="2015"/>
        <v>481.32939999999962</v>
      </c>
      <c r="H240" s="64">
        <f t="shared" si="2015"/>
        <v>739.74040000000059</v>
      </c>
      <c r="I240" s="64">
        <f t="shared" si="2015"/>
        <v>788.88479999999981</v>
      </c>
      <c r="J240" s="64">
        <f t="shared" si="2015"/>
        <v>547.68080000000009</v>
      </c>
      <c r="K240" s="64">
        <f t="shared" si="2015"/>
        <v>101.35340000000042</v>
      </c>
      <c r="L240" s="64">
        <f t="shared" si="2015"/>
        <v>352.78999999999996</v>
      </c>
      <c r="M240" s="64">
        <f t="shared" si="2015"/>
        <v>355.34999999999991</v>
      </c>
      <c r="N240" s="64">
        <f t="shared" si="2015"/>
        <v>484.83999999999969</v>
      </c>
      <c r="O240" s="64">
        <f t="shared" si="2015"/>
        <v>571.75000000000045</v>
      </c>
      <c r="P240" s="64">
        <f t="shared" si="2015"/>
        <v>721.28000000000156</v>
      </c>
      <c r="Q240" s="64">
        <f t="shared" si="2015"/>
        <v>710.24000000000115</v>
      </c>
      <c r="R240" s="64">
        <f t="shared" si="2015"/>
        <v>409.79999999999995</v>
      </c>
      <c r="S240" s="64">
        <f t="shared" si="2015"/>
        <v>464.11000000000058</v>
      </c>
      <c r="T240" s="64">
        <f t="shared" si="2015"/>
        <v>509.09000000000015</v>
      </c>
      <c r="U240" s="64">
        <f t="shared" si="2015"/>
        <v>265.57000000000016</v>
      </c>
      <c r="V240" s="64">
        <f t="shared" si="2015"/>
        <v>515.45999999999981</v>
      </c>
      <c r="W240" s="64">
        <f t="shared" si="2015"/>
        <v>910.10000000000127</v>
      </c>
      <c r="X240" s="64">
        <f t="shared" si="2015"/>
        <v>1489.7800000000007</v>
      </c>
      <c r="Y240" s="64">
        <f t="shared" si="2015"/>
        <v>2296.4600000000009</v>
      </c>
      <c r="Z240" s="64">
        <f t="shared" ref="Z240" si="2016">Z36-Z246</f>
        <v>2010.0999999999995</v>
      </c>
      <c r="AA240" s="30"/>
      <c r="AB240" s="30"/>
      <c r="AC240" s="30"/>
      <c r="AD240" s="30"/>
      <c r="AH240" s="64">
        <f t="shared" ref="AH240:BM240" si="2017">AH36-AH246</f>
        <v>105.99000000000012</v>
      </c>
      <c r="AI240" s="64">
        <f t="shared" si="2017"/>
        <v>66.389999999999759</v>
      </c>
      <c r="AJ240" s="64">
        <f t="shared" si="2017"/>
        <v>66.590000000000259</v>
      </c>
      <c r="AK240" s="64">
        <f t="shared" si="2017"/>
        <v>107.15999999999997</v>
      </c>
      <c r="AL240" s="64">
        <f t="shared" si="2017"/>
        <v>107.88000000000022</v>
      </c>
      <c r="AM240" s="64">
        <f t="shared" si="2017"/>
        <v>105.42000000000019</v>
      </c>
      <c r="AN240" s="64">
        <f t="shared" si="2017"/>
        <v>149.45999999999992</v>
      </c>
      <c r="AO240" s="64">
        <f t="shared" si="2017"/>
        <v>125.72000000000003</v>
      </c>
      <c r="AP240" s="64">
        <f t="shared" si="2017"/>
        <v>125.80999999999995</v>
      </c>
      <c r="AQ240" s="64">
        <f t="shared" si="2017"/>
        <v>124.12999999999988</v>
      </c>
      <c r="AR240" s="64">
        <f t="shared" si="2017"/>
        <v>180.02999999999997</v>
      </c>
      <c r="AS240" s="64">
        <f t="shared" si="2017"/>
        <v>143.60000000000002</v>
      </c>
      <c r="AT240" s="64">
        <f t="shared" si="2017"/>
        <v>150.01000000000033</v>
      </c>
      <c r="AU240" s="64">
        <f t="shared" si="2017"/>
        <v>155.74000000000012</v>
      </c>
      <c r="AV240" s="64">
        <f t="shared" si="2017"/>
        <v>263.14999999999986</v>
      </c>
      <c r="AW240" s="64">
        <f t="shared" si="2017"/>
        <v>172.89</v>
      </c>
      <c r="AX240" s="64">
        <f t="shared" si="2017"/>
        <v>113.56999999999971</v>
      </c>
      <c r="AY240" s="64">
        <f t="shared" si="2017"/>
        <v>118.24999999999955</v>
      </c>
      <c r="AZ240" s="64">
        <f t="shared" si="2017"/>
        <v>289.80999999999983</v>
      </c>
      <c r="BA240" s="64">
        <f t="shared" si="2017"/>
        <v>160.89000000000033</v>
      </c>
      <c r="BB240" s="64">
        <f t="shared" si="2017"/>
        <v>147.31999999999937</v>
      </c>
      <c r="BC240" s="64">
        <f t="shared" si="2017"/>
        <v>134.14999999999964</v>
      </c>
      <c r="BD240" s="64">
        <f t="shared" si="2017"/>
        <v>145.58999999999992</v>
      </c>
      <c r="BE240" s="64">
        <f t="shared" si="2017"/>
        <v>89.480000000000018</v>
      </c>
      <c r="BF240" s="64">
        <f t="shared" si="2017"/>
        <v>89.369999999999777</v>
      </c>
      <c r="BG240" s="64">
        <f t="shared" si="2017"/>
        <v>64.730000000000018</v>
      </c>
      <c r="BH240" s="64">
        <f t="shared" si="2017"/>
        <v>215.43000000000012</v>
      </c>
      <c r="BI240" s="64">
        <f t="shared" si="2017"/>
        <v>145.5200000000001</v>
      </c>
      <c r="BJ240" s="64">
        <f t="shared" si="2017"/>
        <v>123.87</v>
      </c>
      <c r="BK240" s="64">
        <f t="shared" si="2017"/>
        <v>123.3599999999999</v>
      </c>
      <c r="BL240" s="64">
        <f t="shared" si="2017"/>
        <v>138.39999999999986</v>
      </c>
      <c r="BM240" s="64">
        <f t="shared" si="2017"/>
        <v>14.5</v>
      </c>
      <c r="BN240" s="64">
        <f t="shared" ref="BN240:CS240" si="2018">BN36-BN246</f>
        <v>23.440000000000055</v>
      </c>
      <c r="BO240" s="64">
        <f t="shared" si="2018"/>
        <v>121.39999999999986</v>
      </c>
      <c r="BP240" s="64">
        <f t="shared" si="2018"/>
        <v>85.309999999999832</v>
      </c>
      <c r="BQ240" s="64">
        <f t="shared" si="2018"/>
        <v>103.54000000000008</v>
      </c>
      <c r="BR240" s="64">
        <f t="shared" si="2018"/>
        <v>94.750000000000114</v>
      </c>
      <c r="BS240" s="64">
        <f t="shared" si="2018"/>
        <v>181.31000000000006</v>
      </c>
      <c r="BT240" s="64">
        <f t="shared" si="2018"/>
        <v>185.19999999999982</v>
      </c>
      <c r="BU240" s="64">
        <f t="shared" si="2018"/>
        <v>187.7299999999999</v>
      </c>
      <c r="BV240" s="64">
        <f t="shared" si="2018"/>
        <v>206.5</v>
      </c>
      <c r="BW240" s="64">
        <f t="shared" si="2018"/>
        <v>210.9499999999997</v>
      </c>
      <c r="BX240" s="64">
        <f t="shared" si="2018"/>
        <v>364.28000000000043</v>
      </c>
      <c r="BY240" s="64">
        <f t="shared" si="2018"/>
        <v>285.30999999999972</v>
      </c>
      <c r="BZ240" s="64">
        <f t="shared" si="2018"/>
        <v>348.72000000000025</v>
      </c>
      <c r="CA240" s="64">
        <f t="shared" si="2018"/>
        <v>438.53</v>
      </c>
      <c r="CB240" s="64">
        <f t="shared" si="2018"/>
        <v>417.21999999999991</v>
      </c>
      <c r="CC240" s="64">
        <f t="shared" si="2018"/>
        <v>565.17999999999961</v>
      </c>
      <c r="CD240" s="64">
        <f t="shared" si="2018"/>
        <v>542.49000000000012</v>
      </c>
      <c r="CE240" s="64">
        <f t="shared" si="2018"/>
        <v>540.22000000000014</v>
      </c>
      <c r="CF240" s="64">
        <f t="shared" si="2018"/>
        <v>657.34000000000037</v>
      </c>
      <c r="CG240" s="64">
        <f t="shared" si="2018"/>
        <v>559.60000000000036</v>
      </c>
      <c r="CH240" s="64">
        <f t="shared" si="2018"/>
        <v>414.08999999999992</v>
      </c>
      <c r="CI240" s="64">
        <f t="shared" si="2018"/>
        <v>500.38999999999976</v>
      </c>
      <c r="CJ240" s="64">
        <f t="shared" si="2018"/>
        <v>612.19000000000005</v>
      </c>
      <c r="CK240" s="64">
        <f t="shared" ref="CK240" si="2019">CK36-CK246</f>
        <v>408.39999999999986</v>
      </c>
      <c r="CL240" s="30">
        <f t="shared" si="2018"/>
        <v>528.71070360540409</v>
      </c>
      <c r="CM240" s="30">
        <f t="shared" si="2018"/>
        <v>549.78660586199021</v>
      </c>
      <c r="CN240" s="30">
        <f t="shared" si="2018"/>
        <v>553.61801193010183</v>
      </c>
      <c r="CO240" s="30">
        <f t="shared" si="2018"/>
        <v>585.73665264140277</v>
      </c>
      <c r="CP240" s="30">
        <f t="shared" si="2018"/>
        <v>662.95364336552052</v>
      </c>
      <c r="CQ240" s="30">
        <f t="shared" si="2018"/>
        <v>660.85663992087257</v>
      </c>
      <c r="CR240" s="30">
        <f t="shared" si="2018"/>
        <v>663.02052868770011</v>
      </c>
      <c r="CS240" s="30">
        <f t="shared" si="2018"/>
        <v>664.27581015902092</v>
      </c>
      <c r="CT240" s="30">
        <f t="shared" ref="CT240:CZ240" si="2020">CT36-CT246</f>
        <v>718.21176001578806</v>
      </c>
      <c r="CU240" s="30">
        <f t="shared" si="2020"/>
        <v>698.22798290859373</v>
      </c>
      <c r="CV240" s="30">
        <f t="shared" si="2020"/>
        <v>682.59451651949485</v>
      </c>
      <c r="CW240" s="30">
        <f t="shared" si="2020"/>
        <v>773.36817912067545</v>
      </c>
      <c r="CX240" s="30">
        <f t="shared" si="2020"/>
        <v>831.99452386337271</v>
      </c>
      <c r="CY240" s="30">
        <f t="shared" si="2020"/>
        <v>818.8325169871614</v>
      </c>
      <c r="CZ240" s="30">
        <f t="shared" si="2020"/>
        <v>819.49591709855554</v>
      </c>
      <c r="DB240" s="139"/>
      <c r="DC240" s="64">
        <v>0</v>
      </c>
    </row>
    <row r="241" spans="1:107" s="89" customFormat="1" hidden="1" outlineLevel="1" x14ac:dyDescent="0.2">
      <c r="A241" s="86" t="s">
        <v>476</v>
      </c>
      <c r="B241" s="86">
        <f>+B240/B239</f>
        <v>9.6937593066045463E-2</v>
      </c>
      <c r="C241" s="86">
        <f t="shared" ref="C241" si="2021">+C240/C239</f>
        <v>0.10148112161894592</v>
      </c>
      <c r="D241" s="86">
        <f t="shared" ref="D241" si="2022">+D240/D239</f>
        <v>9.0003297964775172E-2</v>
      </c>
      <c r="E241" s="86">
        <f t="shared" ref="E241" si="2023">+E240/E239</f>
        <v>8.928085098779831E-2</v>
      </c>
      <c r="F241" s="86">
        <f t="shared" ref="F241" si="2024">+F240/F239</f>
        <v>0.10154341366168688</v>
      </c>
      <c r="G241" s="86">
        <f t="shared" ref="G241" si="2025">+G240/G239</f>
        <v>0.10453316781630556</v>
      </c>
      <c r="H241" s="86">
        <f t="shared" ref="H241" si="2026">+H240/H239</f>
        <v>0.11588740701824193</v>
      </c>
      <c r="I241" s="86">
        <f t="shared" ref="I241" si="2027">+I240/I239</f>
        <v>0.10747399223003511</v>
      </c>
      <c r="J241" s="86">
        <f t="shared" ref="J241" si="2028">+J240/J239</f>
        <v>8.4329018806630962E-2</v>
      </c>
      <c r="K241" s="86">
        <f t="shared" ref="K241" si="2029">+K240/K239</f>
        <v>1.5334931895290336E-2</v>
      </c>
      <c r="L241" s="86">
        <f t="shared" ref="L241" si="2030">+L240/L239</f>
        <v>4.7342987389607058E-2</v>
      </c>
      <c r="M241" s="86">
        <f t="shared" ref="M241" si="2031">+M240/M239</f>
        <v>4.6692192870883296E-2</v>
      </c>
      <c r="N241" s="86">
        <f t="shared" ref="N241" si="2032">+N240/N239</f>
        <v>5.9150128648235788E-2</v>
      </c>
      <c r="O241" s="86">
        <f t="shared" ref="O241" si="2033">+O240/O239</f>
        <v>7.0093944888444337E-2</v>
      </c>
      <c r="P241" s="86">
        <f t="shared" ref="P241" si="2034">+P240/P239</f>
        <v>8.3185901945633162E-2</v>
      </c>
      <c r="Q241" s="86">
        <f t="shared" ref="Q241" si="2035">+Q240/Q239</f>
        <v>7.7338536857327153E-2</v>
      </c>
      <c r="R241" s="86">
        <f t="shared" ref="R241" si="2036">+R240/R239</f>
        <v>6.5177042031080754E-2</v>
      </c>
      <c r="S241" s="86">
        <f t="shared" ref="S241" si="2037">+S240/S239</f>
        <v>6.9372447728889855E-2</v>
      </c>
      <c r="T241" s="86">
        <f t="shared" ref="T241" si="2038">+T240/T239</f>
        <v>6.9594781177461304E-2</v>
      </c>
      <c r="U241" s="86">
        <f t="shared" ref="U241" si="2039">+U240/U239</f>
        <v>4.562313711679368E-2</v>
      </c>
      <c r="V241" s="86">
        <f t="shared" ref="V241" si="2040">+V240/V239</f>
        <v>7.4338044418805857E-2</v>
      </c>
      <c r="W241" s="86">
        <f t="shared" ref="W241" si="2041">+W240/W239</f>
        <v>0.10622664875407511</v>
      </c>
      <c r="X241" s="86">
        <f t="shared" ref="X241:Y241" si="2042">+X240/X239</f>
        <v>0.14114301035233176</v>
      </c>
      <c r="Y241" s="86">
        <f t="shared" si="2042"/>
        <v>0.18701149369125511</v>
      </c>
      <c r="Z241" s="86">
        <f t="shared" ref="Z241" si="2043">+Z240/Z239</f>
        <v>0.15135941856778942</v>
      </c>
      <c r="AA241" s="87"/>
      <c r="AB241" s="87"/>
      <c r="AC241" s="87"/>
      <c r="AD241" s="87"/>
      <c r="AE241" s="86"/>
      <c r="AF241" s="86"/>
      <c r="AG241" s="86"/>
      <c r="AH241" s="86">
        <f t="shared" ref="AH241" si="2044">+AH240/AH239</f>
        <v>5.6264233274409638E-2</v>
      </c>
      <c r="AI241" s="86">
        <f t="shared" ref="AI241" si="2045">+AI240/AI239</f>
        <v>3.6707747939024864E-2</v>
      </c>
      <c r="AJ241" s="86">
        <f t="shared" ref="AJ241" si="2046">+AJ240/AJ239</f>
        <v>3.1979368768849652E-2</v>
      </c>
      <c r="AK241" s="86">
        <f t="shared" ref="AK241" si="2047">+AK240/AK239</f>
        <v>5.4091980596344388E-2</v>
      </c>
      <c r="AL241" s="86">
        <f t="shared" ref="AL241" si="2048">+AL240/AL239</f>
        <v>6.1605230848299816E-2</v>
      </c>
      <c r="AM241" s="86">
        <f t="shared" ref="AM241" si="2049">+AM240/AM239</f>
        <v>5.9029060977658428E-2</v>
      </c>
      <c r="AN241" s="86">
        <f t="shared" ref="AN241" si="2050">+AN240/AN239</f>
        <v>6.7817067249883123E-2</v>
      </c>
      <c r="AO241" s="86">
        <f t="shared" ref="AO241" si="2051">+AO240/AO239</f>
        <v>6.8785529433006337E-2</v>
      </c>
      <c r="AP241" s="86">
        <f t="shared" ref="AP241" si="2052">+AP240/AP239</f>
        <v>6.9043672963153987E-2</v>
      </c>
      <c r="AQ241" s="86">
        <f t="shared" ref="AQ241" si="2053">+AQ240/AQ239</f>
        <v>6.7280226778755142E-2</v>
      </c>
      <c r="AR241" s="86">
        <f t="shared" ref="AR241" si="2054">+AR240/AR239</f>
        <v>8.042762496593564E-2</v>
      </c>
      <c r="AS241" s="86">
        <f t="shared" ref="AS241" si="2055">+AS240/AS239</f>
        <v>7.9137206059837886E-2</v>
      </c>
      <c r="AT241" s="86">
        <f t="shared" ref="AT241" si="2056">+AT240/AT239</f>
        <v>7.7660202317226118E-2</v>
      </c>
      <c r="AU241" s="86">
        <f t="shared" ref="AU241" si="2057">+AU240/AU239</f>
        <v>7.9097192948597544E-2</v>
      </c>
      <c r="AV241" s="86">
        <f t="shared" ref="AV241" si="2058">+AV240/AV239</f>
        <v>0.10172092555798648</v>
      </c>
      <c r="AW241" s="86">
        <f t="shared" ref="AW241" si="2059">+AW240/AW239</f>
        <v>8.1413253846045169E-2</v>
      </c>
      <c r="AX241" s="86">
        <f t="shared" ref="AX241" si="2060">+AX240/AX239</f>
        <v>5.1014266206698161E-2</v>
      </c>
      <c r="AY241" s="86">
        <f t="shared" ref="AY241" si="2061">+AY240/AY239</f>
        <v>5.3807721009810322E-2</v>
      </c>
      <c r="AZ241" s="86">
        <f t="shared" ref="AZ241" si="2062">+AZ240/AZ239</f>
        <v>0.10916535456798673</v>
      </c>
      <c r="BA241" s="86">
        <f t="shared" ref="BA241" si="2063">+BA240/BA239</f>
        <v>6.9916303809350114E-2</v>
      </c>
      <c r="BB241" s="86">
        <f t="shared" ref="BB241" si="2064">+BB240/BB239</f>
        <v>6.2130714047732259E-2</v>
      </c>
      <c r="BC241" s="86">
        <f t="shared" ref="BC241" si="2065">+BC240/BC239</f>
        <v>6.9746282624518902E-2</v>
      </c>
      <c r="BD241" s="86">
        <f t="shared" ref="BD241" si="2066">+BD240/BD239</f>
        <v>8.5202633504023365E-2</v>
      </c>
      <c r="BE241" s="86">
        <f t="shared" ref="BE241" si="2067">+BE240/BE239</f>
        <v>5.7122428916154905E-2</v>
      </c>
      <c r="BF241" s="86">
        <f t="shared" ref="BF241" si="2068">+BF240/BF239</f>
        <v>5.3652474605575838E-2</v>
      </c>
      <c r="BG241" s="86">
        <f t="shared" ref="BG241" si="2069">+BG240/BG239</f>
        <v>4.3395771040881735E-2</v>
      </c>
      <c r="BH241" s="86">
        <f t="shared" ref="BH241" si="2070">+BH240/BH239</f>
        <v>0.10955999023556701</v>
      </c>
      <c r="BI241" s="86">
        <f t="shared" ref="BI241" si="2071">+BI240/BI239</f>
        <v>7.8648831239021805E-2</v>
      </c>
      <c r="BJ241" s="86">
        <f t="shared" ref="BJ241" si="2072">+BJ240/BJ239</f>
        <v>7.1777488048674495E-2</v>
      </c>
      <c r="BK241" s="86">
        <f t="shared" ref="BK241" si="2073">+BK240/BK239</f>
        <v>7.0668301233945477E-2</v>
      </c>
      <c r="BL241" s="86">
        <f t="shared" ref="BL241" si="2074">+BL240/BL239</f>
        <v>7.0853363230995212E-2</v>
      </c>
      <c r="BM241" s="86">
        <f t="shared" ref="BM241" si="2075">+BM240/BM239</f>
        <v>9.5254361992852636E-3</v>
      </c>
      <c r="BN241" s="86">
        <f t="shared" ref="BN241" si="2076">+BN240/BN239</f>
        <v>2.3778124936598484E-2</v>
      </c>
      <c r="BO241" s="86">
        <f t="shared" ref="BO241" si="2077">+BO240/BO239</f>
        <v>7.5302232394846624E-2</v>
      </c>
      <c r="BP241" s="86">
        <f t="shared" ref="BP241" si="2078">+BP240/BP239</f>
        <v>5.0159928502551701E-2</v>
      </c>
      <c r="BQ241" s="86">
        <f t="shared" ref="BQ241" si="2079">+BQ240/BQ239</f>
        <v>6.3554614369456502E-2</v>
      </c>
      <c r="BR241" s="86">
        <f t="shared" ref="BR241" si="2080">+BR240/BR239</f>
        <v>6.6493094543004796E-2</v>
      </c>
      <c r="BS241" s="86">
        <f t="shared" ref="BS241" si="2081">+BS240/BS239</f>
        <v>0.1019517653608039</v>
      </c>
      <c r="BT241" s="86">
        <f t="shared" ref="BT241" si="2082">+BT240/BT239</f>
        <v>8.8127527956221655E-2</v>
      </c>
      <c r="BU241" s="86">
        <f t="shared" ref="BU241" si="2083">+BU240/BU239</f>
        <v>9.5059902980464378E-2</v>
      </c>
      <c r="BV241" s="86">
        <f t="shared" ref="BV241" si="2084">+BV240/BV239</f>
        <v>9.8434111113759326E-2</v>
      </c>
      <c r="BW241" s="86">
        <f t="shared" ref="BW241" si="2085">+BW240/BW239</f>
        <v>9.9516921886646348E-2</v>
      </c>
      <c r="BX241" s="86">
        <f t="shared" ref="BX241" si="2086">+BX240/BX239</f>
        <v>0.15010033334569489</v>
      </c>
      <c r="BY241" s="86">
        <f t="shared" ref="BY241" si="2087">+BY240/BY239</f>
        <v>0.11832648338386109</v>
      </c>
      <c r="BZ241" s="86">
        <f t="shared" ref="BZ241" si="2088">+BZ240/BZ239</f>
        <v>0.13900814388730112</v>
      </c>
      <c r="CA241" s="86">
        <f t="shared" ref="CA241:CB241" si="2089">+CA240/CA239</f>
        <v>0.15836038697236374</v>
      </c>
      <c r="CB241" s="86">
        <f t="shared" si="2089"/>
        <v>0.15130426583595949</v>
      </c>
      <c r="CC241" s="86">
        <f t="shared" ref="CC241" si="2090">+CC240/CC239</f>
        <v>0.18347855445467401</v>
      </c>
      <c r="CD241" s="86">
        <f t="shared" ref="CD241:CE241" si="2091">+CD240/CD239</f>
        <v>0.19163434433352411</v>
      </c>
      <c r="CE241" s="86">
        <f t="shared" si="2091"/>
        <v>0.18550491731223562</v>
      </c>
      <c r="CF241" s="86">
        <f t="shared" ref="CF241:CG241" si="2092">+CF240/CF239</f>
        <v>0.19535027474568573</v>
      </c>
      <c r="CG241" s="86">
        <f t="shared" si="2092"/>
        <v>0.18590929779041696</v>
      </c>
      <c r="CH241" s="86">
        <f t="shared" ref="CH241:CI241" si="2093">+CH240/CH239</f>
        <v>0.13040397551205499</v>
      </c>
      <c r="CI241" s="86">
        <f t="shared" si="2093"/>
        <v>0.15114234970036722</v>
      </c>
      <c r="CJ241" s="86">
        <f t="shared" ref="CJ241:CZ241" si="2094">+CJ240/CJ239</f>
        <v>0.17210803455711399</v>
      </c>
      <c r="CK241" s="86">
        <f t="shared" si="2094"/>
        <v>0.12826391462472436</v>
      </c>
      <c r="CL241" s="47">
        <f t="shared" si="2094"/>
        <v>0.14276419426472989</v>
      </c>
      <c r="CM241" s="47">
        <f t="shared" si="2094"/>
        <v>0.14588895017876177</v>
      </c>
      <c r="CN241" s="47">
        <f t="shared" si="2094"/>
        <v>0.14453936893080704</v>
      </c>
      <c r="CO241" s="47">
        <f t="shared" si="2094"/>
        <v>0.14593988869650798</v>
      </c>
      <c r="CP241" s="47">
        <f t="shared" si="2094"/>
        <v>0.15024620775165903</v>
      </c>
      <c r="CQ241" s="47">
        <f t="shared" si="2094"/>
        <v>0.15208390835712407</v>
      </c>
      <c r="CR241" s="47">
        <f t="shared" si="2094"/>
        <v>0.15360933257677281</v>
      </c>
      <c r="CS241" s="47">
        <f t="shared" si="2094"/>
        <v>0.1451101696229348</v>
      </c>
      <c r="CT241" s="47">
        <f t="shared" si="2094"/>
        <v>0.14490209186598751</v>
      </c>
      <c r="CU241" s="47">
        <f t="shared" si="2094"/>
        <v>0.14353764442554964</v>
      </c>
      <c r="CV241" s="47">
        <f t="shared" si="2094"/>
        <v>0.1413573765863006</v>
      </c>
      <c r="CW241" s="47">
        <f t="shared" si="2094"/>
        <v>0.14372682062519318</v>
      </c>
      <c r="CX241" s="47">
        <f t="shared" si="2094"/>
        <v>0.14338098337575769</v>
      </c>
      <c r="CY241" s="47">
        <f t="shared" si="2094"/>
        <v>0.14300070625320033</v>
      </c>
      <c r="CZ241" s="47">
        <f t="shared" si="2094"/>
        <v>0.14286647171011294</v>
      </c>
      <c r="DB241" s="130"/>
      <c r="DC241" s="89" t="e">
        <v>#DIV/0!</v>
      </c>
    </row>
    <row r="242" spans="1:107" s="64" customFormat="1" hidden="1" outlineLevel="1" x14ac:dyDescent="0.2">
      <c r="A242" s="64" t="s">
        <v>477</v>
      </c>
      <c r="B242" s="64">
        <f t="shared" ref="B242:Y242" si="2095">B49-B248</f>
        <v>65.325899999999891</v>
      </c>
      <c r="C242" s="64">
        <f t="shared" si="2095"/>
        <v>81.348199999999963</v>
      </c>
      <c r="D242" s="64">
        <f t="shared" si="2095"/>
        <v>100.89269999999996</v>
      </c>
      <c r="E242" s="64">
        <f t="shared" si="2095"/>
        <v>150.51999999999984</v>
      </c>
      <c r="F242" s="64">
        <f t="shared" si="2095"/>
        <v>218.67700000000002</v>
      </c>
      <c r="G242" s="64">
        <f t="shared" si="2095"/>
        <v>340.30619999999965</v>
      </c>
      <c r="H242" s="64">
        <f t="shared" si="2095"/>
        <v>491.66900000000061</v>
      </c>
      <c r="I242" s="64">
        <f t="shared" si="2095"/>
        <v>547.41299999999967</v>
      </c>
      <c r="J242" s="64">
        <f t="shared" si="2095"/>
        <v>354.6391000000001</v>
      </c>
      <c r="K242" s="64">
        <f t="shared" si="2095"/>
        <v>63.230300000000412</v>
      </c>
      <c r="L242" s="64">
        <f t="shared" si="2095"/>
        <v>184.70999999999995</v>
      </c>
      <c r="M242" s="64">
        <f t="shared" si="2095"/>
        <v>140.93999999999988</v>
      </c>
      <c r="N242" s="64">
        <f t="shared" si="2095"/>
        <v>176.8899999999997</v>
      </c>
      <c r="O242" s="64">
        <f t="shared" si="2095"/>
        <v>228.51000000000045</v>
      </c>
      <c r="P242" s="64">
        <f t="shared" si="2095"/>
        <v>299.88000000000147</v>
      </c>
      <c r="Q242" s="64">
        <f t="shared" si="2095"/>
        <v>374.47000000000099</v>
      </c>
      <c r="R242" s="64">
        <f t="shared" si="2095"/>
        <v>225.48</v>
      </c>
      <c r="S242" s="64">
        <f t="shared" si="2095"/>
        <v>254.19000000000057</v>
      </c>
      <c r="T242" s="64">
        <f t="shared" si="2095"/>
        <v>371.93000000000018</v>
      </c>
      <c r="U242" s="64">
        <f t="shared" si="2095"/>
        <v>171.65000000000015</v>
      </c>
      <c r="V242" s="64">
        <f t="shared" si="2095"/>
        <v>411.14999999999986</v>
      </c>
      <c r="W242" s="64">
        <f t="shared" si="2095"/>
        <v>686.35000000000127</v>
      </c>
      <c r="X242" s="64">
        <f t="shared" si="2095"/>
        <v>1248.1800000000005</v>
      </c>
      <c r="Y242" s="64">
        <f t="shared" si="2095"/>
        <v>1874.610000000001</v>
      </c>
      <c r="Z242" s="64">
        <f t="shared" ref="Z242" si="2096">Z49-Z248</f>
        <v>1669.3999999999996</v>
      </c>
      <c r="AA242" s="30"/>
      <c r="AB242" s="30"/>
      <c r="AC242" s="30"/>
      <c r="AD242" s="30"/>
      <c r="AH242" s="64">
        <f t="shared" ref="AH242:BM242" si="2097">AH49-AH248</f>
        <v>51.630000000000123</v>
      </c>
      <c r="AI242" s="64">
        <f t="shared" si="2097"/>
        <v>21.369999999999763</v>
      </c>
      <c r="AJ242" s="64">
        <f t="shared" si="2097"/>
        <v>16.770000000000259</v>
      </c>
      <c r="AK242" s="64">
        <f t="shared" si="2097"/>
        <v>43.059999999999974</v>
      </c>
      <c r="AL242" s="64">
        <f t="shared" si="2097"/>
        <v>39.630000000000223</v>
      </c>
      <c r="AM242" s="64">
        <f t="shared" si="2097"/>
        <v>35.610000000000184</v>
      </c>
      <c r="AN242" s="64">
        <f t="shared" si="2097"/>
        <v>58.589999999999925</v>
      </c>
      <c r="AO242" s="64">
        <f t="shared" si="2097"/>
        <v>51.680000000000035</v>
      </c>
      <c r="AP242" s="64">
        <f t="shared" si="2097"/>
        <v>47.689999999999941</v>
      </c>
      <c r="AQ242" s="64">
        <f t="shared" si="2097"/>
        <v>44.979999999999869</v>
      </c>
      <c r="AR242" s="64">
        <f t="shared" si="2097"/>
        <v>84.16</v>
      </c>
      <c r="AS242" s="64">
        <f t="shared" si="2097"/>
        <v>54.290000000000035</v>
      </c>
      <c r="AT242" s="64">
        <f t="shared" si="2097"/>
        <v>57.45000000000033</v>
      </c>
      <c r="AU242" s="64">
        <f t="shared" si="2097"/>
        <v>58.740000000000116</v>
      </c>
      <c r="AV242" s="64">
        <f t="shared" si="2097"/>
        <v>129.39999999999986</v>
      </c>
      <c r="AW242" s="64">
        <f t="shared" si="2097"/>
        <v>85.449999999999974</v>
      </c>
      <c r="AX242" s="64">
        <f t="shared" si="2097"/>
        <v>55.639999999999702</v>
      </c>
      <c r="AY242" s="64">
        <f t="shared" si="2097"/>
        <v>70.569999999999538</v>
      </c>
      <c r="AZ242" s="64">
        <f t="shared" si="2097"/>
        <v>162.80999999999986</v>
      </c>
      <c r="BA242" s="64">
        <f t="shared" si="2097"/>
        <v>89.980000000000302</v>
      </c>
      <c r="BB242" s="64">
        <f t="shared" si="2097"/>
        <v>75.059999999999349</v>
      </c>
      <c r="BC242" s="64">
        <f t="shared" si="2097"/>
        <v>83.389999999999645</v>
      </c>
      <c r="BD242" s="64">
        <f t="shared" si="2097"/>
        <v>81.62999999999991</v>
      </c>
      <c r="BE242" s="64">
        <f t="shared" si="2097"/>
        <v>45.600000000000037</v>
      </c>
      <c r="BF242" s="64">
        <f t="shared" si="2097"/>
        <v>44.429999999999765</v>
      </c>
      <c r="BG242" s="64">
        <f t="shared" si="2097"/>
        <v>35.730000000000018</v>
      </c>
      <c r="BH242" s="64">
        <f t="shared" si="2097"/>
        <v>128.6400000000001</v>
      </c>
      <c r="BI242" s="64">
        <f t="shared" si="2097"/>
        <v>89.02000000000011</v>
      </c>
      <c r="BJ242" s="64">
        <f t="shared" si="2097"/>
        <v>69.739999999999995</v>
      </c>
      <c r="BK242" s="64">
        <f t="shared" si="2097"/>
        <v>78.809999999999889</v>
      </c>
      <c r="BL242" s="64">
        <f t="shared" si="2097"/>
        <v>134.35999999999987</v>
      </c>
      <c r="BM242" s="64">
        <f t="shared" si="2097"/>
        <v>9.2100000000000009</v>
      </c>
      <c r="BN242" s="64">
        <f t="shared" ref="BN242:CS242" si="2098">BN49-BN248</f>
        <v>14.750000000000057</v>
      </c>
      <c r="BO242" s="64">
        <f t="shared" si="2098"/>
        <v>85.489999999999881</v>
      </c>
      <c r="BP242" s="64">
        <f t="shared" si="2098"/>
        <v>62.199999999999847</v>
      </c>
      <c r="BQ242" s="64">
        <f t="shared" si="2098"/>
        <v>76.09000000000006</v>
      </c>
      <c r="BR242" s="64">
        <f t="shared" si="2098"/>
        <v>68.320000000000121</v>
      </c>
      <c r="BS242" s="64">
        <f t="shared" si="2098"/>
        <v>119.97000000000006</v>
      </c>
      <c r="BT242" s="64">
        <f t="shared" si="2098"/>
        <v>146.76999999999981</v>
      </c>
      <c r="BU242" s="64">
        <f t="shared" si="2098"/>
        <v>76.729999999999876</v>
      </c>
      <c r="BV242" s="64">
        <f t="shared" si="2098"/>
        <v>152.45000000000002</v>
      </c>
      <c r="BW242" s="64">
        <f t="shared" si="2098"/>
        <v>156.58999999999969</v>
      </c>
      <c r="BX242" s="64">
        <f t="shared" si="2098"/>
        <v>305.91000000000042</v>
      </c>
      <c r="BY242" s="64">
        <f t="shared" si="2098"/>
        <v>245.16999999999967</v>
      </c>
      <c r="BZ242" s="64">
        <f t="shared" si="2098"/>
        <v>295.81000000000023</v>
      </c>
      <c r="CA242" s="64">
        <f t="shared" si="2098"/>
        <v>361.99999999999994</v>
      </c>
      <c r="CB242" s="64">
        <f t="shared" si="2098"/>
        <v>345.19999999999982</v>
      </c>
      <c r="CC242" s="64">
        <f t="shared" si="2098"/>
        <v>459.59999999999968</v>
      </c>
      <c r="CD242" s="64">
        <f t="shared" si="2098"/>
        <v>442.63000000000011</v>
      </c>
      <c r="CE242" s="64">
        <f t="shared" si="2098"/>
        <v>440.4700000000002</v>
      </c>
      <c r="CF242" s="64">
        <f t="shared" si="2098"/>
        <v>531.91000000000031</v>
      </c>
      <c r="CG242" s="64">
        <f t="shared" si="2098"/>
        <v>457.31000000000029</v>
      </c>
      <c r="CH242" s="64">
        <f t="shared" si="2098"/>
        <v>352.07999999999993</v>
      </c>
      <c r="CI242" s="64">
        <f t="shared" si="2098"/>
        <v>408.87999999999977</v>
      </c>
      <c r="CJ242" s="64">
        <f t="shared" si="2098"/>
        <v>500.2600000000001</v>
      </c>
      <c r="CK242" s="64">
        <f t="shared" ref="CK242" si="2099">CK49-CK248</f>
        <v>341.90999999999985</v>
      </c>
      <c r="CL242" s="30">
        <f t="shared" si="2098"/>
        <v>452.3852826773043</v>
      </c>
      <c r="CM242" s="30">
        <f t="shared" si="2098"/>
        <v>473.54084908955429</v>
      </c>
      <c r="CN242" s="30">
        <f t="shared" si="2098"/>
        <v>481.65702615538305</v>
      </c>
      <c r="CO242" s="30">
        <f t="shared" si="2098"/>
        <v>507.49037256533819</v>
      </c>
      <c r="CP242" s="30">
        <f t="shared" si="2098"/>
        <v>572.64897333722638</v>
      </c>
      <c r="CQ242" s="30">
        <f t="shared" si="2098"/>
        <v>576.37760074233131</v>
      </c>
      <c r="CR242" s="30">
        <f t="shared" si="2098"/>
        <v>584.00336529834044</v>
      </c>
      <c r="CS242" s="30">
        <f t="shared" si="2098"/>
        <v>590.74977605717379</v>
      </c>
      <c r="CT242" s="30">
        <f t="shared" ref="CT242:CZ242" si="2100">CT49-CT248</f>
        <v>637.50671527696386</v>
      </c>
      <c r="CU242" s="30">
        <f t="shared" si="2100"/>
        <v>628.2411864901195</v>
      </c>
      <c r="CV242" s="30">
        <f t="shared" si="2100"/>
        <v>623.22974959513476</v>
      </c>
      <c r="CW242" s="30">
        <f t="shared" si="2100"/>
        <v>698.35250311696086</v>
      </c>
      <c r="CX242" s="30">
        <f t="shared" si="2100"/>
        <v>748.7337201772483</v>
      </c>
      <c r="CY242" s="30">
        <f t="shared" si="2100"/>
        <v>745.68998372461147</v>
      </c>
      <c r="CZ242" s="30">
        <f t="shared" si="2100"/>
        <v>754.24301621126415</v>
      </c>
      <c r="DB242" s="139"/>
      <c r="DC242" s="64">
        <v>0</v>
      </c>
    </row>
    <row r="243" spans="1:107" s="64" customFormat="1" hidden="1" outlineLevel="1" x14ac:dyDescent="0.2">
      <c r="AA243" s="30"/>
      <c r="AB243" s="30"/>
      <c r="AC243" s="30"/>
      <c r="AD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B243" s="139"/>
    </row>
    <row r="244" spans="1:107" s="64" customFormat="1" hidden="1" outlineLevel="1" x14ac:dyDescent="0.2">
      <c r="A244" s="65" t="s">
        <v>352</v>
      </c>
      <c r="AA244" s="30"/>
      <c r="AB244" s="30"/>
      <c r="AC244" s="30"/>
      <c r="AD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B244" s="139"/>
    </row>
    <row r="245" spans="1:107" s="64" customFormat="1" hidden="1" outlineLevel="1" x14ac:dyDescent="0.2">
      <c r="A245" s="64" t="s">
        <v>478</v>
      </c>
      <c r="AA245" s="30"/>
      <c r="AB245" s="30"/>
      <c r="AC245" s="30"/>
      <c r="AD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B245" s="139"/>
    </row>
    <row r="246" spans="1:107" s="64" customFormat="1" hidden="1" outlineLevel="1" x14ac:dyDescent="0.2">
      <c r="A246" s="64" t="s">
        <v>479</v>
      </c>
      <c r="AA246" s="30"/>
      <c r="AB246" s="30"/>
      <c r="AC246" s="30"/>
      <c r="AD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B246" s="139"/>
    </row>
    <row r="247" spans="1:107" s="89" customFormat="1" hidden="1" outlineLevel="1" x14ac:dyDescent="0.2">
      <c r="A247" s="86" t="s">
        <v>480</v>
      </c>
      <c r="B247" s="86" t="e">
        <f>+B246/B245</f>
        <v>#DIV/0!</v>
      </c>
      <c r="C247" s="86" t="e">
        <f t="shared" ref="C247:X247" si="2101">+C246/C245</f>
        <v>#DIV/0!</v>
      </c>
      <c r="D247" s="86" t="e">
        <f t="shared" si="2101"/>
        <v>#DIV/0!</v>
      </c>
      <c r="E247" s="86" t="e">
        <f t="shared" si="2101"/>
        <v>#DIV/0!</v>
      </c>
      <c r="F247" s="86" t="e">
        <f t="shared" si="2101"/>
        <v>#DIV/0!</v>
      </c>
      <c r="G247" s="86" t="e">
        <f t="shared" si="2101"/>
        <v>#DIV/0!</v>
      </c>
      <c r="H247" s="86" t="e">
        <f t="shared" si="2101"/>
        <v>#DIV/0!</v>
      </c>
      <c r="I247" s="86" t="e">
        <f t="shared" si="2101"/>
        <v>#DIV/0!</v>
      </c>
      <c r="J247" s="86" t="e">
        <f t="shared" si="2101"/>
        <v>#DIV/0!</v>
      </c>
      <c r="K247" s="86" t="e">
        <f t="shared" si="2101"/>
        <v>#DIV/0!</v>
      </c>
      <c r="L247" s="86" t="e">
        <f t="shared" si="2101"/>
        <v>#DIV/0!</v>
      </c>
      <c r="M247" s="86" t="e">
        <f t="shared" si="2101"/>
        <v>#DIV/0!</v>
      </c>
      <c r="N247" s="86" t="e">
        <f t="shared" si="2101"/>
        <v>#DIV/0!</v>
      </c>
      <c r="O247" s="86" t="e">
        <f t="shared" si="2101"/>
        <v>#DIV/0!</v>
      </c>
      <c r="P247" s="86" t="e">
        <f t="shared" si="2101"/>
        <v>#DIV/0!</v>
      </c>
      <c r="Q247" s="86" t="e">
        <f t="shared" si="2101"/>
        <v>#DIV/0!</v>
      </c>
      <c r="R247" s="86" t="e">
        <f t="shared" si="2101"/>
        <v>#DIV/0!</v>
      </c>
      <c r="S247" s="86" t="e">
        <f t="shared" si="2101"/>
        <v>#DIV/0!</v>
      </c>
      <c r="T247" s="86" t="e">
        <f t="shared" si="2101"/>
        <v>#DIV/0!</v>
      </c>
      <c r="U247" s="86" t="e">
        <f t="shared" si="2101"/>
        <v>#DIV/0!</v>
      </c>
      <c r="V247" s="86" t="e">
        <f t="shared" si="2101"/>
        <v>#DIV/0!</v>
      </c>
      <c r="W247" s="86" t="e">
        <f t="shared" si="2101"/>
        <v>#DIV/0!</v>
      </c>
      <c r="X247" s="86" t="e">
        <f t="shared" si="2101"/>
        <v>#DIV/0!</v>
      </c>
      <c r="Y247" s="86" t="e">
        <f t="shared" ref="Y247:Z247" si="2102">+Y246/Y245</f>
        <v>#DIV/0!</v>
      </c>
      <c r="Z247" s="86" t="e">
        <f t="shared" si="2102"/>
        <v>#DIV/0!</v>
      </c>
      <c r="AA247" s="87"/>
      <c r="AB247" s="87"/>
      <c r="AC247" s="87"/>
      <c r="AD247" s="87"/>
      <c r="AE247" s="86"/>
      <c r="AF247" s="86"/>
      <c r="AG247" s="86"/>
      <c r="AH247" s="86" t="e">
        <f t="shared" ref="AH247" si="2103">+AH246/AH245</f>
        <v>#DIV/0!</v>
      </c>
      <c r="AI247" s="86" t="e">
        <f t="shared" ref="AI247" si="2104">+AI246/AI245</f>
        <v>#DIV/0!</v>
      </c>
      <c r="AJ247" s="86" t="e">
        <f t="shared" ref="AJ247" si="2105">+AJ246/AJ245</f>
        <v>#DIV/0!</v>
      </c>
      <c r="AK247" s="86" t="e">
        <f t="shared" ref="AK247" si="2106">+AK246/AK245</f>
        <v>#DIV/0!</v>
      </c>
      <c r="AL247" s="86" t="e">
        <f t="shared" ref="AL247" si="2107">+AL246/AL245</f>
        <v>#DIV/0!</v>
      </c>
      <c r="AM247" s="86" t="e">
        <f t="shared" ref="AM247" si="2108">+AM246/AM245</f>
        <v>#DIV/0!</v>
      </c>
      <c r="AN247" s="86" t="e">
        <f t="shared" ref="AN247" si="2109">+AN246/AN245</f>
        <v>#DIV/0!</v>
      </c>
      <c r="AO247" s="86" t="e">
        <f t="shared" ref="AO247" si="2110">+AO246/AO245</f>
        <v>#DIV/0!</v>
      </c>
      <c r="AP247" s="86" t="e">
        <f t="shared" ref="AP247" si="2111">+AP246/AP245</f>
        <v>#DIV/0!</v>
      </c>
      <c r="AQ247" s="86" t="e">
        <f t="shared" ref="AQ247" si="2112">+AQ246/AQ245</f>
        <v>#DIV/0!</v>
      </c>
      <c r="AR247" s="86" t="e">
        <f t="shared" ref="AR247" si="2113">+AR246/AR245</f>
        <v>#DIV/0!</v>
      </c>
      <c r="AS247" s="86" t="e">
        <f t="shared" ref="AS247" si="2114">+AS246/AS245</f>
        <v>#DIV/0!</v>
      </c>
      <c r="AT247" s="86" t="e">
        <f t="shared" ref="AT247" si="2115">+AT246/AT245</f>
        <v>#DIV/0!</v>
      </c>
      <c r="AU247" s="86" t="e">
        <f t="shared" ref="AU247" si="2116">+AU246/AU245</f>
        <v>#DIV/0!</v>
      </c>
      <c r="AV247" s="86" t="e">
        <f t="shared" ref="AV247" si="2117">+AV246/AV245</f>
        <v>#DIV/0!</v>
      </c>
      <c r="AW247" s="86" t="e">
        <f t="shared" ref="AW247" si="2118">+AW246/AW245</f>
        <v>#DIV/0!</v>
      </c>
      <c r="AX247" s="86" t="e">
        <f t="shared" ref="AX247" si="2119">+AX246/AX245</f>
        <v>#DIV/0!</v>
      </c>
      <c r="AY247" s="86" t="e">
        <f t="shared" ref="AY247" si="2120">+AY246/AY245</f>
        <v>#DIV/0!</v>
      </c>
      <c r="AZ247" s="86" t="e">
        <f t="shared" ref="AZ247" si="2121">+AZ246/AZ245</f>
        <v>#DIV/0!</v>
      </c>
      <c r="BA247" s="86" t="e">
        <f t="shared" ref="BA247" si="2122">+BA246/BA245</f>
        <v>#DIV/0!</v>
      </c>
      <c r="BB247" s="86" t="e">
        <f t="shared" ref="BB247" si="2123">+BB246/BB245</f>
        <v>#DIV/0!</v>
      </c>
      <c r="BC247" s="86" t="e">
        <f t="shared" ref="BC247" si="2124">+BC246/BC245</f>
        <v>#DIV/0!</v>
      </c>
      <c r="BD247" s="86" t="e">
        <f t="shared" ref="BD247" si="2125">+BD246/BD245</f>
        <v>#DIV/0!</v>
      </c>
      <c r="BE247" s="86" t="e">
        <f t="shared" ref="BE247" si="2126">+BE246/BE245</f>
        <v>#DIV/0!</v>
      </c>
      <c r="BF247" s="86" t="e">
        <f t="shared" ref="BF247" si="2127">+BF246/BF245</f>
        <v>#DIV/0!</v>
      </c>
      <c r="BG247" s="86" t="e">
        <f t="shared" ref="BG247" si="2128">+BG246/BG245</f>
        <v>#DIV/0!</v>
      </c>
      <c r="BH247" s="86" t="e">
        <f t="shared" ref="BH247" si="2129">+BH246/BH245</f>
        <v>#DIV/0!</v>
      </c>
      <c r="BI247" s="86" t="e">
        <f t="shared" ref="BI247" si="2130">+BI246/BI245</f>
        <v>#DIV/0!</v>
      </c>
      <c r="BJ247" s="86" t="e">
        <f t="shared" ref="BJ247" si="2131">+BJ246/BJ245</f>
        <v>#DIV/0!</v>
      </c>
      <c r="BK247" s="86" t="e">
        <f t="shared" ref="BK247" si="2132">+BK246/BK245</f>
        <v>#DIV/0!</v>
      </c>
      <c r="BL247" s="86" t="e">
        <f t="shared" ref="BL247" si="2133">+BL246/BL245</f>
        <v>#DIV/0!</v>
      </c>
      <c r="BM247" s="86" t="e">
        <f t="shared" ref="BM247" si="2134">+BM246/BM245</f>
        <v>#DIV/0!</v>
      </c>
      <c r="BN247" s="86" t="e">
        <f t="shared" ref="BN247" si="2135">+BN246/BN245</f>
        <v>#DIV/0!</v>
      </c>
      <c r="BO247" s="86" t="e">
        <f t="shared" ref="BO247" si="2136">+BO246/BO245</f>
        <v>#DIV/0!</v>
      </c>
      <c r="BP247" s="86" t="e">
        <f t="shared" ref="BP247" si="2137">+BP246/BP245</f>
        <v>#DIV/0!</v>
      </c>
      <c r="BQ247" s="86" t="e">
        <f t="shared" ref="BQ247" si="2138">+BQ246/BQ245</f>
        <v>#DIV/0!</v>
      </c>
      <c r="BR247" s="86" t="e">
        <f t="shared" ref="BR247" si="2139">+BR246/BR245</f>
        <v>#DIV/0!</v>
      </c>
      <c r="BS247" s="86" t="e">
        <f t="shared" ref="BS247" si="2140">+BS246/BS245</f>
        <v>#DIV/0!</v>
      </c>
      <c r="BT247" s="86" t="e">
        <f t="shared" ref="BT247" si="2141">+BT246/BT245</f>
        <v>#DIV/0!</v>
      </c>
      <c r="BU247" s="86" t="e">
        <f t="shared" ref="BU247" si="2142">+BU246/BU245</f>
        <v>#DIV/0!</v>
      </c>
      <c r="BV247" s="86" t="e">
        <f t="shared" ref="BV247" si="2143">+BV246/BV245</f>
        <v>#DIV/0!</v>
      </c>
      <c r="BW247" s="86" t="e">
        <f t="shared" ref="BW247" si="2144">+BW246/BW245</f>
        <v>#DIV/0!</v>
      </c>
      <c r="BX247" s="86" t="e">
        <f t="shared" ref="BX247" si="2145">+BX246/BX245</f>
        <v>#DIV/0!</v>
      </c>
      <c r="BY247" s="86" t="e">
        <f t="shared" ref="BY247" si="2146">+BY246/BY245</f>
        <v>#DIV/0!</v>
      </c>
      <c r="BZ247" s="86" t="e">
        <f t="shared" ref="BZ247" si="2147">+BZ246/BZ245</f>
        <v>#DIV/0!</v>
      </c>
      <c r="CA247" s="86" t="e">
        <f t="shared" ref="CA247:CB247" si="2148">+CA246/CA245</f>
        <v>#DIV/0!</v>
      </c>
      <c r="CB247" s="86" t="e">
        <f t="shared" si="2148"/>
        <v>#DIV/0!</v>
      </c>
      <c r="CC247" s="86" t="e">
        <f t="shared" ref="CC247" si="2149">+CC246/CC245</f>
        <v>#DIV/0!</v>
      </c>
      <c r="CD247" s="86" t="e">
        <f t="shared" ref="CD247:CE247" si="2150">+CD246/CD245</f>
        <v>#DIV/0!</v>
      </c>
      <c r="CE247" s="86" t="e">
        <f t="shared" si="2150"/>
        <v>#DIV/0!</v>
      </c>
      <c r="CF247" s="86" t="e">
        <f t="shared" ref="CF247:CG247" si="2151">+CF246/CF245</f>
        <v>#DIV/0!</v>
      </c>
      <c r="CG247" s="86" t="e">
        <f t="shared" si="2151"/>
        <v>#DIV/0!</v>
      </c>
      <c r="CH247" s="86" t="e">
        <f t="shared" ref="CH247:CI247" si="2152">+CH246/CH245</f>
        <v>#DIV/0!</v>
      </c>
      <c r="CI247" s="86" t="e">
        <f t="shared" si="2152"/>
        <v>#DIV/0!</v>
      </c>
      <c r="CJ247" s="86" t="e">
        <f t="shared" ref="CJ247:CZ247" si="2153">+CJ246/CJ245</f>
        <v>#DIV/0!</v>
      </c>
      <c r="CK247" s="86" t="e">
        <f t="shared" si="2153"/>
        <v>#DIV/0!</v>
      </c>
      <c r="CL247" s="47" t="e">
        <f t="shared" si="2153"/>
        <v>#DIV/0!</v>
      </c>
      <c r="CM247" s="47" t="e">
        <f t="shared" si="2153"/>
        <v>#DIV/0!</v>
      </c>
      <c r="CN247" s="47" t="e">
        <f t="shared" si="2153"/>
        <v>#DIV/0!</v>
      </c>
      <c r="CO247" s="47" t="e">
        <f t="shared" si="2153"/>
        <v>#DIV/0!</v>
      </c>
      <c r="CP247" s="47" t="e">
        <f t="shared" si="2153"/>
        <v>#DIV/0!</v>
      </c>
      <c r="CQ247" s="47" t="e">
        <f t="shared" si="2153"/>
        <v>#DIV/0!</v>
      </c>
      <c r="CR247" s="47" t="e">
        <f t="shared" si="2153"/>
        <v>#DIV/0!</v>
      </c>
      <c r="CS247" s="47" t="e">
        <f t="shared" si="2153"/>
        <v>#DIV/0!</v>
      </c>
      <c r="CT247" s="47" t="e">
        <f t="shared" si="2153"/>
        <v>#DIV/0!</v>
      </c>
      <c r="CU247" s="47" t="e">
        <f t="shared" si="2153"/>
        <v>#DIV/0!</v>
      </c>
      <c r="CV247" s="47" t="e">
        <f t="shared" si="2153"/>
        <v>#DIV/0!</v>
      </c>
      <c r="CW247" s="47" t="e">
        <f t="shared" si="2153"/>
        <v>#DIV/0!</v>
      </c>
      <c r="CX247" s="47" t="e">
        <f t="shared" si="2153"/>
        <v>#DIV/0!</v>
      </c>
      <c r="CY247" s="47" t="e">
        <f t="shared" si="2153"/>
        <v>#DIV/0!</v>
      </c>
      <c r="CZ247" s="47" t="e">
        <f t="shared" si="2153"/>
        <v>#DIV/0!</v>
      </c>
      <c r="DB247" s="130"/>
      <c r="DC247" s="89" t="e">
        <v>#DIV/0!</v>
      </c>
    </row>
    <row r="248" spans="1:107" s="64" customFormat="1" hidden="1" outlineLevel="1" x14ac:dyDescent="0.2">
      <c r="A248" s="64" t="s">
        <v>481</v>
      </c>
      <c r="AA248" s="30"/>
      <c r="AB248" s="30"/>
      <c r="AC248" s="30"/>
      <c r="AD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B248" s="139"/>
    </row>
    <row r="249" spans="1:107" s="62" customFormat="1" hidden="1" outlineLevel="1" x14ac:dyDescent="0.2">
      <c r="AA249" s="63"/>
      <c r="AB249" s="63"/>
      <c r="AC249" s="63"/>
      <c r="AD249" s="63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B249" s="139"/>
    </row>
    <row r="250" spans="1:107" s="11" customFormat="1" collapsed="1" x14ac:dyDescent="0.2">
      <c r="AA250" s="63"/>
      <c r="AB250" s="63"/>
      <c r="AC250" s="63"/>
      <c r="AD250" s="63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B250" s="139"/>
    </row>
    <row r="251" spans="1:107" s="62" customFormat="1" x14ac:dyDescent="0.2">
      <c r="A251" s="154" t="s">
        <v>497</v>
      </c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63"/>
      <c r="AB251" s="63"/>
      <c r="AC251" s="63"/>
      <c r="AD251" s="63"/>
      <c r="AK251" s="180"/>
      <c r="CE251" s="180"/>
      <c r="CF251" s="180"/>
      <c r="CG251" s="180"/>
      <c r="CH251" s="180"/>
      <c r="CI251" s="180"/>
      <c r="CJ251" s="180"/>
      <c r="CK251" s="18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B251" s="139"/>
    </row>
    <row r="252" spans="1:107" s="84" customFormat="1" x14ac:dyDescent="0.2">
      <c r="A252" s="84" t="s">
        <v>512</v>
      </c>
      <c r="B252" s="84">
        <f>B16/B173</f>
        <v>2.2715345652611028</v>
      </c>
      <c r="C252" s="84">
        <f>C16/C173</f>
        <v>2.2414950041150208</v>
      </c>
      <c r="D252" s="84">
        <f>D16/D173</f>
        <v>2.566887247304714</v>
      </c>
      <c r="E252" s="84">
        <f t="shared" ref="E252:Y252" si="2154">E18/(E169+E156+E146)</f>
        <v>1.4114774790347544</v>
      </c>
      <c r="F252" s="84">
        <f t="shared" si="2154"/>
        <v>1.3156233066590226</v>
      </c>
      <c r="G252" s="84">
        <f t="shared" si="2154"/>
        <v>1.3661676010382466</v>
      </c>
      <c r="H252" s="84">
        <f t="shared" si="2154"/>
        <v>1.2980671744038972</v>
      </c>
      <c r="I252" s="84">
        <f t="shared" si="2154"/>
        <v>1.2700746381362811</v>
      </c>
      <c r="J252" s="84">
        <f t="shared" si="2154"/>
        <v>1.1261059860629881</v>
      </c>
      <c r="K252" s="84">
        <f t="shared" si="2154"/>
        <v>1.0934103104619626</v>
      </c>
      <c r="L252" s="84">
        <f t="shared" si="2154"/>
        <v>1.1866285550495239</v>
      </c>
      <c r="M252" s="84">
        <f t="shared" si="2154"/>
        <v>1.1757522949669852</v>
      </c>
      <c r="N252" s="84">
        <f t="shared" si="2154"/>
        <v>0.73166685143126242</v>
      </c>
      <c r="O252" s="84">
        <f t="shared" si="2154"/>
        <v>0.9014942389383418</v>
      </c>
      <c r="P252" s="84">
        <f t="shared" si="2154"/>
        <v>0.87470060764961555</v>
      </c>
      <c r="Q252" s="84">
        <f t="shared" si="2154"/>
        <v>1.1394432658851699</v>
      </c>
      <c r="R252" s="84">
        <f t="shared" si="2154"/>
        <v>0.69479213461367428</v>
      </c>
      <c r="S252" s="84">
        <f t="shared" si="2154"/>
        <v>0.74651104403666646</v>
      </c>
      <c r="T252" s="84">
        <f t="shared" si="2154"/>
        <v>0.96371380503761939</v>
      </c>
      <c r="U252" s="84">
        <f t="shared" si="2154"/>
        <v>0.77890059130583711</v>
      </c>
      <c r="V252" s="84">
        <f t="shared" si="2154"/>
        <v>0.86904427689099228</v>
      </c>
      <c r="W252" s="84">
        <f t="shared" si="2154"/>
        <v>0.9283883754371024</v>
      </c>
      <c r="X252" s="84">
        <f t="shared" si="2154"/>
        <v>0.9586663399691473</v>
      </c>
      <c r="Y252" s="84">
        <f t="shared" si="2154"/>
        <v>0.99162251612525321</v>
      </c>
      <c r="Z252" s="84">
        <f t="shared" ref="Z252" si="2155">Z18/(Z169+Z156+Z146)</f>
        <v>0.97218577279414686</v>
      </c>
      <c r="AA252" s="50">
        <f t="shared" ref="AA252:AD252" si="2156">AA18/(AA169+AA156+AA146)</f>
        <v>0.94291855143210135</v>
      </c>
      <c r="AB252" s="50">
        <f t="shared" si="2156"/>
        <v>0.91170674906066085</v>
      </c>
      <c r="AC252" s="50">
        <f t="shared" si="2156"/>
        <v>0.87151769954620761</v>
      </c>
      <c r="AD252" s="50">
        <f t="shared" si="2156"/>
        <v>0.86874562029949831</v>
      </c>
      <c r="AK252" s="84">
        <f>SUM(AH18:AK18)/(AK169+AK156+AK146)</f>
        <v>1.2228894421171812</v>
      </c>
      <c r="AL252" s="84">
        <f t="shared" ref="AL252:CK252" si="2157">SUM(AI18:AL18)/(AL169+AL156+AL146)</f>
        <v>1.1272371037980673</v>
      </c>
      <c r="AM252" s="84">
        <f t="shared" si="2157"/>
        <v>1.106786570738054</v>
      </c>
      <c r="AN252" s="84">
        <f t="shared" si="2157"/>
        <v>1.1023335755367853</v>
      </c>
      <c r="AO252" s="84">
        <f t="shared" si="2157"/>
        <v>1.1795690405317352</v>
      </c>
      <c r="AP252" s="84">
        <f t="shared" si="2157"/>
        <v>1.0926162172057527</v>
      </c>
      <c r="AQ252" s="84">
        <f t="shared" si="2157"/>
        <v>1.0873908552171652</v>
      </c>
      <c r="AR252" s="84">
        <f t="shared" si="2157"/>
        <v>1.1389154392543184</v>
      </c>
      <c r="AS252" s="84">
        <f t="shared" si="2157"/>
        <v>1.2542134325756624</v>
      </c>
      <c r="AT252" s="84">
        <f t="shared" si="2157"/>
        <v>1.1190535402909987</v>
      </c>
      <c r="AU252" s="84">
        <f t="shared" si="2157"/>
        <v>1.1167652210252574</v>
      </c>
      <c r="AV252" s="84">
        <f t="shared" si="2157"/>
        <v>1.1084909771282594</v>
      </c>
      <c r="AW252" s="84">
        <f t="shared" si="2157"/>
        <v>1.2673979552920318</v>
      </c>
      <c r="AX252" s="84">
        <f t="shared" si="2157"/>
        <v>1.1783826161766136</v>
      </c>
      <c r="AY252" s="84">
        <f t="shared" si="2157"/>
        <v>1.2241208633442522</v>
      </c>
      <c r="AZ252" s="84">
        <f t="shared" si="2157"/>
        <v>1.1344769409718221</v>
      </c>
      <c r="BA252" s="84">
        <f t="shared" si="2157"/>
        <v>1.2593241184200561</v>
      </c>
      <c r="BB252" s="84">
        <f t="shared" si="2157"/>
        <v>1.1270723242909599</v>
      </c>
      <c r="BC252" s="84">
        <f t="shared" si="2157"/>
        <v>1.2172118761145021</v>
      </c>
      <c r="BD252" s="84">
        <f t="shared" si="2157"/>
        <v>0.91404217280955202</v>
      </c>
      <c r="BE252" s="84">
        <f t="shared" si="2157"/>
        <v>0.88122630830697535</v>
      </c>
      <c r="BF252" s="84">
        <f t="shared" si="2157"/>
        <v>0.74712413484594042</v>
      </c>
      <c r="BG252" s="84">
        <f t="shared" si="2157"/>
        <v>0.73836535688964966</v>
      </c>
      <c r="BH252" s="84">
        <f t="shared" si="2157"/>
        <v>0.74651104403666646</v>
      </c>
      <c r="BI252" s="84">
        <f t="shared" si="2157"/>
        <v>0.79439384976826444</v>
      </c>
      <c r="BJ252" s="84">
        <f t="shared" si="2157"/>
        <v>0.7717273718695622</v>
      </c>
      <c r="BK252" s="84">
        <f t="shared" si="2157"/>
        <v>0.78296579586203541</v>
      </c>
      <c r="BL252" s="84">
        <f t="shared" si="2157"/>
        <v>0.95842956120092382</v>
      </c>
      <c r="BM252" s="84">
        <f t="shared" si="2157"/>
        <v>1.0316178748503102</v>
      </c>
      <c r="BN252" s="84">
        <f t="shared" si="2157"/>
        <v>0.85807007260521662</v>
      </c>
      <c r="BO252" s="84">
        <f t="shared" si="2157"/>
        <v>0.62549542726711016</v>
      </c>
      <c r="BP252" s="84">
        <f t="shared" si="2157"/>
        <v>0.77890059130583722</v>
      </c>
      <c r="BQ252" s="84">
        <f t="shared" si="2157"/>
        <v>0.79602036300226175</v>
      </c>
      <c r="BR252" s="84">
        <f t="shared" si="2157"/>
        <v>0.85246674235770448</v>
      </c>
      <c r="BS252" s="84">
        <f t="shared" si="2157"/>
        <v>0.76480945222601782</v>
      </c>
      <c r="BT252" s="84">
        <f t="shared" si="2157"/>
        <v>0.86904427689099228</v>
      </c>
      <c r="BU252" s="84">
        <f t="shared" si="2157"/>
        <v>0.93140552977660762</v>
      </c>
      <c r="BV252" s="84">
        <f t="shared" si="2157"/>
        <v>0.95264563226005083</v>
      </c>
      <c r="BW252" s="84">
        <f t="shared" si="2157"/>
        <v>0.96541153570296656</v>
      </c>
      <c r="BX252" s="84">
        <f t="shared" si="2157"/>
        <v>0.93400473972166342</v>
      </c>
      <c r="BY252" s="84">
        <f t="shared" si="2157"/>
        <v>0.95878827092370533</v>
      </c>
      <c r="BZ252" s="84">
        <f t="shared" si="2157"/>
        <v>0.923819570767201</v>
      </c>
      <c r="CA252" s="84">
        <f t="shared" si="2157"/>
        <v>0.90922636566223081</v>
      </c>
      <c r="CB252" s="84">
        <f t="shared" si="2157"/>
        <v>0.95866633996914741</v>
      </c>
      <c r="CC252" s="84">
        <f t="shared" si="2157"/>
        <v>0.93031488083151836</v>
      </c>
      <c r="CD252" s="84">
        <f t="shared" si="2157"/>
        <v>0.98651827075755916</v>
      </c>
      <c r="CE252" s="84">
        <f t="shared" si="2157"/>
        <v>0.95013571224943161</v>
      </c>
      <c r="CF252" s="84">
        <f t="shared" si="2157"/>
        <v>0.9916225161252531</v>
      </c>
      <c r="CG252" s="84">
        <f t="shared" si="2157"/>
        <v>0.99284894808350832</v>
      </c>
      <c r="CH252" s="84">
        <f t="shared" si="2157"/>
        <v>0.97958009462058626</v>
      </c>
      <c r="CI252" s="84">
        <f t="shared" si="2157"/>
        <v>0.9619251880429851</v>
      </c>
      <c r="CJ252" s="84">
        <f t="shared" ref="CJ252" si="2158">SUM(CG18:CJ18)/(CJ169+CJ156+CJ146)</f>
        <v>0.91679950118102937</v>
      </c>
      <c r="CK252" s="84">
        <f t="shared" si="2157"/>
        <v>0.8609714332835976</v>
      </c>
      <c r="CL252" s="50">
        <f t="shared" ref="CL252:CZ252" si="2159">SUM(CI18:CL18)/(CL169+CL156+CL146)</f>
        <v>0.82207543359202129</v>
      </c>
      <c r="CM252" s="50">
        <f t="shared" si="2159"/>
        <v>0.82057371555763325</v>
      </c>
      <c r="CN252" s="50">
        <f t="shared" si="2159"/>
        <v>0.80877188292463431</v>
      </c>
      <c r="CO252" s="50">
        <f t="shared" si="2159"/>
        <v>0.81716558331376887</v>
      </c>
      <c r="CP252" s="50">
        <f t="shared" si="2159"/>
        <v>0.8004671143548493</v>
      </c>
      <c r="CQ252" s="50">
        <f t="shared" si="2159"/>
        <v>0.81073532759944655</v>
      </c>
      <c r="CR252" s="50">
        <f t="shared" si="2159"/>
        <v>0.81331400667060949</v>
      </c>
      <c r="CS252" s="50">
        <f t="shared" si="2159"/>
        <v>0.80009472181743058</v>
      </c>
      <c r="CT252" s="50">
        <f t="shared" si="2159"/>
        <v>0.77865653444563077</v>
      </c>
      <c r="CU252" s="50">
        <f t="shared" si="2159"/>
        <v>0.78522275726825619</v>
      </c>
      <c r="CV252" s="50">
        <f t="shared" si="2159"/>
        <v>0.78819493768948701</v>
      </c>
      <c r="CW252" s="50">
        <f t="shared" si="2159"/>
        <v>0.76842597081180009</v>
      </c>
      <c r="CX252" s="50">
        <f t="shared" si="2159"/>
        <v>0.75748905297851465</v>
      </c>
      <c r="CY252" s="50">
        <f t="shared" si="2159"/>
        <v>0.77166094473611557</v>
      </c>
      <c r="CZ252" s="50">
        <f t="shared" si="2159"/>
        <v>0.78242581483704676</v>
      </c>
      <c r="DB252" s="138"/>
      <c r="DC252" s="84" t="e">
        <v>#DIV/0!</v>
      </c>
    </row>
    <row r="253" spans="1:107" s="84" customFormat="1" x14ac:dyDescent="0.2">
      <c r="A253" s="84" t="s">
        <v>513</v>
      </c>
      <c r="E253" s="181">
        <f>+E50</f>
        <v>6.6595210577931496E-2</v>
      </c>
      <c r="F253" s="181">
        <f t="shared" ref="F253:AD253" si="2160">+F50</f>
        <v>7.380125482753834E-2</v>
      </c>
      <c r="G253" s="181">
        <f t="shared" si="2160"/>
        <v>7.9622241346082159E-2</v>
      </c>
      <c r="H253" s="181">
        <f t="shared" si="2160"/>
        <v>8.2907787945166012E-2</v>
      </c>
      <c r="I253" s="181">
        <f t="shared" si="2160"/>
        <v>8.0065888244042704E-2</v>
      </c>
      <c r="J253" s="181">
        <f t="shared" si="2160"/>
        <v>5.6858689860487768E-2</v>
      </c>
      <c r="K253" s="181">
        <f t="shared" si="2160"/>
        <v>1.0057129889117035E-2</v>
      </c>
      <c r="L253" s="181">
        <f t="shared" si="2160"/>
        <v>2.4787332976372114E-2</v>
      </c>
      <c r="M253" s="181">
        <f t="shared" si="2160"/>
        <v>1.8519199840220314E-2</v>
      </c>
      <c r="N253" s="181">
        <f t="shared" si="2160"/>
        <v>2.2907307572270837E-2</v>
      </c>
      <c r="O253" s="181">
        <f t="shared" si="2160"/>
        <v>2.9548948892253919E-2</v>
      </c>
      <c r="P253" s="181">
        <f t="shared" si="2160"/>
        <v>3.6839072905444345E-2</v>
      </c>
      <c r="Q253" s="181">
        <f t="shared" si="2160"/>
        <v>4.3330351842873635E-2</v>
      </c>
      <c r="R253" s="181">
        <f t="shared" si="2160"/>
        <v>3.7001967596201342E-2</v>
      </c>
      <c r="S253" s="181">
        <f t="shared" si="2160"/>
        <v>3.7994834173378143E-2</v>
      </c>
      <c r="T253" s="181">
        <f t="shared" si="2160"/>
        <v>5.0844422328730064E-2</v>
      </c>
      <c r="U253" s="181">
        <f t="shared" si="2160"/>
        <v>2.948831376321737E-2</v>
      </c>
      <c r="V253" s="181">
        <f t="shared" si="2160"/>
        <v>5.9294779348139585E-2</v>
      </c>
      <c r="W253" s="181">
        <f t="shared" si="2160"/>
        <v>8.0110603639555536E-2</v>
      </c>
      <c r="X253" s="181">
        <f t="shared" si="2160"/>
        <v>0.11948285170563981</v>
      </c>
      <c r="Y253" s="181">
        <f t="shared" si="2160"/>
        <v>0.15380393180022503</v>
      </c>
      <c r="Z253" s="181">
        <f t="shared" ref="Z253" si="2161">+Z50</f>
        <v>0.1264435461453805</v>
      </c>
      <c r="AA253" s="182">
        <f t="shared" si="2160"/>
        <v>0.12076967697318154</v>
      </c>
      <c r="AB253" s="182">
        <f t="shared" si="2160"/>
        <v>0.13111953994938247</v>
      </c>
      <c r="AC253" s="182">
        <f t="shared" si="2160"/>
        <v>0.12896743843795772</v>
      </c>
      <c r="AD253" s="182">
        <f t="shared" si="2160"/>
        <v>0.13013607810772052</v>
      </c>
      <c r="AK253" s="181">
        <f t="shared" ref="AK253:CV253" si="2162">+AK50</f>
        <v>2.1735728671879326E-2</v>
      </c>
      <c r="AL253" s="181">
        <f t="shared" si="2162"/>
        <v>2.2630842589155823E-2</v>
      </c>
      <c r="AM253" s="181">
        <f t="shared" si="2162"/>
        <v>1.993952628926602E-2</v>
      </c>
      <c r="AN253" s="181">
        <f t="shared" si="2162"/>
        <v>2.6585052657370864E-2</v>
      </c>
      <c r="AO253" s="181">
        <f t="shared" si="2162"/>
        <v>2.8275820562343061E-2</v>
      </c>
      <c r="AP253" s="181">
        <f t="shared" si="2162"/>
        <v>2.6171947886597338E-2</v>
      </c>
      <c r="AQ253" s="181">
        <f t="shared" si="2162"/>
        <v>2.4379800213553536E-2</v>
      </c>
      <c r="AR253" s="181">
        <f t="shared" si="2162"/>
        <v>3.7598116520208544E-2</v>
      </c>
      <c r="AS253" s="181">
        <f t="shared" si="2162"/>
        <v>2.9918933962316163E-2</v>
      </c>
      <c r="AT253" s="181">
        <f t="shared" si="2162"/>
        <v>2.9741874695851319E-2</v>
      </c>
      <c r="AU253" s="181">
        <f t="shared" si="2162"/>
        <v>2.9832856772830523E-2</v>
      </c>
      <c r="AV253" s="181">
        <f t="shared" si="2162"/>
        <v>5.3358404361039231E-2</v>
      </c>
      <c r="AW253" s="181">
        <f t="shared" si="2162"/>
        <v>4.2649936112442083E-2</v>
      </c>
      <c r="AX253" s="181">
        <f t="shared" si="2162"/>
        <v>2.6562910271405588E-2</v>
      </c>
      <c r="AY253" s="181">
        <f t="shared" si="2162"/>
        <v>3.4340465496518043E-2</v>
      </c>
      <c r="AZ253" s="181">
        <f t="shared" si="2162"/>
        <v>6.4921962851605744E-2</v>
      </c>
      <c r="BA253" s="181">
        <f t="shared" si="2162"/>
        <v>4.1828011472719882E-2</v>
      </c>
      <c r="BB253" s="181">
        <f t="shared" si="2162"/>
        <v>3.3608854898940312E-2</v>
      </c>
      <c r="BC253" s="181">
        <f t="shared" si="2162"/>
        <v>4.3355516273265907E-2</v>
      </c>
      <c r="BD253" s="181">
        <f t="shared" si="2162"/>
        <v>4.7771762984637839E-2</v>
      </c>
      <c r="BE253" s="181">
        <f t="shared" si="2162"/>
        <v>2.9110223050700327E-2</v>
      </c>
      <c r="BF253" s="181">
        <f t="shared" si="2162"/>
        <v>2.6673150349398319E-2</v>
      </c>
      <c r="BG253" s="181">
        <f t="shared" si="2162"/>
        <v>2.3953822019012895E-2</v>
      </c>
      <c r="BH253" s="181">
        <f t="shared" si="2162"/>
        <v>6.5421701452459471E-2</v>
      </c>
      <c r="BI253" s="181">
        <f t="shared" si="2162"/>
        <v>4.8112417240913447E-2</v>
      </c>
      <c r="BJ253" s="181">
        <f t="shared" si="2162"/>
        <v>4.0411415326669559E-2</v>
      </c>
      <c r="BK253" s="181">
        <f t="shared" si="2162"/>
        <v>4.5147282913807069E-2</v>
      </c>
      <c r="BL253" s="181">
        <f t="shared" si="2162"/>
        <v>6.878510031587079E-2</v>
      </c>
      <c r="BM253" s="181">
        <f t="shared" si="2162"/>
        <v>6.0502943031322271E-3</v>
      </c>
      <c r="BN253" s="181">
        <f t="shared" si="2162"/>
        <v>1.4962770597902226E-2</v>
      </c>
      <c r="BO253" s="181">
        <f t="shared" si="2162"/>
        <v>5.3027906486288599E-2</v>
      </c>
      <c r="BP253" s="181">
        <f t="shared" si="2162"/>
        <v>3.6571885510007202E-2</v>
      </c>
      <c r="BQ253" s="181">
        <f t="shared" si="2162"/>
        <v>4.6705337138998902E-2</v>
      </c>
      <c r="BR253" s="181">
        <f t="shared" si="2162"/>
        <v>4.7945205479452135E-2</v>
      </c>
      <c r="BS253" s="181">
        <f t="shared" si="2162"/>
        <v>6.7459893499176249E-2</v>
      </c>
      <c r="BT253" s="181">
        <f t="shared" si="2162"/>
        <v>6.984059005472272E-2</v>
      </c>
      <c r="BU253" s="181">
        <f t="shared" si="2162"/>
        <v>3.8853387075539467E-2</v>
      </c>
      <c r="BV253" s="181">
        <f t="shared" si="2162"/>
        <v>7.2669637962676087E-2</v>
      </c>
      <c r="BW253" s="181">
        <f t="shared" si="2162"/>
        <v>7.3872267353543214E-2</v>
      </c>
      <c r="BX253" s="181">
        <f t="shared" si="2162"/>
        <v>0.12604917364055543</v>
      </c>
      <c r="BY253" s="181">
        <f t="shared" si="2162"/>
        <v>0.10167923988370971</v>
      </c>
      <c r="BZ253" s="181">
        <f t="shared" si="2162"/>
        <v>0.11791695068623122</v>
      </c>
      <c r="CA253" s="181">
        <f t="shared" si="2162"/>
        <v>0.13072414677216079</v>
      </c>
      <c r="CB253" s="181">
        <f t="shared" si="2162"/>
        <v>0.12518631073911413</v>
      </c>
      <c r="CC253" s="181">
        <f t="shared" si="2162"/>
        <v>0.14920333986936582</v>
      </c>
      <c r="CD253" s="181">
        <f t="shared" si="2162"/>
        <v>0.15635884501529573</v>
      </c>
      <c r="CE253" s="181">
        <f t="shared" si="2162"/>
        <v>0.15125199164881056</v>
      </c>
      <c r="CF253" s="181">
        <f t="shared" si="2162"/>
        <v>0.15807461076456278</v>
      </c>
      <c r="CG253" s="181">
        <f t="shared" si="2162"/>
        <v>0.15192669937908429</v>
      </c>
      <c r="CH253" s="181">
        <f t="shared" si="2162"/>
        <v>0.11087597309349254</v>
      </c>
      <c r="CI253" s="181">
        <f t="shared" si="2162"/>
        <v>0.12350183645853463</v>
      </c>
      <c r="CJ253" s="181">
        <f t="shared" si="2162"/>
        <v>0.14064059420693226</v>
      </c>
      <c r="CK253" s="181">
        <f t="shared" ref="CK253" si="2163">+CK50</f>
        <v>0.10738177044402425</v>
      </c>
      <c r="CL253" s="182">
        <f t="shared" si="2162"/>
        <v>0.12215455434934622</v>
      </c>
      <c r="CM253" s="182">
        <f t="shared" si="2162"/>
        <v>0.12565671226587938</v>
      </c>
      <c r="CN253" s="182">
        <f t="shared" si="2162"/>
        <v>0.12575169358900501</v>
      </c>
      <c r="CO253" s="182">
        <f t="shared" si="2162"/>
        <v>0.12644434687968453</v>
      </c>
      <c r="CP253" s="182">
        <f t="shared" si="2162"/>
        <v>0.12978032095882427</v>
      </c>
      <c r="CQ253" s="182">
        <f t="shared" si="2162"/>
        <v>0.13264262309733535</v>
      </c>
      <c r="CR253" s="182">
        <f t="shared" si="2162"/>
        <v>0.1353025483896024</v>
      </c>
      <c r="CS253" s="182">
        <f t="shared" si="2162"/>
        <v>0.12904850499952095</v>
      </c>
      <c r="CT253" s="182">
        <f t="shared" si="2162"/>
        <v>0.12861952667026214</v>
      </c>
      <c r="CU253" s="182">
        <f t="shared" si="2162"/>
        <v>0.12915016620253292</v>
      </c>
      <c r="CV253" s="182">
        <f t="shared" si="2162"/>
        <v>0.12906362456954956</v>
      </c>
      <c r="CW253" s="182">
        <f t="shared" ref="CW253:CZ253" si="2164">+CW50</f>
        <v>0.12978551181504477</v>
      </c>
      <c r="CX253" s="182">
        <f t="shared" si="2164"/>
        <v>0.12903231212040114</v>
      </c>
      <c r="CY253" s="182">
        <f t="shared" si="2164"/>
        <v>0.13022711251247102</v>
      </c>
      <c r="CZ253" s="182">
        <f t="shared" si="2164"/>
        <v>0.13149063502306346</v>
      </c>
      <c r="DB253" s="138"/>
      <c r="DC253" s="84" t="e">
        <v>#DIV/0!</v>
      </c>
    </row>
    <row r="254" spans="1:107" s="84" customFormat="1" x14ac:dyDescent="0.2">
      <c r="A254" s="84" t="s">
        <v>514</v>
      </c>
      <c r="E254" s="84">
        <f>(E169+E156+E146+E148)/E128</f>
        <v>2.3573533691652258</v>
      </c>
      <c r="F254" s="84">
        <f t="shared" ref="F254:AD254" si="2165">(F169+F156+F146+F148)/F128</f>
        <v>2.5874156742646695</v>
      </c>
      <c r="G254" s="84">
        <f t="shared" si="2165"/>
        <v>2.6808068592350596</v>
      </c>
      <c r="H254" s="84">
        <f t="shared" si="2165"/>
        <v>2.8524249754495408</v>
      </c>
      <c r="I254" s="84">
        <f t="shared" si="2165"/>
        <v>2.5693334803241528</v>
      </c>
      <c r="J254" s="84">
        <f t="shared" si="2165"/>
        <v>2.2921718859154963</v>
      </c>
      <c r="K254" s="84">
        <f t="shared" si="2165"/>
        <v>2.3793330587122954</v>
      </c>
      <c r="L254" s="84">
        <f t="shared" si="2165"/>
        <v>2.4824024317643301</v>
      </c>
      <c r="M254" s="84">
        <f t="shared" si="2165"/>
        <v>2.4943574053289459</v>
      </c>
      <c r="N254" s="84">
        <f t="shared" si="2165"/>
        <v>3.9477882848563612</v>
      </c>
      <c r="O254" s="84">
        <f t="shared" si="2165"/>
        <v>3.05644776989879</v>
      </c>
      <c r="P254" s="84">
        <f t="shared" si="2165"/>
        <v>3.0987219757025808</v>
      </c>
      <c r="Q254" s="84">
        <f t="shared" si="2165"/>
        <v>2.312599263699151</v>
      </c>
      <c r="R254" s="84">
        <f t="shared" si="2165"/>
        <v>2.4316655068493911</v>
      </c>
      <c r="S254" s="84">
        <f t="shared" si="2165"/>
        <v>2.2363924019045149</v>
      </c>
      <c r="T254" s="84">
        <f t="shared" si="2165"/>
        <v>2.1563218194885958</v>
      </c>
      <c r="U254" s="84">
        <f t="shared" si="2165"/>
        <v>2.0722414166005807</v>
      </c>
      <c r="V254" s="84">
        <f t="shared" si="2165"/>
        <v>1.9724363997735581</v>
      </c>
      <c r="W254" s="84">
        <f t="shared" si="2165"/>
        <v>1.868318280928289</v>
      </c>
      <c r="X254" s="84">
        <f t="shared" si="2165"/>
        <v>1.8333428657941662</v>
      </c>
      <c r="Y254" s="84">
        <f t="shared" si="2165"/>
        <v>1.7374056590440115</v>
      </c>
      <c r="Z254" s="84">
        <f t="shared" ref="Z254" si="2166">(Z169+Z156+Z146+Z148)/Z128</f>
        <v>1.7332870511575436</v>
      </c>
      <c r="AA254" s="50">
        <f t="shared" si="2165"/>
        <v>1.5646547455175852</v>
      </c>
      <c r="AB254" s="50">
        <f t="shared" si="2165"/>
        <v>1.5972814249493716</v>
      </c>
      <c r="AC254" s="50">
        <f t="shared" si="2165"/>
        <v>1.5693958001466926</v>
      </c>
      <c r="AD254" s="50">
        <f t="shared" si="2165"/>
        <v>1.5660561615523356</v>
      </c>
      <c r="AK254" s="84">
        <f t="shared" ref="AK254:CV254" si="2167">(AK169+AK156+AK146+AK148)/AK128</f>
        <v>2.4043223845158472</v>
      </c>
      <c r="AL254" s="84">
        <f t="shared" si="2167"/>
        <v>2.5507084966926787</v>
      </c>
      <c r="AM254" s="84">
        <f t="shared" si="2167"/>
        <v>2.5534660956363635</v>
      </c>
      <c r="AN254" s="84">
        <f t="shared" si="2167"/>
        <v>2.6223875468710318</v>
      </c>
      <c r="AO254" s="84">
        <f t="shared" si="2167"/>
        <v>2.3570322253113996</v>
      </c>
      <c r="AP254" s="84">
        <f t="shared" si="2167"/>
        <v>2.5238194697021528</v>
      </c>
      <c r="AQ254" s="84">
        <f t="shared" si="2167"/>
        <v>2.5147479985005674</v>
      </c>
      <c r="AR254" s="84">
        <f t="shared" si="2167"/>
        <v>2.4205079694734675</v>
      </c>
      <c r="AS254" s="84">
        <f t="shared" si="2167"/>
        <v>2.153232549093016</v>
      </c>
      <c r="AT254" s="84">
        <f t="shared" si="2167"/>
        <v>2.4059826127529345</v>
      </c>
      <c r="AU254" s="84">
        <f t="shared" si="2167"/>
        <v>2.4006165862842845</v>
      </c>
      <c r="AV254" s="84">
        <f t="shared" si="2167"/>
        <v>2.4463179937179036</v>
      </c>
      <c r="AW254" s="84">
        <f t="shared" si="2167"/>
        <v>2.1293522369338143</v>
      </c>
      <c r="AX254" s="84">
        <f t="shared" si="2167"/>
        <v>2.2879456437384178</v>
      </c>
      <c r="AY254" s="84">
        <f t="shared" si="2167"/>
        <v>2.1762668826237102</v>
      </c>
      <c r="AZ254" s="84">
        <f t="shared" si="2167"/>
        <v>2.3305095071859823</v>
      </c>
      <c r="BA254" s="84">
        <f t="shared" si="2167"/>
        <v>2.0787006073090946</v>
      </c>
      <c r="BB254" s="84">
        <f t="shared" si="2167"/>
        <v>2.3721577269569001</v>
      </c>
      <c r="BC254" s="84">
        <f t="shared" si="2167"/>
        <v>2.1120826854350492</v>
      </c>
      <c r="BD254" s="84">
        <f t="shared" si="2167"/>
        <v>2.4316655068493906</v>
      </c>
      <c r="BE254" s="84">
        <f t="shared" si="2167"/>
        <v>2.2736455071847885</v>
      </c>
      <c r="BF254" s="84">
        <f t="shared" si="2167"/>
        <v>2.4763984011341917</v>
      </c>
      <c r="BG254" s="84">
        <f t="shared" si="2167"/>
        <v>2.2815340903722015</v>
      </c>
      <c r="BH254" s="84">
        <f t="shared" si="2167"/>
        <v>2.2363924019045149</v>
      </c>
      <c r="BI254" s="84">
        <f t="shared" si="2167"/>
        <v>2.1290108043355467</v>
      </c>
      <c r="BJ254" s="84">
        <f t="shared" si="2167"/>
        <v>2.1984736691036182</v>
      </c>
      <c r="BK254" s="84">
        <f t="shared" si="2167"/>
        <v>2.1742211899071888</v>
      </c>
      <c r="BL254" s="84">
        <f t="shared" si="2167"/>
        <v>2.1563218194885954</v>
      </c>
      <c r="BM254" s="84">
        <f t="shared" si="2167"/>
        <v>1.8785199686072795</v>
      </c>
      <c r="BN254" s="84">
        <f t="shared" si="2167"/>
        <v>2.0180782385992715</v>
      </c>
      <c r="BO254" s="84">
        <f t="shared" si="2167"/>
        <v>2.6492527184157177</v>
      </c>
      <c r="BP254" s="84">
        <f t="shared" si="2167"/>
        <v>2.0722414166005798</v>
      </c>
      <c r="BQ254" s="84">
        <f t="shared" si="2167"/>
        <v>1.987045368560497</v>
      </c>
      <c r="BR254" s="84">
        <f t="shared" si="2167"/>
        <v>2.0043527615346837</v>
      </c>
      <c r="BS254" s="84">
        <f t="shared" si="2167"/>
        <v>2.2209289713401614</v>
      </c>
      <c r="BT254" s="84">
        <f t="shared" si="2167"/>
        <v>1.9724363997735579</v>
      </c>
      <c r="BU254" s="84">
        <f t="shared" si="2167"/>
        <v>1.8948162765656027</v>
      </c>
      <c r="BV254" s="84">
        <f t="shared" si="2167"/>
        <v>2.0251343013095728</v>
      </c>
      <c r="BW254" s="84">
        <f t="shared" si="2167"/>
        <v>1.9892251494032847</v>
      </c>
      <c r="BX254" s="84">
        <f t="shared" si="2167"/>
        <v>1.868318280928289</v>
      </c>
      <c r="BY254" s="84">
        <f t="shared" si="2167"/>
        <v>1.8218376323662715</v>
      </c>
      <c r="BZ254" s="84">
        <f t="shared" si="2167"/>
        <v>1.9090397690230043</v>
      </c>
      <c r="CA254" s="84">
        <f t="shared" si="2167"/>
        <v>1.9414967485347778</v>
      </c>
      <c r="CB254" s="84">
        <f t="shared" si="2167"/>
        <v>1.8333428657941657</v>
      </c>
      <c r="CC254" s="84">
        <f t="shared" si="2167"/>
        <v>1.8660295326179641</v>
      </c>
      <c r="CD254" s="84">
        <f t="shared" si="2167"/>
        <v>1.8285301139463668</v>
      </c>
      <c r="CE254" s="84">
        <f t="shared" si="2167"/>
        <v>1.7974276528331044</v>
      </c>
      <c r="CF254" s="84">
        <f t="shared" si="2167"/>
        <v>1.7374056590440112</v>
      </c>
      <c r="CG254" s="84">
        <f t="shared" si="2167"/>
        <v>1.6167963225633166</v>
      </c>
      <c r="CH254" s="84">
        <f t="shared" si="2167"/>
        <v>1.7686080566223679</v>
      </c>
      <c r="CI254" s="84">
        <f t="shared" si="2167"/>
        <v>1.7586660853300486</v>
      </c>
      <c r="CJ254" s="84">
        <f t="shared" si="2167"/>
        <v>1.771902084780151</v>
      </c>
      <c r="CK254" s="84">
        <f t="shared" ref="CK254" si="2168">(CK169+CK156+CK146+CK148)/CK128</f>
        <v>1.5646547455175852</v>
      </c>
      <c r="CL254" s="50">
        <f t="shared" si="2167"/>
        <v>1.6290301372452074</v>
      </c>
      <c r="CM254" s="50">
        <f t="shared" si="2167"/>
        <v>1.6120115094174532</v>
      </c>
      <c r="CN254" s="50">
        <f t="shared" si="2167"/>
        <v>1.5954561441210371</v>
      </c>
      <c r="CO254" s="50">
        <f t="shared" si="2167"/>
        <v>1.5972814249493716</v>
      </c>
      <c r="CP254" s="50">
        <f t="shared" si="2167"/>
        <v>1.6267035523054463</v>
      </c>
      <c r="CQ254" s="50">
        <f t="shared" si="2167"/>
        <v>1.589473182675267</v>
      </c>
      <c r="CR254" s="50">
        <f t="shared" si="2167"/>
        <v>1.5601027785467856</v>
      </c>
      <c r="CS254" s="50">
        <f t="shared" si="2167"/>
        <v>1.5693958001466926</v>
      </c>
      <c r="CT254" s="50">
        <f t="shared" si="2167"/>
        <v>1.5901947624117114</v>
      </c>
      <c r="CU254" s="50">
        <f t="shared" si="2167"/>
        <v>1.5553893769914315</v>
      </c>
      <c r="CV254" s="50">
        <f t="shared" si="2167"/>
        <v>1.5297480933333887</v>
      </c>
      <c r="CW254" s="50">
        <f t="shared" ref="CW254:CZ254" si="2169">(CW169+CW156+CW146+CW148)/CW128</f>
        <v>1.5660561615523356</v>
      </c>
      <c r="CX254" s="50">
        <f t="shared" si="2169"/>
        <v>1.5845017386315801</v>
      </c>
      <c r="CY254" s="50">
        <f t="shared" si="2169"/>
        <v>1.5530201100739824</v>
      </c>
      <c r="CZ254" s="50">
        <f t="shared" si="2169"/>
        <v>1.531880993554475</v>
      </c>
      <c r="DB254" s="138"/>
      <c r="DC254" s="84" t="e">
        <v>#DIV/0!</v>
      </c>
    </row>
    <row r="255" spans="1:107" s="84" customFormat="1" x14ac:dyDescent="0.2">
      <c r="A255" s="154" t="s">
        <v>498</v>
      </c>
      <c r="AA255" s="50"/>
      <c r="AB255" s="50"/>
      <c r="AC255" s="50"/>
      <c r="AD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B255" s="138"/>
    </row>
    <row r="256" spans="1:107" s="88" customFormat="1" x14ac:dyDescent="0.2">
      <c r="A256" s="88" t="s">
        <v>102</v>
      </c>
      <c r="B256" s="88">
        <f t="shared" ref="B256:AD256" si="2170">B169/B128</f>
        <v>0.31829435116890659</v>
      </c>
      <c r="C256" s="88">
        <f t="shared" si="2170"/>
        <v>0.54798418265430016</v>
      </c>
      <c r="D256" s="88">
        <f t="shared" si="2170"/>
        <v>0.58434090011892681</v>
      </c>
      <c r="F256" s="88">
        <f t="shared" si="2170"/>
        <v>0.44348305145765321</v>
      </c>
      <c r="G256" s="88">
        <f t="shared" si="2170"/>
        <v>0.45695208178874502</v>
      </c>
      <c r="H256" s="88">
        <f t="shared" si="2170"/>
        <v>0.39528136815802167</v>
      </c>
      <c r="I256" s="88">
        <f t="shared" si="2170"/>
        <v>0.16434119451057247</v>
      </c>
      <c r="J256" s="88">
        <f t="shared" si="2170"/>
        <v>0.21625338135402031</v>
      </c>
      <c r="K256" s="88">
        <f t="shared" si="2170"/>
        <v>0.2422429046191952</v>
      </c>
      <c r="L256" s="88">
        <f t="shared" si="2170"/>
        <v>0.10251810615707904</v>
      </c>
      <c r="M256" s="88">
        <f t="shared" si="2170"/>
        <v>3.3409695422887097E-2</v>
      </c>
      <c r="N256" s="88">
        <f t="shared" si="2170"/>
        <v>0.11826438996698485</v>
      </c>
      <c r="O256" s="88">
        <f t="shared" si="2170"/>
        <v>8.0384640004551963E-2</v>
      </c>
      <c r="P256" s="88">
        <f t="shared" si="2170"/>
        <v>0.19067989563078561</v>
      </c>
      <c r="Q256" s="88">
        <f t="shared" si="2170"/>
        <v>0.36183405847810879</v>
      </c>
      <c r="R256" s="88">
        <f t="shared" si="2170"/>
        <v>0.48853998874376547</v>
      </c>
      <c r="S256" s="88">
        <f t="shared" si="2170"/>
        <v>0.36811385165147781</v>
      </c>
      <c r="T256" s="88">
        <f t="shared" si="2170"/>
        <v>0.45386365766978876</v>
      </c>
      <c r="U256" s="88">
        <f t="shared" si="2170"/>
        <v>0.61187395671005285</v>
      </c>
      <c r="V256" s="88">
        <f t="shared" si="2170"/>
        <v>0.67047283316729256</v>
      </c>
      <c r="W256" s="88">
        <f t="shared" si="2170"/>
        <v>0.73738159010894011</v>
      </c>
      <c r="X256" s="88">
        <f t="shared" si="2170"/>
        <v>0.81017562157251966</v>
      </c>
      <c r="Y256" s="88">
        <f t="shared" si="2170"/>
        <v>0.77844644825734233</v>
      </c>
      <c r="Z256" s="88">
        <f t="shared" ref="Z256" si="2171">Z169/Z128</f>
        <v>0.74462448267545012</v>
      </c>
      <c r="AA256" s="42">
        <f t="shared" si="2170"/>
        <v>0.81508113128622339</v>
      </c>
      <c r="AB256" s="42">
        <f t="shared" si="2170"/>
        <v>0.82934765024829904</v>
      </c>
      <c r="AC256" s="42">
        <f t="shared" si="2170"/>
        <v>0.84854152505585501</v>
      </c>
      <c r="AD256" s="42">
        <f t="shared" si="2170"/>
        <v>0.86119347801426516</v>
      </c>
      <c r="AK256" s="88">
        <f t="shared" ref="AK256:CV256" si="2172">AK169/AK128</f>
        <v>8.5293711040930753E-2</v>
      </c>
      <c r="AL256" s="88">
        <f t="shared" si="2172"/>
        <v>6.2165599343803377E-2</v>
      </c>
      <c r="AM256" s="88">
        <f t="shared" si="2172"/>
        <v>7.1368194494480591E-2</v>
      </c>
      <c r="AN256" s="88">
        <f t="shared" si="2172"/>
        <v>0.11826438996698485</v>
      </c>
      <c r="AO256" s="88">
        <f t="shared" si="2172"/>
        <v>0.23866147048417474</v>
      </c>
      <c r="AP256" s="88">
        <f t="shared" si="2172"/>
        <v>8.5814190490937831E-2</v>
      </c>
      <c r="AQ256" s="88">
        <f t="shared" si="2172"/>
        <v>0.10206333413483777</v>
      </c>
      <c r="AR256" s="88">
        <f t="shared" si="2172"/>
        <v>8.0384640004551963E-2</v>
      </c>
      <c r="AS256" s="88">
        <f t="shared" si="2172"/>
        <v>0.2112263653372953</v>
      </c>
      <c r="AT256" s="88">
        <f t="shared" si="2172"/>
        <v>7.8750368809995946E-2</v>
      </c>
      <c r="AU256" s="88">
        <f t="shared" si="2172"/>
        <v>9.6301269816545632E-2</v>
      </c>
      <c r="AV256" s="88">
        <f t="shared" si="2172"/>
        <v>0.19067989563078561</v>
      </c>
      <c r="AW256" s="88">
        <f t="shared" si="2172"/>
        <v>0.34321867619281848</v>
      </c>
      <c r="AX256" s="88">
        <f t="shared" si="2172"/>
        <v>0.22824878442800803</v>
      </c>
      <c r="AY256" s="88">
        <f t="shared" si="2172"/>
        <v>0.29729931535939463</v>
      </c>
      <c r="AZ256" s="88">
        <f t="shared" si="2172"/>
        <v>0.36226612809874553</v>
      </c>
      <c r="BA256" s="88">
        <f t="shared" si="2172"/>
        <v>0.46221303795007473</v>
      </c>
      <c r="BB256" s="88">
        <f t="shared" si="2172"/>
        <v>0.47281407769451206</v>
      </c>
      <c r="BC256" s="88">
        <f t="shared" si="2172"/>
        <v>0.54760102700500557</v>
      </c>
      <c r="BD256" s="88">
        <f t="shared" si="2172"/>
        <v>0.48853998874376542</v>
      </c>
      <c r="BE256" s="88">
        <f t="shared" si="2172"/>
        <v>0.51764480517831402</v>
      </c>
      <c r="BF256" s="88">
        <f t="shared" si="2172"/>
        <v>0.42928414907294349</v>
      </c>
      <c r="BG256" s="88">
        <f t="shared" si="2172"/>
        <v>0.46894455196963908</v>
      </c>
      <c r="BH256" s="88">
        <f t="shared" si="2172"/>
        <v>0.36811385165147775</v>
      </c>
      <c r="BI256" s="88">
        <f t="shared" si="2172"/>
        <v>0.41222792391101332</v>
      </c>
      <c r="BJ256" s="88">
        <f t="shared" si="2172"/>
        <v>0.31709717334516829</v>
      </c>
      <c r="BK256" s="88">
        <f t="shared" si="2172"/>
        <v>0.33884497024892779</v>
      </c>
      <c r="BL256" s="88">
        <f t="shared" si="2172"/>
        <v>0.4538636576697887</v>
      </c>
      <c r="BM256" s="88">
        <f t="shared" si="2172"/>
        <v>0.5339367128241298</v>
      </c>
      <c r="BN256" s="88">
        <f t="shared" si="2172"/>
        <v>0.4216832848829099</v>
      </c>
      <c r="BO256" s="88">
        <f t="shared" si="2172"/>
        <v>0.24221637219353029</v>
      </c>
      <c r="BP256" s="88">
        <f t="shared" si="2172"/>
        <v>0.61187395671005274</v>
      </c>
      <c r="BQ256" s="88">
        <f t="shared" si="2172"/>
        <v>0.63885933313807808</v>
      </c>
      <c r="BR256" s="88">
        <f t="shared" si="2172"/>
        <v>0.63451294423259097</v>
      </c>
      <c r="BS256" s="88">
        <f t="shared" si="2172"/>
        <v>0.62520937327255643</v>
      </c>
      <c r="BT256" s="88">
        <f t="shared" si="2172"/>
        <v>0.66442861769162875</v>
      </c>
      <c r="BU256" s="88">
        <f t="shared" si="2172"/>
        <v>0.68325880034957309</v>
      </c>
      <c r="BV256" s="88">
        <f t="shared" si="2172"/>
        <v>0.67809156700442763</v>
      </c>
      <c r="BW256" s="88">
        <f t="shared" si="2172"/>
        <v>0.69793436103830697</v>
      </c>
      <c r="BX256" s="88">
        <f t="shared" si="2172"/>
        <v>0.73738159010894011</v>
      </c>
      <c r="BY256" s="88">
        <f t="shared" si="2172"/>
        <v>0.75543698070136134</v>
      </c>
      <c r="BZ256" s="88">
        <f t="shared" si="2172"/>
        <v>0.77309118003166621</v>
      </c>
      <c r="CA256" s="88">
        <f t="shared" si="2172"/>
        <v>0.78956157691527284</v>
      </c>
      <c r="CB256" s="88">
        <f t="shared" si="2172"/>
        <v>0.81017562157251954</v>
      </c>
      <c r="CC256" s="88">
        <f t="shared" si="2172"/>
        <v>0.82821562313566233</v>
      </c>
      <c r="CD256" s="88">
        <f t="shared" si="2172"/>
        <v>0.78991197777210098</v>
      </c>
      <c r="CE256" s="88">
        <f t="shared" si="2172"/>
        <v>0.8075173709103749</v>
      </c>
      <c r="CF256" s="88">
        <f t="shared" si="2172"/>
        <v>0.77844644825734222</v>
      </c>
      <c r="CG256" s="88">
        <f t="shared" si="2172"/>
        <v>0.80198860042353748</v>
      </c>
      <c r="CH256" s="88">
        <f t="shared" si="2172"/>
        <v>0.73138429846837716</v>
      </c>
      <c r="CI256" s="88">
        <f t="shared" si="2172"/>
        <v>0.74660341770365002</v>
      </c>
      <c r="CJ256" s="88">
        <f t="shared" si="2172"/>
        <v>0.7582187203587033</v>
      </c>
      <c r="CK256" s="88">
        <f t="shared" ref="CK256" si="2173">CK169/CK128</f>
        <v>0.81508113128622339</v>
      </c>
      <c r="CL256" s="42">
        <f t="shared" si="2172"/>
        <v>0.81178123667082103</v>
      </c>
      <c r="CM256" s="42">
        <f t="shared" si="2172"/>
        <v>0.81874090922571097</v>
      </c>
      <c r="CN256" s="42">
        <f t="shared" si="2172"/>
        <v>0.82530748949389265</v>
      </c>
      <c r="CO256" s="42">
        <f t="shared" si="2172"/>
        <v>0.82934765024829904</v>
      </c>
      <c r="CP256" s="42">
        <f t="shared" si="2172"/>
        <v>0.82995399885429066</v>
      </c>
      <c r="CQ256" s="42">
        <f t="shared" si="2172"/>
        <v>0.83877511260179061</v>
      </c>
      <c r="CR256" s="42">
        <f t="shared" si="2172"/>
        <v>0.84628422227167965</v>
      </c>
      <c r="CS256" s="42">
        <f t="shared" si="2172"/>
        <v>0.84854152505585501</v>
      </c>
      <c r="CT256" s="42">
        <f t="shared" si="2172"/>
        <v>0.84927619916725317</v>
      </c>
      <c r="CU256" s="42">
        <f t="shared" si="2172"/>
        <v>0.85684249700826609</v>
      </c>
      <c r="CV256" s="42">
        <f t="shared" si="2172"/>
        <v>0.86296333664244285</v>
      </c>
      <c r="CW256" s="42">
        <f t="shared" ref="CW256:CZ256" si="2174">CW169/CW128</f>
        <v>0.86119347801426516</v>
      </c>
      <c r="CX256" s="42">
        <f t="shared" si="2174"/>
        <v>0.86167210115007742</v>
      </c>
      <c r="CY256" s="42">
        <f t="shared" si="2174"/>
        <v>0.86833303758602476</v>
      </c>
      <c r="CZ256" s="42">
        <f t="shared" si="2174"/>
        <v>0.87348201910936185</v>
      </c>
      <c r="DB256" s="125"/>
      <c r="DC256" s="88" t="e">
        <v>#DIV/0!</v>
      </c>
    </row>
    <row r="257" spans="1:107" s="89" customFormat="1" x14ac:dyDescent="0.2">
      <c r="A257" s="89" t="s">
        <v>103</v>
      </c>
      <c r="C257" s="89">
        <f t="shared" ref="C257:AD257" si="2175">C136/B136-1</f>
        <v>0.14570192744079202</v>
      </c>
      <c r="D257" s="89">
        <f t="shared" si="2175"/>
        <v>-0.1831638345001535</v>
      </c>
      <c r="F257" s="89">
        <f t="shared" si="2175"/>
        <v>0.82607822126975616</v>
      </c>
      <c r="G257" s="89">
        <f t="shared" si="2175"/>
        <v>-0.43312428943411452</v>
      </c>
      <c r="H257" s="89">
        <f t="shared" si="2175"/>
        <v>-0.63382286342757332</v>
      </c>
      <c r="I257" s="89">
        <f t="shared" si="2175"/>
        <v>-0.96431095406360423</v>
      </c>
      <c r="J257" s="89">
        <f t="shared" si="2175"/>
        <v>-1</v>
      </c>
      <c r="K257" s="89" t="e">
        <f>K136/J136-1</f>
        <v>#DIV/0!</v>
      </c>
      <c r="L257" s="89" t="e">
        <f t="shared" si="2175"/>
        <v>#DIV/0!</v>
      </c>
      <c r="M257" s="89" t="e">
        <f t="shared" si="2175"/>
        <v>#DIV/0!</v>
      </c>
      <c r="N257" s="89">
        <f t="shared" si="2175"/>
        <v>0.892425537109375</v>
      </c>
      <c r="O257" s="89">
        <f t="shared" si="2175"/>
        <v>-0.40160616664785287</v>
      </c>
      <c r="P257" s="89">
        <f t="shared" si="2175"/>
        <v>0.61694558978090397</v>
      </c>
      <c r="Q257" s="89">
        <f t="shared" si="2175"/>
        <v>6.6666666666659324E-5</v>
      </c>
      <c r="R257" s="89">
        <f t="shared" si="2175"/>
        <v>1.3849076728218224E-2</v>
      </c>
      <c r="S257" s="89">
        <f t="shared" si="2175"/>
        <v>-0.98862496917892662</v>
      </c>
      <c r="T257" s="89">
        <f t="shared" si="2175"/>
        <v>0.95664739884393057</v>
      </c>
      <c r="U257" s="89">
        <f t="shared" si="2175"/>
        <v>-1</v>
      </c>
      <c r="V257" s="89" t="e">
        <f t="shared" si="2175"/>
        <v>#DIV/0!</v>
      </c>
      <c r="W257" s="89" t="e">
        <f t="shared" si="2175"/>
        <v>#DIV/0!</v>
      </c>
      <c r="X257" s="89" t="e">
        <f t="shared" si="2175"/>
        <v>#DIV/0!</v>
      </c>
      <c r="Y257" s="89" t="e">
        <f t="shared" si="2175"/>
        <v>#DIV/0!</v>
      </c>
      <c r="Z257" s="89" t="e">
        <f t="shared" si="2175"/>
        <v>#DIV/0!</v>
      </c>
      <c r="AA257" s="47" t="e">
        <f t="shared" si="2175"/>
        <v>#DIV/0!</v>
      </c>
      <c r="AB257" s="47" t="e">
        <f t="shared" si="2175"/>
        <v>#DIV/0!</v>
      </c>
      <c r="AC257" s="47" t="e">
        <f t="shared" si="2175"/>
        <v>#DIV/0!</v>
      </c>
      <c r="AD257" s="47" t="e">
        <f t="shared" si="2175"/>
        <v>#DIV/0!</v>
      </c>
      <c r="AK257" s="89">
        <f t="shared" ref="AK257:CV257" si="2176">AK136/AJ136-1</f>
        <v>0</v>
      </c>
      <c r="AL257" s="89">
        <f t="shared" si="2176"/>
        <v>1.4052734375</v>
      </c>
      <c r="AM257" s="89">
        <f t="shared" si="2176"/>
        <v>0</v>
      </c>
      <c r="AN257" s="89">
        <f t="shared" si="2176"/>
        <v>-0.21321812829882247</v>
      </c>
      <c r="AO257" s="89">
        <f t="shared" si="2176"/>
        <v>0</v>
      </c>
      <c r="AP257" s="89">
        <f t="shared" si="2176"/>
        <v>0.30299462998500259</v>
      </c>
      <c r="AQ257" s="89">
        <f t="shared" si="2176"/>
        <v>0</v>
      </c>
      <c r="AR257" s="89">
        <f t="shared" si="2176"/>
        <v>-0.54075495049504951</v>
      </c>
      <c r="AS257" s="89">
        <f t="shared" si="2176"/>
        <v>0</v>
      </c>
      <c r="AT257" s="89">
        <f t="shared" si="2176"/>
        <v>0.80917347131269057</v>
      </c>
      <c r="AU257" s="89">
        <f t="shared" si="2176"/>
        <v>0</v>
      </c>
      <c r="AV257" s="89">
        <f t="shared" si="2176"/>
        <v>-0.10625176887670751</v>
      </c>
      <c r="AW257" s="89">
        <f t="shared" si="2176"/>
        <v>0</v>
      </c>
      <c r="AX257" s="89">
        <f t="shared" si="2176"/>
        <v>2.5233333333333219E-2</v>
      </c>
      <c r="AY257" s="89">
        <f t="shared" si="2176"/>
        <v>0</v>
      </c>
      <c r="AZ257" s="89">
        <f t="shared" si="2176"/>
        <v>-2.4547257534870193E-2</v>
      </c>
      <c r="BA257" s="89">
        <f t="shared" si="2176"/>
        <v>0</v>
      </c>
      <c r="BB257" s="89">
        <f t="shared" si="2176"/>
        <v>-6.6662222518387715E-5</v>
      </c>
      <c r="BC257" s="89">
        <f t="shared" si="2176"/>
        <v>0</v>
      </c>
      <c r="BD257" s="89">
        <f t="shared" si="2176"/>
        <v>-0.99309999999999998</v>
      </c>
      <c r="BE257" s="89">
        <f t="shared" si="2176"/>
        <v>0</v>
      </c>
      <c r="BF257" s="89">
        <f t="shared" si="2176"/>
        <v>-4.5893719806763156E-2</v>
      </c>
      <c r="BG257" s="89">
        <f t="shared" si="2176"/>
        <v>0</v>
      </c>
      <c r="BH257" s="89">
        <f t="shared" si="2176"/>
        <v>-0.48607594936708864</v>
      </c>
      <c r="BI257" s="89">
        <f t="shared" si="2176"/>
        <v>0</v>
      </c>
      <c r="BJ257" s="89">
        <f t="shared" si="2176"/>
        <v>0</v>
      </c>
      <c r="BK257" s="89">
        <f t="shared" si="2176"/>
        <v>0</v>
      </c>
      <c r="BL257" s="89">
        <f t="shared" si="2176"/>
        <v>2.4778325123152709</v>
      </c>
      <c r="BM257" s="89">
        <f t="shared" si="2176"/>
        <v>0</v>
      </c>
      <c r="BN257" s="89">
        <f t="shared" si="2176"/>
        <v>-1</v>
      </c>
      <c r="BO257" s="89" t="e">
        <f t="shared" si="2176"/>
        <v>#DIV/0!</v>
      </c>
      <c r="BP257" s="89" t="e">
        <f t="shared" si="2176"/>
        <v>#DIV/0!</v>
      </c>
      <c r="BQ257" s="89" t="e">
        <f t="shared" si="2176"/>
        <v>#DIV/0!</v>
      </c>
      <c r="BR257" s="89" t="e">
        <f t="shared" si="2176"/>
        <v>#DIV/0!</v>
      </c>
      <c r="BS257" s="89" t="e">
        <f t="shared" si="2176"/>
        <v>#DIV/0!</v>
      </c>
      <c r="BT257" s="89" t="e">
        <f t="shared" si="2176"/>
        <v>#DIV/0!</v>
      </c>
      <c r="BU257" s="89" t="e">
        <f t="shared" si="2176"/>
        <v>#DIV/0!</v>
      </c>
      <c r="BV257" s="89" t="e">
        <f t="shared" si="2176"/>
        <v>#DIV/0!</v>
      </c>
      <c r="BW257" s="89" t="e">
        <f t="shared" si="2176"/>
        <v>#DIV/0!</v>
      </c>
      <c r="BX257" s="89" t="e">
        <f t="shared" si="2176"/>
        <v>#DIV/0!</v>
      </c>
      <c r="BY257" s="89" t="e">
        <f t="shared" si="2176"/>
        <v>#DIV/0!</v>
      </c>
      <c r="BZ257" s="89" t="e">
        <f t="shared" si="2176"/>
        <v>#DIV/0!</v>
      </c>
      <c r="CA257" s="89" t="e">
        <f t="shared" si="2176"/>
        <v>#DIV/0!</v>
      </c>
      <c r="CB257" s="89" t="e">
        <f t="shared" si="2176"/>
        <v>#DIV/0!</v>
      </c>
      <c r="CC257" s="89" t="e">
        <f t="shared" si="2176"/>
        <v>#DIV/0!</v>
      </c>
      <c r="CD257" s="89" t="e">
        <f t="shared" si="2176"/>
        <v>#DIV/0!</v>
      </c>
      <c r="CE257" s="89" t="e">
        <f t="shared" si="2176"/>
        <v>#DIV/0!</v>
      </c>
      <c r="CF257" s="89" t="e">
        <f t="shared" si="2176"/>
        <v>#DIV/0!</v>
      </c>
      <c r="CG257" s="89" t="e">
        <f t="shared" si="2176"/>
        <v>#DIV/0!</v>
      </c>
      <c r="CH257" s="89" t="e">
        <f t="shared" si="2176"/>
        <v>#DIV/0!</v>
      </c>
      <c r="CI257" s="89" t="e">
        <f t="shared" si="2176"/>
        <v>#DIV/0!</v>
      </c>
      <c r="CJ257" s="89" t="e">
        <f t="shared" si="2176"/>
        <v>#DIV/0!</v>
      </c>
      <c r="CK257" s="89" t="e">
        <f t="shared" si="2176"/>
        <v>#DIV/0!</v>
      </c>
      <c r="CL257" s="47" t="e">
        <f t="shared" si="2176"/>
        <v>#DIV/0!</v>
      </c>
      <c r="CM257" s="47" t="e">
        <f t="shared" si="2176"/>
        <v>#DIV/0!</v>
      </c>
      <c r="CN257" s="47" t="e">
        <f t="shared" si="2176"/>
        <v>#DIV/0!</v>
      </c>
      <c r="CO257" s="47" t="e">
        <f t="shared" si="2176"/>
        <v>#DIV/0!</v>
      </c>
      <c r="CP257" s="47" t="e">
        <f t="shared" si="2176"/>
        <v>#DIV/0!</v>
      </c>
      <c r="CQ257" s="47" t="e">
        <f t="shared" si="2176"/>
        <v>#DIV/0!</v>
      </c>
      <c r="CR257" s="47" t="e">
        <f t="shared" si="2176"/>
        <v>#DIV/0!</v>
      </c>
      <c r="CS257" s="47" t="e">
        <f t="shared" si="2176"/>
        <v>#DIV/0!</v>
      </c>
      <c r="CT257" s="47" t="e">
        <f t="shared" si="2176"/>
        <v>#DIV/0!</v>
      </c>
      <c r="CU257" s="47" t="e">
        <f t="shared" si="2176"/>
        <v>#DIV/0!</v>
      </c>
      <c r="CV257" s="47" t="e">
        <f t="shared" si="2176"/>
        <v>#DIV/0!</v>
      </c>
      <c r="CW257" s="47" t="e">
        <f t="shared" ref="CW257:CZ257" si="2177">CW136/CV136-1</f>
        <v>#DIV/0!</v>
      </c>
      <c r="CX257" s="47" t="e">
        <f t="shared" si="2177"/>
        <v>#DIV/0!</v>
      </c>
      <c r="CY257" s="47" t="e">
        <f t="shared" si="2177"/>
        <v>#DIV/0!</v>
      </c>
      <c r="CZ257" s="47" t="e">
        <f t="shared" si="2177"/>
        <v>#DIV/0!</v>
      </c>
      <c r="DB257" s="130"/>
      <c r="DC257" s="89" t="e">
        <v>#DIV/0!</v>
      </c>
    </row>
    <row r="258" spans="1:107" s="89" customFormat="1" x14ac:dyDescent="0.2">
      <c r="A258" s="89" t="s">
        <v>104</v>
      </c>
      <c r="C258" s="89">
        <f>C36/B36-1</f>
        <v>0.1817082482834036</v>
      </c>
      <c r="D258" s="89">
        <f>D36/C36-1</f>
        <v>0.18935828195767268</v>
      </c>
      <c r="F258" s="89">
        <f t="shared" ref="F258:AD258" si="2178">F36/E36-1</f>
        <v>0.48803711619510559</v>
      </c>
      <c r="G258" s="89">
        <f t="shared" si="2178"/>
        <v>0.48132302102500679</v>
      </c>
      <c r="H258" s="89">
        <f t="shared" si="2178"/>
        <v>0.5368693456082283</v>
      </c>
      <c r="I258" s="89">
        <f t="shared" si="2178"/>
        <v>6.6434657347360204E-2</v>
      </c>
      <c r="J258" s="89">
        <f t="shared" si="2178"/>
        <v>-0.30575313404441284</v>
      </c>
      <c r="K258" s="89">
        <f t="shared" si="2178"/>
        <v>-0.81494074650781911</v>
      </c>
      <c r="L258" s="89">
        <f t="shared" si="2178"/>
        <v>2.4807909749450783</v>
      </c>
      <c r="M258" s="89">
        <f t="shared" si="2178"/>
        <v>7.2564415091129764E-3</v>
      </c>
      <c r="N258" s="89">
        <f t="shared" si="2178"/>
        <v>0.36440129449838143</v>
      </c>
      <c r="O258" s="89">
        <f t="shared" si="2178"/>
        <v>0.17925501196271099</v>
      </c>
      <c r="P258" s="89">
        <f t="shared" si="2178"/>
        <v>0.26153038915610138</v>
      </c>
      <c r="Q258" s="89">
        <f t="shared" si="2178"/>
        <v>-1.5306122448980108E-2</v>
      </c>
      <c r="R258" s="89">
        <f t="shared" si="2178"/>
        <v>-0.42301193962604289</v>
      </c>
      <c r="S258" s="89">
        <f t="shared" si="2178"/>
        <v>0.13252806246949889</v>
      </c>
      <c r="T258" s="89">
        <f t="shared" si="2178"/>
        <v>9.6916679235524938E-2</v>
      </c>
      <c r="U258" s="89">
        <f t="shared" si="2178"/>
        <v>-0.47834371132805575</v>
      </c>
      <c r="V258" s="89">
        <f t="shared" si="2178"/>
        <v>0.94095718642918813</v>
      </c>
      <c r="W258" s="89">
        <f t="shared" si="2178"/>
        <v>0.76560741861638459</v>
      </c>
      <c r="X258" s="89">
        <f t="shared" si="2178"/>
        <v>0.63694099549499894</v>
      </c>
      <c r="Y258" s="89">
        <f t="shared" si="2178"/>
        <v>0.54147592261944721</v>
      </c>
      <c r="Z258" s="89">
        <f t="shared" si="2178"/>
        <v>-0.12469627165289243</v>
      </c>
      <c r="AA258" s="47">
        <f t="shared" si="2178"/>
        <v>1.5131247896869482E-2</v>
      </c>
      <c r="AB258" s="47">
        <f t="shared" si="2178"/>
        <v>0.26074400796638519</v>
      </c>
      <c r="AC258" s="47">
        <f t="shared" si="2178"/>
        <v>7.4144840751887431E-2</v>
      </c>
      <c r="AD258" s="47">
        <f t="shared" si="2178"/>
        <v>0.17384262184369992</v>
      </c>
      <c r="AK258" s="89">
        <f t="shared" ref="AK258:CV258" si="2179">AK36/AJ36-1</f>
        <v>0.60925063823396242</v>
      </c>
      <c r="AL258" s="89">
        <f t="shared" si="2179"/>
        <v>6.7189249720067679E-3</v>
      </c>
      <c r="AM258" s="89">
        <f t="shared" si="2179"/>
        <v>-2.2803114571746663E-2</v>
      </c>
      <c r="AN258" s="89">
        <f t="shared" si="2179"/>
        <v>0.41775754126351416</v>
      </c>
      <c r="AO258" s="89">
        <f t="shared" si="2179"/>
        <v>-0.15883848521343447</v>
      </c>
      <c r="AP258" s="89">
        <f t="shared" si="2179"/>
        <v>7.1587655106530867E-4</v>
      </c>
      <c r="AQ258" s="89">
        <f t="shared" si="2179"/>
        <v>-1.3353469517526917E-2</v>
      </c>
      <c r="AR258" s="89">
        <f t="shared" si="2179"/>
        <v>0.45033432691533193</v>
      </c>
      <c r="AS258" s="89">
        <f t="shared" si="2179"/>
        <v>-0.20235516302838397</v>
      </c>
      <c r="AT258" s="89">
        <f t="shared" si="2179"/>
        <v>4.4637883008358692E-2</v>
      </c>
      <c r="AU258" s="89">
        <f t="shared" si="2179"/>
        <v>3.8197453503098222E-2</v>
      </c>
      <c r="AV258" s="89">
        <f t="shared" si="2179"/>
        <v>0.68967509952484685</v>
      </c>
      <c r="AW258" s="89">
        <f t="shared" si="2179"/>
        <v>-0.34299828994869819</v>
      </c>
      <c r="AX258" s="89">
        <f t="shared" si="2179"/>
        <v>-0.34310833477934111</v>
      </c>
      <c r="AY258" s="89">
        <f t="shared" si="2179"/>
        <v>4.1208065510256686E-2</v>
      </c>
      <c r="AZ258" s="89">
        <f t="shared" si="2179"/>
        <v>1.4508245243129045</v>
      </c>
      <c r="BA258" s="89">
        <f t="shared" si="2179"/>
        <v>-0.4448431731134177</v>
      </c>
      <c r="BB258" s="89">
        <f t="shared" si="2179"/>
        <v>-8.4343340170308534E-2</v>
      </c>
      <c r="BC258" s="89">
        <f t="shared" si="2179"/>
        <v>-8.9397230518597492E-2</v>
      </c>
      <c r="BD258" s="89">
        <f t="shared" si="2179"/>
        <v>8.5277674245250124E-2</v>
      </c>
      <c r="BE258" s="89">
        <f t="shared" si="2179"/>
        <v>-0.385397348719005</v>
      </c>
      <c r="BF258" s="89">
        <f t="shared" si="2179"/>
        <v>-1.2293249888269964E-3</v>
      </c>
      <c r="BG258" s="89">
        <f t="shared" si="2179"/>
        <v>-0.27570773190108333</v>
      </c>
      <c r="BH258" s="89">
        <f t="shared" si="2179"/>
        <v>2.3281322416190338</v>
      </c>
      <c r="BI258" s="89">
        <f t="shared" si="2179"/>
        <v>-0.32451376317133174</v>
      </c>
      <c r="BJ258" s="89">
        <f t="shared" si="2179"/>
        <v>-0.14877680043980257</v>
      </c>
      <c r="BK258" s="89">
        <f t="shared" si="2179"/>
        <v>-4.1172196657794924E-3</v>
      </c>
      <c r="BL258" s="89">
        <f t="shared" si="2179"/>
        <v>0.1219195849546042</v>
      </c>
      <c r="BM258" s="89">
        <f t="shared" si="2179"/>
        <v>-0.89523121387283222</v>
      </c>
      <c r="BN258" s="89">
        <f t="shared" si="2179"/>
        <v>0.6165517241379348</v>
      </c>
      <c r="BO258" s="89">
        <f t="shared" si="2179"/>
        <v>4.179180887371996</v>
      </c>
      <c r="BP258" s="89">
        <f t="shared" si="2179"/>
        <v>-0.29728171334431686</v>
      </c>
      <c r="BQ258" s="89">
        <f t="shared" si="2179"/>
        <v>0.21369124369945247</v>
      </c>
      <c r="BR258" s="89">
        <f t="shared" si="2179"/>
        <v>-8.4894726675680432E-2</v>
      </c>
      <c r="BS258" s="89">
        <f t="shared" si="2179"/>
        <v>0.91356200527704323</v>
      </c>
      <c r="BT258" s="89">
        <f t="shared" si="2179"/>
        <v>2.1454966631734296E-2</v>
      </c>
      <c r="BU258" s="89">
        <f t="shared" si="2179"/>
        <v>1.3660907127430288E-2</v>
      </c>
      <c r="BV258" s="89">
        <f t="shared" si="2179"/>
        <v>9.9984019602621377E-2</v>
      </c>
      <c r="BW258" s="89">
        <f t="shared" si="2179"/>
        <v>2.1549636803872563E-2</v>
      </c>
      <c r="BX258" s="89">
        <f t="shared" si="2179"/>
        <v>0.72685470490638027</v>
      </c>
      <c r="BY258" s="89">
        <f t="shared" si="2179"/>
        <v>-0.21678379268694581</v>
      </c>
      <c r="BZ258" s="89">
        <f t="shared" si="2179"/>
        <v>0.22224948301847314</v>
      </c>
      <c r="CA258" s="89">
        <f t="shared" si="2179"/>
        <v>0.257541867400779</v>
      </c>
      <c r="CB258" s="89">
        <f t="shared" si="2179"/>
        <v>-4.8594166875698508E-2</v>
      </c>
      <c r="CC258" s="89">
        <f t="shared" si="2179"/>
        <v>0.35463304731316736</v>
      </c>
      <c r="CD258" s="89">
        <f t="shared" si="2179"/>
        <v>-4.0146501999362205E-2</v>
      </c>
      <c r="CE258" s="89">
        <f t="shared" si="2179"/>
        <v>-4.1844089291968034E-3</v>
      </c>
      <c r="CF258" s="89">
        <f t="shared" si="2179"/>
        <v>0.21680056273370152</v>
      </c>
      <c r="CG258" s="89">
        <f t="shared" si="2179"/>
        <v>-0.14869017555602881</v>
      </c>
      <c r="CH258" s="89">
        <f t="shared" si="2179"/>
        <v>-0.26002501786990773</v>
      </c>
      <c r="CI258" s="89">
        <f t="shared" si="2179"/>
        <v>0.20840880001931916</v>
      </c>
      <c r="CJ258" s="89">
        <f t="shared" si="2179"/>
        <v>0.2234257279322136</v>
      </c>
      <c r="CK258" s="89">
        <f t="shared" si="2179"/>
        <v>-0.33288684885411424</v>
      </c>
      <c r="CL258" s="47">
        <f t="shared" si="2179"/>
        <v>0.29459036142361472</v>
      </c>
      <c r="CM258" s="47">
        <f t="shared" si="2179"/>
        <v>3.9862825005933411E-2</v>
      </c>
      <c r="CN258" s="47">
        <f t="shared" si="2179"/>
        <v>6.9688967087593312E-3</v>
      </c>
      <c r="CO258" s="47">
        <f t="shared" si="2179"/>
        <v>5.8015888246345737E-2</v>
      </c>
      <c r="CP258" s="47">
        <f t="shared" si="2179"/>
        <v>0.131828852396217</v>
      </c>
      <c r="CQ258" s="47">
        <f t="shared" si="2179"/>
        <v>-3.1631222871065789E-3</v>
      </c>
      <c r="CR258" s="47">
        <f t="shared" si="2179"/>
        <v>3.2743694110217714E-3</v>
      </c>
      <c r="CS258" s="47">
        <f t="shared" si="2179"/>
        <v>1.8932769303618979E-3</v>
      </c>
      <c r="CT258" s="47">
        <f t="shared" si="2179"/>
        <v>8.1195113583701684E-2</v>
      </c>
      <c r="CU258" s="47">
        <f t="shared" si="2179"/>
        <v>-2.7824352398177155E-2</v>
      </c>
      <c r="CV258" s="47">
        <f t="shared" si="2179"/>
        <v>-2.2390203159682764E-2</v>
      </c>
      <c r="CW258" s="47">
        <f t="shared" ref="CW258:CZ258" si="2180">CW36/CV36-1</f>
        <v>0.13298328715564489</v>
      </c>
      <c r="CX258" s="47">
        <f t="shared" si="2180"/>
        <v>7.5806512765182354E-2</v>
      </c>
      <c r="CY258" s="47">
        <f t="shared" si="2180"/>
        <v>-1.5819823927558319E-2</v>
      </c>
      <c r="CZ258" s="47">
        <f t="shared" si="2180"/>
        <v>8.1017802497029834E-4</v>
      </c>
      <c r="DB258" s="130"/>
      <c r="DC258" s="89" t="e">
        <v>#DIV/0!</v>
      </c>
    </row>
    <row r="259" spans="1:107" s="103" customFormat="1" x14ac:dyDescent="0.2">
      <c r="A259" s="147" t="s">
        <v>105</v>
      </c>
      <c r="C259" s="103">
        <f>IF(C257&gt;C258,"RF",0)</f>
        <v>0</v>
      </c>
      <c r="D259" s="103">
        <f t="shared" ref="D259:U259" si="2181">IF(D257&gt;D258,"RF",0)</f>
        <v>0</v>
      </c>
      <c r="F259" s="103" t="str">
        <f t="shared" si="2181"/>
        <v>RF</v>
      </c>
      <c r="G259" s="103">
        <f t="shared" si="2181"/>
        <v>0</v>
      </c>
      <c r="H259" s="103">
        <f t="shared" si="2181"/>
        <v>0</v>
      </c>
      <c r="I259" s="103">
        <f t="shared" si="2181"/>
        <v>0</v>
      </c>
      <c r="J259" s="103">
        <f t="shared" si="2181"/>
        <v>0</v>
      </c>
      <c r="K259" s="103" t="e">
        <f t="shared" si="2181"/>
        <v>#DIV/0!</v>
      </c>
      <c r="L259" s="103" t="e">
        <f t="shared" si="2181"/>
        <v>#DIV/0!</v>
      </c>
      <c r="M259" s="103" t="e">
        <f t="shared" si="2181"/>
        <v>#DIV/0!</v>
      </c>
      <c r="N259" s="103" t="str">
        <f t="shared" si="2181"/>
        <v>RF</v>
      </c>
      <c r="O259" s="103">
        <f t="shared" si="2181"/>
        <v>0</v>
      </c>
      <c r="P259" s="103" t="str">
        <f t="shared" si="2181"/>
        <v>RF</v>
      </c>
      <c r="Q259" s="103" t="str">
        <f t="shared" si="2181"/>
        <v>RF</v>
      </c>
      <c r="R259" s="103" t="str">
        <f t="shared" si="2181"/>
        <v>RF</v>
      </c>
      <c r="S259" s="103">
        <f t="shared" si="2181"/>
        <v>0</v>
      </c>
      <c r="T259" s="103" t="str">
        <f t="shared" si="2181"/>
        <v>RF</v>
      </c>
      <c r="U259" s="103">
        <f t="shared" si="2181"/>
        <v>0</v>
      </c>
      <c r="V259" s="103" t="e">
        <f>IF(V257&gt;V258,"RF",0)</f>
        <v>#DIV/0!</v>
      </c>
      <c r="W259" s="103" t="e">
        <f t="shared" ref="W259:AD259" si="2182">IF(W257&gt;W258,"RF",0)</f>
        <v>#DIV/0!</v>
      </c>
      <c r="X259" s="103" t="e">
        <f t="shared" si="2182"/>
        <v>#DIV/0!</v>
      </c>
      <c r="Y259" s="103" t="e">
        <f t="shared" si="2182"/>
        <v>#DIV/0!</v>
      </c>
      <c r="Z259" s="103" t="e">
        <f t="shared" ref="Z259" si="2183">IF(Z257&gt;Z258,"RF",0)</f>
        <v>#DIV/0!</v>
      </c>
      <c r="AA259" s="73" t="e">
        <f t="shared" si="2182"/>
        <v>#DIV/0!</v>
      </c>
      <c r="AB259" s="73" t="e">
        <f t="shared" si="2182"/>
        <v>#DIV/0!</v>
      </c>
      <c r="AC259" s="73" t="e">
        <f t="shared" si="2182"/>
        <v>#DIV/0!</v>
      </c>
      <c r="AD259" s="73" t="e">
        <f t="shared" si="2182"/>
        <v>#DIV/0!</v>
      </c>
      <c r="AK259" s="103">
        <f t="shared" ref="AK259:CV259" si="2184">IF(AK257&gt;AK258,"RF",0)</f>
        <v>0</v>
      </c>
      <c r="AL259" s="103" t="str">
        <f t="shared" si="2184"/>
        <v>RF</v>
      </c>
      <c r="AM259" s="103" t="str">
        <f t="shared" si="2184"/>
        <v>RF</v>
      </c>
      <c r="AN259" s="103">
        <f t="shared" si="2184"/>
        <v>0</v>
      </c>
      <c r="AO259" s="103" t="str">
        <f t="shared" si="2184"/>
        <v>RF</v>
      </c>
      <c r="AP259" s="103" t="str">
        <f t="shared" si="2184"/>
        <v>RF</v>
      </c>
      <c r="AQ259" s="103" t="str">
        <f t="shared" si="2184"/>
        <v>RF</v>
      </c>
      <c r="AR259" s="103">
        <f t="shared" si="2184"/>
        <v>0</v>
      </c>
      <c r="AS259" s="103" t="str">
        <f t="shared" si="2184"/>
        <v>RF</v>
      </c>
      <c r="AT259" s="103" t="str">
        <f t="shared" si="2184"/>
        <v>RF</v>
      </c>
      <c r="AU259" s="103">
        <f t="shared" si="2184"/>
        <v>0</v>
      </c>
      <c r="AV259" s="103">
        <f t="shared" si="2184"/>
        <v>0</v>
      </c>
      <c r="AW259" s="103" t="str">
        <f t="shared" si="2184"/>
        <v>RF</v>
      </c>
      <c r="AX259" s="103" t="str">
        <f t="shared" si="2184"/>
        <v>RF</v>
      </c>
      <c r="AY259" s="103">
        <f t="shared" si="2184"/>
        <v>0</v>
      </c>
      <c r="AZ259" s="103">
        <f t="shared" si="2184"/>
        <v>0</v>
      </c>
      <c r="BA259" s="103" t="str">
        <f t="shared" si="2184"/>
        <v>RF</v>
      </c>
      <c r="BB259" s="103" t="str">
        <f t="shared" si="2184"/>
        <v>RF</v>
      </c>
      <c r="BC259" s="103" t="str">
        <f t="shared" si="2184"/>
        <v>RF</v>
      </c>
      <c r="BD259" s="103">
        <f t="shared" si="2184"/>
        <v>0</v>
      </c>
      <c r="BE259" s="103" t="str">
        <f t="shared" si="2184"/>
        <v>RF</v>
      </c>
      <c r="BF259" s="103">
        <f t="shared" si="2184"/>
        <v>0</v>
      </c>
      <c r="BG259" s="103" t="str">
        <f t="shared" si="2184"/>
        <v>RF</v>
      </c>
      <c r="BH259" s="103">
        <f t="shared" si="2184"/>
        <v>0</v>
      </c>
      <c r="BI259" s="103" t="str">
        <f t="shared" si="2184"/>
        <v>RF</v>
      </c>
      <c r="BJ259" s="103" t="str">
        <f t="shared" si="2184"/>
        <v>RF</v>
      </c>
      <c r="BK259" s="103" t="str">
        <f t="shared" si="2184"/>
        <v>RF</v>
      </c>
      <c r="BL259" s="103" t="str">
        <f t="shared" si="2184"/>
        <v>RF</v>
      </c>
      <c r="BM259" s="103" t="str">
        <f t="shared" si="2184"/>
        <v>RF</v>
      </c>
      <c r="BN259" s="103">
        <f t="shared" si="2184"/>
        <v>0</v>
      </c>
      <c r="BO259" s="103" t="e">
        <f t="shared" si="2184"/>
        <v>#DIV/0!</v>
      </c>
      <c r="BP259" s="103" t="e">
        <f t="shared" si="2184"/>
        <v>#DIV/0!</v>
      </c>
      <c r="BQ259" s="103" t="e">
        <f t="shared" si="2184"/>
        <v>#DIV/0!</v>
      </c>
      <c r="BR259" s="103" t="e">
        <f t="shared" si="2184"/>
        <v>#DIV/0!</v>
      </c>
      <c r="BS259" s="103" t="e">
        <f t="shared" si="2184"/>
        <v>#DIV/0!</v>
      </c>
      <c r="BT259" s="103" t="e">
        <f t="shared" si="2184"/>
        <v>#DIV/0!</v>
      </c>
      <c r="BU259" s="103" t="e">
        <f t="shared" si="2184"/>
        <v>#DIV/0!</v>
      </c>
      <c r="BV259" s="103" t="e">
        <f t="shared" si="2184"/>
        <v>#DIV/0!</v>
      </c>
      <c r="BW259" s="103" t="e">
        <f t="shared" si="2184"/>
        <v>#DIV/0!</v>
      </c>
      <c r="BX259" s="103" t="e">
        <f t="shared" si="2184"/>
        <v>#DIV/0!</v>
      </c>
      <c r="BY259" s="103" t="e">
        <f t="shared" si="2184"/>
        <v>#DIV/0!</v>
      </c>
      <c r="BZ259" s="103" t="e">
        <f t="shared" si="2184"/>
        <v>#DIV/0!</v>
      </c>
      <c r="CA259" s="103" t="e">
        <f t="shared" si="2184"/>
        <v>#DIV/0!</v>
      </c>
      <c r="CB259" s="103" t="e">
        <f t="shared" si="2184"/>
        <v>#DIV/0!</v>
      </c>
      <c r="CC259" s="103" t="e">
        <f t="shared" si="2184"/>
        <v>#DIV/0!</v>
      </c>
      <c r="CD259" s="103" t="e">
        <f t="shared" si="2184"/>
        <v>#DIV/0!</v>
      </c>
      <c r="CE259" s="103" t="e">
        <f t="shared" si="2184"/>
        <v>#DIV/0!</v>
      </c>
      <c r="CF259" s="103" t="e">
        <f t="shared" si="2184"/>
        <v>#DIV/0!</v>
      </c>
      <c r="CG259" s="103" t="e">
        <f t="shared" si="2184"/>
        <v>#DIV/0!</v>
      </c>
      <c r="CH259" s="103" t="e">
        <f t="shared" si="2184"/>
        <v>#DIV/0!</v>
      </c>
      <c r="CI259" s="103" t="e">
        <f t="shared" si="2184"/>
        <v>#DIV/0!</v>
      </c>
      <c r="CJ259" s="103" t="e">
        <f t="shared" si="2184"/>
        <v>#DIV/0!</v>
      </c>
      <c r="CK259" s="103" t="e">
        <f t="shared" ref="CK259" si="2185">IF(CK257&gt;CK258,"RF",0)</f>
        <v>#DIV/0!</v>
      </c>
      <c r="CL259" s="73" t="e">
        <f t="shared" si="2184"/>
        <v>#DIV/0!</v>
      </c>
      <c r="CM259" s="73" t="e">
        <f t="shared" si="2184"/>
        <v>#DIV/0!</v>
      </c>
      <c r="CN259" s="73" t="e">
        <f t="shared" si="2184"/>
        <v>#DIV/0!</v>
      </c>
      <c r="CO259" s="73" t="e">
        <f t="shared" si="2184"/>
        <v>#DIV/0!</v>
      </c>
      <c r="CP259" s="73" t="e">
        <f t="shared" si="2184"/>
        <v>#DIV/0!</v>
      </c>
      <c r="CQ259" s="73" t="e">
        <f t="shared" si="2184"/>
        <v>#DIV/0!</v>
      </c>
      <c r="CR259" s="73" t="e">
        <f t="shared" si="2184"/>
        <v>#DIV/0!</v>
      </c>
      <c r="CS259" s="73" t="e">
        <f t="shared" si="2184"/>
        <v>#DIV/0!</v>
      </c>
      <c r="CT259" s="73" t="e">
        <f t="shared" si="2184"/>
        <v>#DIV/0!</v>
      </c>
      <c r="CU259" s="73" t="e">
        <f t="shared" si="2184"/>
        <v>#DIV/0!</v>
      </c>
      <c r="CV259" s="73" t="e">
        <f t="shared" si="2184"/>
        <v>#DIV/0!</v>
      </c>
      <c r="CW259" s="73" t="e">
        <f t="shared" ref="CW259:CZ259" si="2186">IF(CW257&gt;CW258,"RF",0)</f>
        <v>#DIV/0!</v>
      </c>
      <c r="CX259" s="73" t="e">
        <f t="shared" si="2186"/>
        <v>#DIV/0!</v>
      </c>
      <c r="CY259" s="73" t="e">
        <f t="shared" si="2186"/>
        <v>#DIV/0!</v>
      </c>
      <c r="CZ259" s="73" t="e">
        <f t="shared" si="2186"/>
        <v>#DIV/0!</v>
      </c>
      <c r="DB259" s="142"/>
      <c r="DC259" s="103" t="e">
        <v>#DIV/0!</v>
      </c>
    </row>
    <row r="260" spans="1:107" s="86" customFormat="1" x14ac:dyDescent="0.2">
      <c r="A260" s="86" t="s">
        <v>432</v>
      </c>
      <c r="B260" s="86">
        <f>B44/B16</f>
        <v>1.1739066569764372E-2</v>
      </c>
      <c r="C260" s="86">
        <f>C44/C16</f>
        <v>5.0131081440596258E-3</v>
      </c>
      <c r="D260" s="86">
        <f>D44/D16</f>
        <v>3.3503516772053557E-3</v>
      </c>
      <c r="F260" s="86">
        <f t="shared" ref="F260:AD260" si="2187">F44/F16</f>
        <v>4.18761919000299E-3</v>
      </c>
      <c r="G260" s="86">
        <f t="shared" si="2187"/>
        <v>2.1925214811442956E-3</v>
      </c>
      <c r="H260" s="86">
        <f t="shared" si="2187"/>
        <v>3.4344789084688626E-3</v>
      </c>
      <c r="I260" s="86">
        <f t="shared" si="2187"/>
        <v>6.7272331769138152E-3</v>
      </c>
      <c r="J260" s="86">
        <f t="shared" si="2187"/>
        <v>6.8280414518526317E-3</v>
      </c>
      <c r="K260" s="86">
        <f t="shared" si="2187"/>
        <v>5.2934227543963595E-3</v>
      </c>
      <c r="L260" s="86">
        <f t="shared" si="2187"/>
        <v>6.2266918418259235E-3</v>
      </c>
      <c r="M260" s="86">
        <f t="shared" si="2187"/>
        <v>7.4909861138850635E-3</v>
      </c>
      <c r="N260" s="86">
        <f t="shared" si="2187"/>
        <v>1.4158015901385544E-2</v>
      </c>
      <c r="O260" s="86">
        <f t="shared" si="2187"/>
        <v>1.4961547939109296E-2</v>
      </c>
      <c r="P260" s="86">
        <f t="shared" si="2187"/>
        <v>1.2251605983369277E-2</v>
      </c>
      <c r="Q260" s="86">
        <f t="shared" si="2187"/>
        <v>1.1715551335435649E-2</v>
      </c>
      <c r="R260" s="86">
        <f t="shared" si="2187"/>
        <v>9.8735743516093072E-3</v>
      </c>
      <c r="S260" s="86">
        <f t="shared" si="2187"/>
        <v>9.0013333094174693E-3</v>
      </c>
      <c r="T260" s="86">
        <f t="shared" si="2187"/>
        <v>3.8536936129026965E-3</v>
      </c>
      <c r="U260" s="86">
        <f t="shared" si="2187"/>
        <v>4.229550159338253E-3</v>
      </c>
      <c r="V260" s="86">
        <f t="shared" si="2187"/>
        <v>2.6954139025093743E-3</v>
      </c>
      <c r="W260" s="86">
        <f t="shared" si="2187"/>
        <v>1.797484222407158E-3</v>
      </c>
      <c r="X260" s="86">
        <f t="shared" si="2187"/>
        <v>1.1994190491619698E-3</v>
      </c>
      <c r="Y260" s="86">
        <f t="shared" si="2187"/>
        <v>1.3396005465895968E-3</v>
      </c>
      <c r="Z260" s="86">
        <f t="shared" ref="Z260" si="2188">Z44/Z16</f>
        <v>1.497706002344825E-3</v>
      </c>
      <c r="AA260" s="87">
        <f t="shared" si="2187"/>
        <v>-2.4034034817051915E-2</v>
      </c>
      <c r="AB260" s="87">
        <f t="shared" si="2187"/>
        <v>-3.2788608005516674E-2</v>
      </c>
      <c r="AC260" s="87">
        <f t="shared" si="2187"/>
        <v>-3.5633534570948665E-2</v>
      </c>
      <c r="AD260" s="87">
        <f t="shared" si="2187"/>
        <v>-3.6375011130898915E-2</v>
      </c>
      <c r="AK260" s="86">
        <f t="shared" ref="AK260:CV260" si="2189">AK44/AK16</f>
        <v>9.9693599923273788E-3</v>
      </c>
      <c r="AL260" s="86">
        <f t="shared" si="2189"/>
        <v>1.4618964680352911E-2</v>
      </c>
      <c r="AM260" s="86">
        <f t="shared" si="2189"/>
        <v>1.5112828265860349E-2</v>
      </c>
      <c r="AN260" s="86">
        <f t="shared" si="2189"/>
        <v>1.3063383956403963E-2</v>
      </c>
      <c r="AO260" s="86">
        <f t="shared" si="2189"/>
        <v>1.2075219810582641E-2</v>
      </c>
      <c r="AP260" s="86">
        <f t="shared" si="2189"/>
        <v>1.3917395646972306E-2</v>
      </c>
      <c r="AQ260" s="86">
        <f t="shared" si="2189"/>
        <v>1.4927071984910324E-2</v>
      </c>
      <c r="AR260" s="86">
        <f t="shared" si="2189"/>
        <v>1.3393435518962122E-2</v>
      </c>
      <c r="AS260" s="86">
        <f t="shared" si="2189"/>
        <v>1.1462770794182644E-2</v>
      </c>
      <c r="AT260" s="86">
        <f t="shared" si="2189"/>
        <v>1.2750955156811379E-2</v>
      </c>
      <c r="AU260" s="86">
        <f t="shared" si="2189"/>
        <v>1.2691915062189875E-2</v>
      </c>
      <c r="AV260" s="86">
        <f t="shared" si="2189"/>
        <v>8.0170700971789501E-3</v>
      </c>
      <c r="AW260" s="86">
        <f t="shared" si="2189"/>
        <v>1.0496277565089635E-2</v>
      </c>
      <c r="AX260" s="86">
        <f t="shared" si="2189"/>
        <v>8.8534928848641673E-3</v>
      </c>
      <c r="AY260" s="86">
        <f t="shared" si="2189"/>
        <v>8.9141078611601546E-3</v>
      </c>
      <c r="AZ260" s="86">
        <f t="shared" si="2189"/>
        <v>1.1409608329127083E-2</v>
      </c>
      <c r="BA260" s="86">
        <f t="shared" si="2189"/>
        <v>9.2039736135374004E-3</v>
      </c>
      <c r="BB260" s="86">
        <f t="shared" si="2189"/>
        <v>9.7253208385875093E-3</v>
      </c>
      <c r="BC260" s="86">
        <f t="shared" si="2189"/>
        <v>7.9234688572319863E-3</v>
      </c>
      <c r="BD260" s="86">
        <f t="shared" si="2189"/>
        <v>7.9356254572055598E-3</v>
      </c>
      <c r="BE260" s="86">
        <f t="shared" si="2189"/>
        <v>1.2671884376236866E-2</v>
      </c>
      <c r="BF260" s="86">
        <f t="shared" si="2189"/>
        <v>9.0291285450135681E-3</v>
      </c>
      <c r="BG260" s="86">
        <f t="shared" si="2189"/>
        <v>9.2114613641544087E-3</v>
      </c>
      <c r="BH260" s="86">
        <f t="shared" si="2189"/>
        <v>2.6801334472517186E-3</v>
      </c>
      <c r="BI260" s="86">
        <f t="shared" si="2189"/>
        <v>1.4268342115930281E-3</v>
      </c>
      <c r="BJ260" s="86">
        <f t="shared" si="2189"/>
        <v>5.5454150369404608E-3</v>
      </c>
      <c r="BK260" s="86">
        <f t="shared" si="2189"/>
        <v>2.5320516492707461E-3</v>
      </c>
      <c r="BL260" s="86">
        <f t="shared" si="2189"/>
        <v>2.4215058387471655E-3</v>
      </c>
      <c r="BM260" s="86">
        <f t="shared" si="2189"/>
        <v>2.2269812907294512E-3</v>
      </c>
      <c r="BN260" s="86">
        <f t="shared" si="2189"/>
        <v>3.8040942198056364E-3</v>
      </c>
      <c r="BO260" s="86">
        <f t="shared" si="2189"/>
        <v>1.7367895445269421E-3</v>
      </c>
      <c r="BP260" s="86">
        <f t="shared" si="2189"/>
        <v>4.0746489804557957E-3</v>
      </c>
      <c r="BQ260" s="86">
        <f t="shared" si="2189"/>
        <v>1.9519381272442686E-3</v>
      </c>
      <c r="BR260" s="86">
        <f t="shared" si="2189"/>
        <v>1.1228385358185494E-3</v>
      </c>
      <c r="BS260" s="86">
        <f t="shared" si="2189"/>
        <v>1.1414819021699401E-3</v>
      </c>
      <c r="BT260" s="86">
        <f t="shared" si="2189"/>
        <v>1.8510587675469902E-3</v>
      </c>
      <c r="BU260" s="86">
        <f t="shared" si="2189"/>
        <v>7.5448386214719014E-4</v>
      </c>
      <c r="BV260" s="86">
        <f t="shared" si="2189"/>
        <v>1.3537669518793049E-3</v>
      </c>
      <c r="BW260" s="86">
        <f t="shared" si="2189"/>
        <v>7.3593931331201003E-4</v>
      </c>
      <c r="BX260" s="86">
        <f t="shared" si="2189"/>
        <v>2.9832173422170575E-3</v>
      </c>
      <c r="BY260" s="86">
        <f t="shared" si="2189"/>
        <v>9.2484686111952085E-4</v>
      </c>
      <c r="BZ260" s="86">
        <f t="shared" si="2189"/>
        <v>5.5408729067259817E-4</v>
      </c>
      <c r="CA260" s="86">
        <f t="shared" si="2189"/>
        <v>3.1778245624171689E-4</v>
      </c>
      <c r="CB260" s="86">
        <f t="shared" si="2189"/>
        <v>2.9592129073904168E-3</v>
      </c>
      <c r="CC260" s="86">
        <f t="shared" si="2189"/>
        <v>1.2368684179771196E-3</v>
      </c>
      <c r="CD260" s="86">
        <f t="shared" si="2189"/>
        <v>1.593155436863709E-3</v>
      </c>
      <c r="CE260" s="86">
        <f t="shared" si="2189"/>
        <v>1.0301631778473709E-3</v>
      </c>
      <c r="CF260" s="86">
        <f t="shared" si="2189"/>
        <v>1.5245488019067261E-3</v>
      </c>
      <c r="CG260" s="86">
        <f t="shared" si="2189"/>
        <v>1.5581032999232576E-3</v>
      </c>
      <c r="CH260" s="86">
        <f t="shared" si="2189"/>
        <v>1.3195021792255562E-3</v>
      </c>
      <c r="CI260" s="86">
        <f t="shared" si="2189"/>
        <v>1.7035569302145757E-3</v>
      </c>
      <c r="CJ260" s="86">
        <f t="shared" si="2189"/>
        <v>1.504072240449141E-3</v>
      </c>
      <c r="CK260" s="86">
        <f t="shared" ref="CK260" si="2190">CK44/CK16</f>
        <v>1.196585491479432E-3</v>
      </c>
      <c r="CL260" s="87">
        <f t="shared" si="2189"/>
        <v>-3.0257692823018729E-2</v>
      </c>
      <c r="CM260" s="87">
        <f t="shared" si="2189"/>
        <v>-3.0978550447115796E-2</v>
      </c>
      <c r="CN260" s="87">
        <f t="shared" si="2189"/>
        <v>-3.2158002622858027E-2</v>
      </c>
      <c r="CO260" s="87">
        <f t="shared" si="2189"/>
        <v>-3.2321885203830732E-2</v>
      </c>
      <c r="CP260" s="87">
        <f t="shared" si="2189"/>
        <v>-3.0879198247858085E-2</v>
      </c>
      <c r="CQ260" s="87">
        <f t="shared" si="2189"/>
        <v>-3.2910249361362838E-2</v>
      </c>
      <c r="CR260" s="87">
        <f t="shared" si="2189"/>
        <v>-3.5052089091562245E-2</v>
      </c>
      <c r="CS260" s="87">
        <f t="shared" si="2189"/>
        <v>-3.4857476566940458E-2</v>
      </c>
      <c r="CT260" s="87">
        <f t="shared" si="2189"/>
        <v>-3.3695287072131784E-2</v>
      </c>
      <c r="CU260" s="87">
        <f t="shared" si="2189"/>
        <v>-3.592125427571162E-2</v>
      </c>
      <c r="CV260" s="87">
        <f t="shared" si="2189"/>
        <v>-3.8068889749052759E-2</v>
      </c>
      <c r="CW260" s="87">
        <f t="shared" ref="CW260:CZ260" si="2191">CW44/CW16</f>
        <v>-3.5807168698581381E-2</v>
      </c>
      <c r="CX260" s="87">
        <f t="shared" si="2191"/>
        <v>-3.4586860178325685E-2</v>
      </c>
      <c r="CY260" s="87">
        <f t="shared" si="2191"/>
        <v>-3.6646481811593433E-2</v>
      </c>
      <c r="CZ260" s="87">
        <f t="shared" si="2191"/>
        <v>-3.8445595380299957E-2</v>
      </c>
      <c r="DB260" s="141"/>
      <c r="DC260" s="86" t="e">
        <v>#DIV/0!</v>
      </c>
    </row>
    <row r="261" spans="1:107" s="86" customFormat="1" x14ac:dyDescent="0.2">
      <c r="A261" s="86" t="s">
        <v>433</v>
      </c>
      <c r="B261" s="86">
        <f>B40/B16</f>
        <v>1.751950606711412E-2</v>
      </c>
      <c r="C261" s="86">
        <f>C40/C16</f>
        <v>1.5583399163228883E-2</v>
      </c>
      <c r="D261" s="86">
        <f>D40/D16</f>
        <v>1.1691919352076766E-2</v>
      </c>
      <c r="F261" s="86">
        <f t="shared" ref="F261:AD261" si="2192">F40/F16</f>
        <v>7.2316206140328942E-3</v>
      </c>
      <c r="G261" s="86">
        <f t="shared" si="2192"/>
        <v>5.7481043526077351E-3</v>
      </c>
      <c r="H261" s="86">
        <f t="shared" si="2192"/>
        <v>5.0766627665746519E-3</v>
      </c>
      <c r="I261" s="86">
        <f t="shared" si="2192"/>
        <v>4.9971805414349519E-3</v>
      </c>
      <c r="J261" s="86">
        <f t="shared" si="2192"/>
        <v>7.4686688312438189E-3</v>
      </c>
      <c r="K261" s="86">
        <f t="shared" si="2192"/>
        <v>7.8163618552136559E-3</v>
      </c>
      <c r="L261" s="86">
        <f t="shared" si="2192"/>
        <v>1.0675287414164918E-2</v>
      </c>
      <c r="M261" s="86">
        <f t="shared" si="2192"/>
        <v>1.2373726755736827E-2</v>
      </c>
      <c r="N261" s="86">
        <f t="shared" si="2192"/>
        <v>1.2603745133753905E-2</v>
      </c>
      <c r="O261" s="86">
        <f t="shared" si="2192"/>
        <v>1.3829991994517532E-2</v>
      </c>
      <c r="P261" s="86">
        <f t="shared" si="2192"/>
        <v>1.7788644515437047E-2</v>
      </c>
      <c r="Q261" s="86">
        <f t="shared" si="2192"/>
        <v>1.6437052459187761E-2</v>
      </c>
      <c r="R261" s="86">
        <f t="shared" si="2192"/>
        <v>1.6100224413875808E-2</v>
      </c>
      <c r="S261" s="86">
        <f t="shared" si="2192"/>
        <v>1.3865222148481642E-2</v>
      </c>
      <c r="T261" s="86">
        <f t="shared" si="2192"/>
        <v>1.2358066782774168E-2</v>
      </c>
      <c r="U261" s="86">
        <f t="shared" si="2192"/>
        <v>2.0677037253369297E-2</v>
      </c>
      <c r="V261" s="86">
        <f t="shared" si="2192"/>
        <v>1.4811075858090569E-2</v>
      </c>
      <c r="W261" s="86">
        <f t="shared" si="2192"/>
        <v>1.222055831727464E-2</v>
      </c>
      <c r="X261" s="86">
        <f t="shared" si="2192"/>
        <v>1.1361321672630603E-2</v>
      </c>
      <c r="Y261" s="86">
        <f t="shared" si="2192"/>
        <v>1.0498559420445641E-2</v>
      </c>
      <c r="Z261" s="86">
        <f t="shared" ref="Z261" si="2193">Z40/Z16</f>
        <v>1.0958328532993583E-2</v>
      </c>
      <c r="AA261" s="87">
        <f t="shared" si="2192"/>
        <v>1.1304177014791524E-2</v>
      </c>
      <c r="AB261" s="87">
        <f t="shared" si="2192"/>
        <v>9.4564379601386438E-3</v>
      </c>
      <c r="AC261" s="87">
        <f t="shared" si="2192"/>
        <v>8.3903100503721004E-3</v>
      </c>
      <c r="AD261" s="87">
        <f t="shared" si="2192"/>
        <v>7.1141932088308636E-3</v>
      </c>
      <c r="AK261" s="86">
        <f t="shared" ref="AK261:CV261" si="2194">AK40/AK16</f>
        <v>1.243267527144422E-2</v>
      </c>
      <c r="AL261" s="86">
        <f t="shared" si="2194"/>
        <v>1.481883333809211E-2</v>
      </c>
      <c r="AM261" s="86">
        <f t="shared" si="2194"/>
        <v>1.4407301640629373E-2</v>
      </c>
      <c r="AN261" s="86">
        <f t="shared" si="2194"/>
        <v>1.2251176339802258E-2</v>
      </c>
      <c r="AO261" s="86">
        <f t="shared" si="2194"/>
        <v>1.4996908699957871E-2</v>
      </c>
      <c r="AP261" s="86">
        <f t="shared" si="2194"/>
        <v>1.5289378656334719E-2</v>
      </c>
      <c r="AQ261" s="86">
        <f t="shared" si="2194"/>
        <v>1.5360683371545336E-2</v>
      </c>
      <c r="AR261" s="86">
        <f t="shared" si="2194"/>
        <v>1.3044973887714941E-2</v>
      </c>
      <c r="AS261" s="86">
        <f t="shared" si="2194"/>
        <v>2.3272731280689088E-2</v>
      </c>
      <c r="AT261" s="86">
        <f t="shared" si="2194"/>
        <v>1.9398225323821454E-2</v>
      </c>
      <c r="AU261" s="86">
        <f t="shared" si="2194"/>
        <v>1.8232883182577691E-2</v>
      </c>
      <c r="AV261" s="86">
        <f t="shared" si="2194"/>
        <v>1.7081693712359583E-2</v>
      </c>
      <c r="AW261" s="86">
        <f t="shared" si="2194"/>
        <v>1.689104873305362E-2</v>
      </c>
      <c r="AX261" s="86">
        <f t="shared" si="2194"/>
        <v>1.6027023142158977E-2</v>
      </c>
      <c r="AY261" s="86">
        <f t="shared" si="2194"/>
        <v>1.8447061393130813E-2</v>
      </c>
      <c r="AZ261" s="86">
        <f t="shared" si="2194"/>
        <v>1.4633980970174553E-2</v>
      </c>
      <c r="BA261" s="86">
        <f t="shared" si="2194"/>
        <v>1.6343788838769673E-2</v>
      </c>
      <c r="BB261" s="86">
        <f t="shared" si="2194"/>
        <v>1.6161070881815846E-2</v>
      </c>
      <c r="BC261" s="86">
        <f t="shared" si="2194"/>
        <v>2.0198606634085476E-2</v>
      </c>
      <c r="BD261" s="86">
        <f t="shared" si="2194"/>
        <v>1.6210680321872714E-2</v>
      </c>
      <c r="BE261" s="86">
        <f t="shared" si="2194"/>
        <v>1.4389132183394404E-2</v>
      </c>
      <c r="BF261" s="86">
        <f t="shared" si="2194"/>
        <v>1.3657757606320391E-2</v>
      </c>
      <c r="BG261" s="86">
        <f t="shared" si="2194"/>
        <v>1.5815019911237446E-2</v>
      </c>
      <c r="BH261" s="86">
        <f t="shared" si="2194"/>
        <v>1.2144513609178566E-2</v>
      </c>
      <c r="BI261" s="86">
        <f t="shared" si="2194"/>
        <v>1.2598297527361167E-2</v>
      </c>
      <c r="BJ261" s="86">
        <f t="shared" si="2194"/>
        <v>1.2753875126756483E-2</v>
      </c>
      <c r="BK261" s="86">
        <f t="shared" si="2194"/>
        <v>1.2981061170243238E-2</v>
      </c>
      <c r="BL261" s="86">
        <f t="shared" si="2194"/>
        <v>1.147783528640834E-2</v>
      </c>
      <c r="BM261" s="86">
        <f t="shared" si="2194"/>
        <v>1.7783003994113939E-2</v>
      </c>
      <c r="BN261" s="86">
        <f t="shared" si="2194"/>
        <v>2.5259185619509423E-2</v>
      </c>
      <c r="BO261" s="86">
        <f t="shared" si="2194"/>
        <v>1.5345776189855909E-2</v>
      </c>
      <c r="BP261" s="86">
        <f t="shared" si="2194"/>
        <v>1.7433382723017945E-2</v>
      </c>
      <c r="BQ261" s="86">
        <f t="shared" si="2194"/>
        <v>1.5505017954147868E-2</v>
      </c>
      <c r="BR261" s="86">
        <f t="shared" si="2194"/>
        <v>1.9930384010779248E-2</v>
      </c>
      <c r="BS261" s="86">
        <f t="shared" si="2194"/>
        <v>1.6166307727776247E-2</v>
      </c>
      <c r="BT261" s="86">
        <f t="shared" si="2194"/>
        <v>1.0816083749702594E-2</v>
      </c>
      <c r="BU261" s="86">
        <f t="shared" si="2194"/>
        <v>1.3124981011312195E-2</v>
      </c>
      <c r="BV261" s="86">
        <f t="shared" si="2194"/>
        <v>1.2322139333126774E-2</v>
      </c>
      <c r="BW261" s="86">
        <f t="shared" si="2194"/>
        <v>1.2676082915829301E-2</v>
      </c>
      <c r="BX261" s="86">
        <f t="shared" si="2194"/>
        <v>1.1051089657218438E-2</v>
      </c>
      <c r="BY261" s="86">
        <f t="shared" si="2194"/>
        <v>1.1396767598010957E-2</v>
      </c>
      <c r="BZ261" s="86">
        <f t="shared" si="2194"/>
        <v>1.1651778062129529E-2</v>
      </c>
      <c r="CA261" s="86">
        <f t="shared" si="2194"/>
        <v>1.0938216590410913E-2</v>
      </c>
      <c r="CB261" s="86">
        <f t="shared" si="2194"/>
        <v>1.1938393248932908E-2</v>
      </c>
      <c r="CC261" s="86">
        <f t="shared" si="2194"/>
        <v>1.0200106481060657E-2</v>
      </c>
      <c r="CD261" s="86">
        <f t="shared" si="2194"/>
        <v>1.0940138332520858E-2</v>
      </c>
      <c r="CE261" s="86">
        <f t="shared" si="2194"/>
        <v>1.1273419042909728E-2</v>
      </c>
      <c r="CF261" s="86">
        <f t="shared" si="2194"/>
        <v>1.0015067178217674E-2</v>
      </c>
      <c r="CG261" s="86">
        <f t="shared" si="2194"/>
        <v>1.1155886740175477E-2</v>
      </c>
      <c r="CH261" s="86">
        <f t="shared" si="2194"/>
        <v>1.1192149749326077E-2</v>
      </c>
      <c r="CI261" s="86">
        <f t="shared" si="2194"/>
        <v>1.1051976609317612E-2</v>
      </c>
      <c r="CJ261" s="86">
        <f t="shared" si="2194"/>
        <v>1.1144191329234384E-2</v>
      </c>
      <c r="CK261" s="86">
        <f t="shared" ref="CK261" si="2195">CK40/CK16</f>
        <v>1.3303769401330377E-2</v>
      </c>
      <c r="CL261" s="87">
        <f t="shared" si="2194"/>
        <v>1.0932168652811977E-2</v>
      </c>
      <c r="CM261" s="87">
        <f t="shared" si="2194"/>
        <v>1.0737487328193478E-2</v>
      </c>
      <c r="CN261" s="87">
        <f t="shared" si="2194"/>
        <v>1.0559169177715575E-2</v>
      </c>
      <c r="CO261" s="87">
        <f t="shared" si="2194"/>
        <v>1.0071970731999122E-2</v>
      </c>
      <c r="CP261" s="87">
        <f t="shared" si="2194"/>
        <v>9.1571742790392836E-3</v>
      </c>
      <c r="CQ261" s="87">
        <f t="shared" si="2194"/>
        <v>9.2944617098248104E-3</v>
      </c>
      <c r="CR261" s="87">
        <f t="shared" si="2194"/>
        <v>9.3530752604766773E-3</v>
      </c>
      <c r="CS261" s="87">
        <f t="shared" si="2194"/>
        <v>8.8152953306612856E-3</v>
      </c>
      <c r="CT261" s="87">
        <f t="shared" si="2194"/>
        <v>8.1384366033296889E-3</v>
      </c>
      <c r="CU261" s="87">
        <f t="shared" si="2194"/>
        <v>8.2894590685414545E-3</v>
      </c>
      <c r="CV261" s="87">
        <f t="shared" si="2194"/>
        <v>8.3475526962214445E-3</v>
      </c>
      <c r="CW261" s="87">
        <f t="shared" ref="CW261:CZ261" si="2196">CW40/CW16</f>
        <v>7.4887207595777496E-3</v>
      </c>
      <c r="CX261" s="87">
        <f t="shared" si="2196"/>
        <v>6.9420271138825075E-3</v>
      </c>
      <c r="CY261" s="87">
        <f t="shared" si="2196"/>
        <v>7.0327246291465723E-3</v>
      </c>
      <c r="CZ261" s="87">
        <f t="shared" si="2196"/>
        <v>7.0183536609557378E-3</v>
      </c>
      <c r="DB261" s="141"/>
      <c r="DC261" s="86" t="e">
        <v>#DIV/0!</v>
      </c>
    </row>
    <row r="262" spans="1:107" s="85" customFormat="1" x14ac:dyDescent="0.2">
      <c r="AA262" s="58"/>
      <c r="AB262" s="58"/>
      <c r="AC262" s="58"/>
      <c r="AD262" s="58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72"/>
      <c r="CY262" s="72"/>
      <c r="CZ262" s="72"/>
      <c r="DB262" s="143"/>
    </row>
  </sheetData>
  <sortState xmlns:xlrd2="http://schemas.microsoft.com/office/spreadsheetml/2017/richdata2" ref="A28:DB33">
    <sortCondition ref="A28:A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BC6" activePane="bottomRight" state="frozen"/>
      <selection activeCell="A2" sqref="A2"/>
      <selection pane="topRight" activeCell="A2" sqref="A2"/>
      <selection pane="bottomLeft" activeCell="A2" sqref="A2"/>
      <selection pane="bottomRight" activeCell="BF1" sqref="BF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85546875" bestFit="1" customWidth="1"/>
    <col min="4" max="4" width="9.7109375" bestFit="1" customWidth="1"/>
    <col min="5" max="5" width="11.5703125" bestFit="1" customWidth="1"/>
    <col min="6" max="6" width="9.7109375" bestFit="1" customWidth="1"/>
    <col min="7" max="7" width="11.5703125" bestFit="1" customWidth="1"/>
    <col min="8" max="8" width="9.28515625" bestFit="1" customWidth="1"/>
    <col min="9" max="9" width="11.5703125" bestFit="1" customWidth="1"/>
    <col min="10" max="10" width="9.28515625" bestFit="1" customWidth="1"/>
    <col min="11" max="11" width="11.5703125" bestFit="1" customWidth="1"/>
    <col min="12" max="12" width="9.28515625" bestFit="1" customWidth="1"/>
    <col min="13" max="13" width="11.5703125" bestFit="1" customWidth="1"/>
    <col min="14" max="14" width="9.28515625" bestFit="1" customWidth="1"/>
    <col min="15" max="15" width="11.5703125" bestFit="1" customWidth="1"/>
    <col min="16" max="16" width="9.28515625" bestFit="1" customWidth="1"/>
    <col min="17" max="17" width="11.5703125" bestFit="1" customWidth="1"/>
    <col min="18" max="18" width="9.28515625" bestFit="1" customWidth="1"/>
    <col min="19" max="19" width="11.5703125" bestFit="1" customWidth="1"/>
    <col min="20" max="20" width="9.28515625" bestFit="1" customWidth="1"/>
    <col min="21" max="21" width="11.5703125" bestFit="1" customWidth="1"/>
    <col min="22" max="22" width="9.28515625" bestFit="1" customWidth="1"/>
    <col min="23" max="23" width="11.5703125" bestFit="1" customWidth="1"/>
    <col min="24" max="24" width="9.28515625" bestFit="1" customWidth="1"/>
    <col min="25" max="25" width="11.5703125" bestFit="1" customWidth="1"/>
    <col min="26" max="26" width="9.28515625" bestFit="1" customWidth="1"/>
    <col min="27" max="27" width="11.5703125" bestFit="1" customWidth="1"/>
    <col min="28" max="28" width="9.28515625" bestFit="1" customWidth="1"/>
    <col min="29" max="29" width="11.5703125" bestFit="1" customWidth="1"/>
    <col min="30" max="30" width="9.28515625" bestFit="1" customWidth="1"/>
    <col min="31" max="31" width="11.5703125" bestFit="1" customWidth="1"/>
    <col min="32" max="32" width="9.28515625" bestFit="1" customWidth="1"/>
    <col min="33" max="33" width="11.5703125" bestFit="1" customWidth="1"/>
    <col min="34" max="34" width="9.28515625" bestFit="1" customWidth="1"/>
    <col min="35" max="35" width="11.5703125" bestFit="1" customWidth="1"/>
    <col min="36" max="36" width="9.28515625" bestFit="1" customWidth="1"/>
    <col min="37" max="37" width="11.5703125" bestFit="1" customWidth="1"/>
    <col min="38" max="38" width="9.28515625" bestFit="1" customWidth="1"/>
    <col min="39" max="39" width="11.5703125" bestFit="1" customWidth="1"/>
    <col min="40" max="40" width="9.28515625" bestFit="1" customWidth="1"/>
    <col min="41" max="41" width="11.5703125" bestFit="1" customWidth="1"/>
    <col min="42" max="42" width="9.28515625" bestFit="1" customWidth="1"/>
    <col min="43" max="43" width="11.5703125" bestFit="1" customWidth="1"/>
    <col min="44" max="44" width="9.28515625" bestFit="1" customWidth="1"/>
    <col min="45" max="45" width="11.5703125" bestFit="1" customWidth="1"/>
    <col min="46" max="46" width="9.28515625" bestFit="1" customWidth="1"/>
    <col min="47" max="47" width="11.5703125" bestFit="1" customWidth="1"/>
    <col min="48" max="48" width="9.28515625" bestFit="1" customWidth="1"/>
    <col min="49" max="49" width="11.5703125" bestFit="1" customWidth="1"/>
    <col min="50" max="50" width="9.28515625" bestFit="1" customWidth="1"/>
    <col min="51" max="51" width="11.5703125" bestFit="1" customWidth="1"/>
    <col min="52" max="52" width="9.28515625" bestFit="1" customWidth="1"/>
    <col min="53" max="53" width="11.5703125" bestFit="1" customWidth="1"/>
    <col min="54" max="54" width="9.28515625" bestFit="1" customWidth="1"/>
    <col min="55" max="55" width="11.5703125" bestFit="1" customWidth="1"/>
    <col min="56" max="74" width="9.28515625" bestFit="1" customWidth="1"/>
  </cols>
  <sheetData>
    <row r="1" spans="1:74" x14ac:dyDescent="0.25">
      <c r="A1">
        <f>'Annual Raw'!A1</f>
        <v>100002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ABB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1858.45</v>
      </c>
      <c r="D6">
        <f>_xll.EQNXTDZ($A$1,$B6,D$1,$B$1)</f>
        <v>1786.06</v>
      </c>
      <c r="E6">
        <f>_xll.EQNXTDZ($A$1,$B6,E$1,$B$1)</f>
        <v>2052.7600000000002</v>
      </c>
      <c r="F6">
        <f>_xll.EQNXTDZ($A$1,$B6,F$1,$B$1)</f>
        <v>1964.36</v>
      </c>
      <c r="G6">
        <f>_xll.EQNXTDZ($A$1,$B6,G$1,$B$1)</f>
        <v>1729.95</v>
      </c>
      <c r="H6">
        <f>_xll.EQNXTDZ($A$1,$B6,H$1,$B$1)</f>
        <v>1762.4</v>
      </c>
      <c r="I6">
        <f>_xll.EQNXTDZ($A$1,$B6,I$1,$B$1)</f>
        <v>2174.91</v>
      </c>
      <c r="J6">
        <f>_xll.EQNXTDZ($A$1,$B6,J$1,$B$1)</f>
        <v>1809.98</v>
      </c>
      <c r="K6">
        <f>_xll.EQNXTDZ($A$1,$B6,K$1,$B$1)</f>
        <v>1794.4</v>
      </c>
      <c r="L6">
        <f>_xll.EQNXTDZ($A$1,$B6,L$1,$B$1)</f>
        <v>1821.38</v>
      </c>
      <c r="M6">
        <f>_xll.EQNXTDZ($A$1,$B6,M$1,$B$1)</f>
        <v>2204.89</v>
      </c>
      <c r="N6">
        <f>_xll.EQNXTDZ($A$1,$B6,N$1,$B$1)</f>
        <v>1785.01</v>
      </c>
      <c r="O6">
        <f>_xll.EQNXTDZ($A$1,$B6,O$1,$B$1)</f>
        <v>1906.47</v>
      </c>
      <c r="P6">
        <f>_xll.EQNXTDZ($A$1,$B6,P$1,$B$1)</f>
        <v>1939.67</v>
      </c>
      <c r="Q6">
        <f>_xll.EQNXTDZ($A$1,$B6,Q$1,$B$1)</f>
        <v>2545.87</v>
      </c>
      <c r="R6">
        <f>_xll.EQNXTDZ($A$1,$B6,R$1,$B$1)</f>
        <v>2099.61</v>
      </c>
      <c r="S6">
        <f>_xll.EQNXTDZ($A$1,$B6,S$1,$B$1)</f>
        <v>2198.2399999999998</v>
      </c>
      <c r="T6">
        <f>_xll.EQNXTDZ($A$1,$B6,T$1,$B$1)</f>
        <v>2167.42</v>
      </c>
      <c r="U6">
        <f>_xll.EQNXTDZ($A$1,$B6,U$1,$B$1)</f>
        <v>2604.19</v>
      </c>
      <c r="V6">
        <f>_xll.EQNXTDZ($A$1,$B6,V$1,$B$1)</f>
        <v>2278.4</v>
      </c>
      <c r="W6">
        <f>_xll.EQNXTDZ($A$1,$B6,W$1,$B$1)</f>
        <v>2338.91</v>
      </c>
      <c r="X6">
        <f>_xll.EQNXTDZ($A$1,$B6,X$1,$B$1)</f>
        <v>1892.11</v>
      </c>
      <c r="Y6">
        <f>_xll.EQNXTDZ($A$1,$B6,Y$1,$B$1)</f>
        <v>1681.46</v>
      </c>
      <c r="Z6">
        <f>_xll.EQNXTDZ($A$1,$B6,Z$1,$B$1)</f>
        <v>1551.08</v>
      </c>
      <c r="AA6">
        <f>_xll.EQNXTDZ($A$1,$B6,AA$1,$B$1)</f>
        <v>1646.86</v>
      </c>
      <c r="AB6">
        <f>_xll.EQNXTDZ($A$1,$B6,AB$1,$B$1)</f>
        <v>1475.88</v>
      </c>
      <c r="AC6">
        <f>_xll.EQNXTDZ($A$1,$B6,AC$1,$B$1)</f>
        <v>1939.54</v>
      </c>
      <c r="AD6">
        <f>_xll.EQNXTDZ($A$1,$B6,AD$1,$B$1)</f>
        <v>1828.3</v>
      </c>
      <c r="AE6">
        <f>_xll.EQNXTDZ($A$1,$B6,AE$1,$B$1)</f>
        <v>1708.58</v>
      </c>
      <c r="AF6">
        <f>_xll.EQNXTDZ($A$1,$B6,AF$1,$B$1)</f>
        <v>1723.76</v>
      </c>
      <c r="AG6">
        <f>_xll.EQNXTDZ($A$1,$B6,AG$1,$B$1)</f>
        <v>1928.25</v>
      </c>
      <c r="AH6">
        <f>_xll.EQNXTDZ($A$1,$B6,AH$1,$B$1)</f>
        <v>1501.71</v>
      </c>
      <c r="AI6">
        <f>_xll.EQNXTDZ($A$1,$B6,AI$1,$B$1)</f>
        <v>973.4</v>
      </c>
      <c r="AJ6">
        <f>_xll.EQNXTDZ($A$1,$B6,AJ$1,$B$1)</f>
        <v>1600.11</v>
      </c>
      <c r="AK6">
        <f>_xll.EQNXTDZ($A$1,$B6,AK$1,$B$1)</f>
        <v>1681.95</v>
      </c>
      <c r="AL6">
        <f>_xll.EQNXTDZ($A$1,$B6,AL$1,$B$1)</f>
        <v>1618.21</v>
      </c>
      <c r="AM6">
        <f>_xll.EQNXTDZ($A$1,$B6,AM$1,$B$1)</f>
        <v>1412.9</v>
      </c>
      <c r="AN6">
        <f>_xll.EQNXTDZ($A$1,$B6,AN$1,$B$1)</f>
        <v>1762.98</v>
      </c>
      <c r="AO6">
        <f>_xll.EQNXTDZ($A$1,$B6,AO$1,$B$1)</f>
        <v>2069.9299999999998</v>
      </c>
      <c r="AP6">
        <f>_xll.EQNXTDZ($A$1,$B6,AP$1,$B$1)</f>
        <v>1960.42</v>
      </c>
      <c r="AQ6">
        <f>_xll.EQNXTDZ($A$1,$B6,AQ$1,$B$1)</f>
        <v>2081.63</v>
      </c>
      <c r="AR6">
        <f>_xll.EQNXTDZ($A$1,$B6,AR$1,$B$1)</f>
        <v>2100.27</v>
      </c>
      <c r="AS6">
        <f>_xll.EQNXTDZ($A$1,$B6,AS$1,$B$1)</f>
        <v>2407.9</v>
      </c>
      <c r="AT6">
        <f>_xll.EQNXTDZ($A$1,$B6,AT$1,$B$1)</f>
        <v>2395.94</v>
      </c>
      <c r="AU6">
        <f>_xll.EQNXTDZ($A$1,$B6,AU$1,$B$1)</f>
        <v>2491.35</v>
      </c>
      <c r="AV6">
        <f>_xll.EQNXTDZ($A$1,$B6,AV$1,$B$1)</f>
        <v>2751.19</v>
      </c>
      <c r="AW6">
        <f>_xll.EQNXTDZ($A$1,$B6,AW$1,$B$1)</f>
        <v>2728.2</v>
      </c>
      <c r="AX6">
        <f>_xll.EQNXTDZ($A$1,$B6,AX$1,$B$1)</f>
        <v>3063.72</v>
      </c>
      <c r="AY6">
        <f>_xll.EQNXTDZ($A$1,$B6,AY$1,$B$1)</f>
        <v>2808.48</v>
      </c>
      <c r="AZ6">
        <f>_xll.EQNXTDZ($A$1,$B6,AZ$1,$B$1)</f>
        <v>2888.59</v>
      </c>
      <c r="BA6">
        <f>_xll.EQNXTDZ($A$1,$B6,BA$1,$B$1)</f>
        <v>3326.88</v>
      </c>
      <c r="BB6">
        <f>_xll.EQNXTDZ($A$1,$B6,BB$1,$B$1)</f>
        <v>2990.19</v>
      </c>
      <c r="BC6">
        <f>_xll.EQNXTDZ($A$1,$B6,BC$1,$B$1)</f>
        <v>3144.52</v>
      </c>
      <c r="BD6">
        <f>_xll.EQNXTDZ($A$1,$B6,BD$1,$B$1)</f>
        <v>3285.33</v>
      </c>
      <c r="BE6">
        <f>_xll.EQNXTDZ($A$1,$B6,BE$1,$B$1)</f>
        <v>3495.79</v>
      </c>
      <c r="BF6">
        <f>_xll.EQNXTDZ($A$1,$B6,BF$1,$B$1)</f>
        <v>3162.41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161.87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25.34</v>
      </c>
      <c r="D8">
        <f>_xll.EQNXTDZ($A$1,$B8,D$1,$B$1)</f>
        <v>22.55</v>
      </c>
      <c r="E8">
        <f>_xll.EQNXTDZ($A$1,$B8,E$1,$B$1)</f>
        <v>29.52</v>
      </c>
      <c r="F8">
        <f>_xll.EQNXTDZ($A$1,$B8,F$1,$B$1)</f>
        <v>16.71</v>
      </c>
      <c r="G8">
        <f>_xll.EQNXTDZ($A$1,$B8,G$1,$B$1)</f>
        <v>21.2</v>
      </c>
      <c r="H8">
        <f>_xll.EQNXTDZ($A$1,$B8,H$1,$B$1)</f>
        <v>23.5</v>
      </c>
      <c r="I8">
        <f>_xll.EQNXTDZ($A$1,$B8,I$1,$B$1)</f>
        <v>28.96</v>
      </c>
      <c r="J8">
        <f>_xll.EQNXTDZ($A$1,$B8,J$1,$B$1)</f>
        <v>17.73</v>
      </c>
      <c r="K8">
        <f>_xll.EQNXTDZ($A$1,$B8,K$1,$B$1)</f>
        <v>27.78</v>
      </c>
      <c r="L8">
        <f>_xll.EQNXTDZ($A$1,$B8,L$1,$B$1)</f>
        <v>23.59</v>
      </c>
      <c r="M8">
        <f>_xll.EQNXTDZ($A$1,$B8,M$1,$B$1)</f>
        <v>33.520000000000003</v>
      </c>
      <c r="N8">
        <f>_xll.EQNXTDZ($A$1,$B8,N$1,$B$1)</f>
        <v>29.56</v>
      </c>
      <c r="O8">
        <f>_xll.EQNXTDZ($A$1,$B8,O$1,$B$1)</f>
        <v>25.15</v>
      </c>
      <c r="P8">
        <f>_xll.EQNXTDZ($A$1,$B8,P$1,$B$1)</f>
        <v>29.3</v>
      </c>
      <c r="Q8">
        <f>_xll.EQNXTDZ($A$1,$B8,Q$1,$B$1)</f>
        <v>41.11</v>
      </c>
      <c r="R8">
        <f>_xll.EQNXTDZ($A$1,$B8,R$1,$B$1)</f>
        <v>24</v>
      </c>
      <c r="S8">
        <f>_xll.EQNXTDZ($A$1,$B8,S$1,$B$1)</f>
        <v>28</v>
      </c>
      <c r="T8">
        <f>_xll.EQNXTDZ($A$1,$B8,T$1,$B$1)</f>
        <v>30.22</v>
      </c>
      <c r="U8">
        <f>_xll.EQNXTDZ($A$1,$B8,U$1,$B$1)</f>
        <v>50.59</v>
      </c>
      <c r="V8">
        <f>_xll.EQNXTDZ($A$1,$B8,V$1,$B$1)</f>
        <v>22.78</v>
      </c>
      <c r="W8">
        <f>_xll.EQNXTDZ($A$1,$B8,W$1,$B$1)</f>
        <v>32.22</v>
      </c>
      <c r="X8">
        <f>_xll.EQNXTDZ($A$1,$B8,X$1,$B$1)</f>
        <v>31.29</v>
      </c>
      <c r="Y8">
        <f>_xll.EQNXTDZ($A$1,$B8,Y$1,$B$1)</f>
        <v>27.29</v>
      </c>
      <c r="Z8">
        <f>_xll.EQNXTDZ($A$1,$B8,Z$1,$B$1)</f>
        <v>15.38</v>
      </c>
      <c r="AA8">
        <f>_xll.EQNXTDZ($A$1,$B8,AA$1,$B$1)</f>
        <v>18.86</v>
      </c>
      <c r="AB8">
        <f>_xll.EQNXTDZ($A$1,$B8,AB$1,$B$1)</f>
        <v>15.74</v>
      </c>
      <c r="AC8">
        <f>_xll.EQNXTDZ($A$1,$B8,AC$1,$B$1)</f>
        <v>26.78</v>
      </c>
      <c r="AD8">
        <f>_xll.EQNXTDZ($A$1,$B8,AD$1,$B$1)</f>
        <v>21.95</v>
      </c>
      <c r="AE8">
        <f>_xll.EQNXTDZ($A$1,$B8,AE$1,$B$1)</f>
        <v>17.170000000000002</v>
      </c>
      <c r="AF8">
        <f>_xll.EQNXTDZ($A$1,$B8,AF$1,$B$1)</f>
        <v>21.86</v>
      </c>
      <c r="AG8">
        <f>_xll.EQNXTDZ($A$1,$B8,AG$1,$B$1)</f>
        <v>25.08</v>
      </c>
      <c r="AH8">
        <f>_xll.EQNXTDZ($A$1,$B8,AH$1,$B$1)</f>
        <v>20.53</v>
      </c>
      <c r="AI8">
        <f>_xll.EQNXTDZ($A$1,$B8,AI$1,$B$1)</f>
        <v>12.38</v>
      </c>
      <c r="AJ8">
        <f>_xll.EQNXTDZ($A$1,$B8,AJ$1,$B$1)</f>
        <v>12.06</v>
      </c>
      <c r="AK8">
        <f>_xll.EQNXTDZ($A$1,$B8,AK$1,$B$1)</f>
        <v>18.809999999999999</v>
      </c>
      <c r="AL8">
        <f>_xll.EQNXTDZ($A$1,$B8,AL$1,$B$1)</f>
        <v>10.94</v>
      </c>
      <c r="AM8">
        <f>_xll.EQNXTDZ($A$1,$B8,AM$1,$B$1)</f>
        <v>12.06</v>
      </c>
      <c r="AN8">
        <f>_xll.EQNXTDZ($A$1,$B8,AN$1,$B$1)</f>
        <v>15.41</v>
      </c>
      <c r="AO8">
        <f>_xll.EQNXTDZ($A$1,$B8,AO$1,$B$1)</f>
        <v>31.57</v>
      </c>
      <c r="AP8">
        <f>_xll.EQNXTDZ($A$1,$B8,AP$1,$B$1)</f>
        <v>14.44</v>
      </c>
      <c r="AQ8">
        <f>_xll.EQNXTDZ($A$1,$B8,AQ$1,$B$1)</f>
        <v>16.22</v>
      </c>
      <c r="AR8">
        <f>_xll.EQNXTDZ($A$1,$B8,AR$1,$B$1)</f>
        <v>19.47</v>
      </c>
      <c r="AS8">
        <f>_xll.EQNXTDZ($A$1,$B8,AS$1,$B$1)</f>
        <v>19.010000000000002</v>
      </c>
      <c r="AT8">
        <f>_xll.EQNXTDZ($A$1,$B8,AT$1,$B$1)</f>
        <v>15.27</v>
      </c>
      <c r="AU8">
        <f>_xll.EQNXTDZ($A$1,$B8,AU$1,$B$1)</f>
        <v>17.28</v>
      </c>
      <c r="AV8">
        <f>_xll.EQNXTDZ($A$1,$B8,AV$1,$B$1)</f>
        <v>18</v>
      </c>
      <c r="AW8">
        <f>_xll.EQNXTDZ($A$1,$B8,AW$1,$B$1)</f>
        <v>29.29</v>
      </c>
      <c r="AX8">
        <f>_xll.EQNXTDZ($A$1,$B8,AX$1,$B$1)</f>
        <v>16.64</v>
      </c>
      <c r="AY8">
        <f>_xll.EQNXTDZ($A$1,$B8,AY$1,$B$1)</f>
        <v>22.38</v>
      </c>
      <c r="AZ8">
        <f>_xll.EQNXTDZ($A$1,$B8,AZ$1,$B$1)</f>
        <v>23.57</v>
      </c>
      <c r="BA8">
        <f>_xll.EQNXTDZ($A$1,$B8,BA$1,$B$1)</f>
        <v>38.049999999999997</v>
      </c>
      <c r="BB8">
        <f>_xll.EQNXTDZ($A$1,$B8,BB$1,$B$1)</f>
        <v>19.88</v>
      </c>
      <c r="BC8">
        <f>_xll.EQNXTDZ($A$1,$B8,BC$1,$B$1)</f>
        <v>30.92</v>
      </c>
      <c r="BD8">
        <f>_xll.EQNXTDZ($A$1,$B8,BD$1,$B$1)</f>
        <v>25.39</v>
      </c>
      <c r="BE8">
        <f>_xll.EQNXTDZ($A$1,$B8,BE$1,$B$1)</f>
        <v>61.22</v>
      </c>
      <c r="BF8">
        <f>_xll.EQNXTDZ($A$1,$B8,BF$1,$B$1)</f>
        <v>21.65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1883.79</v>
      </c>
      <c r="D9">
        <f>_xll.EQNXTDZ($A$1,$B9,D$1,$B$1)</f>
        <v>1808.61</v>
      </c>
      <c r="E9">
        <f>_xll.EQNXTDZ($A$1,$B9,E$1,$B$1)</f>
        <v>2082.2800000000002</v>
      </c>
      <c r="F9">
        <f>_xll.EQNXTDZ($A$1,$B9,F$1,$B$1)</f>
        <v>1981.07</v>
      </c>
      <c r="G9">
        <f>_xll.EQNXTDZ($A$1,$B9,G$1,$B$1)</f>
        <v>1751.15</v>
      </c>
      <c r="H9">
        <f>_xll.EQNXTDZ($A$1,$B9,H$1,$B$1)</f>
        <v>1785.9</v>
      </c>
      <c r="I9">
        <f>_xll.EQNXTDZ($A$1,$B9,I$1,$B$1)</f>
        <v>2203.87</v>
      </c>
      <c r="J9">
        <f>_xll.EQNXTDZ($A$1,$B9,J$1,$B$1)</f>
        <v>1827.71</v>
      </c>
      <c r="K9">
        <f>_xll.EQNXTDZ($A$1,$B9,K$1,$B$1)</f>
        <v>1822.18</v>
      </c>
      <c r="L9">
        <f>_xll.EQNXTDZ($A$1,$B9,L$1,$B$1)</f>
        <v>1844.97</v>
      </c>
      <c r="M9">
        <f>_xll.EQNXTDZ($A$1,$B9,M$1,$B$1)</f>
        <v>2238.41</v>
      </c>
      <c r="N9">
        <f>_xll.EQNXTDZ($A$1,$B9,N$1,$B$1)</f>
        <v>1814.57</v>
      </c>
      <c r="O9">
        <f>_xll.EQNXTDZ($A$1,$B9,O$1,$B$1)</f>
        <v>1931.62</v>
      </c>
      <c r="P9">
        <f>_xll.EQNXTDZ($A$1,$B9,P$1,$B$1)</f>
        <v>1968.97</v>
      </c>
      <c r="Q9">
        <f>_xll.EQNXTDZ($A$1,$B9,Q$1,$B$1)</f>
        <v>2425.11</v>
      </c>
      <c r="R9">
        <f>_xll.EQNXTDZ($A$1,$B9,R$1,$B$1)</f>
        <v>2123.61</v>
      </c>
      <c r="S9">
        <f>_xll.EQNXTDZ($A$1,$B9,S$1,$B$1)</f>
        <v>2226.2399999999998</v>
      </c>
      <c r="T9">
        <f>_xll.EQNXTDZ($A$1,$B9,T$1,$B$1)</f>
        <v>2197.64</v>
      </c>
      <c r="U9">
        <f>_xll.EQNXTDZ($A$1,$B9,U$1,$B$1)</f>
        <v>2654.78</v>
      </c>
      <c r="V9">
        <f>_xll.EQNXTDZ($A$1,$B9,V$1,$B$1)</f>
        <v>2301.1799999999998</v>
      </c>
      <c r="W9">
        <f>_xll.EQNXTDZ($A$1,$B9,W$1,$B$1)</f>
        <v>2371.13</v>
      </c>
      <c r="X9">
        <f>_xll.EQNXTDZ($A$1,$B9,X$1,$B$1)</f>
        <v>1923.4</v>
      </c>
      <c r="Y9">
        <f>_xll.EQNXTDZ($A$1,$B9,Y$1,$B$1)</f>
        <v>1708.75</v>
      </c>
      <c r="Z9">
        <f>_xll.EQNXTDZ($A$1,$B9,Z$1,$B$1)</f>
        <v>1566.46</v>
      </c>
      <c r="AA9">
        <f>_xll.EQNXTDZ($A$1,$B9,AA$1,$B$1)</f>
        <v>1665.72</v>
      </c>
      <c r="AB9">
        <f>_xll.EQNXTDZ($A$1,$B9,AB$1,$B$1)</f>
        <v>1491.62</v>
      </c>
      <c r="AC9">
        <f>_xll.EQNXTDZ($A$1,$B9,AC$1,$B$1)</f>
        <v>1966.32</v>
      </c>
      <c r="AD9">
        <f>_xll.EQNXTDZ($A$1,$B9,AD$1,$B$1)</f>
        <v>1850.25</v>
      </c>
      <c r="AE9">
        <f>_xll.EQNXTDZ($A$1,$B9,AE$1,$B$1)</f>
        <v>1725.75</v>
      </c>
      <c r="AF9">
        <f>_xll.EQNXTDZ($A$1,$B9,AF$1,$B$1)</f>
        <v>1745.62</v>
      </c>
      <c r="AG9">
        <f>_xll.EQNXTDZ($A$1,$B9,AG$1,$B$1)</f>
        <v>1953.33</v>
      </c>
      <c r="AH9">
        <f>_xll.EQNXTDZ($A$1,$B9,AH$1,$B$1)</f>
        <v>1522.24</v>
      </c>
      <c r="AI9">
        <f>_xll.EQNXTDZ($A$1,$B9,AI$1,$B$1)</f>
        <v>985.78</v>
      </c>
      <c r="AJ9">
        <f>_xll.EQNXTDZ($A$1,$B9,AJ$1,$B$1)</f>
        <v>1612.17</v>
      </c>
      <c r="AK9">
        <f>_xll.EQNXTDZ($A$1,$B9,AK$1,$B$1)</f>
        <v>1700.76</v>
      </c>
      <c r="AL9">
        <f>_xll.EQNXTDZ($A$1,$B9,AL$1,$B$1)</f>
        <v>1629.15</v>
      </c>
      <c r="AM9">
        <f>_xll.EQNXTDZ($A$1,$B9,AM$1,$B$1)</f>
        <v>1424.96</v>
      </c>
      <c r="AN9">
        <f>_xll.EQNXTDZ($A$1,$B9,AN$1,$B$1)</f>
        <v>1778.39</v>
      </c>
      <c r="AO9">
        <f>_xll.EQNXTDZ($A$1,$B9,AO$1,$B$1)</f>
        <v>2101.5</v>
      </c>
      <c r="AP9">
        <f>_xll.EQNXTDZ($A$1,$B9,AP$1,$B$1)</f>
        <v>1974.86</v>
      </c>
      <c r="AQ9">
        <f>_xll.EQNXTDZ($A$1,$B9,AQ$1,$B$1)</f>
        <v>2097.85</v>
      </c>
      <c r="AR9">
        <f>_xll.EQNXTDZ($A$1,$B9,AR$1,$B$1)</f>
        <v>2119.7399999999998</v>
      </c>
      <c r="AS9">
        <f>_xll.EQNXTDZ($A$1,$B9,AS$1,$B$1)</f>
        <v>2426.91</v>
      </c>
      <c r="AT9">
        <f>_xll.EQNXTDZ($A$1,$B9,AT$1,$B$1)</f>
        <v>2411.21</v>
      </c>
      <c r="AU9">
        <f>_xll.EQNXTDZ($A$1,$B9,AU$1,$B$1)</f>
        <v>2508.63</v>
      </c>
      <c r="AV9">
        <f>_xll.EQNXTDZ($A$1,$B9,AV$1,$B$1)</f>
        <v>2769.19</v>
      </c>
      <c r="AW9">
        <f>_xll.EQNXTDZ($A$1,$B9,AW$1,$B$1)</f>
        <v>2757.49</v>
      </c>
      <c r="AX9">
        <f>_xll.EQNXTDZ($A$1,$B9,AX$1,$B$1)</f>
        <v>3080.36</v>
      </c>
      <c r="AY9">
        <f>_xll.EQNXTDZ($A$1,$B9,AY$1,$B$1)</f>
        <v>2830.86</v>
      </c>
      <c r="AZ9">
        <f>_xll.EQNXTDZ($A$1,$B9,AZ$1,$B$1)</f>
        <v>2912.16</v>
      </c>
      <c r="BA9">
        <f>_xll.EQNXTDZ($A$1,$B9,BA$1,$B$1)</f>
        <v>3364.93</v>
      </c>
      <c r="BB9">
        <f>_xll.EQNXTDZ($A$1,$B9,BB$1,$B$1)</f>
        <v>3010.07</v>
      </c>
      <c r="BC9">
        <f>_xll.EQNXTDZ($A$1,$B9,BC$1,$B$1)</f>
        <v>3175.44</v>
      </c>
      <c r="BD9">
        <f>_xll.EQNXTDZ($A$1,$B9,BD$1,$B$1)</f>
        <v>3310.72</v>
      </c>
      <c r="BE9">
        <f>_xll.EQNXTDZ($A$1,$B9,BE$1,$B$1)</f>
        <v>3557.01</v>
      </c>
      <c r="BF9">
        <f>_xll.EQNXTDZ($A$1,$B9,BF$1,$B$1)</f>
        <v>3184.06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-6.98</v>
      </c>
      <c r="D10">
        <f>_xll.EQNXTDZ($A$1,$B10,D$1,$B$1)</f>
        <v>-28.04</v>
      </c>
      <c r="E10">
        <f>_xll.EQNXTDZ($A$1,$B10,E$1,$B$1)</f>
        <v>42.06</v>
      </c>
      <c r="F10">
        <f>_xll.EQNXTDZ($A$1,$B10,F$1,$B$1)</f>
        <v>-24.13</v>
      </c>
      <c r="G10">
        <f>_xll.EQNXTDZ($A$1,$B10,G$1,$B$1)</f>
        <v>3.8</v>
      </c>
      <c r="H10">
        <f>_xll.EQNXTDZ($A$1,$B10,H$1,$B$1)</f>
        <v>-17.940000000000001</v>
      </c>
      <c r="I10">
        <f>_xll.EQNXTDZ($A$1,$B10,I$1,$B$1)</f>
        <v>25.29</v>
      </c>
      <c r="J10">
        <f>_xll.EQNXTDZ($A$1,$B10,J$1,$B$1)</f>
        <v>10.39</v>
      </c>
      <c r="K10">
        <f>_xll.EQNXTDZ($A$1,$B10,K$1,$B$1)</f>
        <v>-17.57</v>
      </c>
      <c r="L10">
        <f>_xll.EQNXTDZ($A$1,$B10,L$1,$B$1)</f>
        <v>-1.34</v>
      </c>
      <c r="M10">
        <f>_xll.EQNXTDZ($A$1,$B10,M$1,$B$1)</f>
        <v>52.5</v>
      </c>
      <c r="N10">
        <f>_xll.EQNXTDZ($A$1,$B10,N$1,$B$1)</f>
        <v>-2.81</v>
      </c>
      <c r="O10">
        <f>_xll.EQNXTDZ($A$1,$B10,O$1,$B$1)</f>
        <v>-50.66</v>
      </c>
      <c r="P10">
        <f>_xll.EQNXTDZ($A$1,$B10,P$1,$B$1)</f>
        <v>-32.93</v>
      </c>
      <c r="Q10">
        <f>_xll.EQNXTDZ($A$1,$B10,Q$1,$B$1)</f>
        <v>37.840000000000003</v>
      </c>
      <c r="R10">
        <f>_xll.EQNXTDZ($A$1,$B10,R$1,$B$1)</f>
        <v>-64.73</v>
      </c>
      <c r="S10">
        <f>_xll.EQNXTDZ($A$1,$B10,S$1,$B$1)</f>
        <v>75.75</v>
      </c>
      <c r="T10">
        <f>_xll.EQNXTDZ($A$1,$B10,T$1,$B$1)</f>
        <v>-18.66</v>
      </c>
      <c r="U10">
        <f>_xll.EQNXTDZ($A$1,$B10,U$1,$B$1)</f>
        <v>74.28</v>
      </c>
      <c r="V10">
        <f>_xll.EQNXTDZ($A$1,$B10,V$1,$B$1)</f>
        <v>-51.66</v>
      </c>
      <c r="W10">
        <f>_xll.EQNXTDZ($A$1,$B10,W$1,$B$1)</f>
        <v>0.55000000000000004</v>
      </c>
      <c r="X10">
        <f>_xll.EQNXTDZ($A$1,$B10,X$1,$B$1)</f>
        <v>-116.35</v>
      </c>
      <c r="Y10">
        <f>_xll.EQNXTDZ($A$1,$B10,Y$1,$B$1)</f>
        <v>-8.74</v>
      </c>
      <c r="Z10">
        <f>_xll.EQNXTDZ($A$1,$B10,Z$1,$B$1)</f>
        <v>-1.59</v>
      </c>
      <c r="AA10">
        <f>_xll.EQNXTDZ($A$1,$B10,AA$1,$B$1)</f>
        <v>-26.55</v>
      </c>
      <c r="AB10">
        <f>_xll.EQNXTDZ($A$1,$B10,AB$1,$B$1)</f>
        <v>-97.04</v>
      </c>
      <c r="AC10">
        <f>_xll.EQNXTDZ($A$1,$B10,AC$1,$B$1)</f>
        <v>30.01</v>
      </c>
      <c r="AD10">
        <f>_xll.EQNXTDZ($A$1,$B10,AD$1,$B$1)</f>
        <v>-19.02</v>
      </c>
      <c r="AE10">
        <f>_xll.EQNXTDZ($A$1,$B10,AE$1,$B$1)</f>
        <v>-21.93</v>
      </c>
      <c r="AF10">
        <f>_xll.EQNXTDZ($A$1,$B10,AF$1,$B$1)</f>
        <v>-15.98</v>
      </c>
      <c r="AG10">
        <f>_xll.EQNXTDZ($A$1,$B10,AG$1,$B$1)</f>
        <v>30.2</v>
      </c>
      <c r="AH10">
        <f>_xll.EQNXTDZ($A$1,$B10,AH$1,$B$1)</f>
        <v>-26.98</v>
      </c>
      <c r="AI10">
        <f>_xll.EQNXTDZ($A$1,$B10,AI$1,$B$1)</f>
        <v>-23.72</v>
      </c>
      <c r="AJ10">
        <f>_xll.EQNXTDZ($A$1,$B10,AJ$1,$B$1)</f>
        <v>45.06</v>
      </c>
      <c r="AK10">
        <f>_xll.EQNXTDZ($A$1,$B10,AK$1,$B$1)</f>
        <v>26.92</v>
      </c>
      <c r="AL10">
        <f>_xll.EQNXTDZ($A$1,$B10,AL$1,$B$1)</f>
        <v>1.25</v>
      </c>
      <c r="AM10">
        <f>_xll.EQNXTDZ($A$1,$B10,AM$1,$B$1)</f>
        <v>-57.41</v>
      </c>
      <c r="AN10">
        <f>_xll.EQNXTDZ($A$1,$B10,AN$1,$B$1)</f>
        <v>-33.619999999999997</v>
      </c>
      <c r="AO10">
        <f>_xll.EQNXTDZ($A$1,$B10,AO$1,$B$1)</f>
        <v>56.42</v>
      </c>
      <c r="AP10">
        <f>_xll.EQNXTDZ($A$1,$B10,AP$1,$B$1)</f>
        <v>-28.82</v>
      </c>
      <c r="AQ10">
        <f>_xll.EQNXTDZ($A$1,$B10,AQ$1,$B$1)</f>
        <v>-36.46</v>
      </c>
      <c r="AR10">
        <f>_xll.EQNXTDZ($A$1,$B10,AR$1,$B$1)</f>
        <v>-56</v>
      </c>
      <c r="AS10">
        <f>_xll.EQNXTDZ($A$1,$B10,AS$1,$B$1)</f>
        <v>12.97</v>
      </c>
      <c r="AT10">
        <f>_xll.EQNXTDZ($A$1,$B10,AT$1,$B$1)</f>
        <v>46.03</v>
      </c>
      <c r="AU10">
        <f>_xll.EQNXTDZ($A$1,$B10,AU$1,$B$1)</f>
        <v>-48.09</v>
      </c>
      <c r="AV10">
        <f>_xll.EQNXTDZ($A$1,$B10,AV$1,$B$1)</f>
        <v>-53.54</v>
      </c>
      <c r="AW10">
        <f>_xll.EQNXTDZ($A$1,$B10,AW$1,$B$1)</f>
        <v>28.91</v>
      </c>
      <c r="AX10">
        <f>_xll.EQNXTDZ($A$1,$B10,AX$1,$B$1)</f>
        <v>-41.96</v>
      </c>
      <c r="AY10">
        <f>_xll.EQNXTDZ($A$1,$B10,AY$1,$B$1)</f>
        <v>-34.119999999999997</v>
      </c>
      <c r="AZ10">
        <f>_xll.EQNXTDZ($A$1,$B10,AZ$1,$B$1)</f>
        <v>-69.67</v>
      </c>
      <c r="BA10">
        <f>_xll.EQNXTDZ($A$1,$B10,BA$1,$B$1)</f>
        <v>-20.23</v>
      </c>
      <c r="BB10">
        <f>_xll.EQNXTDZ($A$1,$B10,BB$1,$B$1)</f>
        <v>-101.82</v>
      </c>
      <c r="BC10">
        <f>_xll.EQNXTDZ($A$1,$B10,BC$1,$B$1)</f>
        <v>-147.91</v>
      </c>
      <c r="BD10">
        <f>_xll.EQNXTDZ($A$1,$B10,BD$1,$B$1)</f>
        <v>-34.29</v>
      </c>
      <c r="BE10">
        <f>_xll.EQNXTDZ($A$1,$B10,BE$1,$B$1)</f>
        <v>151.65</v>
      </c>
      <c r="BF10">
        <f>_xll.EQNXTDZ($A$1,$B10,BF$1,$B$1)</f>
        <v>-51.54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1163.55</v>
      </c>
      <c r="D11">
        <f>_xll.EQNXTDZ($A$1,$B11,D$1,$B$1)</f>
        <v>1109.6600000000001</v>
      </c>
      <c r="E11">
        <f>_xll.EQNXTDZ($A$1,$B11,E$1,$B$1)</f>
        <v>1312.81</v>
      </c>
      <c r="F11">
        <f>_xll.EQNXTDZ($A$1,$B11,F$1,$B$1)</f>
        <v>1277.21</v>
      </c>
      <c r="G11">
        <f>_xll.EQNXTDZ($A$1,$B11,G$1,$B$1)</f>
        <v>1004.15</v>
      </c>
      <c r="H11">
        <f>_xll.EQNXTDZ($A$1,$B11,H$1,$B$1)</f>
        <v>1063.55</v>
      </c>
      <c r="I11">
        <f>_xll.EQNXTDZ($A$1,$B11,I$1,$B$1)</f>
        <v>1284.28</v>
      </c>
      <c r="J11">
        <f>_xll.EQNXTDZ($A$1,$B11,J$1,$B$1)</f>
        <v>1033.3499999999999</v>
      </c>
      <c r="K11">
        <f>_xll.EQNXTDZ($A$1,$B11,K$1,$B$1)</f>
        <v>1092.54</v>
      </c>
      <c r="L11">
        <f>_xll.EQNXTDZ($A$1,$B11,L$1,$B$1)</f>
        <v>1061.99</v>
      </c>
      <c r="M11">
        <f>_xll.EQNXTDZ($A$1,$B11,M$1,$B$1)</f>
        <v>1299.31</v>
      </c>
      <c r="N11">
        <f>_xll.EQNXTDZ($A$1,$B11,N$1,$B$1)</f>
        <v>1010.06</v>
      </c>
      <c r="O11">
        <f>_xll.EQNXTDZ($A$1,$B11,O$1,$B$1)</f>
        <v>1137.54</v>
      </c>
      <c r="P11">
        <f>_xll.EQNXTDZ($A$1,$B11,P$1,$B$1)</f>
        <v>1119.08</v>
      </c>
      <c r="Q11">
        <f>_xll.EQNXTDZ($A$1,$B11,Q$1,$B$1)</f>
        <v>1294.8800000000001</v>
      </c>
      <c r="R11">
        <f>_xll.EQNXTDZ($A$1,$B11,R$1,$B$1)</f>
        <v>1101.04</v>
      </c>
      <c r="S11">
        <f>_xll.EQNXTDZ($A$1,$B11,S$1,$B$1)</f>
        <v>1076.6199999999999</v>
      </c>
      <c r="T11">
        <f>_xll.EQNXTDZ($A$1,$B11,T$1,$B$1)</f>
        <v>1173.97</v>
      </c>
      <c r="U11">
        <f>_xll.EQNXTDZ($A$1,$B11,U$1,$B$1)</f>
        <v>1289.6500000000001</v>
      </c>
      <c r="V11">
        <f>_xll.EQNXTDZ($A$1,$B11,V$1,$B$1)</f>
        <v>1229.27</v>
      </c>
      <c r="W11">
        <f>_xll.EQNXTDZ($A$1,$B11,W$1,$B$1)</f>
        <v>1179.9000000000001</v>
      </c>
      <c r="X11">
        <f>_xll.EQNXTDZ($A$1,$B11,X$1,$B$1)</f>
        <v>1147.68</v>
      </c>
      <c r="Y11">
        <f>_xll.EQNXTDZ($A$1,$B11,Y$1,$B$1)</f>
        <v>1006.45</v>
      </c>
      <c r="Z11">
        <f>_xll.EQNXTDZ($A$1,$B11,Z$1,$B$1)</f>
        <v>893.51</v>
      </c>
      <c r="AA11">
        <f>_xll.EQNXTDZ($A$1,$B11,AA$1,$B$1)</f>
        <v>974.41</v>
      </c>
      <c r="AB11">
        <f>_xll.EQNXTDZ($A$1,$B11,AB$1,$B$1)</f>
        <v>860.37</v>
      </c>
      <c r="AC11">
        <f>_xll.EQNXTDZ($A$1,$B11,AC$1,$B$1)</f>
        <v>1072.1199999999999</v>
      </c>
      <c r="AD11">
        <f>_xll.EQNXTDZ($A$1,$B11,AD$1,$B$1)</f>
        <v>1057.8599999999999</v>
      </c>
      <c r="AE11">
        <f>_xll.EQNXTDZ($A$1,$B11,AE$1,$B$1)</f>
        <v>949.1</v>
      </c>
      <c r="AF11">
        <f>_xll.EQNXTDZ($A$1,$B11,AF$1,$B$1)</f>
        <v>880.33</v>
      </c>
      <c r="AG11">
        <f>_xll.EQNXTDZ($A$1,$B11,AG$1,$B$1)</f>
        <v>1147.23</v>
      </c>
      <c r="AH11">
        <f>_xll.EQNXTDZ($A$1,$B11,AH$1,$B$1)</f>
        <v>857.58</v>
      </c>
      <c r="AI11">
        <f>_xll.EQNXTDZ($A$1,$B11,AI$1,$B$1)</f>
        <v>554.16999999999996</v>
      </c>
      <c r="AJ11">
        <f>_xll.EQNXTDZ($A$1,$B11,AJ$1,$B$1)</f>
        <v>872.85</v>
      </c>
      <c r="AK11">
        <f>_xll.EQNXTDZ($A$1,$B11,AK$1,$B$1)</f>
        <v>957.34</v>
      </c>
      <c r="AL11">
        <f>_xll.EQNXTDZ($A$1,$B11,AL$1,$B$1)</f>
        <v>889.88</v>
      </c>
      <c r="AM11">
        <f>_xll.EQNXTDZ($A$1,$B11,AM$1,$B$1)</f>
        <v>785.72</v>
      </c>
      <c r="AN11">
        <f>_xll.EQNXTDZ($A$1,$B11,AN$1,$B$1)</f>
        <v>973.56</v>
      </c>
      <c r="AO11">
        <f>_xll.EQNXTDZ($A$1,$B11,AO$1,$B$1)</f>
        <v>1108.24</v>
      </c>
      <c r="AP11">
        <f>_xll.EQNXTDZ($A$1,$B11,AP$1,$B$1)</f>
        <v>1096.3900000000001</v>
      </c>
      <c r="AQ11">
        <f>_xll.EQNXTDZ($A$1,$B11,AQ$1,$B$1)</f>
        <v>1122.52</v>
      </c>
      <c r="AR11">
        <f>_xll.EQNXTDZ($A$1,$B11,AR$1,$B$1)</f>
        <v>1210.4000000000001</v>
      </c>
      <c r="AS11">
        <f>_xll.EQNXTDZ($A$1,$B11,AS$1,$B$1)</f>
        <v>1292.75</v>
      </c>
      <c r="AT11">
        <f>_xll.EQNXTDZ($A$1,$B11,AT$1,$B$1)</f>
        <v>1223.19</v>
      </c>
      <c r="AU11">
        <f>_xll.EQNXTDZ($A$1,$B11,AU$1,$B$1)</f>
        <v>1380.69</v>
      </c>
      <c r="AV11">
        <f>_xll.EQNXTDZ($A$1,$B11,AV$1,$B$1)</f>
        <v>1508.43</v>
      </c>
      <c r="AW11">
        <f>_xll.EQNXTDZ($A$1,$B11,AW$1,$B$1)</f>
        <v>1400.17</v>
      </c>
      <c r="AX11">
        <f>_xll.EQNXTDZ($A$1,$B11,AX$1,$B$1)</f>
        <v>1544.16</v>
      </c>
      <c r="AY11">
        <f>_xll.EQNXTDZ($A$1,$B11,AY$1,$B$1)</f>
        <v>1316.83</v>
      </c>
      <c r="AZ11">
        <f>_xll.EQNXTDZ($A$1,$B11,AZ$1,$B$1)</f>
        <v>1413.47</v>
      </c>
      <c r="BA11">
        <f>_xll.EQNXTDZ($A$1,$B11,BA$1,$B$1)</f>
        <v>1654.78</v>
      </c>
      <c r="BB11">
        <f>_xll.EQNXTDZ($A$1,$B11,BB$1,$B$1)</f>
        <v>1481.48</v>
      </c>
      <c r="BC11">
        <f>_xll.EQNXTDZ($A$1,$B11,BC$1,$B$1)</f>
        <v>1659.83</v>
      </c>
      <c r="BD11">
        <f>_xll.EQNXTDZ($A$1,$B11,BD$1,$B$1)</f>
        <v>1755.97</v>
      </c>
      <c r="BE11">
        <f>_xll.EQNXTDZ($A$1,$B11,BE$1,$B$1)</f>
        <v>1646.63</v>
      </c>
      <c r="BF11">
        <f>_xll.EQNXTDZ($A$1,$B11,BF$1,$B$1)</f>
        <v>1644.22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62.16</v>
      </c>
      <c r="D12">
        <f>_xll.EQNXTDZ($A$1,$B12,D$1,$B$1)</f>
        <v>65.260000000000005</v>
      </c>
      <c r="E12">
        <f>_xll.EQNXTDZ($A$1,$B12,E$1,$B$1)</f>
        <v>70.39</v>
      </c>
      <c r="F12">
        <f>_xll.EQNXTDZ($A$1,$B12,F$1,$B$1)</f>
        <v>49.09</v>
      </c>
      <c r="G12">
        <f>_xll.EQNXTDZ($A$1,$B12,G$1,$B$1)</f>
        <v>76.150000000000006</v>
      </c>
      <c r="H12">
        <f>_xll.EQNXTDZ($A$1,$B12,H$1,$B$1)</f>
        <v>85.97</v>
      </c>
      <c r="I12">
        <f>_xll.EQNXTDZ($A$1,$B12,I$1,$B$1)</f>
        <v>102.86</v>
      </c>
      <c r="J12">
        <f>_xll.EQNXTDZ($A$1,$B12,J$1,$B$1)</f>
        <v>82.33</v>
      </c>
      <c r="K12">
        <f>_xll.EQNXTDZ($A$1,$B12,K$1,$B$1)</f>
        <v>65.7</v>
      </c>
      <c r="L12">
        <f>_xll.EQNXTDZ($A$1,$B12,L$1,$B$1)</f>
        <v>81.08</v>
      </c>
      <c r="M12">
        <f>_xll.EQNXTDZ($A$1,$B12,M$1,$B$1)</f>
        <v>76.77</v>
      </c>
      <c r="N12">
        <f>_xll.EQNXTDZ($A$1,$B12,N$1,$B$1)</f>
        <v>76.319999999999993</v>
      </c>
      <c r="O12">
        <f>_xll.EQNXTDZ($A$1,$B12,O$1,$B$1)</f>
        <v>60.06</v>
      </c>
      <c r="P12">
        <f>_xll.EQNXTDZ($A$1,$B12,P$1,$B$1)</f>
        <v>87.99</v>
      </c>
      <c r="Q12">
        <f>_xll.EQNXTDZ($A$1,$B12,Q$1,$B$1)</f>
        <v>97.27</v>
      </c>
      <c r="R12">
        <f>_xll.EQNXTDZ($A$1,$B12,R$1,$B$1)</f>
        <v>123.45</v>
      </c>
      <c r="S12">
        <f>_xll.EQNXTDZ($A$1,$B12,S$1,$B$1)</f>
        <v>87.97</v>
      </c>
      <c r="T12">
        <f>_xll.EQNXTDZ($A$1,$B12,T$1,$B$1)</f>
        <v>82.18</v>
      </c>
      <c r="U12">
        <f>_xll.EQNXTDZ($A$1,$B12,U$1,$B$1)</f>
        <v>107.99</v>
      </c>
      <c r="V12">
        <f>_xll.EQNXTDZ($A$1,$B12,V$1,$B$1)</f>
        <v>84.52</v>
      </c>
      <c r="W12">
        <f>_xll.EQNXTDZ($A$1,$B12,W$1,$B$1)</f>
        <v>104.96</v>
      </c>
      <c r="X12">
        <f>_xll.EQNXTDZ($A$1,$B12,X$1,$B$1)</f>
        <v>69.349999999999994</v>
      </c>
      <c r="Y12">
        <f>_xll.EQNXTDZ($A$1,$B12,Y$1,$B$1)</f>
        <v>101.18</v>
      </c>
      <c r="Z12">
        <f>_xll.EQNXTDZ($A$1,$B12,Z$1,$B$1)</f>
        <v>127.03</v>
      </c>
      <c r="AA12">
        <f>_xll.EQNXTDZ($A$1,$B12,AA$1,$B$1)</f>
        <v>127.08</v>
      </c>
      <c r="AB12">
        <f>_xll.EQNXTDZ($A$1,$B12,AB$1,$B$1)</f>
        <v>157.08000000000001</v>
      </c>
      <c r="AC12">
        <f>_xll.EQNXTDZ($A$1,$B12,AC$1,$B$1)</f>
        <v>170.92</v>
      </c>
      <c r="AD12">
        <f>_xll.EQNXTDZ($A$1,$B12,AD$1,$B$1)</f>
        <v>184.04</v>
      </c>
      <c r="AE12">
        <f>_xll.EQNXTDZ($A$1,$B12,AE$1,$B$1)</f>
        <v>146.22</v>
      </c>
      <c r="AF12">
        <f>_xll.EQNXTDZ($A$1,$B12,AF$1,$B$1)</f>
        <v>208.89</v>
      </c>
      <c r="AG12">
        <f>_xll.EQNXTDZ($A$1,$B12,AG$1,$B$1)</f>
        <v>52.21</v>
      </c>
      <c r="AH12">
        <f>_xll.EQNXTDZ($A$1,$B12,AH$1,$B$1)</f>
        <v>109.05</v>
      </c>
      <c r="AI12">
        <f>_xll.EQNXTDZ($A$1,$B12,AI$1,$B$1)</f>
        <v>83.01</v>
      </c>
      <c r="AJ12">
        <f>_xll.EQNXTDZ($A$1,$B12,AJ$1,$B$1)</f>
        <v>132.11000000000001</v>
      </c>
      <c r="AK12">
        <f>_xll.EQNXTDZ($A$1,$B12,AK$1,$B$1)</f>
        <v>132.49</v>
      </c>
      <c r="AL12">
        <f>_xll.EQNXTDZ($A$1,$B12,AL$1,$B$1)</f>
        <v>148.46</v>
      </c>
      <c r="AM12">
        <f>_xll.EQNXTDZ($A$1,$B12,AM$1,$B$1)</f>
        <v>181.62</v>
      </c>
      <c r="AN12">
        <f>_xll.EQNXTDZ($A$1,$B12,AN$1,$B$1)</f>
        <v>163.80000000000001</v>
      </c>
      <c r="AO12">
        <f>_xll.EQNXTDZ($A$1,$B12,AO$1,$B$1)</f>
        <v>197.43</v>
      </c>
      <c r="AP12">
        <f>_xll.EQNXTDZ($A$1,$B12,AP$1,$B$1)</f>
        <v>179.75</v>
      </c>
      <c r="AQ12">
        <f>_xll.EQNXTDZ($A$1,$B12,AQ$1,$B$1)</f>
        <v>195.89</v>
      </c>
      <c r="AR12">
        <f>_xll.EQNXTDZ($A$1,$B12,AR$1,$B$1)</f>
        <v>162.66999999999999</v>
      </c>
      <c r="AS12">
        <f>_xll.EQNXTDZ($A$1,$B12,AS$1,$B$1)</f>
        <v>182.59</v>
      </c>
      <c r="AT12">
        <f>_xll.EQNXTDZ($A$1,$B12,AT$1,$B$1)</f>
        <v>201</v>
      </c>
      <c r="AU12">
        <f>_xll.EQNXTDZ($A$1,$B12,AU$1,$B$1)</f>
        <v>195.39</v>
      </c>
      <c r="AV12">
        <f>_xll.EQNXTDZ($A$1,$B12,AV$1,$B$1)</f>
        <v>229.33</v>
      </c>
      <c r="AW12">
        <f>_xll.EQNXTDZ($A$1,$B12,AW$1,$B$1)</f>
        <v>217.05</v>
      </c>
      <c r="AX12">
        <f>_xll.EQNXTDZ($A$1,$B12,AX$1,$B$1)</f>
        <v>259.02999999999997</v>
      </c>
      <c r="AY12">
        <f>_xll.EQNXTDZ($A$1,$B12,AY$1,$B$1)</f>
        <v>242.33</v>
      </c>
      <c r="AZ12">
        <f>_xll.EQNXTDZ($A$1,$B12,AZ$1,$B$1)</f>
        <v>237.87</v>
      </c>
      <c r="BA12">
        <f>_xll.EQNXTDZ($A$1,$B12,BA$1,$B$1)</f>
        <v>246.13</v>
      </c>
      <c r="BB12">
        <f>_xll.EQNXTDZ($A$1,$B12,BB$1,$B$1)</f>
        <v>260.57</v>
      </c>
      <c r="BC12">
        <f>_xll.EQNXTDZ($A$1,$B12,BC$1,$B$1)</f>
        <v>334.48</v>
      </c>
      <c r="BD12">
        <f>_xll.EQNXTDZ($A$1,$B12,BD$1,$B$1)</f>
        <v>240.26</v>
      </c>
      <c r="BE12">
        <f>_xll.EQNXTDZ($A$1,$B12,BE$1,$B$1)</f>
        <v>271.47000000000003</v>
      </c>
      <c r="BF12">
        <f>_xll.EQNXTDZ($A$1,$B12,BF$1,$B$1)</f>
        <v>241.3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120.09</v>
      </c>
      <c r="S13">
        <f>_xll.EQNXTDZ($A$1,$B13,S$1,$B$1)</f>
        <v>131.59</v>
      </c>
      <c r="T13">
        <f>_xll.EQNXTDZ($A$1,$B13,T$1,$B$1)</f>
        <v>142.63</v>
      </c>
      <c r="U13">
        <f>_xll.EQNXTDZ($A$1,$B13,U$1,$B$1)</f>
        <v>147</v>
      </c>
      <c r="V13">
        <f>_xll.EQNXTDZ($A$1,$B13,V$1,$B$1)</f>
        <v>149.99</v>
      </c>
      <c r="W13">
        <f>_xll.EQNXTDZ($A$1,$B13,W$1,$B$1)</f>
        <v>137.79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383.78</v>
      </c>
      <c r="D14">
        <f>_xll.EQNXTDZ($A$1,$B14,D$1,$B$1)</f>
        <v>445.82</v>
      </c>
      <c r="E14">
        <f>_xll.EQNXTDZ($A$1,$B14,E$1,$B$1)</f>
        <v>444.57</v>
      </c>
      <c r="F14">
        <f>_xll.EQNXTDZ($A$1,$B14,F$1,$B$1)</f>
        <v>401.5</v>
      </c>
      <c r="G14">
        <f>_xll.EQNXTDZ($A$1,$B14,G$1,$B$1)</f>
        <v>402.76</v>
      </c>
      <c r="H14">
        <f>_xll.EQNXTDZ($A$1,$B14,H$1,$B$1)</f>
        <v>386.25</v>
      </c>
      <c r="I14">
        <f>_xll.EQNXTDZ($A$1,$B14,I$1,$B$1)</f>
        <v>454.22</v>
      </c>
      <c r="J14">
        <f>_xll.EQNXTDZ($A$1,$B14,J$1,$B$1)</f>
        <v>407.78</v>
      </c>
      <c r="K14">
        <f>_xll.EQNXTDZ($A$1,$B14,K$1,$B$1)</f>
        <v>385.99</v>
      </c>
      <c r="L14">
        <f>_xll.EQNXTDZ($A$1,$B14,L$1,$B$1)</f>
        <v>407.19</v>
      </c>
      <c r="M14">
        <f>_xll.EQNXTDZ($A$1,$B14,M$1,$B$1)</f>
        <v>434.37</v>
      </c>
      <c r="N14">
        <f>_xll.EQNXTDZ($A$1,$B14,N$1,$B$1)</f>
        <v>404.63</v>
      </c>
      <c r="O14">
        <f>_xll.EQNXTDZ($A$1,$B14,O$1,$B$1)</f>
        <v>450.63</v>
      </c>
      <c r="P14">
        <f>_xll.EQNXTDZ($A$1,$B14,P$1,$B$1)</f>
        <v>451.54</v>
      </c>
      <c r="Q14">
        <f>_xll.EQNXTDZ($A$1,$B14,Q$1,$B$1)</f>
        <v>536.46</v>
      </c>
      <c r="R14">
        <f>_xll.EQNXTDZ($A$1,$B14,R$1,$B$1)</f>
        <v>483.65</v>
      </c>
      <c r="S14">
        <f>_xll.EQNXTDZ($A$1,$B14,S$1,$B$1)</f>
        <v>541.02</v>
      </c>
      <c r="T14">
        <f>_xll.EQNXTDZ($A$1,$B14,T$1,$B$1)</f>
        <v>516.17999999999995</v>
      </c>
      <c r="U14">
        <f>_xll.EQNXTDZ($A$1,$B14,U$1,$B$1)</f>
        <v>565.82000000000005</v>
      </c>
      <c r="V14">
        <f>_xll.EQNXTDZ($A$1,$B14,V$1,$B$1)</f>
        <v>534.86</v>
      </c>
      <c r="W14">
        <f>_xll.EQNXTDZ($A$1,$B14,W$1,$B$1)</f>
        <v>583.84</v>
      </c>
      <c r="X14">
        <f>_xll.EQNXTDZ($A$1,$B14,X$1,$B$1)</f>
        <v>486.24</v>
      </c>
      <c r="Y14">
        <f>_xll.EQNXTDZ($A$1,$B14,Y$1,$B$1)</f>
        <v>353</v>
      </c>
      <c r="Z14">
        <f>_xll.EQNXTDZ($A$1,$B14,Z$1,$B$1)</f>
        <v>312.63</v>
      </c>
      <c r="AA14">
        <f>_xll.EQNXTDZ($A$1,$B14,AA$1,$B$1)</f>
        <v>357.21</v>
      </c>
      <c r="AB14">
        <f>_xll.EQNXTDZ($A$1,$B14,AB$1,$B$1)</f>
        <v>370.04</v>
      </c>
      <c r="AC14">
        <f>_xll.EQNXTDZ($A$1,$B14,AC$1,$B$1)</f>
        <v>377.39</v>
      </c>
      <c r="AD14">
        <f>_xll.EQNXTDZ($A$1,$B14,AD$1,$B$1)</f>
        <v>324.38</v>
      </c>
      <c r="AE14">
        <f>_xll.EQNXTDZ($A$1,$B14,AE$1,$B$1)</f>
        <v>392.35</v>
      </c>
      <c r="AF14">
        <f>_xll.EQNXTDZ($A$1,$B14,AF$1,$B$1)</f>
        <v>409.53</v>
      </c>
      <c r="AG14">
        <f>_xll.EQNXTDZ($A$1,$B14,AG$1,$B$1)</f>
        <v>438.77</v>
      </c>
      <c r="AH14">
        <f>_xll.EQNXTDZ($A$1,$B14,AH$1,$B$1)</f>
        <v>404.75</v>
      </c>
      <c r="AI14">
        <f>_xll.EQNXTDZ($A$1,$B14,AI$1,$B$1)</f>
        <v>228.68</v>
      </c>
      <c r="AJ14">
        <f>_xll.EQNXTDZ($A$1,$B14,AJ$1,$B$1)</f>
        <v>305.55</v>
      </c>
      <c r="AK14">
        <f>_xll.EQNXTDZ($A$1,$B14,AK$1,$B$1)</f>
        <v>349.43</v>
      </c>
      <c r="AL14">
        <f>_xll.EQNXTDZ($A$1,$B14,AL$1,$B$1)</f>
        <v>332.25</v>
      </c>
      <c r="AM14">
        <f>_xll.EQNXTDZ($A$1,$B14,AM$1,$B$1)</f>
        <v>281.2</v>
      </c>
      <c r="AN14">
        <f>_xll.EQNXTDZ($A$1,$B14,AN$1,$B$1)</f>
        <v>349.29</v>
      </c>
      <c r="AO14">
        <f>_xll.EQNXTDZ($A$1,$B14,AO$1,$B$1)</f>
        <v>402.87</v>
      </c>
      <c r="AP14">
        <f>_xll.EQNXTDZ($A$1,$B14,AP$1,$B$1)</f>
        <v>363.73</v>
      </c>
      <c r="AQ14">
        <f>_xll.EQNXTDZ($A$1,$B14,AQ$1,$B$1)</f>
        <v>460</v>
      </c>
      <c r="AR14">
        <f>_xll.EQNXTDZ($A$1,$B14,AR$1,$B$1)</f>
        <v>435.63</v>
      </c>
      <c r="AS14">
        <f>_xll.EQNXTDZ($A$1,$B14,AS$1,$B$1)</f>
        <v>415.8</v>
      </c>
      <c r="AT14">
        <f>_xll.EQNXTDZ($A$1,$B14,AT$1,$B$1)</f>
        <v>467.85</v>
      </c>
      <c r="AU14">
        <f>_xll.EQNXTDZ($A$1,$B14,AU$1,$B$1)</f>
        <v>463.82</v>
      </c>
      <c r="AV14">
        <f>_xll.EQNXTDZ($A$1,$B14,AV$1,$B$1)</f>
        <v>468.48</v>
      </c>
      <c r="AW14">
        <f>_xll.EQNXTDZ($A$1,$B14,AW$1,$B$1)</f>
        <v>512.88</v>
      </c>
      <c r="AX14">
        <f>_xll.EQNXTDZ($A$1,$B14,AX$1,$B$1)</f>
        <v>532.82000000000005</v>
      </c>
      <c r="AY14">
        <f>_xll.EQNXTDZ($A$1,$B14,AY$1,$B$1)</f>
        <v>560.32000000000005</v>
      </c>
      <c r="AZ14">
        <f>_xll.EQNXTDZ($A$1,$B14,AZ$1,$B$1)</f>
        <v>587.19000000000005</v>
      </c>
      <c r="BA14">
        <f>_xll.EQNXTDZ($A$1,$B14,BA$1,$B$1)</f>
        <v>632.20000000000005</v>
      </c>
      <c r="BB14">
        <f>_xll.EQNXTDZ($A$1,$B14,BB$1,$B$1)</f>
        <v>571.89</v>
      </c>
      <c r="BC14">
        <f>_xll.EQNXTDZ($A$1,$B14,BC$1,$B$1)</f>
        <v>698.95</v>
      </c>
      <c r="BD14">
        <f>_xll.EQNXTDZ($A$1,$B14,BD$1,$B$1)</f>
        <v>626.14</v>
      </c>
      <c r="BE14">
        <f>_xll.EQNXTDZ($A$1,$B14,BE$1,$B$1)</f>
        <v>649.64</v>
      </c>
      <c r="BF14">
        <f>_xll.EQNXTDZ($A$1,$B14,BF$1,$B$1)</f>
        <v>688.82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175.29</v>
      </c>
      <c r="D16">
        <f>_xll.EQNXTDZ($A$1,$B16,D$1,$B$1)</f>
        <v>149.52000000000001</v>
      </c>
      <c r="E16">
        <f>_xll.EQNXTDZ($A$1,$B16,E$1,$B$1)</f>
        <v>145.86000000000001</v>
      </c>
      <c r="F16">
        <f>_xll.EQNXTDZ($A$1,$B16,F$1,$B$1)</f>
        <v>170.24</v>
      </c>
      <c r="G16">
        <f>_xll.EQNXTDZ($A$1,$B16,G$1,$B$1)</f>
        <v>156.41</v>
      </c>
      <c r="H16">
        <f>_xll.EQNXTDZ($A$1,$B16,H$1,$B$1)</f>
        <v>162.65</v>
      </c>
      <c r="I16">
        <f>_xll.EQNXTDZ($A$1,$B16,I$1,$B$1)</f>
        <v>187.76</v>
      </c>
      <c r="J16">
        <f>_xll.EQNXTDZ($A$1,$B16,J$1,$B$1)</f>
        <v>168.14</v>
      </c>
      <c r="K16">
        <f>_xll.EQNXTDZ($A$1,$B16,K$1,$B$1)</f>
        <v>169.71</v>
      </c>
      <c r="L16">
        <f>_xll.EQNXTDZ($A$1,$B16,L$1,$B$1)</f>
        <v>171.92</v>
      </c>
      <c r="M16">
        <f>_xll.EQNXTDZ($A$1,$B16,M$1,$B$1)</f>
        <v>195.43</v>
      </c>
      <c r="N16">
        <f>_xll.EQNXTDZ($A$1,$B16,N$1,$B$1)</f>
        <v>182.77</v>
      </c>
      <c r="O16">
        <f>_xll.EQNXTDZ($A$1,$B16,O$1,$B$1)</f>
        <v>184.04</v>
      </c>
      <c r="P16">
        <f>_xll.EQNXTDZ($A$1,$B16,P$1,$B$1)</f>
        <v>187.55</v>
      </c>
      <c r="Q16">
        <f>_xll.EQNXTDZ($A$1,$B16,Q$1,$B$1)</f>
        <v>195.51</v>
      </c>
      <c r="R16">
        <f>_xll.EQNXTDZ($A$1,$B16,R$1,$B$1)</f>
        <v>187.22</v>
      </c>
      <c r="S16">
        <f>_xll.EQNXTDZ($A$1,$B16,S$1,$B$1)</f>
        <v>199.72</v>
      </c>
      <c r="T16">
        <f>_xll.EQNXTDZ($A$1,$B16,T$1,$B$1)</f>
        <v>183.09</v>
      </c>
      <c r="U16">
        <f>_xll.EQNXTDZ($A$1,$B16,U$1,$B$1)</f>
        <v>180.23</v>
      </c>
      <c r="V16">
        <f>_xll.EQNXTDZ($A$1,$B16,V$1,$B$1)</f>
        <v>193.31</v>
      </c>
      <c r="W16">
        <f>_xll.EQNXTDZ($A$1,$B16,W$1,$B$1)</f>
        <v>216.77</v>
      </c>
      <c r="X16">
        <f>_xll.EQNXTDZ($A$1,$B16,X$1,$B$1)</f>
        <v>202.33</v>
      </c>
      <c r="Y16">
        <f>_xll.EQNXTDZ($A$1,$B16,Y$1,$B$1)</f>
        <v>111.27</v>
      </c>
      <c r="Z16">
        <f>_xll.EQNXTDZ($A$1,$B16,Z$1,$B$1)</f>
        <v>145.4</v>
      </c>
      <c r="AA16">
        <f>_xll.EQNXTDZ($A$1,$B16,AA$1,$B$1)</f>
        <v>144.19999999999999</v>
      </c>
      <c r="AB16">
        <f>_xll.EQNXTDZ($A$1,$B16,AB$1,$B$1)</f>
        <v>136.44</v>
      </c>
      <c r="AC16">
        <f>_xll.EQNXTDZ($A$1,$B16,AC$1,$B$1)</f>
        <v>100.45</v>
      </c>
      <c r="AD16">
        <f>_xll.EQNXTDZ($A$1,$B16,AD$1,$B$1)</f>
        <v>157.47</v>
      </c>
      <c r="AE16">
        <f>_xll.EQNXTDZ($A$1,$B16,AE$1,$B$1)</f>
        <v>136.13999999999999</v>
      </c>
      <c r="AF16">
        <f>_xll.EQNXTDZ($A$1,$B16,AF$1,$B$1)</f>
        <v>139.49</v>
      </c>
      <c r="AG16">
        <f>_xll.EQNXTDZ($A$1,$B16,AG$1,$B$1)</f>
        <v>146.52000000000001</v>
      </c>
      <c r="AH16">
        <f>_xll.EQNXTDZ($A$1,$B16,AH$1,$B$1)</f>
        <v>163.34</v>
      </c>
      <c r="AI16">
        <f>_xll.EQNXTDZ($A$1,$B16,AI$1,$B$1)</f>
        <v>120.2</v>
      </c>
      <c r="AJ16">
        <f>_xll.EQNXTDZ($A$1,$B16,AJ$1,$B$1)</f>
        <v>135.19999999999999</v>
      </c>
      <c r="AK16">
        <f>_xll.EQNXTDZ($A$1,$B16,AK$1,$B$1)</f>
        <v>149.27000000000001</v>
      </c>
      <c r="AL16">
        <f>_xll.EQNXTDZ($A$1,$B16,AL$1,$B$1)</f>
        <v>153.77000000000001</v>
      </c>
      <c r="AM16">
        <f>_xll.EQNXTDZ($A$1,$B16,AM$1,$B$1)</f>
        <v>139.08000000000001</v>
      </c>
      <c r="AN16">
        <f>_xll.EQNXTDZ($A$1,$B16,AN$1,$B$1)</f>
        <v>144.05000000000001</v>
      </c>
      <c r="AO16">
        <f>_xll.EQNXTDZ($A$1,$B16,AO$1,$B$1)</f>
        <v>151.34</v>
      </c>
      <c r="AP16">
        <f>_xll.EQNXTDZ($A$1,$B16,AP$1,$B$1)</f>
        <v>176.08</v>
      </c>
      <c r="AQ16">
        <f>_xll.EQNXTDZ($A$1,$B16,AQ$1,$B$1)</f>
        <v>149.4</v>
      </c>
      <c r="AR16">
        <f>_xll.EQNXTDZ($A$1,$B16,AR$1,$B$1)</f>
        <v>156.09</v>
      </c>
      <c r="AS16">
        <f>_xll.EQNXTDZ($A$1,$B16,AS$1,$B$1)</f>
        <v>158.52000000000001</v>
      </c>
      <c r="AT16">
        <f>_xll.EQNXTDZ($A$1,$B16,AT$1,$B$1)</f>
        <v>187.83</v>
      </c>
      <c r="AU16">
        <f>_xll.EQNXTDZ($A$1,$B16,AU$1,$B$1)</f>
        <v>168.1</v>
      </c>
      <c r="AV16">
        <f>_xll.EQNXTDZ($A$1,$B16,AV$1,$B$1)</f>
        <v>177.96</v>
      </c>
      <c r="AW16">
        <f>_xll.EQNXTDZ($A$1,$B16,AW$1,$B$1)</f>
        <v>181.26</v>
      </c>
      <c r="AX16">
        <f>_xll.EQNXTDZ($A$1,$B16,AX$1,$B$1)</f>
        <v>221.13</v>
      </c>
      <c r="AY16">
        <f>_xll.EQNXTDZ($A$1,$B16,AY$1,$B$1)</f>
        <v>203.01</v>
      </c>
      <c r="AZ16">
        <f>_xll.EQNXTDZ($A$1,$B16,AZ$1,$B$1)</f>
        <v>203.08</v>
      </c>
      <c r="BA16">
        <f>_xll.EQNXTDZ($A$1,$B16,BA$1,$B$1)</f>
        <v>194.71</v>
      </c>
      <c r="BB16">
        <f>_xll.EQNXTDZ($A$1,$B16,BB$1,$B$1)</f>
        <v>238.35</v>
      </c>
      <c r="BC16">
        <f>_xll.EQNXTDZ($A$1,$B16,BC$1,$B$1)</f>
        <v>216</v>
      </c>
      <c r="BD16">
        <f>_xll.EQNXTDZ($A$1,$B16,BD$1,$B$1)</f>
        <v>222.25</v>
      </c>
      <c r="BE16">
        <f>_xll.EQNXTDZ($A$1,$B16,BE$1,$B$1)</f>
        <v>291.37</v>
      </c>
      <c r="BF16">
        <f>_xll.EQNXTDZ($A$1,$B16,BF$1,$B$1)</f>
        <v>252.86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105.99</v>
      </c>
      <c r="D22">
        <f>_xll.EQNXTDZ($A$1,$B22,D$1,$B$1)</f>
        <v>66.389999999999802</v>
      </c>
      <c r="E22">
        <f>_xll.EQNXTDZ($A$1,$B22,E$1,$B$1)</f>
        <v>66.589999999999804</v>
      </c>
      <c r="F22">
        <f>_xll.EQNXTDZ($A$1,$B22,F$1,$B$1)</f>
        <v>107.16</v>
      </c>
      <c r="G22">
        <f>_xll.EQNXTDZ($A$1,$B22,G$1,$B$1)</f>
        <v>107.88</v>
      </c>
      <c r="H22">
        <f>_xll.EQNXTDZ($A$1,$B22,H$1,$B$1)</f>
        <v>105.42</v>
      </c>
      <c r="I22">
        <f>_xll.EQNXTDZ($A$1,$B22,I$1,$B$1)</f>
        <v>149.46</v>
      </c>
      <c r="J22">
        <f>_xll.EQNXTDZ($A$1,$B22,J$1,$B$1)</f>
        <v>125.72</v>
      </c>
      <c r="K22">
        <f>_xll.EQNXTDZ($A$1,$B22,K$1,$B$1)</f>
        <v>125.81</v>
      </c>
      <c r="L22">
        <f>_xll.EQNXTDZ($A$1,$B22,L$1,$B$1)</f>
        <v>124.13</v>
      </c>
      <c r="M22">
        <f>_xll.EQNXTDZ($A$1,$B22,M$1,$B$1)</f>
        <v>180.03</v>
      </c>
      <c r="N22">
        <f>_xll.EQNXTDZ($A$1,$B22,N$1,$B$1)</f>
        <v>143.6</v>
      </c>
      <c r="O22">
        <f>_xll.EQNXTDZ($A$1,$B22,O$1,$B$1)</f>
        <v>150.01</v>
      </c>
      <c r="P22">
        <f>_xll.EQNXTDZ($A$1,$B22,P$1,$B$1)</f>
        <v>155.74</v>
      </c>
      <c r="Q22">
        <f>_xll.EQNXTDZ($A$1,$B22,Q$1,$B$1)</f>
        <v>263.14999999999998</v>
      </c>
      <c r="R22">
        <f>_xll.EQNXTDZ($A$1,$B22,R$1,$B$1)</f>
        <v>172.89</v>
      </c>
      <c r="S22">
        <f>_xll.EQNXTDZ($A$1,$B22,S$1,$B$1)</f>
        <v>113.57</v>
      </c>
      <c r="T22">
        <f>_xll.EQNXTDZ($A$1,$B22,T$1,$B$1)</f>
        <v>118.25</v>
      </c>
      <c r="U22">
        <f>_xll.EQNXTDZ($A$1,$B22,U$1,$B$1)</f>
        <v>289.81</v>
      </c>
      <c r="V22">
        <f>_xll.EQNXTDZ($A$1,$B22,V$1,$B$1)</f>
        <v>160.88999999999999</v>
      </c>
      <c r="W22">
        <f>_xll.EQNXTDZ($A$1,$B22,W$1,$B$1)</f>
        <v>147.32</v>
      </c>
      <c r="X22">
        <f>_xll.EQNXTDZ($A$1,$B22,X$1,$B$1)</f>
        <v>134.15</v>
      </c>
      <c r="Y22">
        <f>_xll.EQNXTDZ($A$1,$B22,Y$1,$B$1)</f>
        <v>145.59</v>
      </c>
      <c r="Z22">
        <f>_xll.EQNXTDZ($A$1,$B22,Z$1,$B$1)</f>
        <v>89.480000000000103</v>
      </c>
      <c r="AA22">
        <f>_xll.EQNXTDZ($A$1,$B22,AA$1,$B$1)</f>
        <v>89.370000000000104</v>
      </c>
      <c r="AB22">
        <f>_xll.EQNXTDZ($A$1,$B22,AB$1,$B$1)</f>
        <v>64.730000000000103</v>
      </c>
      <c r="AC22">
        <f>_xll.EQNXTDZ($A$1,$B22,AC$1,$B$1)</f>
        <v>215.43</v>
      </c>
      <c r="AD22">
        <f>_xll.EQNXTDZ($A$1,$B22,AD$1,$B$1)</f>
        <v>145.52000000000001</v>
      </c>
      <c r="AE22">
        <f>_xll.EQNXTDZ($A$1,$B22,AE$1,$B$1)</f>
        <v>123.87</v>
      </c>
      <c r="AF22">
        <f>_xll.EQNXTDZ($A$1,$B22,AF$1,$B$1)</f>
        <v>123.36</v>
      </c>
      <c r="AG22">
        <f>_xll.EQNXTDZ($A$1,$B22,AG$1,$B$1)</f>
        <v>138.4</v>
      </c>
      <c r="AH22">
        <f>_xll.EQNXTDZ($A$1,$B22,AH$1,$B$1)</f>
        <v>14.5</v>
      </c>
      <c r="AI22">
        <f>_xll.EQNXTDZ($A$1,$B22,AI$1,$B$1)</f>
        <v>23.44</v>
      </c>
      <c r="AJ22">
        <f>_xll.EQNXTDZ($A$1,$B22,AJ$1,$B$1)</f>
        <v>121.4</v>
      </c>
      <c r="AK22">
        <f>_xll.EQNXTDZ($A$1,$B22,AK$1,$B$1)</f>
        <v>85.309999999999704</v>
      </c>
      <c r="AL22">
        <f>_xll.EQNXTDZ($A$1,$B22,AL$1,$B$1)</f>
        <v>103.54</v>
      </c>
      <c r="AM22">
        <f>_xll.EQNXTDZ($A$1,$B22,AM$1,$B$1)</f>
        <v>94.750000000000199</v>
      </c>
      <c r="AN22">
        <f>_xll.EQNXTDZ($A$1,$B22,AN$1,$B$1)</f>
        <v>181.31</v>
      </c>
      <c r="AO22">
        <f>_xll.EQNXTDZ($A$1,$B22,AO$1,$B$1)</f>
        <v>185.2</v>
      </c>
      <c r="AP22">
        <f>_xll.EQNXTDZ($A$1,$B22,AP$1,$B$1)</f>
        <v>187.73</v>
      </c>
      <c r="AQ22">
        <f>_xll.EQNXTDZ($A$1,$B22,AQ$1,$B$1)</f>
        <v>206.5</v>
      </c>
      <c r="AR22">
        <f>_xll.EQNXTDZ($A$1,$B22,AR$1,$B$1)</f>
        <v>210.95</v>
      </c>
      <c r="AS22">
        <f>_xll.EQNXTDZ($A$1,$B22,AS$1,$B$1)</f>
        <v>364.28</v>
      </c>
      <c r="AT22">
        <f>_xll.EQNXTDZ($A$1,$B22,AT$1,$B$1)</f>
        <v>285.31</v>
      </c>
      <c r="AU22">
        <f>_xll.EQNXTDZ($A$1,$B22,AU$1,$B$1)</f>
        <v>348.72</v>
      </c>
      <c r="AV22">
        <f>_xll.EQNXTDZ($A$1,$B22,AV$1,$B$1)</f>
        <v>438.53</v>
      </c>
      <c r="AW22">
        <f>_xll.EQNXTDZ($A$1,$B22,AW$1,$B$1)</f>
        <v>417.22</v>
      </c>
      <c r="AX22">
        <f>_xll.EQNXTDZ($A$1,$B22,AX$1,$B$1)</f>
        <v>565.17999999999995</v>
      </c>
      <c r="AY22">
        <f>_xll.EQNXTDZ($A$1,$B22,AY$1,$B$1)</f>
        <v>542.49</v>
      </c>
      <c r="AZ22">
        <f>_xll.EQNXTDZ($A$1,$B22,AZ$1,$B$1)</f>
        <v>540.22</v>
      </c>
      <c r="BA22">
        <f>_xll.EQNXTDZ($A$1,$B22,BA$1,$B$1)</f>
        <v>657.34000000000106</v>
      </c>
      <c r="BB22">
        <f>_xll.EQNXTDZ($A$1,$B22,BB$1,$B$1)</f>
        <v>559.6</v>
      </c>
      <c r="BC22">
        <f>_xll.EQNXTDZ($A$1,$B22,BC$1,$B$1)</f>
        <v>414.090000000001</v>
      </c>
      <c r="BD22">
        <f>_xll.EQNXTDZ($A$1,$B22,BD$1,$B$1)</f>
        <v>500.39</v>
      </c>
      <c r="BE22">
        <f>_xll.EQNXTDZ($A$1,$B22,BE$1,$B$1)</f>
        <v>546.25</v>
      </c>
      <c r="BF22">
        <f>_xll.EQNXTDZ($A$1,$B22,BF$1,$B$1)</f>
        <v>408.4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1.42</v>
      </c>
      <c r="D23">
        <f>_xll.EQNXTDZ($A$1,$B23,D$1,$B$1)</f>
        <v>0.95</v>
      </c>
      <c r="E23">
        <f>_xll.EQNXTDZ($A$1,$B23,E$1,$B$1)</f>
        <v>2.82</v>
      </c>
      <c r="F23">
        <f>_xll.EQNXTDZ($A$1,$B23,F$1,$B$1)</f>
        <v>1.54</v>
      </c>
      <c r="G23">
        <f>_xll.EQNXTDZ($A$1,$B23,G$1,$B$1)</f>
        <v>3.84</v>
      </c>
      <c r="H23">
        <f>_xll.EQNXTDZ($A$1,$B23,H$1,$B$1)</f>
        <v>0.92</v>
      </c>
      <c r="I23">
        <f>_xll.EQNXTDZ($A$1,$B23,I$1,$B$1)</f>
        <v>0.69</v>
      </c>
      <c r="J23">
        <f>_xll.EQNXTDZ($A$1,$B23,J$1,$B$1)</f>
        <v>1.1299999999999999</v>
      </c>
      <c r="K23">
        <f>_xll.EQNXTDZ($A$1,$B23,K$1,$B$1)</f>
        <v>0.41</v>
      </c>
      <c r="L23">
        <f>_xll.EQNXTDZ($A$1,$B23,L$1,$B$1)</f>
        <v>1.05</v>
      </c>
      <c r="M23">
        <f>_xll.EQNXTDZ($A$1,$B23,M$1,$B$1)</f>
        <v>14.69</v>
      </c>
      <c r="N23">
        <f>_xll.EQNXTDZ($A$1,$B23,N$1,$B$1)</f>
        <v>0.72</v>
      </c>
      <c r="O23">
        <f>_xll.EQNXTDZ($A$1,$B23,O$1,$B$1)</f>
        <v>1.02</v>
      </c>
      <c r="P23">
        <f>_xll.EQNXTDZ($A$1,$B23,P$1,$B$1)</f>
        <v>0.52</v>
      </c>
      <c r="Q23">
        <f>_xll.EQNXTDZ($A$1,$B23,Q$1,$B$1)</f>
        <v>10.78</v>
      </c>
      <c r="R23">
        <f>_xll.EQNXTDZ($A$1,$B23,R$1,$B$1)</f>
        <v>14.92</v>
      </c>
      <c r="S23">
        <f>_xll.EQNXTDZ($A$1,$B23,S$1,$B$1)</f>
        <v>29.9</v>
      </c>
      <c r="T23">
        <f>_xll.EQNXTDZ($A$1,$B23,T$1,$B$1)</f>
        <v>51.36</v>
      </c>
      <c r="U23">
        <f>_xll.EQNXTDZ($A$1,$B23,U$1,$B$1)</f>
        <v>25.39</v>
      </c>
      <c r="V23">
        <f>_xll.EQNXTDZ($A$1,$B23,V$1,$B$1)</f>
        <v>31.84</v>
      </c>
      <c r="W23">
        <f>_xll.EQNXTDZ($A$1,$B23,W$1,$B$1)</f>
        <v>32.58</v>
      </c>
      <c r="X23">
        <f>_xll.EQNXTDZ($A$1,$B23,X$1,$B$1)</f>
        <v>37.75</v>
      </c>
      <c r="Y23">
        <f>_xll.EQNXTDZ($A$1,$B23,Y$1,$B$1)</f>
        <v>16.73</v>
      </c>
      <c r="Z23">
        <f>_xll.EQNXTDZ($A$1,$B23,Z$1,$B$1)</f>
        <v>22.81</v>
      </c>
      <c r="AA23">
        <f>_xll.EQNXTDZ($A$1,$B23,AA$1,$B$1)</f>
        <v>18.329999999999998</v>
      </c>
      <c r="AB23">
        <f>_xll.EQNXTDZ($A$1,$B23,AB$1,$B$1)</f>
        <v>26.89</v>
      </c>
      <c r="AC23">
        <f>_xll.EQNXTDZ($A$1,$B23,AC$1,$B$1)</f>
        <v>15.98</v>
      </c>
      <c r="AD23">
        <f>_xll.EQNXTDZ($A$1,$B23,AD$1,$B$1)</f>
        <v>19.12</v>
      </c>
      <c r="AE23">
        <f>_xll.EQNXTDZ($A$1,$B23,AE$1,$B$1)</f>
        <v>20.37</v>
      </c>
      <c r="AF23">
        <f>_xll.EQNXTDZ($A$1,$B23,AF$1,$B$1)</f>
        <v>16.41</v>
      </c>
      <c r="AG23">
        <f>_xll.EQNXTDZ($A$1,$B23,AG$1,$B$1)</f>
        <v>38.409999999999997</v>
      </c>
      <c r="AH23">
        <f>_xll.EQNXTDZ($A$1,$B23,AH$1,$B$1)</f>
        <v>45.78</v>
      </c>
      <c r="AI23">
        <f>_xll.EQNXTDZ($A$1,$B23,AI$1,$B$1)</f>
        <v>26.62</v>
      </c>
      <c r="AJ23">
        <f>_xll.EQNXTDZ($A$1,$B23,AJ$1,$B$1)</f>
        <v>20.100000000000001</v>
      </c>
      <c r="AK23">
        <f>_xll.EQNXTDZ($A$1,$B23,AK$1,$B$1)</f>
        <v>31.66</v>
      </c>
      <c r="AL23">
        <f>_xll.EQNXTDZ($A$1,$B23,AL$1,$B$1)</f>
        <v>53.97</v>
      </c>
      <c r="AM23">
        <f>_xll.EQNXTDZ($A$1,$B23,AM$1,$B$1)</f>
        <v>25.21</v>
      </c>
      <c r="AN23">
        <f>_xll.EQNXTDZ($A$1,$B23,AN$1,$B$1)</f>
        <v>14.87</v>
      </c>
      <c r="AO23">
        <f>_xll.EQNXTDZ($A$1,$B23,AO$1,$B$1)</f>
        <v>59.92</v>
      </c>
      <c r="AP23">
        <f>_xll.EQNXTDZ($A$1,$B23,AP$1,$B$1)</f>
        <v>37.6</v>
      </c>
      <c r="AQ23">
        <f>_xll.EQNXTDZ($A$1,$B23,AQ$1,$B$1)</f>
        <v>25.3</v>
      </c>
      <c r="AR23">
        <f>_xll.EQNXTDZ($A$1,$B23,AR$1,$B$1)</f>
        <v>46.88</v>
      </c>
      <c r="AS23">
        <f>_xll.EQNXTDZ($A$1,$B23,AS$1,$B$1)</f>
        <v>70.010000000000005</v>
      </c>
      <c r="AT23">
        <f>_xll.EQNXTDZ($A$1,$B23,AT$1,$B$1)</f>
        <v>72.25</v>
      </c>
      <c r="AU23">
        <f>_xll.EQNXTDZ($A$1,$B23,AU$1,$B$1)</f>
        <v>75.03</v>
      </c>
      <c r="AV23">
        <f>_xll.EQNXTDZ($A$1,$B23,AV$1,$B$1)</f>
        <v>76.819999999999993</v>
      </c>
      <c r="AW23">
        <f>_xll.EQNXTDZ($A$1,$B23,AW$1,$B$1)</f>
        <v>77.59</v>
      </c>
      <c r="AX23">
        <f>_xll.EQNXTDZ($A$1,$B23,AX$1,$B$1)</f>
        <v>87.14</v>
      </c>
      <c r="AY23">
        <f>_xll.EQNXTDZ($A$1,$B23,AY$1,$B$1)</f>
        <v>86.75</v>
      </c>
      <c r="AZ23">
        <f>_xll.EQNXTDZ($A$1,$B23,AZ$1,$B$1)</f>
        <v>92.89</v>
      </c>
      <c r="BA23">
        <f>_xll.EQNXTDZ($A$1,$B23,BA$1,$B$1)</f>
        <v>86.62</v>
      </c>
      <c r="BB23">
        <f>_xll.EQNXTDZ($A$1,$B23,BB$1,$B$1)</f>
        <v>92.33</v>
      </c>
      <c r="BC23">
        <f>_xll.EQNXTDZ($A$1,$B23,BC$1,$B$1)</f>
        <v>99.75</v>
      </c>
      <c r="BD23">
        <f>_xll.EQNXTDZ($A$1,$B23,BD$1,$B$1)</f>
        <v>83.95</v>
      </c>
      <c r="BE23">
        <f>_xll.EQNXTDZ($A$1,$B23,BE$1,$B$1)</f>
        <v>76.33</v>
      </c>
      <c r="BF23">
        <f>_xll.EQNXTDZ($A$1,$B23,BF$1,$B$1)</f>
        <v>99.64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107.41</v>
      </c>
      <c r="D24">
        <f>_xll.EQNXTDZ($A$1,$B24,D$1,$B$1)</f>
        <v>67.34</v>
      </c>
      <c r="E24">
        <f>_xll.EQNXTDZ($A$1,$B24,E$1,$B$1)</f>
        <v>69.41</v>
      </c>
      <c r="F24">
        <f>_xll.EQNXTDZ($A$1,$B24,F$1,$B$1)</f>
        <v>108.7</v>
      </c>
      <c r="G24">
        <f>_xll.EQNXTDZ($A$1,$B24,G$1,$B$1)</f>
        <v>111.72</v>
      </c>
      <c r="H24">
        <f>_xll.EQNXTDZ($A$1,$B24,H$1,$B$1)</f>
        <v>106.34</v>
      </c>
      <c r="I24">
        <f>_xll.EQNXTDZ($A$1,$B24,I$1,$B$1)</f>
        <v>150.15</v>
      </c>
      <c r="J24">
        <f>_xll.EQNXTDZ($A$1,$B24,J$1,$B$1)</f>
        <v>126.85</v>
      </c>
      <c r="K24">
        <f>_xll.EQNXTDZ($A$1,$B24,K$1,$B$1)</f>
        <v>126.22</v>
      </c>
      <c r="L24">
        <f>_xll.EQNXTDZ($A$1,$B24,L$1,$B$1)</f>
        <v>125.18</v>
      </c>
      <c r="M24">
        <f>_xll.EQNXTDZ($A$1,$B24,M$1,$B$1)</f>
        <v>194.72</v>
      </c>
      <c r="N24">
        <f>_xll.EQNXTDZ($A$1,$B24,N$1,$B$1)</f>
        <v>144.32</v>
      </c>
      <c r="O24">
        <f>_xll.EQNXTDZ($A$1,$B24,O$1,$B$1)</f>
        <v>151.03</v>
      </c>
      <c r="P24">
        <f>_xll.EQNXTDZ($A$1,$B24,P$1,$B$1)</f>
        <v>156.26</v>
      </c>
      <c r="Q24">
        <f>_xll.EQNXTDZ($A$1,$B24,Q$1,$B$1)</f>
        <v>273.93</v>
      </c>
      <c r="R24">
        <f>_xll.EQNXTDZ($A$1,$B24,R$1,$B$1)</f>
        <v>187.81</v>
      </c>
      <c r="S24">
        <f>_xll.EQNXTDZ($A$1,$B24,S$1,$B$1)</f>
        <v>143.47</v>
      </c>
      <c r="T24">
        <f>_xll.EQNXTDZ($A$1,$B24,T$1,$B$1)</f>
        <v>169.61</v>
      </c>
      <c r="U24">
        <f>_xll.EQNXTDZ($A$1,$B24,U$1,$B$1)</f>
        <v>315.2</v>
      </c>
      <c r="V24">
        <f>_xll.EQNXTDZ($A$1,$B24,V$1,$B$1)</f>
        <v>192.73</v>
      </c>
      <c r="W24">
        <f>_xll.EQNXTDZ($A$1,$B24,W$1,$B$1)</f>
        <v>179.9</v>
      </c>
      <c r="X24">
        <f>_xll.EQNXTDZ($A$1,$B24,X$1,$B$1)</f>
        <v>171.9</v>
      </c>
      <c r="Y24">
        <f>_xll.EQNXTDZ($A$1,$B24,Y$1,$B$1)</f>
        <v>162.32</v>
      </c>
      <c r="Z24">
        <f>_xll.EQNXTDZ($A$1,$B24,Z$1,$B$1)</f>
        <v>112.29</v>
      </c>
      <c r="AA24">
        <f>_xll.EQNXTDZ($A$1,$B24,AA$1,$B$1)</f>
        <v>107.7</v>
      </c>
      <c r="AB24">
        <f>_xll.EQNXTDZ($A$1,$B24,AB$1,$B$1)</f>
        <v>91.620000000000104</v>
      </c>
      <c r="AC24">
        <f>_xll.EQNXTDZ($A$1,$B24,AC$1,$B$1)</f>
        <v>231.41</v>
      </c>
      <c r="AD24">
        <f>_xll.EQNXTDZ($A$1,$B24,AD$1,$B$1)</f>
        <v>164.64</v>
      </c>
      <c r="AE24">
        <f>_xll.EQNXTDZ($A$1,$B24,AE$1,$B$1)</f>
        <v>144.24</v>
      </c>
      <c r="AF24">
        <f>_xll.EQNXTDZ($A$1,$B24,AF$1,$B$1)</f>
        <v>139.77000000000001</v>
      </c>
      <c r="AG24">
        <f>_xll.EQNXTDZ($A$1,$B24,AG$1,$B$1)</f>
        <v>176.81</v>
      </c>
      <c r="AH24">
        <f>_xll.EQNXTDZ($A$1,$B24,AH$1,$B$1)</f>
        <v>60.280000000000101</v>
      </c>
      <c r="AI24">
        <f>_xll.EQNXTDZ($A$1,$B24,AI$1,$B$1)</f>
        <v>50.06</v>
      </c>
      <c r="AJ24">
        <f>_xll.EQNXTDZ($A$1,$B24,AJ$1,$B$1)</f>
        <v>141.5</v>
      </c>
      <c r="AK24">
        <f>_xll.EQNXTDZ($A$1,$B24,AK$1,$B$1)</f>
        <v>116.97</v>
      </c>
      <c r="AL24">
        <f>_xll.EQNXTDZ($A$1,$B24,AL$1,$B$1)</f>
        <v>157.51</v>
      </c>
      <c r="AM24">
        <f>_xll.EQNXTDZ($A$1,$B24,AM$1,$B$1)</f>
        <v>119.96</v>
      </c>
      <c r="AN24">
        <f>_xll.EQNXTDZ($A$1,$B24,AN$1,$B$1)</f>
        <v>196.18</v>
      </c>
      <c r="AO24">
        <f>_xll.EQNXTDZ($A$1,$B24,AO$1,$B$1)</f>
        <v>245.12</v>
      </c>
      <c r="AP24">
        <f>_xll.EQNXTDZ($A$1,$B24,AP$1,$B$1)</f>
        <v>225.33</v>
      </c>
      <c r="AQ24">
        <f>_xll.EQNXTDZ($A$1,$B24,AQ$1,$B$1)</f>
        <v>231.8</v>
      </c>
      <c r="AR24">
        <f>_xll.EQNXTDZ($A$1,$B24,AR$1,$B$1)</f>
        <v>257.83</v>
      </c>
      <c r="AS24">
        <f>_xll.EQNXTDZ($A$1,$B24,AS$1,$B$1)</f>
        <v>434.29</v>
      </c>
      <c r="AT24">
        <f>_xll.EQNXTDZ($A$1,$B24,AT$1,$B$1)</f>
        <v>357.56</v>
      </c>
      <c r="AU24">
        <f>_xll.EQNXTDZ($A$1,$B24,AU$1,$B$1)</f>
        <v>423.75</v>
      </c>
      <c r="AV24">
        <f>_xll.EQNXTDZ($A$1,$B24,AV$1,$B$1)</f>
        <v>515.35</v>
      </c>
      <c r="AW24">
        <f>_xll.EQNXTDZ($A$1,$B24,AW$1,$B$1)</f>
        <v>494.81</v>
      </c>
      <c r="AX24">
        <f>_xll.EQNXTDZ($A$1,$B24,AX$1,$B$1)</f>
        <v>652.32000000000005</v>
      </c>
      <c r="AY24">
        <f>_xll.EQNXTDZ($A$1,$B24,AY$1,$B$1)</f>
        <v>629.24</v>
      </c>
      <c r="AZ24">
        <f>_xll.EQNXTDZ($A$1,$B24,AZ$1,$B$1)</f>
        <v>633.11</v>
      </c>
      <c r="BA24">
        <f>_xll.EQNXTDZ($A$1,$B24,BA$1,$B$1)</f>
        <v>743.96</v>
      </c>
      <c r="BB24">
        <f>_xll.EQNXTDZ($A$1,$B24,BB$1,$B$1)</f>
        <v>651.92999999999995</v>
      </c>
      <c r="BC24">
        <f>_xll.EQNXTDZ($A$1,$B24,BC$1,$B$1)</f>
        <v>513.84000000000106</v>
      </c>
      <c r="BD24">
        <f>_xll.EQNXTDZ($A$1,$B24,BD$1,$B$1)</f>
        <v>584.34</v>
      </c>
      <c r="BE24">
        <f>_xll.EQNXTDZ($A$1,$B24,BE$1,$B$1)</f>
        <v>622.58000000000004</v>
      </c>
      <c r="BF24">
        <f>_xll.EQNXTDZ($A$1,$B24,BF$1,$B$1)</f>
        <v>508.04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7.65</v>
      </c>
      <c r="D25">
        <f>_xll.EQNXTDZ($A$1,$B25,D$1,$B$1)</f>
        <v>11.72</v>
      </c>
      <c r="E25">
        <f>_xll.EQNXTDZ($A$1,$B25,E$1,$B$1)</f>
        <v>18.47</v>
      </c>
      <c r="F25">
        <f>_xll.EQNXTDZ($A$1,$B25,F$1,$B$1)</f>
        <v>19.75</v>
      </c>
      <c r="G25">
        <f>_xll.EQNXTDZ($A$1,$B25,G$1,$B$1)</f>
        <v>25.6</v>
      </c>
      <c r="H25">
        <f>_xll.EQNXTDZ($A$1,$B25,H$1,$B$1)</f>
        <v>26.99</v>
      </c>
      <c r="I25">
        <f>_xll.EQNXTDZ($A$1,$B25,I$1,$B$1)</f>
        <v>28.79</v>
      </c>
      <c r="J25">
        <f>_xll.EQNXTDZ($A$1,$B25,J$1,$B$1)</f>
        <v>22.07</v>
      </c>
      <c r="K25">
        <f>_xll.EQNXTDZ($A$1,$B25,K$1,$B$1)</f>
        <v>25.36</v>
      </c>
      <c r="L25">
        <f>_xll.EQNXTDZ($A$1,$B25,L$1,$B$1)</f>
        <v>27.54</v>
      </c>
      <c r="M25">
        <f>_xll.EQNXTDZ($A$1,$B25,M$1,$B$1)</f>
        <v>29.98</v>
      </c>
      <c r="N25">
        <f>_xll.EQNXTDZ($A$1,$B25,N$1,$B$1)</f>
        <v>20.8</v>
      </c>
      <c r="O25">
        <f>_xll.EQNXTDZ($A$1,$B25,O$1,$B$1)</f>
        <v>24.63</v>
      </c>
      <c r="P25">
        <f>_xll.EQNXTDZ($A$1,$B25,P$1,$B$1)</f>
        <v>24.99</v>
      </c>
      <c r="Q25">
        <f>_xll.EQNXTDZ($A$1,$B25,Q$1,$B$1)</f>
        <v>20.74</v>
      </c>
      <c r="R25">
        <f>_xll.EQNXTDZ($A$1,$B25,R$1,$B$1)</f>
        <v>22.29</v>
      </c>
      <c r="S25">
        <f>_xll.EQNXTDZ($A$1,$B25,S$1,$B$1)</f>
        <v>19.71</v>
      </c>
      <c r="T25">
        <f>_xll.EQNXTDZ($A$1,$B25,T$1,$B$1)</f>
        <v>19.59</v>
      </c>
      <c r="U25">
        <f>_xll.EQNXTDZ($A$1,$B25,U$1,$B$1)</f>
        <v>30.29</v>
      </c>
      <c r="V25">
        <f>_xll.EQNXTDZ($A$1,$B25,V$1,$B$1)</f>
        <v>21.18</v>
      </c>
      <c r="W25">
        <f>_xll.EQNXTDZ($A$1,$B25,W$1,$B$1)</f>
        <v>23.06</v>
      </c>
      <c r="X25">
        <f>_xll.EQNXTDZ($A$1,$B25,X$1,$B$1)</f>
        <v>15.24</v>
      </c>
      <c r="Y25">
        <f>_xll.EQNXTDZ($A$1,$B25,Y$1,$B$1)</f>
        <v>13.56</v>
      </c>
      <c r="Z25">
        <f>_xll.EQNXTDZ($A$1,$B25,Z$1,$B$1)</f>
        <v>19.850000000000001</v>
      </c>
      <c r="AA25">
        <f>_xll.EQNXTDZ($A$1,$B25,AA$1,$B$1)</f>
        <v>15.04</v>
      </c>
      <c r="AB25">
        <f>_xll.EQNXTDZ($A$1,$B25,AB$1,$B$1)</f>
        <v>13.74</v>
      </c>
      <c r="AC25">
        <f>_xll.EQNXTDZ($A$1,$B25,AC$1,$B$1)</f>
        <v>5.27</v>
      </c>
      <c r="AD25">
        <f>_xll.EQNXTDZ($A$1,$B25,AD$1,$B$1)</f>
        <v>2.64</v>
      </c>
      <c r="AE25">
        <f>_xll.EQNXTDZ($A$1,$B25,AE$1,$B$1)</f>
        <v>9.57</v>
      </c>
      <c r="AF25">
        <f>_xll.EQNXTDZ($A$1,$B25,AF$1,$B$1)</f>
        <v>4.42</v>
      </c>
      <c r="AG25">
        <f>_xll.EQNXTDZ($A$1,$B25,AG$1,$B$1)</f>
        <v>4.7300000000000004</v>
      </c>
      <c r="AH25">
        <f>_xll.EQNXTDZ($A$1,$B25,AH$1,$B$1)</f>
        <v>3.39</v>
      </c>
      <c r="AI25">
        <f>_xll.EQNXTDZ($A$1,$B25,AI$1,$B$1)</f>
        <v>3.75</v>
      </c>
      <c r="AJ25">
        <f>_xll.EQNXTDZ($A$1,$B25,AJ$1,$B$1)</f>
        <v>2.8</v>
      </c>
      <c r="AK25">
        <f>_xll.EQNXTDZ($A$1,$B25,AK$1,$B$1)</f>
        <v>6.93</v>
      </c>
      <c r="AL25">
        <f>_xll.EQNXTDZ($A$1,$B25,AL$1,$B$1)</f>
        <v>3.18</v>
      </c>
      <c r="AM25">
        <f>_xll.EQNXTDZ($A$1,$B25,AM$1,$B$1)</f>
        <v>1.6</v>
      </c>
      <c r="AN25">
        <f>_xll.EQNXTDZ($A$1,$B25,AN$1,$B$1)</f>
        <v>2.0299999999999998</v>
      </c>
      <c r="AO25">
        <f>_xll.EQNXTDZ($A$1,$B25,AO$1,$B$1)</f>
        <v>3.89</v>
      </c>
      <c r="AP25">
        <f>_xll.EQNXTDZ($A$1,$B25,AP$1,$B$1)</f>
        <v>1.49</v>
      </c>
      <c r="AQ25">
        <f>_xll.EQNXTDZ($A$1,$B25,AQ$1,$B$1)</f>
        <v>2.84</v>
      </c>
      <c r="AR25">
        <f>_xll.EQNXTDZ($A$1,$B25,AR$1,$B$1)</f>
        <v>1.56</v>
      </c>
      <c r="AS25">
        <f>_xll.EQNXTDZ($A$1,$B25,AS$1,$B$1)</f>
        <v>7.24</v>
      </c>
      <c r="AT25">
        <f>_xll.EQNXTDZ($A$1,$B25,AT$1,$B$1)</f>
        <v>2.23</v>
      </c>
      <c r="AU25">
        <f>_xll.EQNXTDZ($A$1,$B25,AU$1,$B$1)</f>
        <v>1.39</v>
      </c>
      <c r="AV25">
        <f>_xll.EQNXTDZ($A$1,$B25,AV$1,$B$1)</f>
        <v>0.88</v>
      </c>
      <c r="AW25">
        <f>_xll.EQNXTDZ($A$1,$B25,AW$1,$B$1)</f>
        <v>8.16</v>
      </c>
      <c r="AX25">
        <f>_xll.EQNXTDZ($A$1,$B25,AX$1,$B$1)</f>
        <v>3.81</v>
      </c>
      <c r="AY25">
        <f>_xll.EQNXTDZ($A$1,$B25,AY$1,$B$1)</f>
        <v>4.51</v>
      </c>
      <c r="AZ25">
        <f>_xll.EQNXTDZ($A$1,$B25,AZ$1,$B$1)</f>
        <v>3</v>
      </c>
      <c r="BA25">
        <f>_xll.EQNXTDZ($A$1,$B25,BA$1,$B$1)</f>
        <v>5.13</v>
      </c>
      <c r="BB25">
        <f>_xll.EQNXTDZ($A$1,$B25,BB$1,$B$1)</f>
        <v>4.6900000000000004</v>
      </c>
      <c r="BC25">
        <f>_xll.EQNXTDZ($A$1,$B25,BC$1,$B$1)</f>
        <v>4.1900000000000004</v>
      </c>
      <c r="BD25">
        <f>_xll.EQNXTDZ($A$1,$B25,BD$1,$B$1)</f>
        <v>5.64</v>
      </c>
      <c r="BE25">
        <f>_xll.EQNXTDZ($A$1,$B25,BE$1,$B$1)</f>
        <v>5.35</v>
      </c>
      <c r="BF25">
        <f>_xll.EQNXTDZ($A$1,$B25,BF$1,$B$1)</f>
        <v>3.81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-69.7</v>
      </c>
      <c r="AH26">
        <f>_xll.EQNXTDZ($A$1,$B26,AH$1,$B$1)</f>
        <v>56.79</v>
      </c>
      <c r="AI26">
        <f>_xll.EQNXTDZ($A$1,$B26,AI$1,$B$1)</f>
        <v>2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74.53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46.81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45.91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99.76</v>
      </c>
      <c r="D27">
        <f>_xll.EQNXTDZ($A$1,$B27,D$1,$B$1)</f>
        <v>55.62</v>
      </c>
      <c r="E27">
        <f>_xll.EQNXTDZ($A$1,$B27,E$1,$B$1)</f>
        <v>50.94</v>
      </c>
      <c r="F27">
        <f>_xll.EQNXTDZ($A$1,$B27,F$1,$B$1)</f>
        <v>88.95</v>
      </c>
      <c r="G27">
        <f>_xll.EQNXTDZ($A$1,$B27,G$1,$B$1)</f>
        <v>86.12</v>
      </c>
      <c r="H27">
        <f>_xll.EQNXTDZ($A$1,$B27,H$1,$B$1)</f>
        <v>79.349999999999994</v>
      </c>
      <c r="I27">
        <f>_xll.EQNXTDZ($A$1,$B27,I$1,$B$1)</f>
        <v>121.36</v>
      </c>
      <c r="J27">
        <f>_xll.EQNXTDZ($A$1,$B27,J$1,$B$1)</f>
        <v>104.78</v>
      </c>
      <c r="K27">
        <f>_xll.EQNXTDZ($A$1,$B27,K$1,$B$1)</f>
        <v>100.86</v>
      </c>
      <c r="L27">
        <f>_xll.EQNXTDZ($A$1,$B27,L$1,$B$1)</f>
        <v>97.64</v>
      </c>
      <c r="M27">
        <f>_xll.EQNXTDZ($A$1,$B27,M$1,$B$1)</f>
        <v>164.74</v>
      </c>
      <c r="N27">
        <f>_xll.EQNXTDZ($A$1,$B27,N$1,$B$1)</f>
        <v>123.52</v>
      </c>
      <c r="O27">
        <f>_xll.EQNXTDZ($A$1,$B27,O$1,$B$1)</f>
        <v>126.4</v>
      </c>
      <c r="P27">
        <f>_xll.EQNXTDZ($A$1,$B27,P$1,$B$1)</f>
        <v>131.27000000000001</v>
      </c>
      <c r="Q27">
        <f>_xll.EQNXTDZ($A$1,$B27,Q$1,$B$1)</f>
        <v>253.19</v>
      </c>
      <c r="R27">
        <f>_xll.EQNXTDZ($A$1,$B27,R$1,$B$1)</f>
        <v>165.52</v>
      </c>
      <c r="S27">
        <f>_xll.EQNXTDZ($A$1,$B27,S$1,$B$1)</f>
        <v>123.76</v>
      </c>
      <c r="T27">
        <f>_xll.EQNXTDZ($A$1,$B27,T$1,$B$1)</f>
        <v>150.02000000000001</v>
      </c>
      <c r="U27">
        <f>_xll.EQNXTDZ($A$1,$B27,U$1,$B$1)</f>
        <v>284.91000000000003</v>
      </c>
      <c r="V27">
        <f>_xll.EQNXTDZ($A$1,$B27,V$1,$B$1)</f>
        <v>171.55</v>
      </c>
      <c r="W27">
        <f>_xll.EQNXTDZ($A$1,$B27,W$1,$B$1)</f>
        <v>156.84</v>
      </c>
      <c r="X27">
        <f>_xll.EQNXTDZ($A$1,$B27,X$1,$B$1)</f>
        <v>156.66</v>
      </c>
      <c r="Y27">
        <f>_xll.EQNXTDZ($A$1,$B27,Y$1,$B$1)</f>
        <v>148.76</v>
      </c>
      <c r="Z27">
        <f>_xll.EQNXTDZ($A$1,$B27,Z$1,$B$1)</f>
        <v>92.44</v>
      </c>
      <c r="AA27">
        <f>_xll.EQNXTDZ($A$1,$B27,AA$1,$B$1)</f>
        <v>92.66</v>
      </c>
      <c r="AB27">
        <f>_xll.EQNXTDZ($A$1,$B27,AB$1,$B$1)</f>
        <v>77.880000000000095</v>
      </c>
      <c r="AC27">
        <f>_xll.EQNXTDZ($A$1,$B27,AC$1,$B$1)</f>
        <v>226.14</v>
      </c>
      <c r="AD27">
        <f>_xll.EQNXTDZ($A$1,$B27,AD$1,$B$1)</f>
        <v>162</v>
      </c>
      <c r="AE27">
        <f>_xll.EQNXTDZ($A$1,$B27,AE$1,$B$1)</f>
        <v>134.66999999999999</v>
      </c>
      <c r="AF27">
        <f>_xll.EQNXTDZ($A$1,$B27,AF$1,$B$1)</f>
        <v>135.35</v>
      </c>
      <c r="AG27">
        <f>_xll.EQNXTDZ($A$1,$B27,AG$1,$B$1)</f>
        <v>102.38</v>
      </c>
      <c r="AH27">
        <f>_xll.EQNXTDZ($A$1,$B27,AH$1,$B$1)</f>
        <v>113.68</v>
      </c>
      <c r="AI27">
        <f>_xll.EQNXTDZ($A$1,$B27,AI$1,$B$1)</f>
        <v>48.31</v>
      </c>
      <c r="AJ27">
        <f>_xll.EQNXTDZ($A$1,$B27,AJ$1,$B$1)</f>
        <v>138.69999999999999</v>
      </c>
      <c r="AK27">
        <f>_xll.EQNXTDZ($A$1,$B27,AK$1,$B$1)</f>
        <v>110.04</v>
      </c>
      <c r="AL27">
        <f>_xll.EQNXTDZ($A$1,$B27,AL$1,$B$1)</f>
        <v>228.86</v>
      </c>
      <c r="AM27">
        <f>_xll.EQNXTDZ($A$1,$B27,AM$1,$B$1)</f>
        <v>118.36</v>
      </c>
      <c r="AN27">
        <f>_xll.EQNXTDZ($A$1,$B27,AN$1,$B$1)</f>
        <v>194.15</v>
      </c>
      <c r="AO27">
        <f>_xll.EQNXTDZ($A$1,$B27,AO$1,$B$1)</f>
        <v>288.04000000000002</v>
      </c>
      <c r="AP27">
        <f>_xll.EQNXTDZ($A$1,$B27,AP$1,$B$1)</f>
        <v>223.84</v>
      </c>
      <c r="AQ27">
        <f>_xll.EQNXTDZ($A$1,$B27,AQ$1,$B$1)</f>
        <v>228.96</v>
      </c>
      <c r="AR27">
        <f>_xll.EQNXTDZ($A$1,$B27,AR$1,$B$1)</f>
        <v>302.18</v>
      </c>
      <c r="AS27">
        <f>_xll.EQNXTDZ($A$1,$B27,AS$1,$B$1)</f>
        <v>427.05</v>
      </c>
      <c r="AT27">
        <f>_xll.EQNXTDZ($A$1,$B27,AT$1,$B$1)</f>
        <v>355.33</v>
      </c>
      <c r="AU27">
        <f>_xll.EQNXTDZ($A$1,$B27,AU$1,$B$1)</f>
        <v>422.36</v>
      </c>
      <c r="AV27">
        <f>_xll.EQNXTDZ($A$1,$B27,AV$1,$B$1)</f>
        <v>514.47</v>
      </c>
      <c r="AW27">
        <f>_xll.EQNXTDZ($A$1,$B27,AW$1,$B$1)</f>
        <v>486.65</v>
      </c>
      <c r="AX27">
        <f>_xll.EQNXTDZ($A$1,$B27,AX$1,$B$1)</f>
        <v>648.51</v>
      </c>
      <c r="AY27">
        <f>_xll.EQNXTDZ($A$1,$B27,AY$1,$B$1)</f>
        <v>624.73</v>
      </c>
      <c r="AZ27">
        <f>_xll.EQNXTDZ($A$1,$B27,AZ$1,$B$1)</f>
        <v>630.11</v>
      </c>
      <c r="BA27">
        <f>_xll.EQNXTDZ($A$1,$B27,BA$1,$B$1)</f>
        <v>738.83</v>
      </c>
      <c r="BB27">
        <f>_xll.EQNXTDZ($A$1,$B27,BB$1,$B$1)</f>
        <v>647.24</v>
      </c>
      <c r="BC27">
        <f>_xll.EQNXTDZ($A$1,$B27,BC$1,$B$1)</f>
        <v>509.650000000001</v>
      </c>
      <c r="BD27">
        <f>_xll.EQNXTDZ($A$1,$B27,BD$1,$B$1)</f>
        <v>578.70000000000005</v>
      </c>
      <c r="BE27">
        <f>_xll.EQNXTDZ($A$1,$B27,BE$1,$B$1)</f>
        <v>617.23</v>
      </c>
      <c r="BF27">
        <f>_xll.EQNXTDZ($A$1,$B27,BF$1,$B$1)</f>
        <v>504.23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23.13</v>
      </c>
      <c r="D28">
        <f>_xll.EQNXTDZ($A$1,$B28,D$1,$B$1)</f>
        <v>24.03</v>
      </c>
      <c r="E28">
        <f>_xll.EQNXTDZ($A$1,$B28,E$1,$B$1)</f>
        <v>24.59</v>
      </c>
      <c r="F28">
        <f>_xll.EQNXTDZ($A$1,$B28,F$1,$B$1)</f>
        <v>24.63</v>
      </c>
      <c r="G28">
        <f>_xll.EQNXTDZ($A$1,$B28,G$1,$B$1)</f>
        <v>25.95</v>
      </c>
      <c r="H28">
        <f>_xll.EQNXTDZ($A$1,$B28,H$1,$B$1)</f>
        <v>25.73</v>
      </c>
      <c r="I28">
        <f>_xll.EQNXTDZ($A$1,$B28,I$1,$B$1)</f>
        <v>27</v>
      </c>
      <c r="J28">
        <f>_xll.EQNXTDZ($A$1,$B28,J$1,$B$1)</f>
        <v>27.41</v>
      </c>
      <c r="K28">
        <f>_xll.EQNXTDZ($A$1,$B28,K$1,$B$1)</f>
        <v>27.86</v>
      </c>
      <c r="L28">
        <f>_xll.EQNXTDZ($A$1,$B28,L$1,$B$1)</f>
        <v>28.34</v>
      </c>
      <c r="M28">
        <f>_xll.EQNXTDZ($A$1,$B28,M$1,$B$1)</f>
        <v>29.2</v>
      </c>
      <c r="N28">
        <f>_xll.EQNXTDZ($A$1,$B28,N$1,$B$1)</f>
        <v>42.23</v>
      </c>
      <c r="O28">
        <f>_xll.EQNXTDZ($A$1,$B28,O$1,$B$1)</f>
        <v>37.47</v>
      </c>
      <c r="P28">
        <f>_xll.EQNXTDZ($A$1,$B28,P$1,$B$1)</f>
        <v>35.9</v>
      </c>
      <c r="Q28">
        <f>_xll.EQNXTDZ($A$1,$B28,Q$1,$B$1)</f>
        <v>44.19</v>
      </c>
      <c r="R28">
        <f>_xll.EQNXTDZ($A$1,$B28,R$1,$B$1)</f>
        <v>35.869999999999997</v>
      </c>
      <c r="S28">
        <f>_xll.EQNXTDZ($A$1,$B28,S$1,$B$1)</f>
        <v>35.68</v>
      </c>
      <c r="T28">
        <f>_xll.EQNXTDZ($A$1,$B28,T$1,$B$1)</f>
        <v>40.54</v>
      </c>
      <c r="U28">
        <f>_xll.EQNXTDZ($A$1,$B28,U$1,$B$1)</f>
        <v>38.85</v>
      </c>
      <c r="V28">
        <f>_xll.EQNXTDZ($A$1,$B28,V$1,$B$1)</f>
        <v>37.61</v>
      </c>
      <c r="W28">
        <f>_xll.EQNXTDZ($A$1,$B28,W$1,$B$1)</f>
        <v>38.32</v>
      </c>
      <c r="X28">
        <f>_xll.EQNXTDZ($A$1,$B28,X$1,$B$1)</f>
        <v>38.85</v>
      </c>
      <c r="Y28">
        <f>_xll.EQNXTDZ($A$1,$B28,Y$1,$B$1)</f>
        <v>27.7</v>
      </c>
      <c r="Z28">
        <f>_xll.EQNXTDZ($A$1,$B28,Z$1,$B$1)</f>
        <v>22.54</v>
      </c>
      <c r="AA28">
        <f>_xll.EQNXTDZ($A$1,$B28,AA$1,$B$1)</f>
        <v>22.75</v>
      </c>
      <c r="AB28">
        <f>_xll.EQNXTDZ($A$1,$B28,AB$1,$B$1)</f>
        <v>23.59</v>
      </c>
      <c r="AC28">
        <f>_xll.EQNXTDZ($A$1,$B28,AC$1,$B$1)</f>
        <v>23.88</v>
      </c>
      <c r="AD28">
        <f>_xll.EQNXTDZ($A$1,$B28,AD$1,$B$1)</f>
        <v>23.31</v>
      </c>
      <c r="AE28">
        <f>_xll.EQNXTDZ($A$1,$B28,AE$1,$B$1)</f>
        <v>22.01</v>
      </c>
      <c r="AF28">
        <f>_xll.EQNXTDZ($A$1,$B28,AF$1,$B$1)</f>
        <v>22.66</v>
      </c>
      <c r="AG28">
        <f>_xll.EQNXTDZ($A$1,$B28,AG$1,$B$1)</f>
        <v>22.42</v>
      </c>
      <c r="AH28">
        <f>_xll.EQNXTDZ($A$1,$B28,AH$1,$B$1)</f>
        <v>27.07</v>
      </c>
      <c r="AI28">
        <f>_xll.EQNXTDZ($A$1,$B28,AI$1,$B$1)</f>
        <v>24.9</v>
      </c>
      <c r="AJ28">
        <f>_xll.EQNXTDZ($A$1,$B28,AJ$1,$B$1)</f>
        <v>24.74</v>
      </c>
      <c r="AK28">
        <f>_xll.EQNXTDZ($A$1,$B28,AK$1,$B$1)</f>
        <v>29.65</v>
      </c>
      <c r="AL28">
        <f>_xll.EQNXTDZ($A$1,$B28,AL$1,$B$1)</f>
        <v>25.26</v>
      </c>
      <c r="AM28">
        <f>_xll.EQNXTDZ($A$1,$B28,AM$1,$B$1)</f>
        <v>28.4</v>
      </c>
      <c r="AN28">
        <f>_xll.EQNXTDZ($A$1,$B28,AN$1,$B$1)</f>
        <v>28.75</v>
      </c>
      <c r="AO28">
        <f>_xll.EQNXTDZ($A$1,$B28,AO$1,$B$1)</f>
        <v>22.73</v>
      </c>
      <c r="AP28">
        <f>_xll.EQNXTDZ($A$1,$B28,AP$1,$B$1)</f>
        <v>25.92</v>
      </c>
      <c r="AQ28">
        <f>_xll.EQNXTDZ($A$1,$B28,AQ$1,$B$1)</f>
        <v>25.85</v>
      </c>
      <c r="AR28">
        <f>_xll.EQNXTDZ($A$1,$B28,AR$1,$B$1)</f>
        <v>26.87</v>
      </c>
      <c r="AS28">
        <f>_xll.EQNXTDZ($A$1,$B28,AS$1,$B$1)</f>
        <v>26.82</v>
      </c>
      <c r="AT28">
        <f>_xll.EQNXTDZ($A$1,$B28,AT$1,$B$1)</f>
        <v>27.48</v>
      </c>
      <c r="AU28">
        <f>_xll.EQNXTDZ($A$1,$B28,AU$1,$B$1)</f>
        <v>29.23</v>
      </c>
      <c r="AV28">
        <f>_xll.EQNXTDZ($A$1,$B28,AV$1,$B$1)</f>
        <v>30.29</v>
      </c>
      <c r="AW28">
        <f>_xll.EQNXTDZ($A$1,$B28,AW$1,$B$1)</f>
        <v>32.92</v>
      </c>
      <c r="AX28">
        <f>_xll.EQNXTDZ($A$1,$B28,AX$1,$B$1)</f>
        <v>31.42</v>
      </c>
      <c r="AY28">
        <f>_xll.EQNXTDZ($A$1,$B28,AY$1,$B$1)</f>
        <v>30.97</v>
      </c>
      <c r="AZ28">
        <f>_xll.EQNXTDZ($A$1,$B28,AZ$1,$B$1)</f>
        <v>32.83</v>
      </c>
      <c r="BA28">
        <f>_xll.EQNXTDZ($A$1,$B28,BA$1,$B$1)</f>
        <v>33.700000000000003</v>
      </c>
      <c r="BB28">
        <f>_xll.EQNXTDZ($A$1,$B28,BB$1,$B$1)</f>
        <v>33.58</v>
      </c>
      <c r="BC28">
        <f>_xll.EQNXTDZ($A$1,$B28,BC$1,$B$1)</f>
        <v>35.54</v>
      </c>
      <c r="BD28">
        <f>_xll.EQNXTDZ($A$1,$B28,BD$1,$B$1)</f>
        <v>36.590000000000003</v>
      </c>
      <c r="BE28">
        <f>_xll.EQNXTDZ($A$1,$B28,BE$1,$B$1)</f>
        <v>39.64</v>
      </c>
      <c r="BF28">
        <f>_xll.EQNXTDZ($A$1,$B28,BF$1,$B$1)</f>
        <v>42.36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25</v>
      </c>
      <c r="D29">
        <f>_xll.EQNXTDZ($A$1,$B29,D$1,$B$1)</f>
        <v>10.220000000000001</v>
      </c>
      <c r="E29">
        <f>_xll.EQNXTDZ($A$1,$B29,E$1,$B$1)</f>
        <v>9.58</v>
      </c>
      <c r="F29">
        <f>_xll.EQNXTDZ($A$1,$B29,F$1,$B$1)</f>
        <v>21.26</v>
      </c>
      <c r="G29">
        <f>_xll.EQNXTDZ($A$1,$B29,G$1,$B$1)</f>
        <v>20.54</v>
      </c>
      <c r="H29">
        <f>_xll.EQNXTDZ($A$1,$B29,H$1,$B$1)</f>
        <v>18.010000000000002</v>
      </c>
      <c r="I29">
        <f>_xll.EQNXTDZ($A$1,$B29,I$1,$B$1)</f>
        <v>35.770000000000003</v>
      </c>
      <c r="J29">
        <f>_xll.EQNXTDZ($A$1,$B29,J$1,$B$1)</f>
        <v>25.69</v>
      </c>
      <c r="K29">
        <f>_xll.EQNXTDZ($A$1,$B29,K$1,$B$1)</f>
        <v>25.31</v>
      </c>
      <c r="L29">
        <f>_xll.EQNXTDZ($A$1,$B29,L$1,$B$1)</f>
        <v>24.32</v>
      </c>
      <c r="M29">
        <f>_xll.EQNXTDZ($A$1,$B29,M$1,$B$1)</f>
        <v>51.38</v>
      </c>
      <c r="N29">
        <f>_xll.EQNXTDZ($A$1,$B29,N$1,$B$1)</f>
        <v>27</v>
      </c>
      <c r="O29">
        <f>_xll.EQNXTDZ($A$1,$B29,O$1,$B$1)</f>
        <v>31.48</v>
      </c>
      <c r="P29">
        <f>_xll.EQNXTDZ($A$1,$B29,P$1,$B$1)</f>
        <v>36.630000000000003</v>
      </c>
      <c r="Q29">
        <f>_xll.EQNXTDZ($A$1,$B29,Q$1,$B$1)</f>
        <v>79.599999999999994</v>
      </c>
      <c r="R29">
        <f>_xll.EQNXTDZ($A$1,$B29,R$1,$B$1)</f>
        <v>44.2</v>
      </c>
      <c r="S29">
        <f>_xll.EQNXTDZ($A$1,$B29,S$1,$B$1)</f>
        <v>32.44</v>
      </c>
      <c r="T29">
        <f>_xll.EQNXTDZ($A$1,$B29,T$1,$B$1)</f>
        <v>38.909999999999997</v>
      </c>
      <c r="U29">
        <f>_xll.EQNXTDZ($A$1,$B29,U$1,$B$1)</f>
        <v>83.25</v>
      </c>
      <c r="V29">
        <f>_xll.EQNXTDZ($A$1,$B29,V$1,$B$1)</f>
        <v>43.96</v>
      </c>
      <c r="W29">
        <f>_xll.EQNXTDZ($A$1,$B29,W$1,$B$1)</f>
        <v>43.46</v>
      </c>
      <c r="X29">
        <f>_xll.EQNXTDZ($A$1,$B29,X$1,$B$1)</f>
        <v>34.42</v>
      </c>
      <c r="Y29">
        <f>_xll.EQNXTDZ($A$1,$B29,Y$1,$B$1)</f>
        <v>39.43</v>
      </c>
      <c r="Z29">
        <f>_xll.EQNXTDZ($A$1,$B29,Z$1,$B$1)</f>
        <v>24.3</v>
      </c>
      <c r="AA29">
        <f>_xll.EQNXTDZ($A$1,$B29,AA$1,$B$1)</f>
        <v>25.48</v>
      </c>
      <c r="AB29">
        <f>_xll.EQNXTDZ($A$1,$B29,AB$1,$B$1)</f>
        <v>18.559999999999999</v>
      </c>
      <c r="AC29">
        <f>_xll.EQNXTDZ($A$1,$B29,AC$1,$B$1)</f>
        <v>73.62</v>
      </c>
      <c r="AD29">
        <f>_xll.EQNXTDZ($A$1,$B29,AD$1,$B$1)</f>
        <v>49.67</v>
      </c>
      <c r="AE29">
        <f>_xll.EQNXTDZ($A$1,$B29,AE$1,$B$1)</f>
        <v>42.92</v>
      </c>
      <c r="AF29">
        <f>_xll.EQNXTDZ($A$1,$B29,AF$1,$B$1)</f>
        <v>33.880000000000003</v>
      </c>
      <c r="AG29">
        <f>_xll.EQNXTDZ($A$1,$B29,AG$1,$B$1)</f>
        <v>15.3</v>
      </c>
      <c r="AH29">
        <f>_xll.EQNXTDZ($A$1,$B29,AH$1,$B$1)</f>
        <v>20.61</v>
      </c>
      <c r="AI29">
        <f>_xll.EQNXTDZ($A$1,$B29,AI$1,$B$1)</f>
        <v>6.66</v>
      </c>
      <c r="AJ29">
        <f>_xll.EQNXTDZ($A$1,$B29,AJ$1,$B$1)</f>
        <v>28.47</v>
      </c>
      <c r="AK29">
        <f>_xll.EQNXTDZ($A$1,$B29,AK$1,$B$1)</f>
        <v>18.190000000000001</v>
      </c>
      <c r="AL29">
        <f>_xll.EQNXTDZ($A$1,$B29,AL$1,$B$1)</f>
        <v>52.98</v>
      </c>
      <c r="AM29">
        <f>_xll.EQNXTDZ($A$1,$B29,AM$1,$B$1)</f>
        <v>21.64</v>
      </c>
      <c r="AN29">
        <f>_xll.EQNXTDZ($A$1,$B29,AN$1,$B$1)</f>
        <v>45.43</v>
      </c>
      <c r="AO29">
        <f>_xll.EQNXTDZ($A$1,$B29,AO$1,$B$1)</f>
        <v>71.73</v>
      </c>
      <c r="AP29">
        <f>_xll.EQNXTDZ($A$1,$B29,AP$1,$B$1)</f>
        <v>121.19</v>
      </c>
      <c r="AQ29">
        <f>_xll.EQNXTDZ($A$1,$B29,AQ$1,$B$1)</f>
        <v>50.66</v>
      </c>
      <c r="AR29">
        <f>_xll.EQNXTDZ($A$1,$B29,AR$1,$B$1)</f>
        <v>72.81</v>
      </c>
      <c r="AS29">
        <f>_xll.EQNXTDZ($A$1,$B29,AS$1,$B$1)</f>
        <v>94.32</v>
      </c>
      <c r="AT29">
        <f>_xll.EQNXTDZ($A$1,$B29,AT$1,$B$1)</f>
        <v>82.68</v>
      </c>
      <c r="AU29">
        <f>_xll.EQNXTDZ($A$1,$B29,AU$1,$B$1)</f>
        <v>97.32</v>
      </c>
      <c r="AV29">
        <f>_xll.EQNXTDZ($A$1,$B29,AV$1,$B$1)</f>
        <v>122.18</v>
      </c>
      <c r="AW29">
        <f>_xll.EQNXTDZ($A$1,$B29,AW$1,$B$1)</f>
        <v>108.53</v>
      </c>
      <c r="AX29">
        <f>_xll.EQNXTDZ($A$1,$B29,AX$1,$B$1)</f>
        <v>157.49</v>
      </c>
      <c r="AY29">
        <f>_xll.EQNXTDZ($A$1,$B29,AY$1,$B$1)</f>
        <v>151.13</v>
      </c>
      <c r="AZ29">
        <f>_xll.EQNXTDZ($A$1,$B29,AZ$1,$B$1)</f>
        <v>156.81</v>
      </c>
      <c r="BA29">
        <f>_xll.EQNXTDZ($A$1,$B29,BA$1,$B$1)</f>
        <v>173.22</v>
      </c>
      <c r="BB29">
        <f>_xll.EQNXTDZ($A$1,$B29,BB$1,$B$1)</f>
        <v>156.35</v>
      </c>
      <c r="BC29">
        <f>_xll.EQNXTDZ($A$1,$B29,BC$1,$B$1)</f>
        <v>122.03</v>
      </c>
      <c r="BD29">
        <f>_xll.EQNXTDZ($A$1,$B29,BD$1,$B$1)</f>
        <v>133.22999999999999</v>
      </c>
      <c r="BE29">
        <f>_xll.EQNXTDZ($A$1,$B29,BE$1,$B$1)</f>
        <v>143.27000000000001</v>
      </c>
      <c r="BF29">
        <f>_xll.EQNXTDZ($A$1,$B29,BF$1,$B$1)</f>
        <v>119.96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51.63</v>
      </c>
      <c r="D30">
        <f>_xll.EQNXTDZ($A$1,$B30,D$1,$B$1)</f>
        <v>21.37</v>
      </c>
      <c r="E30">
        <f>_xll.EQNXTDZ($A$1,$B30,E$1,$B$1)</f>
        <v>16.77</v>
      </c>
      <c r="F30">
        <f>_xll.EQNXTDZ($A$1,$B30,F$1,$B$1)</f>
        <v>43.06</v>
      </c>
      <c r="G30">
        <f>_xll.EQNXTDZ($A$1,$B30,G$1,$B$1)</f>
        <v>39.630000000000003</v>
      </c>
      <c r="H30">
        <f>_xll.EQNXTDZ($A$1,$B30,H$1,$B$1)</f>
        <v>35.61</v>
      </c>
      <c r="I30">
        <f>_xll.EQNXTDZ($A$1,$B30,I$1,$B$1)</f>
        <v>58.59</v>
      </c>
      <c r="J30">
        <f>_xll.EQNXTDZ($A$1,$B30,J$1,$B$1)</f>
        <v>51.68</v>
      </c>
      <c r="K30">
        <f>_xll.EQNXTDZ($A$1,$B30,K$1,$B$1)</f>
        <v>47.69</v>
      </c>
      <c r="L30">
        <f>_xll.EQNXTDZ($A$1,$B30,L$1,$B$1)</f>
        <v>44.98</v>
      </c>
      <c r="M30">
        <f>_xll.EQNXTDZ($A$1,$B30,M$1,$B$1)</f>
        <v>84.16</v>
      </c>
      <c r="N30">
        <f>_xll.EQNXTDZ($A$1,$B30,N$1,$B$1)</f>
        <v>54.29</v>
      </c>
      <c r="O30">
        <f>_xll.EQNXTDZ($A$1,$B30,O$1,$B$1)</f>
        <v>57.45</v>
      </c>
      <c r="P30">
        <f>_xll.EQNXTDZ($A$1,$B30,P$1,$B$1)</f>
        <v>58.74</v>
      </c>
      <c r="Q30">
        <f>_xll.EQNXTDZ($A$1,$B30,Q$1,$B$1)</f>
        <v>129.4</v>
      </c>
      <c r="R30">
        <f>_xll.EQNXTDZ($A$1,$B30,R$1,$B$1)</f>
        <v>85.45</v>
      </c>
      <c r="S30">
        <f>_xll.EQNXTDZ($A$1,$B30,S$1,$B$1)</f>
        <v>55.64</v>
      </c>
      <c r="T30">
        <f>_xll.EQNXTDZ($A$1,$B30,T$1,$B$1)</f>
        <v>70.569999999999993</v>
      </c>
      <c r="U30">
        <f>_xll.EQNXTDZ($A$1,$B30,U$1,$B$1)</f>
        <v>162.81</v>
      </c>
      <c r="V30">
        <f>_xll.EQNXTDZ($A$1,$B30,V$1,$B$1)</f>
        <v>89.98</v>
      </c>
      <c r="W30">
        <f>_xll.EQNXTDZ($A$1,$B30,W$1,$B$1)</f>
        <v>75.06</v>
      </c>
      <c r="X30">
        <f>_xll.EQNXTDZ($A$1,$B30,X$1,$B$1)</f>
        <v>83.39</v>
      </c>
      <c r="Y30">
        <f>_xll.EQNXTDZ($A$1,$B30,Y$1,$B$1)</f>
        <v>81.63</v>
      </c>
      <c r="Z30">
        <f>_xll.EQNXTDZ($A$1,$B30,Z$1,$B$1)</f>
        <v>45.6</v>
      </c>
      <c r="AA30">
        <f>_xll.EQNXTDZ($A$1,$B30,AA$1,$B$1)</f>
        <v>44.43</v>
      </c>
      <c r="AB30">
        <f>_xll.EQNXTDZ($A$1,$B30,AB$1,$B$1)</f>
        <v>35.730000000000103</v>
      </c>
      <c r="AC30">
        <f>_xll.EQNXTDZ($A$1,$B30,AC$1,$B$1)</f>
        <v>128.63999999999999</v>
      </c>
      <c r="AD30">
        <f>_xll.EQNXTDZ($A$1,$B30,AD$1,$B$1)</f>
        <v>89.019999999999797</v>
      </c>
      <c r="AE30">
        <f>_xll.EQNXTDZ($A$1,$B30,AE$1,$B$1)</f>
        <v>69.739999999999995</v>
      </c>
      <c r="AF30">
        <f>_xll.EQNXTDZ($A$1,$B30,AF$1,$B$1)</f>
        <v>78.810000000000102</v>
      </c>
      <c r="AG30">
        <f>_xll.EQNXTDZ($A$1,$B30,AG$1,$B$1)</f>
        <v>64.660000000000196</v>
      </c>
      <c r="AH30">
        <f>_xll.EQNXTDZ($A$1,$B30,AH$1,$B$1)</f>
        <v>66.000000000000099</v>
      </c>
      <c r="AI30">
        <f>_xll.EQNXTDZ($A$1,$B30,AI$1,$B$1)</f>
        <v>16.75</v>
      </c>
      <c r="AJ30">
        <f>_xll.EQNXTDZ($A$1,$B30,AJ$1,$B$1)</f>
        <v>85.49</v>
      </c>
      <c r="AK30">
        <f>_xll.EQNXTDZ($A$1,$B30,AK$1,$B$1)</f>
        <v>62.199999999999903</v>
      </c>
      <c r="AL30">
        <f>_xll.EQNXTDZ($A$1,$B30,AL$1,$B$1)</f>
        <v>150.62</v>
      </c>
      <c r="AM30">
        <f>_xll.EQNXTDZ($A$1,$B30,AM$1,$B$1)</f>
        <v>68.320000000000206</v>
      </c>
      <c r="AN30">
        <f>_xll.EQNXTDZ($A$1,$B30,AN$1,$B$1)</f>
        <v>119.97</v>
      </c>
      <c r="AO30">
        <f>_xll.EQNXTDZ($A$1,$B30,AO$1,$B$1)</f>
        <v>193.58</v>
      </c>
      <c r="AP30">
        <f>_xll.EQNXTDZ($A$1,$B30,AP$1,$B$1)</f>
        <v>76.729999999999905</v>
      </c>
      <c r="AQ30">
        <f>_xll.EQNXTDZ($A$1,$B30,AQ$1,$B$1)</f>
        <v>152.44999999999999</v>
      </c>
      <c r="AR30">
        <f>_xll.EQNXTDZ($A$1,$B30,AR$1,$B$1)</f>
        <v>202.5</v>
      </c>
      <c r="AS30">
        <f>_xll.EQNXTDZ($A$1,$B30,AS$1,$B$1)</f>
        <v>305.91000000000003</v>
      </c>
      <c r="AT30">
        <f>_xll.EQNXTDZ($A$1,$B30,AT$1,$B$1)</f>
        <v>245.17</v>
      </c>
      <c r="AU30">
        <f>_xll.EQNXTDZ($A$1,$B30,AU$1,$B$1)</f>
        <v>295.81</v>
      </c>
      <c r="AV30">
        <f>_xll.EQNXTDZ($A$1,$B30,AV$1,$B$1)</f>
        <v>362</v>
      </c>
      <c r="AW30">
        <f>_xll.EQNXTDZ($A$1,$B30,AW$1,$B$1)</f>
        <v>345.2</v>
      </c>
      <c r="AX30">
        <f>_xll.EQNXTDZ($A$1,$B30,AX$1,$B$1)</f>
        <v>459.6</v>
      </c>
      <c r="AY30">
        <f>_xll.EQNXTDZ($A$1,$B30,AY$1,$B$1)</f>
        <v>442.63</v>
      </c>
      <c r="AZ30">
        <f>_xll.EQNXTDZ($A$1,$B30,AZ$1,$B$1)</f>
        <v>440.47</v>
      </c>
      <c r="BA30">
        <f>_xll.EQNXTDZ($A$1,$B30,BA$1,$B$1)</f>
        <v>531.91</v>
      </c>
      <c r="BB30">
        <f>_xll.EQNXTDZ($A$1,$B30,BB$1,$B$1)</f>
        <v>457.31</v>
      </c>
      <c r="BC30">
        <f>_xll.EQNXTDZ($A$1,$B30,BC$1,$B$1)</f>
        <v>352.08000000000101</v>
      </c>
      <c r="BD30">
        <f>_xll.EQNXTDZ($A$1,$B30,BD$1,$B$1)</f>
        <v>408.88</v>
      </c>
      <c r="BE30">
        <f>_xll.EQNXTDZ($A$1,$B30,BE$1,$B$1)</f>
        <v>434.32</v>
      </c>
      <c r="BF30">
        <f>_xll.EQNXTDZ($A$1,$B30,BF$1,$B$1)</f>
        <v>341.91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2.42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51.63</v>
      </c>
      <c r="D38">
        <f>_xll.EQNXTDZ($A$1,$B38,D$1,$B$1)</f>
        <v>21.37</v>
      </c>
      <c r="E38">
        <f>_xll.EQNXTDZ($A$1,$B38,E$1,$B$1)</f>
        <v>16.77</v>
      </c>
      <c r="F38">
        <f>_xll.EQNXTDZ($A$1,$B38,F$1,$B$1)</f>
        <v>43.06</v>
      </c>
      <c r="G38">
        <f>_xll.EQNXTDZ($A$1,$B38,G$1,$B$1)</f>
        <v>39.630000000000003</v>
      </c>
      <c r="H38">
        <f>_xll.EQNXTDZ($A$1,$B38,H$1,$B$1)</f>
        <v>35.61</v>
      </c>
      <c r="I38">
        <f>_xll.EQNXTDZ($A$1,$B38,I$1,$B$1)</f>
        <v>58.59</v>
      </c>
      <c r="J38">
        <f>_xll.EQNXTDZ($A$1,$B38,J$1,$B$1)</f>
        <v>51.68</v>
      </c>
      <c r="K38">
        <f>_xll.EQNXTDZ($A$1,$B38,K$1,$B$1)</f>
        <v>47.69</v>
      </c>
      <c r="L38">
        <f>_xll.EQNXTDZ($A$1,$B38,L$1,$B$1)</f>
        <v>44.98</v>
      </c>
      <c r="M38">
        <f>_xll.EQNXTDZ($A$1,$B38,M$1,$B$1)</f>
        <v>84.16</v>
      </c>
      <c r="N38">
        <f>_xll.EQNXTDZ($A$1,$B38,N$1,$B$1)</f>
        <v>54.29</v>
      </c>
      <c r="O38">
        <f>_xll.EQNXTDZ($A$1,$B38,O$1,$B$1)</f>
        <v>57.45</v>
      </c>
      <c r="P38">
        <f>_xll.EQNXTDZ($A$1,$B38,P$1,$B$1)</f>
        <v>58.74</v>
      </c>
      <c r="Q38">
        <f>_xll.EQNXTDZ($A$1,$B38,Q$1,$B$1)</f>
        <v>129.4</v>
      </c>
      <c r="R38">
        <f>_xll.EQNXTDZ($A$1,$B38,R$1,$B$1)</f>
        <v>85.45</v>
      </c>
      <c r="S38">
        <f>_xll.EQNXTDZ($A$1,$B38,S$1,$B$1)</f>
        <v>55.64</v>
      </c>
      <c r="T38">
        <f>_xll.EQNXTDZ($A$1,$B38,T$1,$B$1)</f>
        <v>70.569999999999993</v>
      </c>
      <c r="U38">
        <f>_xll.EQNXTDZ($A$1,$B38,U$1,$B$1)</f>
        <v>162.81</v>
      </c>
      <c r="V38">
        <f>_xll.EQNXTDZ($A$1,$B38,V$1,$B$1)</f>
        <v>89.98</v>
      </c>
      <c r="W38">
        <f>_xll.EQNXTDZ($A$1,$B38,W$1,$B$1)</f>
        <v>75.06</v>
      </c>
      <c r="X38">
        <f>_xll.EQNXTDZ($A$1,$B38,X$1,$B$1)</f>
        <v>83.39</v>
      </c>
      <c r="Y38">
        <f>_xll.EQNXTDZ($A$1,$B38,Y$1,$B$1)</f>
        <v>81.63</v>
      </c>
      <c r="Z38">
        <f>_xll.EQNXTDZ($A$1,$B38,Z$1,$B$1)</f>
        <v>45.6</v>
      </c>
      <c r="AA38">
        <f>_xll.EQNXTDZ($A$1,$B38,AA$1,$B$1)</f>
        <v>44.43</v>
      </c>
      <c r="AB38">
        <f>_xll.EQNXTDZ($A$1,$B38,AB$1,$B$1)</f>
        <v>35.730000000000103</v>
      </c>
      <c r="AC38">
        <f>_xll.EQNXTDZ($A$1,$B38,AC$1,$B$1)</f>
        <v>128.63999999999999</v>
      </c>
      <c r="AD38">
        <f>_xll.EQNXTDZ($A$1,$B38,AD$1,$B$1)</f>
        <v>89.019999999999797</v>
      </c>
      <c r="AE38">
        <f>_xll.EQNXTDZ($A$1,$B38,AE$1,$B$1)</f>
        <v>130.4</v>
      </c>
      <c r="AF38">
        <f>_xll.EQNXTDZ($A$1,$B38,AF$1,$B$1)</f>
        <v>135.28</v>
      </c>
      <c r="AG38">
        <f>_xll.EQNXTDZ($A$1,$B38,AG$1,$B$1)</f>
        <v>64.660000000000196</v>
      </c>
      <c r="AH38">
        <f>_xll.EQNXTDZ($A$1,$B38,AH$1,$B$1)</f>
        <v>66.000000000000099</v>
      </c>
      <c r="AI38">
        <f>_xll.EQNXTDZ($A$1,$B38,AI$1,$B$1)</f>
        <v>16.75</v>
      </c>
      <c r="AJ38">
        <f>_xll.EQNXTDZ($A$1,$B38,AJ$1,$B$1)</f>
        <v>85.49</v>
      </c>
      <c r="AK38">
        <f>_xll.EQNXTDZ($A$1,$B38,AK$1,$B$1)</f>
        <v>62.199999999999903</v>
      </c>
      <c r="AL38">
        <f>_xll.EQNXTDZ($A$1,$B38,AL$1,$B$1)</f>
        <v>150.62</v>
      </c>
      <c r="AM38">
        <f>_xll.EQNXTDZ($A$1,$B38,AM$1,$B$1)</f>
        <v>68.320000000000206</v>
      </c>
      <c r="AN38">
        <f>_xll.EQNXTDZ($A$1,$B38,AN$1,$B$1)</f>
        <v>119.97</v>
      </c>
      <c r="AO38">
        <f>_xll.EQNXTDZ($A$1,$B38,AO$1,$B$1)</f>
        <v>193.58</v>
      </c>
      <c r="AP38">
        <f>_xll.EQNXTDZ($A$1,$B38,AP$1,$B$1)</f>
        <v>79.66</v>
      </c>
      <c r="AQ38">
        <f>_xll.EQNXTDZ($A$1,$B38,AQ$1,$B$1)</f>
        <v>145.66999999999999</v>
      </c>
      <c r="AR38">
        <f>_xll.EQNXTDZ($A$1,$B38,AR$1,$B$1)</f>
        <v>202.5</v>
      </c>
      <c r="AS38">
        <f>_xll.EQNXTDZ($A$1,$B38,AS$1,$B$1)</f>
        <v>305.91000000000003</v>
      </c>
      <c r="AT38">
        <f>_xll.EQNXTDZ($A$1,$B38,AT$1,$B$1)</f>
        <v>245.17</v>
      </c>
      <c r="AU38">
        <f>_xll.EQNXTDZ($A$1,$B38,AU$1,$B$1)</f>
        <v>295.81</v>
      </c>
      <c r="AV38">
        <f>_xll.EQNXTDZ($A$1,$B38,AV$1,$B$1)</f>
        <v>362</v>
      </c>
      <c r="AW38">
        <f>_xll.EQNXTDZ($A$1,$B38,AW$1,$B$1)</f>
        <v>345.2</v>
      </c>
      <c r="AX38">
        <f>_xll.EQNXTDZ($A$1,$B38,AX$1,$B$1)</f>
        <v>459.6</v>
      </c>
      <c r="AY38">
        <f>_xll.EQNXTDZ($A$1,$B38,AY$1,$B$1)</f>
        <v>442.63</v>
      </c>
      <c r="AZ38">
        <f>_xll.EQNXTDZ($A$1,$B38,AZ$1,$B$1)</f>
        <v>440.45</v>
      </c>
      <c r="BA38">
        <f>_xll.EQNXTDZ($A$1,$B38,BA$1,$B$1)</f>
        <v>528.41</v>
      </c>
      <c r="BB38">
        <f>_xll.EQNXTDZ($A$1,$B38,BB$1,$B$1)</f>
        <v>474.63</v>
      </c>
      <c r="BC38">
        <f>_xll.EQNXTDZ($A$1,$B38,BC$1,$B$1)</f>
        <v>352.08000000000101</v>
      </c>
      <c r="BD38">
        <f>_xll.EQNXTDZ($A$1,$B38,BD$1,$B$1)</f>
        <v>409.04</v>
      </c>
      <c r="BE38">
        <f>_xll.EQNXTDZ($A$1,$B38,BE$1,$B$1)</f>
        <v>432.85</v>
      </c>
      <c r="BF38">
        <f>_xll.EQNXTDZ($A$1,$B38,BF$1,$B$1)</f>
        <v>1783.65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89.89</v>
      </c>
      <c r="Z39">
        <f>_xll.EQNXTDZ($A$1,$B39,Z$1,$B$1)</f>
        <v>56.89</v>
      </c>
      <c r="AA39">
        <f>_xll.EQNXTDZ($A$1,$B39,AA$1,$B$1)</f>
        <v>57.72</v>
      </c>
      <c r="AB39">
        <f>_xll.EQNXTDZ($A$1,$B39,AB$1,$B$1)</f>
        <v>72.61</v>
      </c>
      <c r="AC39">
        <f>_xll.EQNXTDZ($A$1,$B39,AC$1,$B$1)</f>
        <v>69.27</v>
      </c>
      <c r="AD39">
        <f>_xll.EQNXTDZ($A$1,$B39,AD$1,$B$1)</f>
        <v>27.17</v>
      </c>
      <c r="AE39">
        <f>_xll.EQNXTDZ($A$1,$B39,AE$1,$B$1)</f>
        <v>60.66</v>
      </c>
      <c r="AF39">
        <f>_xll.EQNXTDZ($A$1,$B39,AF$1,$B$1)</f>
        <v>56.47</v>
      </c>
      <c r="AG39">
        <f>_xll.EQNXTDZ($A$1,$B39,AG$1,$B$1)</f>
        <v>-26</v>
      </c>
      <c r="AH39">
        <f>_xll.EQNXTDZ($A$1,$B39,AH$1,$B$1)</f>
        <v>-1.36</v>
      </c>
      <c r="AI39">
        <f>_xll.EQNXTDZ($A$1,$B39,AI$1,$B$1)</f>
        <v>-0.47</v>
      </c>
      <c r="AJ39">
        <f>_xll.EQNXTDZ($A$1,$B39,AJ$1,$B$1)</f>
        <v>-4.75</v>
      </c>
      <c r="AK39">
        <f>_xll.EQNXTDZ($A$1,$B39,AK$1,$B$1)</f>
        <v>-4.6399999999999997</v>
      </c>
      <c r="AL39">
        <f>_xll.EQNXTDZ($A$1,$B39,AL$1,$B$1)</f>
        <v>-9.2899999999999991</v>
      </c>
      <c r="AM39">
        <f>_xll.EQNXTDZ($A$1,$B39,AM$1,$B$1)</f>
        <v>1.94</v>
      </c>
      <c r="AN39">
        <f>_xll.EQNXTDZ($A$1,$B39,AN$1,$B$1)</f>
        <v>-0.05</v>
      </c>
      <c r="AO39">
        <f>_xll.EQNXTDZ($A$1,$B39,AO$1,$B$1)</f>
        <v>-5.38</v>
      </c>
      <c r="AP39">
        <f>_xll.EQNXTDZ($A$1,$B39,AP$1,$B$1)</f>
        <v>2.93</v>
      </c>
      <c r="AQ39">
        <f>_xll.EQNXTDZ($A$1,$B39,AQ$1,$B$1)</f>
        <v>-6.78</v>
      </c>
      <c r="AR39">
        <f>_xll.EQNXTDZ($A$1,$B39,AR$1,$B$1)</f>
        <v>-4.9400000000000004</v>
      </c>
      <c r="AS39">
        <f>_xll.EQNXTDZ($A$1,$B39,AS$1,$B$1)</f>
        <v>-0.59</v>
      </c>
      <c r="AT39">
        <f>_xll.EQNXTDZ($A$1,$B39,AT$1,$B$1)</f>
        <v>-0.28000000000000003</v>
      </c>
      <c r="AU39">
        <f>_xll.EQNXTDZ($A$1,$B39,AU$1,$B$1)</f>
        <v>-0.18</v>
      </c>
      <c r="AV39">
        <f>_xll.EQNXTDZ($A$1,$B39,AV$1,$B$1)</f>
        <v>0.87</v>
      </c>
      <c r="AW39">
        <f>_xll.EQNXTDZ($A$1,$B39,AW$1,$B$1)</f>
        <v>-6.54</v>
      </c>
      <c r="AX39">
        <f>_xll.EQNXTDZ($A$1,$B39,AX$1,$B$1)</f>
        <v>-0.31</v>
      </c>
      <c r="AY39">
        <f>_xll.EQNXTDZ($A$1,$B39,AY$1,$B$1)</f>
        <v>0.86</v>
      </c>
      <c r="AZ39">
        <f>_xll.EQNXTDZ($A$1,$B39,AZ$1,$B$1)</f>
        <v>-0.02</v>
      </c>
      <c r="BA39">
        <f>_xll.EQNXTDZ($A$1,$B39,BA$1,$B$1)</f>
        <v>-3.5</v>
      </c>
      <c r="BB39">
        <f>_xll.EQNXTDZ($A$1,$B39,BB$1,$B$1)</f>
        <v>17.32</v>
      </c>
      <c r="BC39">
        <f>_xll.EQNXTDZ($A$1,$B39,BC$1,$B$1)</f>
        <v>-0.34</v>
      </c>
      <c r="BD39">
        <f>_xll.EQNXTDZ($A$1,$B39,BD$1,$B$1)</f>
        <v>0.16</v>
      </c>
      <c r="BE39">
        <f>_xll.EQNXTDZ($A$1,$B39,BE$1,$B$1)</f>
        <v>-1.47</v>
      </c>
      <c r="BF39">
        <f>_xll.EQNXTDZ($A$1,$B39,BF$1,$B$1)</f>
        <v>1441.74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0.16</v>
      </c>
      <c r="S40">
        <f>_xll.EQNXTDZ($A$1,$B40,S$1,$B$1)</f>
        <v>-3.88</v>
      </c>
      <c r="T40">
        <f>_xll.EQNXTDZ($A$1,$B40,T$1,$B$1)</f>
        <v>-3.88</v>
      </c>
      <c r="U40">
        <f>_xll.EQNXTDZ($A$1,$B40,U$1,$B$1)</f>
        <v>-3.88</v>
      </c>
      <c r="V40">
        <f>_xll.EQNXTDZ($A$1,$B40,V$1,$B$1)</f>
        <v>3.67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-1.45</v>
      </c>
      <c r="Z40">
        <f>_xll.EQNXTDZ($A$1,$B40,Z$1,$B$1)</f>
        <v>10.97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-9.02</v>
      </c>
      <c r="AD40">
        <f>_xll.EQNXTDZ($A$1,$B40,AD$1,$B$1)</f>
        <v>3.24</v>
      </c>
      <c r="AE40">
        <f>_xll.EQNXTDZ($A$1,$B40,AE$1,$B$1)</f>
        <v>1.6</v>
      </c>
      <c r="AF40">
        <f>_xll.EQNXTDZ($A$1,$B40,AF$1,$B$1)</f>
        <v>-12.8</v>
      </c>
      <c r="AG40">
        <f>_xll.EQNXTDZ($A$1,$B40,AG$1,$B$1)</f>
        <v>4.1399999999999997</v>
      </c>
      <c r="AH40">
        <f>_xll.EQNXTDZ($A$1,$B40,AH$1,$B$1)</f>
        <v>-2.92</v>
      </c>
      <c r="AI40">
        <f>_xll.EQNXTDZ($A$1,$B40,AI$1,$B$1)</f>
        <v>-10.65</v>
      </c>
      <c r="AJ40">
        <f>_xll.EQNXTDZ($A$1,$B40,AJ$1,$B$1)</f>
        <v>2.79</v>
      </c>
      <c r="AK40">
        <f>_xll.EQNXTDZ($A$1,$B40,AK$1,$B$1)</f>
        <v>-17.399999999999999</v>
      </c>
      <c r="AL40">
        <f>_xll.EQNXTDZ($A$1,$B40,AL$1,$B$1)</f>
        <v>17.68</v>
      </c>
      <c r="AM40">
        <f>_xll.EQNXTDZ($A$1,$B40,AM$1,$B$1)</f>
        <v>-3.33</v>
      </c>
      <c r="AN40">
        <f>_xll.EQNXTDZ($A$1,$B40,AN$1,$B$1)</f>
        <v>-0.05</v>
      </c>
      <c r="AO40">
        <f>_xll.EQNXTDZ($A$1,$B40,AO$1,$B$1)</f>
        <v>10.75</v>
      </c>
      <c r="AP40">
        <f>_xll.EQNXTDZ($A$1,$B40,AP$1,$B$1)</f>
        <v>12.15</v>
      </c>
      <c r="AQ40">
        <f>_xll.EQNXTDZ($A$1,$B40,AQ$1,$B$1)</f>
        <v>-0.89</v>
      </c>
      <c r="AR40">
        <f>_xll.EQNXTDZ($A$1,$B40,AR$1,$B$1)</f>
        <v>-0.57999999999999996</v>
      </c>
      <c r="AS40">
        <f>_xll.EQNXTDZ($A$1,$B40,AS$1,$B$1)</f>
        <v>-22.5</v>
      </c>
      <c r="AT40">
        <f>_xll.EQNXTDZ($A$1,$B40,AT$1,$B$1)</f>
        <v>11.65</v>
      </c>
      <c r="AU40">
        <f>_xll.EQNXTDZ($A$1,$B40,AU$1,$B$1)</f>
        <v>-6.53</v>
      </c>
      <c r="AV40">
        <f>_xll.EQNXTDZ($A$1,$B40,AV$1,$B$1)</f>
        <v>0.67</v>
      </c>
      <c r="AW40">
        <f>_xll.EQNXTDZ($A$1,$B40,AW$1,$B$1)</f>
        <v>-9.5500000000000007</v>
      </c>
      <c r="AX40">
        <f>_xll.EQNXTDZ($A$1,$B40,AX$1,$B$1)</f>
        <v>7.59</v>
      </c>
      <c r="AY40">
        <f>_xll.EQNXTDZ($A$1,$B40,AY$1,$B$1)</f>
        <v>-9.0399999999999991</v>
      </c>
      <c r="AZ40">
        <f>_xll.EQNXTDZ($A$1,$B40,AZ$1,$B$1)</f>
        <v>-1.56</v>
      </c>
      <c r="BA40">
        <f>_xll.EQNXTDZ($A$1,$B40,BA$1,$B$1)</f>
        <v>-7.59</v>
      </c>
      <c r="BB40">
        <f>_xll.EQNXTDZ($A$1,$B40,BB$1,$B$1)</f>
        <v>18.36</v>
      </c>
      <c r="BC40">
        <f>_xll.EQNXTDZ($A$1,$B40,BC$1,$B$1)</f>
        <v>-15.91</v>
      </c>
      <c r="BD40">
        <f>_xll.EQNXTDZ($A$1,$B40,BD$1,$B$1)</f>
        <v>1.38</v>
      </c>
      <c r="BE40">
        <f>_xll.EQNXTDZ($A$1,$B40,BE$1,$B$1)</f>
        <v>5.42</v>
      </c>
      <c r="BF40">
        <f>_xll.EQNXTDZ($A$1,$B40,BF$1,$B$1)</f>
        <v>-13.45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57.45</v>
      </c>
      <c r="P41">
        <f>_xll.EQNXTDZ($A$1,$B41,P$1,$B$1)</f>
        <v>58.74</v>
      </c>
      <c r="Q41">
        <f>_xll.EQNXTDZ($A$1,$B41,Q$1,$B$1)</f>
        <v>129.4</v>
      </c>
      <c r="R41">
        <f>_xll.EQNXTDZ($A$1,$B41,R$1,$B$1)</f>
        <v>85.61</v>
      </c>
      <c r="S41">
        <f>_xll.EQNXTDZ($A$1,$B41,S$1,$B$1)</f>
        <v>51.76</v>
      </c>
      <c r="T41">
        <f>_xll.EQNXTDZ($A$1,$B41,T$1,$B$1)</f>
        <v>66.69</v>
      </c>
      <c r="U41">
        <f>_xll.EQNXTDZ($A$1,$B41,U$1,$B$1)</f>
        <v>158.93</v>
      </c>
      <c r="V41">
        <f>_xll.EQNXTDZ($A$1,$B41,V$1,$B$1)</f>
        <v>93.65</v>
      </c>
      <c r="W41">
        <f>_xll.EQNXTDZ($A$1,$B41,W$1,$B$1)</f>
        <v>75.06</v>
      </c>
      <c r="X41">
        <f>_xll.EQNXTDZ($A$1,$B41,X$1,$B$1)</f>
        <v>83.39</v>
      </c>
      <c r="Y41">
        <f>_xll.EQNXTDZ($A$1,$B41,Y$1,$B$1)</f>
        <v>170.07</v>
      </c>
      <c r="Z41">
        <f>_xll.EQNXTDZ($A$1,$B41,Z$1,$B$1)</f>
        <v>113.46</v>
      </c>
      <c r="AA41">
        <f>_xll.EQNXTDZ($A$1,$B41,AA$1,$B$1)</f>
        <v>102.15</v>
      </c>
      <c r="AB41">
        <f>_xll.EQNXTDZ($A$1,$B41,AB$1,$B$1)</f>
        <v>108.34</v>
      </c>
      <c r="AC41">
        <f>_xll.EQNXTDZ($A$1,$B41,AC$1,$B$1)</f>
        <v>188.89</v>
      </c>
      <c r="AD41">
        <f>_xll.EQNXTDZ($A$1,$B41,AD$1,$B$1)</f>
        <v>119.43</v>
      </c>
      <c r="AE41">
        <f>_xll.EQNXTDZ($A$1,$B41,AE$1,$B$1)</f>
        <v>132</v>
      </c>
      <c r="AF41">
        <f>_xll.EQNXTDZ($A$1,$B41,AF$1,$B$1)</f>
        <v>122.48</v>
      </c>
      <c r="AG41">
        <f>_xll.EQNXTDZ($A$1,$B41,AG$1,$B$1)</f>
        <v>42.8</v>
      </c>
      <c r="AH41">
        <f>_xll.EQNXTDZ($A$1,$B41,AH$1,$B$1)</f>
        <v>61.72</v>
      </c>
      <c r="AI41">
        <f>_xll.EQNXTDZ($A$1,$B41,AI$1,$B$1)</f>
        <v>5.63</v>
      </c>
      <c r="AJ41">
        <f>_xll.EQNXTDZ($A$1,$B41,AJ$1,$B$1)</f>
        <v>83.53</v>
      </c>
      <c r="AK41">
        <f>_xll.EQNXTDZ($A$1,$B41,AK$1,$B$1)</f>
        <v>40.159999999999997</v>
      </c>
      <c r="AL41">
        <f>_xll.EQNXTDZ($A$1,$B41,AL$1,$B$1)</f>
        <v>159.01</v>
      </c>
      <c r="AM41">
        <f>_xll.EQNXTDZ($A$1,$B41,AM$1,$B$1)</f>
        <v>66.930000000000007</v>
      </c>
      <c r="AN41">
        <f>_xll.EQNXTDZ($A$1,$B41,AN$1,$B$1)</f>
        <v>119.87</v>
      </c>
      <c r="AO41">
        <f>_xll.EQNXTDZ($A$1,$B41,AO$1,$B$1)</f>
        <v>198.95</v>
      </c>
      <c r="AP41">
        <f>_xll.EQNXTDZ($A$1,$B41,AP$1,$B$1)</f>
        <v>91.81</v>
      </c>
      <c r="AQ41">
        <f>_xll.EQNXTDZ($A$1,$B41,AQ$1,$B$1)</f>
        <v>144.78</v>
      </c>
      <c r="AR41">
        <f>_xll.EQNXTDZ($A$1,$B41,AR$1,$B$1)</f>
        <v>196.98</v>
      </c>
      <c r="AS41">
        <f>_xll.EQNXTDZ($A$1,$B41,AS$1,$B$1)</f>
        <v>282.82</v>
      </c>
      <c r="AT41">
        <f>_xll.EQNXTDZ($A$1,$B41,AT$1,$B$1)</f>
        <v>256.54000000000002</v>
      </c>
      <c r="AU41">
        <f>_xll.EQNXTDZ($A$1,$B41,AU$1,$B$1)</f>
        <v>289.10000000000002</v>
      </c>
      <c r="AV41">
        <f>_xll.EQNXTDZ($A$1,$B41,AV$1,$B$1)</f>
        <v>363.54</v>
      </c>
      <c r="AW41">
        <f>_xll.EQNXTDZ($A$1,$B41,AW$1,$B$1)</f>
        <v>329.11</v>
      </c>
      <c r="AX41">
        <f>_xll.EQNXTDZ($A$1,$B41,AX$1,$B$1)</f>
        <v>466.88</v>
      </c>
      <c r="AY41">
        <f>_xll.EQNXTDZ($A$1,$B41,AY$1,$B$1)</f>
        <v>434.45</v>
      </c>
      <c r="AZ41">
        <f>_xll.EQNXTDZ($A$1,$B41,AZ$1,$B$1)</f>
        <v>438.89</v>
      </c>
      <c r="BA41">
        <f>_xll.EQNXTDZ($A$1,$B41,BA$1,$B$1)</f>
        <v>520.82000000000005</v>
      </c>
      <c r="BB41">
        <f>_xll.EQNXTDZ($A$1,$B41,BB$1,$B$1)</f>
        <v>492.99</v>
      </c>
      <c r="BC41">
        <f>_xll.EQNXTDZ($A$1,$B41,BC$1,$B$1)</f>
        <v>335.83</v>
      </c>
      <c r="BD41">
        <f>_xll.EQNXTDZ($A$1,$B41,BD$1,$B$1)</f>
        <v>410.42</v>
      </c>
      <c r="BE41">
        <f>_xll.EQNXTDZ($A$1,$B41,BE$1,$B$1)</f>
        <v>438.27</v>
      </c>
      <c r="BF41">
        <f>_xll.EQNXTDZ($A$1,$B41,BF$1,$B$1)</f>
        <v>1770.2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51.63</v>
      </c>
      <c r="D42">
        <f>_xll.EQNXTDZ($A$1,$B42,D$1,$B$1)</f>
        <v>21.37</v>
      </c>
      <c r="E42">
        <f>_xll.EQNXTDZ($A$1,$B42,E$1,$B$1)</f>
        <v>16.77</v>
      </c>
      <c r="F42">
        <f>_xll.EQNXTDZ($A$1,$B42,F$1,$B$1)</f>
        <v>43.06</v>
      </c>
      <c r="G42">
        <f>_xll.EQNXTDZ($A$1,$B42,G$1,$B$1)</f>
        <v>39.630000000000003</v>
      </c>
      <c r="H42">
        <f>_xll.EQNXTDZ($A$1,$B42,H$1,$B$1)</f>
        <v>38.03</v>
      </c>
      <c r="I42">
        <f>_xll.EQNXTDZ($A$1,$B42,I$1,$B$1)</f>
        <v>58.59</v>
      </c>
      <c r="J42">
        <f>_xll.EQNXTDZ($A$1,$B42,J$1,$B$1)</f>
        <v>51.68</v>
      </c>
      <c r="K42">
        <f>_xll.EQNXTDZ($A$1,$B42,K$1,$B$1)</f>
        <v>47.69</v>
      </c>
      <c r="L42">
        <f>_xll.EQNXTDZ($A$1,$B42,L$1,$B$1)</f>
        <v>44.98</v>
      </c>
      <c r="M42">
        <f>_xll.EQNXTDZ($A$1,$B42,M$1,$B$1)</f>
        <v>84.16</v>
      </c>
      <c r="N42">
        <f>_xll.EQNXTDZ($A$1,$B42,N$1,$B$1)</f>
        <v>54.29</v>
      </c>
      <c r="O42">
        <f>_xll.EQNXTDZ($A$1,$B42,O$1,$B$1)</f>
        <v>57.45</v>
      </c>
      <c r="P42">
        <f>_xll.EQNXTDZ($A$1,$B42,P$1,$B$1)</f>
        <v>58.74</v>
      </c>
      <c r="Q42">
        <f>_xll.EQNXTDZ($A$1,$B42,Q$1,$B$1)</f>
        <v>129.4</v>
      </c>
      <c r="R42">
        <f>_xll.EQNXTDZ($A$1,$B42,R$1,$B$1)</f>
        <v>85.45</v>
      </c>
      <c r="S42">
        <f>_xll.EQNXTDZ($A$1,$B42,S$1,$B$1)</f>
        <v>55.64</v>
      </c>
      <c r="T42">
        <f>_xll.EQNXTDZ($A$1,$B42,T$1,$B$1)</f>
        <v>70.569999999999993</v>
      </c>
      <c r="U42">
        <f>_xll.EQNXTDZ($A$1,$B42,U$1,$B$1)</f>
        <v>162.81</v>
      </c>
      <c r="V42">
        <f>_xll.EQNXTDZ($A$1,$B42,V$1,$B$1)</f>
        <v>89.98</v>
      </c>
      <c r="W42">
        <f>_xll.EQNXTDZ($A$1,$B42,W$1,$B$1)</f>
        <v>75.06</v>
      </c>
      <c r="X42">
        <f>_xll.EQNXTDZ($A$1,$B42,X$1,$B$1)</f>
        <v>83.39</v>
      </c>
      <c r="Y42">
        <f>_xll.EQNXTDZ($A$1,$B42,Y$1,$B$1)</f>
        <v>171.52</v>
      </c>
      <c r="Z42">
        <f>_xll.EQNXTDZ($A$1,$B42,Z$1,$B$1)</f>
        <v>102.49</v>
      </c>
      <c r="AA42">
        <f>_xll.EQNXTDZ($A$1,$B42,AA$1,$B$1)</f>
        <v>102.15</v>
      </c>
      <c r="AB42">
        <f>_xll.EQNXTDZ($A$1,$B42,AB$1,$B$1)</f>
        <v>108.34</v>
      </c>
      <c r="AC42">
        <f>_xll.EQNXTDZ($A$1,$B42,AC$1,$B$1)</f>
        <v>197.91</v>
      </c>
      <c r="AD42">
        <f>_xll.EQNXTDZ($A$1,$B42,AD$1,$B$1)</f>
        <v>116.19</v>
      </c>
      <c r="AE42">
        <f>_xll.EQNXTDZ($A$1,$B42,AE$1,$B$1)</f>
        <v>130.4</v>
      </c>
      <c r="AF42">
        <f>_xll.EQNXTDZ($A$1,$B42,AF$1,$B$1)</f>
        <v>135.28</v>
      </c>
      <c r="AG42">
        <f>_xll.EQNXTDZ($A$1,$B42,AG$1,$B$1)</f>
        <v>38.660000000000203</v>
      </c>
      <c r="AH42">
        <f>_xll.EQNXTDZ($A$1,$B42,AH$1,$B$1)</f>
        <v>64.6400000000001</v>
      </c>
      <c r="AI42">
        <f>_xll.EQNXTDZ($A$1,$B42,AI$1,$B$1)</f>
        <v>16.28</v>
      </c>
      <c r="AJ42">
        <f>_xll.EQNXTDZ($A$1,$B42,AJ$1,$B$1)</f>
        <v>80.739999999999995</v>
      </c>
      <c r="AK42">
        <f>_xll.EQNXTDZ($A$1,$B42,AK$1,$B$1)</f>
        <v>57.559999999999903</v>
      </c>
      <c r="AL42">
        <f>_xll.EQNXTDZ($A$1,$B42,AL$1,$B$1)</f>
        <v>141.33000000000001</v>
      </c>
      <c r="AM42">
        <f>_xll.EQNXTDZ($A$1,$B42,AM$1,$B$1)</f>
        <v>70.260000000000204</v>
      </c>
      <c r="AN42">
        <f>_xll.EQNXTDZ($A$1,$B42,AN$1,$B$1)</f>
        <v>119.92</v>
      </c>
      <c r="AO42">
        <f>_xll.EQNXTDZ($A$1,$B42,AO$1,$B$1)</f>
        <v>188.2</v>
      </c>
      <c r="AP42">
        <f>_xll.EQNXTDZ($A$1,$B42,AP$1,$B$1)</f>
        <v>79.66</v>
      </c>
      <c r="AQ42">
        <f>_xll.EQNXTDZ($A$1,$B42,AQ$1,$B$1)</f>
        <v>145.66999999999999</v>
      </c>
      <c r="AR42">
        <f>_xll.EQNXTDZ($A$1,$B42,AR$1,$B$1)</f>
        <v>197.56</v>
      </c>
      <c r="AS42">
        <f>_xll.EQNXTDZ($A$1,$B42,AS$1,$B$1)</f>
        <v>305.32</v>
      </c>
      <c r="AT42">
        <f>_xll.EQNXTDZ($A$1,$B42,AT$1,$B$1)</f>
        <v>244.89</v>
      </c>
      <c r="AU42">
        <f>_xll.EQNXTDZ($A$1,$B42,AU$1,$B$1)</f>
        <v>295.63</v>
      </c>
      <c r="AV42">
        <f>_xll.EQNXTDZ($A$1,$B42,AV$1,$B$1)</f>
        <v>362.87</v>
      </c>
      <c r="AW42">
        <f>_xll.EQNXTDZ($A$1,$B42,AW$1,$B$1)</f>
        <v>338.66</v>
      </c>
      <c r="AX42">
        <f>_xll.EQNXTDZ($A$1,$B42,AX$1,$B$1)</f>
        <v>459.29</v>
      </c>
      <c r="AY42">
        <f>_xll.EQNXTDZ($A$1,$B42,AY$1,$B$1)</f>
        <v>443.49</v>
      </c>
      <c r="AZ42">
        <f>_xll.EQNXTDZ($A$1,$B42,AZ$1,$B$1)</f>
        <v>440.45</v>
      </c>
      <c r="BA42">
        <f>_xll.EQNXTDZ($A$1,$B42,BA$1,$B$1)</f>
        <v>528.41</v>
      </c>
      <c r="BB42">
        <f>_xll.EQNXTDZ($A$1,$B42,BB$1,$B$1)</f>
        <v>474.63</v>
      </c>
      <c r="BC42">
        <f>_xll.EQNXTDZ($A$1,$B42,BC$1,$B$1)</f>
        <v>351.74000000000098</v>
      </c>
      <c r="BD42">
        <f>_xll.EQNXTDZ($A$1,$B42,BD$1,$B$1)</f>
        <v>409.04</v>
      </c>
      <c r="BE42">
        <f>_xll.EQNXTDZ($A$1,$B42,BE$1,$B$1)</f>
        <v>432.85</v>
      </c>
      <c r="BF42">
        <f>_xll.EQNXTDZ($A$1,$B42,BF$1,$B$1)</f>
        <v>1783.65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42.38</v>
      </c>
      <c r="D45">
        <f>_xll.EQNXTDZ($A$1,$B45,D$1,$B$1)</f>
        <v>42.38</v>
      </c>
      <c r="E45">
        <f>_xll.EQNXTDZ($A$1,$B45,E$1,$B$1)</f>
        <v>42.38</v>
      </c>
      <c r="F45">
        <f>_xll.EQNXTDZ($A$1,$B45,F$1,$B$1)</f>
        <v>42.38</v>
      </c>
      <c r="G45">
        <f>_xll.EQNXTDZ($A$1,$B45,G$1,$B$1)</f>
        <v>42.38</v>
      </c>
      <c r="H45">
        <f>_xll.EQNXTDZ($A$1,$B45,H$1,$B$1)</f>
        <v>42.38</v>
      </c>
      <c r="I45">
        <f>_xll.EQNXTDZ($A$1,$B45,I$1,$B$1)</f>
        <v>42.38</v>
      </c>
      <c r="J45">
        <f>_xll.EQNXTDZ($A$1,$B45,J$1,$B$1)</f>
        <v>42.38</v>
      </c>
      <c r="K45">
        <f>_xll.EQNXTDZ($A$1,$B45,K$1,$B$1)</f>
        <v>42.38</v>
      </c>
      <c r="L45">
        <f>_xll.EQNXTDZ($A$1,$B45,L$1,$B$1)</f>
        <v>42.38</v>
      </c>
      <c r="M45">
        <f>_xll.EQNXTDZ($A$1,$B45,M$1,$B$1)</f>
        <v>42.38</v>
      </c>
      <c r="N45">
        <f>_xll.EQNXTDZ($A$1,$B45,N$1,$B$1)</f>
        <v>42.38</v>
      </c>
      <c r="O45">
        <f>_xll.EQNXTDZ($A$1,$B45,O$1,$B$1)</f>
        <v>42.38</v>
      </c>
      <c r="P45">
        <f>_xll.EQNXTDZ($A$1,$B45,P$1,$B$1)</f>
        <v>42.38</v>
      </c>
      <c r="Q45">
        <f>_xll.EQNXTDZ($A$1,$B45,Q$1,$B$1)</f>
        <v>42.38</v>
      </c>
      <c r="R45">
        <f>_xll.EQNXTDZ($A$1,$B45,R$1,$B$1)</f>
        <v>42.38</v>
      </c>
      <c r="S45">
        <f>_xll.EQNXTDZ($A$1,$B45,S$1,$B$1)</f>
        <v>42.38</v>
      </c>
      <c r="T45">
        <f>_xll.EQNXTDZ($A$1,$B45,T$1,$B$1)</f>
        <v>42.38</v>
      </c>
      <c r="U45">
        <f>_xll.EQNXTDZ($A$1,$B45,U$1,$B$1)</f>
        <v>42.38</v>
      </c>
      <c r="V45">
        <f>_xll.EQNXTDZ($A$1,$B45,V$1,$B$1)</f>
        <v>42.38</v>
      </c>
      <c r="W45">
        <f>_xll.EQNXTDZ($A$1,$B45,W$1,$B$1)</f>
        <v>42.38</v>
      </c>
      <c r="X45">
        <f>_xll.EQNXTDZ($A$1,$B45,X$1,$B$1)</f>
        <v>42.38</v>
      </c>
      <c r="Y45">
        <f>_xll.EQNXTDZ($A$1,$B45,Y$1,$B$1)</f>
        <v>42.38</v>
      </c>
      <c r="Z45">
        <f>_xll.EQNXTDZ($A$1,$B45,Z$1,$B$1)</f>
        <v>42.38</v>
      </c>
      <c r="AA45">
        <f>_xll.EQNXTDZ($A$1,$B45,AA$1,$B$1)</f>
        <v>42.38</v>
      </c>
      <c r="AB45">
        <f>_xll.EQNXTDZ($A$1,$B45,AB$1,$B$1)</f>
        <v>42.38</v>
      </c>
      <c r="AC45">
        <f>_xll.EQNXTDZ($A$1,$B45,AC$1,$B$1)</f>
        <v>42.38</v>
      </c>
      <c r="AD45">
        <f>_xll.EQNXTDZ($A$1,$B45,AD$1,$B$1)</f>
        <v>42.38</v>
      </c>
      <c r="AE45">
        <f>_xll.EQNXTDZ($A$1,$B45,AE$1,$B$1)</f>
        <v>42.38</v>
      </c>
      <c r="AF45">
        <f>_xll.EQNXTDZ($A$1,$B45,AF$1,$B$1)</f>
        <v>42.38</v>
      </c>
      <c r="AG45">
        <f>_xll.EQNXTDZ($A$1,$B45,AG$1,$B$1)</f>
        <v>42.38</v>
      </c>
      <c r="AH45">
        <f>_xll.EQNXTDZ($A$1,$B45,AH$1,$B$1)</f>
        <v>42.38</v>
      </c>
      <c r="AI45">
        <f>_xll.EQNXTDZ($A$1,$B45,AI$1,$B$1)</f>
        <v>42.38</v>
      </c>
      <c r="AJ45">
        <f>_xll.EQNXTDZ($A$1,$B45,AJ$1,$B$1)</f>
        <v>42.38</v>
      </c>
      <c r="AK45">
        <f>_xll.EQNXTDZ($A$1,$B45,AK$1,$B$1)</f>
        <v>42.38</v>
      </c>
      <c r="AL45">
        <f>_xll.EQNXTDZ($A$1,$B45,AL$1,$B$1)</f>
        <v>42.38</v>
      </c>
      <c r="AM45">
        <f>_xll.EQNXTDZ($A$1,$B45,AM$1,$B$1)</f>
        <v>42.38</v>
      </c>
      <c r="AN45">
        <f>_xll.EQNXTDZ($A$1,$B45,AN$1,$B$1)</f>
        <v>42.38</v>
      </c>
      <c r="AO45">
        <f>_xll.EQNXTDZ($A$1,$B45,AO$1,$B$1)</f>
        <v>42.38</v>
      </c>
      <c r="AP45">
        <f>_xll.EQNXTDZ($A$1,$B45,AP$1,$B$1)</f>
        <v>42.38</v>
      </c>
      <c r="AQ45">
        <f>_xll.EQNXTDZ($A$1,$B45,AQ$1,$B$1)</f>
        <v>42.38</v>
      </c>
      <c r="AR45">
        <f>_xll.EQNXTDZ($A$1,$B45,AR$1,$B$1)</f>
        <v>42.38</v>
      </c>
      <c r="AS45">
        <f>_xll.EQNXTDZ($A$1,$B45,AS$1,$B$1)</f>
        <v>42.38</v>
      </c>
      <c r="AT45">
        <f>_xll.EQNXTDZ($A$1,$B45,AT$1,$B$1)</f>
        <v>42.38</v>
      </c>
      <c r="AU45">
        <f>_xll.EQNXTDZ($A$1,$B45,AU$1,$B$1)</f>
        <v>42.38</v>
      </c>
      <c r="AV45">
        <f>_xll.EQNXTDZ($A$1,$B45,AV$1,$B$1)</f>
        <v>42.38</v>
      </c>
      <c r="AW45">
        <f>_xll.EQNXTDZ($A$1,$B45,AW$1,$B$1)</f>
        <v>42.38</v>
      </c>
      <c r="AX45">
        <f>_xll.EQNXTDZ($A$1,$B45,AX$1,$B$1)</f>
        <v>42.38</v>
      </c>
      <c r="AY45">
        <f>_xll.EQNXTDZ($A$1,$B45,AY$1,$B$1)</f>
        <v>42.38</v>
      </c>
      <c r="AZ45">
        <f>_xll.EQNXTDZ($A$1,$B45,AZ$1,$B$1)</f>
        <v>42.38</v>
      </c>
      <c r="BA45">
        <f>_xll.EQNXTDZ($A$1,$B45,BA$1,$B$1)</f>
        <v>42.38</v>
      </c>
      <c r="BB45">
        <f>_xll.EQNXTDZ($A$1,$B45,BB$1,$B$1)</f>
        <v>42.38</v>
      </c>
      <c r="BC45">
        <f>_xll.EQNXTDZ($A$1,$B45,BC$1,$B$1)</f>
        <v>42.38</v>
      </c>
      <c r="BD45">
        <f>_xll.EQNXTDZ($A$1,$B45,BD$1,$B$1)</f>
        <v>42.38</v>
      </c>
      <c r="BE45">
        <f>_xll.EQNXTDZ($A$1,$B45,BE$1,$B$1)</f>
        <v>42.38</v>
      </c>
      <c r="BF45">
        <f>_xll.EQNXTDZ($A$1,$B45,BF$1,$B$1)</f>
        <v>42.38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800.8</v>
      </c>
      <c r="D48" s="55">
        <f>_xll.EQNXTDZ($A$1,$B48,D$5)</f>
        <v>797.75</v>
      </c>
      <c r="E48" s="55">
        <f>_xll.EQNXTDZ($A$1,$B48,E$5)</f>
        <v>700.4</v>
      </c>
      <c r="F48" s="55">
        <f>_xll.EQNXTDZ($A$1,$B48,F$5)</f>
        <v>489.2</v>
      </c>
      <c r="G48" s="55">
        <f>_xll.EQNXTDZ($A$1,$B48,G$5)</f>
        <v>610.85</v>
      </c>
      <c r="H48" s="55">
        <f>_xll.EQNXTDZ($A$1,$B48,H$5)</f>
        <v>543.9</v>
      </c>
      <c r="I48" s="55">
        <f>_xll.EQNXTDZ($A$1,$B48,I$5)</f>
        <v>692.8</v>
      </c>
      <c r="J48" s="55">
        <f>_xll.EQNXTDZ($A$1,$B48,J$5)</f>
        <v>849.95</v>
      </c>
      <c r="K48" s="55">
        <f>_xll.EQNXTDZ($A$1,$B48,K$5)</f>
        <v>1122.05</v>
      </c>
      <c r="L48" s="55">
        <f>_xll.EQNXTDZ($A$1,$B48,L$5)</f>
        <v>1147.3</v>
      </c>
      <c r="M48" s="55">
        <f>_xll.EQNXTDZ($A$1,$B48,M$5)</f>
        <v>1286.2</v>
      </c>
      <c r="N48" s="55">
        <f>_xll.EQNXTDZ($A$1,$B48,N$5)</f>
        <v>1257</v>
      </c>
      <c r="O48" s="55">
        <f>_xll.EQNXTDZ($A$1,$B48,O$5)</f>
        <v>1322.75</v>
      </c>
      <c r="P48" s="55">
        <f>_xll.EQNXTDZ($A$1,$B48,P$5)</f>
        <v>1057.9000000000001</v>
      </c>
      <c r="Q48" s="55">
        <f>_xll.EQNXTDZ($A$1,$B48,Q$5)</f>
        <v>1118.0999999999999</v>
      </c>
      <c r="R48" s="55">
        <f>_xll.EQNXTDZ($A$1,$B48,R$5)</f>
        <v>1276.5</v>
      </c>
      <c r="S48" s="55">
        <f>_xll.EQNXTDZ($A$1,$B48,S$5)</f>
        <v>1224.7</v>
      </c>
      <c r="T48" s="55">
        <f>_xll.EQNXTDZ($A$1,$B48,T$5)</f>
        <v>1134.7</v>
      </c>
      <c r="U48" s="55">
        <f>_xll.EQNXTDZ($A$1,$B48,U$5)</f>
        <v>1039.0999999999999</v>
      </c>
      <c r="V48" s="55">
        <f>_xll.EQNXTDZ($A$1,$B48,V$5)</f>
        <v>1279.6500000000001</v>
      </c>
      <c r="W48" s="55">
        <f>_xll.EQNXTDZ($A$1,$B48,W$5)</f>
        <v>1451.1</v>
      </c>
      <c r="X48" s="55">
        <f>_xll.EQNXTDZ($A$1,$B48,X$5)</f>
        <v>1396.05</v>
      </c>
      <c r="Y48" s="55">
        <f>_xll.EQNXTDZ($A$1,$B48,Y$5)</f>
        <v>1399.5</v>
      </c>
      <c r="Z48" s="55">
        <f>_xll.EQNXTDZ($A$1,$B48,Z$5)</f>
        <v>1286.5999999999999</v>
      </c>
      <c r="AA48" s="55">
        <f>_xll.EQNXTDZ($A$1,$B48,AA$5)</f>
        <v>1180.5999999999999</v>
      </c>
      <c r="AB48" s="55">
        <f>_xll.EQNXTDZ($A$1,$B48,AB$5)</f>
        <v>1402.55</v>
      </c>
      <c r="AC48" s="55">
        <f>_xll.EQNXTDZ($A$1,$B48,AC$5)</f>
        <v>1332</v>
      </c>
      <c r="AD48" s="55">
        <f>_xll.EQNXTDZ($A$1,$B48,AD$5)</f>
        <v>1319.85</v>
      </c>
      <c r="AE48" s="55">
        <f>_xll.EQNXTDZ($A$1,$B48,AE$5)</f>
        <v>1603.35</v>
      </c>
      <c r="AF48" s="55">
        <f>_xll.EQNXTDZ($A$1,$B48,AF$5)</f>
        <v>1521</v>
      </c>
      <c r="AG48" s="55">
        <f>_xll.EQNXTDZ($A$1,$B48,AG$5)</f>
        <v>1284.0999999999999</v>
      </c>
      <c r="AH48" s="55">
        <f>_xll.EQNXTDZ($A$1,$B48,AH$5)</f>
        <v>932.65</v>
      </c>
      <c r="AI48" s="55">
        <f>_xll.EQNXTDZ($A$1,$B48,AI$5)</f>
        <v>943.6</v>
      </c>
      <c r="AJ48" s="55">
        <f>_xll.EQNXTDZ($A$1,$B48,AJ$5)</f>
        <v>859.45</v>
      </c>
      <c r="AK48" s="55">
        <f>_xll.EQNXTDZ($A$1,$B48,AK$5)</f>
        <v>1212.1500000000001</v>
      </c>
      <c r="AL48" s="55">
        <f>_xll.EQNXTDZ($A$1,$B48,AL$5)</f>
        <v>1417.4</v>
      </c>
      <c r="AM48" s="55">
        <f>_xll.EQNXTDZ($A$1,$B48,AM$5)</f>
        <v>1806.05</v>
      </c>
      <c r="AN48" s="55">
        <f>_xll.EQNXTDZ($A$1,$B48,AN$5)</f>
        <v>1869.05</v>
      </c>
      <c r="AO48" s="55">
        <f>_xll.EQNXTDZ($A$1,$B48,AO$5)</f>
        <v>2234.85</v>
      </c>
      <c r="AP48" s="55">
        <f>_xll.EQNXTDZ($A$1,$B48,AP$5)</f>
        <v>2154.3000000000002</v>
      </c>
      <c r="AQ48" s="55">
        <f>_xll.EQNXTDZ($A$1,$B48,AQ$5)</f>
        <v>2296.25</v>
      </c>
      <c r="AR48" s="55">
        <f>_xll.EQNXTDZ($A$1,$B48,AR$5)</f>
        <v>3090.4</v>
      </c>
      <c r="AS48" s="55">
        <f>_xll.EQNXTDZ($A$1,$B48,AS$5)</f>
        <v>2683.15</v>
      </c>
      <c r="AT48" s="55">
        <f>_xll.EQNXTDZ($A$1,$B48,AT$5)</f>
        <v>3365.5</v>
      </c>
      <c r="AU48" s="55">
        <f>_xll.EQNXTDZ($A$1,$B48,AU$5)</f>
        <v>4421.25</v>
      </c>
      <c r="AV48" s="55">
        <f>_xll.EQNXTDZ($A$1,$B48,AV$5)</f>
        <v>4100.3500000000004</v>
      </c>
      <c r="AW48" s="55">
        <f>_xll.EQNXTDZ($A$1,$B48,AW$5)</f>
        <v>4673.95</v>
      </c>
      <c r="AX48" s="55">
        <f>_xll.EQNXTDZ($A$1,$B48,AX$5)</f>
        <v>6363.3</v>
      </c>
      <c r="AY48" s="55">
        <f>_xll.EQNXTDZ($A$1,$B48,AY$5)</f>
        <v>8492.6</v>
      </c>
      <c r="AZ48" s="55">
        <f>_xll.EQNXTDZ($A$1,$B48,AZ$5)</f>
        <v>8061.5</v>
      </c>
      <c r="BA48" s="55">
        <f>_xll.EQNXTDZ($A$1,$B48,BA$5)</f>
        <v>6913.95</v>
      </c>
      <c r="BB48" s="55">
        <f>_xll.EQNXTDZ($A$1,$B48,BB$5)</f>
        <v>5542.55</v>
      </c>
      <c r="BC48" s="55">
        <f>_xll.EQNXTDZ($A$1,$B48,BC$5)</f>
        <v>6076.95</v>
      </c>
      <c r="BD48" s="55">
        <f>_xll.EQNXTDZ($A$1,$B48,BD$5)</f>
        <v>5184.95</v>
      </c>
      <c r="BE48" s="55">
        <f>_xll.EQNXTDZ($A$1,$B48,BE$5)</f>
        <v>5170.3</v>
      </c>
      <c r="BF48" s="55">
        <f>_xll.EQNXTDZ($A$1,$B48,BF$5)</f>
        <v>5936.5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75</v>
      </c>
      <c r="D49" s="55">
        <f>_xll.EQNXTDZ($A$1,$B49,D$5)</f>
        <v>75</v>
      </c>
      <c r="E49" s="55">
        <f>_xll.EQNXTDZ($A$1,$B49,E$5)</f>
        <v>75</v>
      </c>
      <c r="F49" s="55">
        <f>_xll.EQNXTDZ($A$1,$B49,F$5)</f>
        <v>75</v>
      </c>
      <c r="G49" s="55">
        <f>_xll.EQNXTDZ($A$1,$B49,G$5)</f>
        <v>75</v>
      </c>
      <c r="H49" s="55">
        <f>_xll.EQNXTDZ($A$1,$B49,H$5)</f>
        <v>75</v>
      </c>
      <c r="I49" s="55">
        <f>_xll.EQNXTDZ($A$1,$B49,I$5)</f>
        <v>75</v>
      </c>
      <c r="J49" s="55">
        <f>_xll.EQNXTDZ($A$1,$B49,J$5)</f>
        <v>75</v>
      </c>
      <c r="K49" s="55">
        <f>_xll.EQNXTDZ($A$1,$B49,K$5)</f>
        <v>75</v>
      </c>
      <c r="L49" s="55">
        <f>_xll.EQNXTDZ($A$1,$B49,L$5)</f>
        <v>75</v>
      </c>
      <c r="M49" s="55">
        <f>_xll.EQNXTDZ($A$1,$B49,M$5)</f>
        <v>75</v>
      </c>
      <c r="N49" s="55">
        <f>_xll.EQNXTDZ($A$1,$B49,N$5)</f>
        <v>75</v>
      </c>
      <c r="O49" s="55">
        <f>_xll.EQNXTDZ($A$1,$B49,O$5)</f>
        <v>75</v>
      </c>
      <c r="P49" s="55">
        <f>_xll.EQNXTDZ($A$1,$B49,P$5)</f>
        <v>75</v>
      </c>
      <c r="Q49" s="55">
        <f>_xll.EQNXTDZ($A$1,$B49,Q$5)</f>
        <v>75</v>
      </c>
      <c r="R49" s="55">
        <f>_xll.EQNXTDZ($A$1,$B49,R$5)</f>
        <v>75</v>
      </c>
      <c r="S49" s="55">
        <f>_xll.EQNXTDZ($A$1,$B49,S$5)</f>
        <v>75</v>
      </c>
      <c r="T49" s="55">
        <f>_xll.EQNXTDZ($A$1,$B49,T$5)</f>
        <v>75</v>
      </c>
      <c r="U49" s="55">
        <f>_xll.EQNXTDZ($A$1,$B49,U$5)</f>
        <v>75</v>
      </c>
      <c r="V49" s="55">
        <f>_xll.EQNXTDZ($A$1,$B49,V$5)</f>
        <v>75</v>
      </c>
      <c r="W49" s="55">
        <f>_xll.EQNXTDZ($A$1,$B49,W$5)</f>
        <v>75</v>
      </c>
      <c r="X49" s="55">
        <f>_xll.EQNXTDZ($A$1,$B49,X$5)</f>
        <v>75</v>
      </c>
      <c r="Y49" s="55">
        <f>_xll.EQNXTDZ($A$1,$B49,Y$5)</f>
        <v>75</v>
      </c>
      <c r="Z49" s="55">
        <f>_xll.EQNXTDZ($A$1,$B49,Z$5)</f>
        <v>75</v>
      </c>
      <c r="AA49" s="55">
        <f>_xll.EQNXTDZ($A$1,$B49,AA$5)</f>
        <v>75</v>
      </c>
      <c r="AB49" s="55">
        <f>_xll.EQNXTDZ($A$1,$B49,AB$5)</f>
        <v>75</v>
      </c>
      <c r="AC49" s="55">
        <f>_xll.EQNXTDZ($A$1,$B49,AC$5)</f>
        <v>75</v>
      </c>
      <c r="AD49" s="55">
        <f>_xll.EQNXTDZ($A$1,$B49,AD$5)</f>
        <v>75</v>
      </c>
      <c r="AE49" s="55">
        <f>_xll.EQNXTDZ($A$1,$B49,AE$5)</f>
        <v>75</v>
      </c>
      <c r="AF49" s="55">
        <f>_xll.EQNXTDZ($A$1,$B49,AF$5)</f>
        <v>75</v>
      </c>
      <c r="AG49" s="55">
        <f>_xll.EQNXTDZ($A$1,$B49,AG$5)</f>
        <v>75</v>
      </c>
      <c r="AH49" s="55">
        <f>_xll.EQNXTDZ($A$1,$B49,AH$5)</f>
        <v>75</v>
      </c>
      <c r="AI49" s="55">
        <f>_xll.EQNXTDZ($A$1,$B49,AI$5)</f>
        <v>75</v>
      </c>
      <c r="AJ49" s="55">
        <f>_xll.EQNXTDZ($A$1,$B49,AJ$5)</f>
        <v>75</v>
      </c>
      <c r="AK49" s="55">
        <f>_xll.EQNXTDZ($A$1,$B49,AK$5)</f>
        <v>75</v>
      </c>
      <c r="AL49" s="55">
        <f>_xll.EQNXTDZ($A$1,$B49,AL$5)</f>
        <v>75</v>
      </c>
      <c r="AM49" s="55">
        <f>_xll.EQNXTDZ($A$1,$B49,AM$5)</f>
        <v>75</v>
      </c>
      <c r="AN49" s="55">
        <f>_xll.EQNXTDZ($A$1,$B49,AN$5)</f>
        <v>75</v>
      </c>
      <c r="AO49" s="55">
        <f>_xll.EQNXTDZ($A$1,$B49,AO$5)</f>
        <v>75</v>
      </c>
      <c r="AP49" s="55">
        <f>_xll.EQNXTDZ($A$1,$B49,AP$5)</f>
        <v>75</v>
      </c>
      <c r="AQ49" s="55">
        <f>_xll.EQNXTDZ($A$1,$B49,AQ$5)</f>
        <v>75</v>
      </c>
      <c r="AR49" s="55">
        <f>_xll.EQNXTDZ($A$1,$B49,AR$5)</f>
        <v>75</v>
      </c>
      <c r="AS49" s="55">
        <f>_xll.EQNXTDZ($A$1,$B49,AS$5)</f>
        <v>75</v>
      </c>
      <c r="AT49" s="55">
        <f>_xll.EQNXTDZ($A$1,$B49,AT$5)</f>
        <v>75</v>
      </c>
      <c r="AU49" s="55">
        <f>_xll.EQNXTDZ($A$1,$B49,AU$5)</f>
        <v>75</v>
      </c>
      <c r="AV49" s="55">
        <f>_xll.EQNXTDZ($A$1,$B49,AV$5)</f>
        <v>75</v>
      </c>
      <c r="AW49" s="55">
        <f>_xll.EQNXTDZ($A$1,$B49,AW$5)</f>
        <v>75</v>
      </c>
      <c r="AX49" s="55">
        <f>_xll.EQNXTDZ($A$1,$B49,AX$5)</f>
        <v>75</v>
      </c>
      <c r="AY49" s="55">
        <f>_xll.EQNXTDZ($A$1,$B49,AY$5)</f>
        <v>75</v>
      </c>
      <c r="AZ49" s="55">
        <f>_xll.EQNXTDZ($A$1,$B49,AZ$5)</f>
        <v>75</v>
      </c>
      <c r="BA49" s="55">
        <f>_xll.EQNXTDZ($A$1,$B49,BA$5)</f>
        <v>75</v>
      </c>
      <c r="BB49" s="55">
        <f>_xll.EQNXTDZ($A$1,$B49,BB$5)</f>
        <v>75</v>
      </c>
      <c r="BC49" s="55">
        <f>_xll.EQNXTDZ($A$1,$B49,BC$5)</f>
        <v>75</v>
      </c>
      <c r="BD49" s="55">
        <f>_xll.EQNXTDZ($A$1,$B49,BD$5)</f>
        <v>75</v>
      </c>
      <c r="BE49" s="55">
        <f>_xll.EQNXTDZ($A$1,$B49,BE$5)</f>
        <v>75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100">
        <f>_xll.EQNXTDZ($A$1,$B54,C$5)</f>
        <v>0</v>
      </c>
      <c r="D54" s="100">
        <f>_xll.EQNXTDZ($A$1,$B54,D$5)</f>
        <v>0</v>
      </c>
      <c r="E54" s="100">
        <f>_xll.EQNXTDZ($A$1,$B54,E$5)</f>
        <v>0</v>
      </c>
      <c r="F54" s="100">
        <f>_xll.EQNXTDZ($A$1,$B54,F$5)</f>
        <v>0</v>
      </c>
      <c r="G54" s="100">
        <f>_xll.EQNXTDZ($A$1,$B54,G$5)</f>
        <v>0</v>
      </c>
      <c r="H54" s="100">
        <f>_xll.EQNXTDZ($A$1,$B54,H$5)</f>
        <v>0</v>
      </c>
      <c r="I54" s="100">
        <f>_xll.EQNXTDZ($A$1,$B54,I$5)</f>
        <v>0</v>
      </c>
      <c r="J54" s="100">
        <f>_xll.EQNXTDZ($A$1,$B54,J$5)</f>
        <v>0</v>
      </c>
      <c r="K54" s="100">
        <f>_xll.EQNXTDZ($A$1,$B54,K$5)</f>
        <v>0</v>
      </c>
      <c r="L54" s="100">
        <f>_xll.EQNXTDZ($A$1,$B54,L$5)</f>
        <v>0</v>
      </c>
      <c r="M54" s="100">
        <f>_xll.EQNXTDZ($A$1,$B54,M$5)</f>
        <v>0</v>
      </c>
      <c r="N54" s="100">
        <f>_xll.EQNXTDZ($A$1,$B54,N$5)</f>
        <v>0</v>
      </c>
      <c r="O54" s="100">
        <f>_xll.EQNXTDZ($A$1,$B54,O$5)</f>
        <v>0</v>
      </c>
      <c r="P54" s="100">
        <f>_xll.EQNXTDZ($A$1,$B54,P$5)</f>
        <v>0</v>
      </c>
      <c r="Q54" s="100">
        <f>_xll.EQNXTDZ($A$1,$B54,Q$5)</f>
        <v>0</v>
      </c>
      <c r="R54" s="100">
        <f>_xll.EQNXTDZ($A$1,$B54,R$5)</f>
        <v>0</v>
      </c>
      <c r="S54" s="100">
        <f>_xll.EQNXTDZ($A$1,$B54,S$5)</f>
        <v>0</v>
      </c>
      <c r="T54" s="100">
        <f>_xll.EQNXTDZ($A$1,$B54,T$5)</f>
        <v>0</v>
      </c>
      <c r="U54" s="100">
        <f>_xll.EQNXTDZ($A$1,$B54,U$5)</f>
        <v>0</v>
      </c>
      <c r="V54" s="100">
        <f>_xll.EQNXTDZ($A$1,$B54,V$5)</f>
        <v>0</v>
      </c>
      <c r="W54" s="100">
        <f>_xll.EQNXTDZ($A$1,$B54,W$5)</f>
        <v>0</v>
      </c>
      <c r="X54" s="100">
        <f>_xll.EQNXTDZ($A$1,$B54,X$5)</f>
        <v>0</v>
      </c>
      <c r="Y54" s="100">
        <f>_xll.EQNXTDZ($A$1,$B54,Y$5)</f>
        <v>0</v>
      </c>
      <c r="Z54" s="100">
        <f>_xll.EQNXTDZ($A$1,$B54,Z$5)</f>
        <v>0</v>
      </c>
      <c r="AA54" s="100">
        <f>_xll.EQNXTDZ($A$1,$B54,AA$5)</f>
        <v>0</v>
      </c>
      <c r="AB54" s="100">
        <f>_xll.EQNXTDZ($A$1,$B54,AB$5)</f>
        <v>0</v>
      </c>
      <c r="AC54" s="100">
        <f>_xll.EQNXTDZ($A$1,$B54,AC$5)</f>
        <v>0</v>
      </c>
      <c r="AD54" s="100">
        <f>_xll.EQNXTDZ($A$1,$B54,AD$5)</f>
        <v>0</v>
      </c>
      <c r="AE54" s="100">
        <f>_xll.EQNXTDZ($A$1,$B54,AE$5)</f>
        <v>0</v>
      </c>
      <c r="AF54" s="100">
        <f>_xll.EQNXTDZ($A$1,$B54,AF$5)</f>
        <v>0</v>
      </c>
      <c r="AG54" s="100">
        <f>_xll.EQNXTDZ($A$1,$B54,AG$5)</f>
        <v>0</v>
      </c>
      <c r="AH54" s="100">
        <f>_xll.EQNXTDZ($A$1,$B54,AH$5)</f>
        <v>0</v>
      </c>
      <c r="AI54" s="100">
        <f>_xll.EQNXTDZ($A$1,$B54,AI$5)</f>
        <v>0</v>
      </c>
      <c r="AJ54" s="100">
        <f>_xll.EQNXTDZ($A$1,$B54,AJ$5)</f>
        <v>0</v>
      </c>
      <c r="AK54" s="100">
        <f>_xll.EQNXTDZ($A$1,$B54,AK$5)</f>
        <v>0</v>
      </c>
      <c r="AL54" s="100">
        <f>_xll.EQNXTDZ($A$1,$B54,AL$5)</f>
        <v>0</v>
      </c>
      <c r="AM54" s="100">
        <f>_xll.EQNXTDZ($A$1,$B54,AM$5)</f>
        <v>0</v>
      </c>
      <c r="AN54" s="100">
        <f>_xll.EQNXTDZ($A$1,$B54,AN$5)</f>
        <v>0</v>
      </c>
      <c r="AO54" s="100">
        <f>_xll.EQNXTDZ($A$1,$B54,AO$5)</f>
        <v>0</v>
      </c>
      <c r="AP54" s="100">
        <f>_xll.EQNXTDZ($A$1,$B54,AP$5)</f>
        <v>0</v>
      </c>
      <c r="AQ54" s="100">
        <f>_xll.EQNXTDZ($A$1,$B54,AQ$5)</f>
        <v>0</v>
      </c>
      <c r="AR54" s="100">
        <f>_xll.EQNXTDZ($A$1,$B54,AR$5)</f>
        <v>0</v>
      </c>
      <c r="AS54" s="100">
        <f>_xll.EQNXTDZ($A$1,$B54,AS$5)</f>
        <v>0</v>
      </c>
      <c r="AT54" s="100">
        <f>_xll.EQNXTDZ($A$1,$B54,AT$5)</f>
        <v>0</v>
      </c>
      <c r="AU54" s="100">
        <f>_xll.EQNXTDZ($A$1,$B54,AU$5)</f>
        <v>0</v>
      </c>
      <c r="AV54" s="100">
        <f>_xll.EQNXTDZ($A$1,$B54,AV$5)</f>
        <v>0</v>
      </c>
      <c r="AW54" s="100">
        <f>_xll.EQNXTDZ($A$1,$B54,AW$5)</f>
        <v>0</v>
      </c>
      <c r="AX54" s="100">
        <f>_xll.EQNXTDZ($A$1,$B54,AX$5)</f>
        <v>0</v>
      </c>
      <c r="AY54" s="100">
        <f>_xll.EQNXTDZ($A$1,$B54,AY$5)</f>
        <v>0</v>
      </c>
      <c r="AZ54" s="100">
        <f>_xll.EQNXTDZ($A$1,$B54,AZ$5)</f>
        <v>0</v>
      </c>
      <c r="BA54" s="100">
        <f>_xll.EQNXTDZ($A$1,$B54,BA$5)</f>
        <v>0</v>
      </c>
      <c r="BB54" s="100">
        <f>_xll.EQNXTDZ($A$1,$B54,BB$5)</f>
        <v>0</v>
      </c>
      <c r="BC54" s="100">
        <f>_xll.EQNXTDZ($A$1,$B54,BC$5)</f>
        <v>0</v>
      </c>
      <c r="BD54" s="100">
        <f>_xll.EQNXTDZ($A$1,$B54,BD$5)</f>
        <v>0</v>
      </c>
      <c r="BE54" s="100">
        <f>_xll.EQNXTDZ($A$1,$B54,BE$5)</f>
        <v>0</v>
      </c>
      <c r="BF54" s="100">
        <f>_xll.EQNXTDZ($A$1,$B54,BF$5)</f>
        <v>0</v>
      </c>
      <c r="BG54" s="100">
        <f>_xll.EQNXTDZ($A$1,$B54,BG$5)</f>
        <v>0</v>
      </c>
      <c r="BH54" s="100">
        <f>_xll.EQNXTDZ($A$1,$B54,BH$5)</f>
        <v>0</v>
      </c>
      <c r="BI54" s="100">
        <f>_xll.EQNXTDZ($A$1,$B54,BI$5)</f>
        <v>0</v>
      </c>
      <c r="BJ54" s="100">
        <f>_xll.EQNXTDZ($A$1,$B54,BJ$5)</f>
        <v>0</v>
      </c>
      <c r="BK54" s="100">
        <f>_xll.EQNXTDZ($A$1,$B54,BK$5)</f>
        <v>0</v>
      </c>
      <c r="BL54" s="100">
        <f>_xll.EQNXTDZ($A$1,$B54,BL$5)</f>
        <v>0</v>
      </c>
      <c r="BM54" s="100">
        <f>_xll.EQNXTDZ($A$1,$B54,BM$5)</f>
        <v>0</v>
      </c>
      <c r="BN54" s="100">
        <f>_xll.EQNXTDZ($A$1,$B54,BN$5)</f>
        <v>0</v>
      </c>
      <c r="BO54" s="100">
        <f>_xll.EQNXTDZ($A$1,$B54,BO$5)</f>
        <v>0</v>
      </c>
      <c r="BP54" s="100">
        <f>_xll.EQNXTDZ($A$1,$B54,BP$5)</f>
        <v>0</v>
      </c>
      <c r="BQ54" s="100">
        <f>_xll.EQNXTDZ($A$1,$B54,BQ$5)</f>
        <v>0</v>
      </c>
      <c r="BR54" s="100">
        <f>_xll.EQNXTDZ($A$1,$B54,BR$5)</f>
        <v>0</v>
      </c>
      <c r="BS54" s="100">
        <f>_xll.EQNXTDZ($A$1,$B54,BS$5)</f>
        <v>0</v>
      </c>
      <c r="BT54" s="100">
        <f>_xll.EQNXTDZ($A$1,$B54,BT$5)</f>
        <v>0</v>
      </c>
      <c r="BU54" s="100">
        <f>_xll.EQNXTDZ($A$1,$B54,BU$5)</f>
        <v>0</v>
      </c>
      <c r="BV54" s="100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100">
        <f>_xll.EQNXTDZ($A$1,$B55,C$5,$B$1)</f>
        <v>201206</v>
      </c>
      <c r="D55" s="100">
        <f>_xll.EQNXTDZ($A$1,$B55,D$5,$B$1)</f>
        <v>0</v>
      </c>
      <c r="E55" s="100">
        <f>_xll.EQNXTDZ($A$1,$B55,E$5,$B$1)</f>
        <v>201212</v>
      </c>
      <c r="F55" s="100">
        <f>_xll.EQNXTDZ($A$1,$B55,F$5,$B$1)</f>
        <v>0</v>
      </c>
      <c r="G55" s="100">
        <f>_xll.EQNXTDZ($A$1,$B55,G$5,$B$1)</f>
        <v>201306</v>
      </c>
      <c r="H55" s="100">
        <f>_xll.EQNXTDZ($A$1,$B55,H$5,$B$1)</f>
        <v>0</v>
      </c>
      <c r="I55" s="100">
        <f>_xll.EQNXTDZ($A$1,$B55,I$5,$B$1)</f>
        <v>201312</v>
      </c>
      <c r="J55" s="100">
        <f>_xll.EQNXTDZ($A$1,$B55,J$5,$B$1)</f>
        <v>0</v>
      </c>
      <c r="K55" s="100">
        <f>_xll.EQNXTDZ($A$1,$B55,K$5,$B$1)</f>
        <v>201406</v>
      </c>
      <c r="L55" s="100">
        <f>_xll.EQNXTDZ($A$1,$B55,L$5,$B$1)</f>
        <v>0</v>
      </c>
      <c r="M55" s="100">
        <f>_xll.EQNXTDZ($A$1,$B55,M$5,$B$1)</f>
        <v>201412</v>
      </c>
      <c r="N55" s="100">
        <f>_xll.EQNXTDZ($A$1,$B55,N$5,$B$1)</f>
        <v>0</v>
      </c>
      <c r="O55" s="100">
        <f>_xll.EQNXTDZ($A$1,$B55,O$5,$B$1)</f>
        <v>201506</v>
      </c>
      <c r="P55" s="100">
        <f>_xll.EQNXTDZ($A$1,$B55,P$5,$B$1)</f>
        <v>0</v>
      </c>
      <c r="Q55" s="100">
        <f>_xll.EQNXTDZ($A$1,$B55,Q$5,$B$1)</f>
        <v>201512</v>
      </c>
      <c r="R55" s="100">
        <f>_xll.EQNXTDZ($A$1,$B55,R$5,$B$1)</f>
        <v>0</v>
      </c>
      <c r="S55" s="100">
        <f>_xll.EQNXTDZ($A$1,$B55,S$5,$B$1)</f>
        <v>201606</v>
      </c>
      <c r="T55" s="100">
        <f>_xll.EQNXTDZ($A$1,$B55,T$5,$B$1)</f>
        <v>0</v>
      </c>
      <c r="U55" s="100">
        <f>_xll.EQNXTDZ($A$1,$B55,U$5,$B$1)</f>
        <v>201612</v>
      </c>
      <c r="V55" s="100">
        <f>_xll.EQNXTDZ($A$1,$B55,V$5,$B$1)</f>
        <v>0</v>
      </c>
      <c r="W55" s="100">
        <f>_xll.EQNXTDZ($A$1,$B55,W$5,$B$1)</f>
        <v>201706</v>
      </c>
      <c r="X55" s="100">
        <f>_xll.EQNXTDZ($A$1,$B55,X$5,$B$1)</f>
        <v>0</v>
      </c>
      <c r="Y55" s="100">
        <f>_xll.EQNXTDZ($A$1,$B55,Y$5,$B$1)</f>
        <v>201712</v>
      </c>
      <c r="Z55" s="100">
        <f>_xll.EQNXTDZ($A$1,$B55,Z$5,$B$1)</f>
        <v>0</v>
      </c>
      <c r="AA55" s="100">
        <f>_xll.EQNXTDZ($A$1,$B55,AA$5,$B$1)</f>
        <v>201806</v>
      </c>
      <c r="AB55" s="100">
        <f>_xll.EQNXTDZ($A$1,$B55,AB$5,$B$1)</f>
        <v>0</v>
      </c>
      <c r="AC55" s="100">
        <f>_xll.EQNXTDZ($A$1,$B55,AC$5,$B$1)</f>
        <v>201812</v>
      </c>
      <c r="AD55" s="100">
        <f>_xll.EQNXTDZ($A$1,$B55,AD$5,$B$1)</f>
        <v>0</v>
      </c>
      <c r="AE55" s="100">
        <f>_xll.EQNXTDZ($A$1,$B55,AE$5,$B$1)</f>
        <v>201906</v>
      </c>
      <c r="AF55" s="100">
        <f>_xll.EQNXTDZ($A$1,$B55,AF$5,$B$1)</f>
        <v>0</v>
      </c>
      <c r="AG55" s="100">
        <f>_xll.EQNXTDZ($A$1,$B55,AG$5,$B$1)</f>
        <v>201912</v>
      </c>
      <c r="AH55" s="100">
        <f>_xll.EQNXTDZ($A$1,$B55,AH$5,$B$1)</f>
        <v>0</v>
      </c>
      <c r="AI55" s="100">
        <f>_xll.EQNXTDZ($A$1,$B55,AI$5,$B$1)</f>
        <v>202006</v>
      </c>
      <c r="AJ55" s="100">
        <f>_xll.EQNXTDZ($A$1,$B55,AJ$5,$B$1)</f>
        <v>0</v>
      </c>
      <c r="AK55" s="100">
        <f>_xll.EQNXTDZ($A$1,$B55,AK$5,$B$1)</f>
        <v>202012</v>
      </c>
      <c r="AL55" s="100">
        <f>_xll.EQNXTDZ($A$1,$B55,AL$5,$B$1)</f>
        <v>0</v>
      </c>
      <c r="AM55" s="100">
        <f>_xll.EQNXTDZ($A$1,$B55,AM$5,$B$1)</f>
        <v>202106</v>
      </c>
      <c r="AN55" s="100">
        <f>_xll.EQNXTDZ($A$1,$B55,AN$5,$B$1)</f>
        <v>0</v>
      </c>
      <c r="AO55" s="100">
        <f>_xll.EQNXTDZ($A$1,$B55,AO$5,$B$1)</f>
        <v>202112</v>
      </c>
      <c r="AP55" s="100">
        <f>_xll.EQNXTDZ($A$1,$B55,AP$5,$B$1)</f>
        <v>0</v>
      </c>
      <c r="AQ55" s="100">
        <f>_xll.EQNXTDZ($A$1,$B55,AQ$5,$B$1)</f>
        <v>202206</v>
      </c>
      <c r="AR55" s="100">
        <f>_xll.EQNXTDZ($A$1,$B55,AR$5,$B$1)</f>
        <v>0</v>
      </c>
      <c r="AS55" s="100">
        <f>_xll.EQNXTDZ($A$1,$B55,AS$5,$B$1)</f>
        <v>202212</v>
      </c>
      <c r="AT55" s="100">
        <f>_xll.EQNXTDZ($A$1,$B55,AT$5,$B$1)</f>
        <v>0</v>
      </c>
      <c r="AU55" s="100">
        <f>_xll.EQNXTDZ($A$1,$B55,AU$5,$B$1)</f>
        <v>202306</v>
      </c>
      <c r="AV55" s="100">
        <f>_xll.EQNXTDZ($A$1,$B55,AV$5,$B$1)</f>
        <v>0</v>
      </c>
      <c r="AW55" s="100">
        <f>_xll.EQNXTDZ($A$1,$B55,AW$5,$B$1)</f>
        <v>202312</v>
      </c>
      <c r="AX55" s="100">
        <f>_xll.EQNXTDZ($A$1,$B55,AX$5,$B$1)</f>
        <v>0</v>
      </c>
      <c r="AY55" s="100">
        <f>_xll.EQNXTDZ($A$1,$B55,AY$5,$B$1)</f>
        <v>202406</v>
      </c>
      <c r="AZ55" s="100">
        <f>_xll.EQNXTDZ($A$1,$B55,AZ$5,$B$1)</f>
        <v>0</v>
      </c>
      <c r="BA55" s="100">
        <f>_xll.EQNXTDZ($A$1,$B55,BA$5,$B$1)</f>
        <v>202412</v>
      </c>
      <c r="BB55" s="100">
        <f>_xll.EQNXTDZ($A$1,$B55,BB$5,$B$1)</f>
        <v>0</v>
      </c>
      <c r="BC55" s="100">
        <f>_xll.EQNXTDZ($A$1,$B55,BC$5,$B$1)</f>
        <v>202506</v>
      </c>
      <c r="BD55" s="100">
        <f>_xll.EQNXTDZ($A$1,$B55,BD$5,$B$1)</f>
        <v>0</v>
      </c>
      <c r="BE55" s="100">
        <f>_xll.EQNXTDZ($A$1,$B55,BE$5,$B$1)</f>
        <v>202512</v>
      </c>
      <c r="BF55" s="100">
        <f>_xll.EQNXTDZ($A$1,$B55,BF$5,$B$1)</f>
        <v>0</v>
      </c>
      <c r="BG55" s="100">
        <f>_xll.EQNXTDZ($A$1,$B55,BG$5,$B$1)</f>
        <v>0</v>
      </c>
      <c r="BH55" s="100">
        <f>_xll.EQNXTDZ($A$1,$B55,BH$5,$B$1)</f>
        <v>0</v>
      </c>
      <c r="BI55" s="100">
        <f>_xll.EQNXTDZ($A$1,$B55,BI$5,$B$1)</f>
        <v>0</v>
      </c>
      <c r="BJ55" s="100">
        <f>_xll.EQNXTDZ($A$1,$B55,BJ$5,$B$1)</f>
        <v>0</v>
      </c>
      <c r="BK55" s="100">
        <f>_xll.EQNXTDZ($A$1,$B55,BK$5,$B$1)</f>
        <v>0</v>
      </c>
      <c r="BL55" s="100">
        <f>_xll.EQNXTDZ($A$1,$B55,BL$5,$B$1)</f>
        <v>0</v>
      </c>
      <c r="BM55" s="100">
        <f>_xll.EQNXTDZ($A$1,$B55,BM$5,$B$1)</f>
        <v>0</v>
      </c>
      <c r="BN55" s="100">
        <f>_xll.EQNXTDZ($A$1,$B55,BN$5,$B$1)</f>
        <v>0</v>
      </c>
      <c r="BO55" s="100">
        <f>_xll.EQNXTDZ($A$1,$B55,BO$5,$B$1)</f>
        <v>0</v>
      </c>
      <c r="BP55" s="100">
        <f>_xll.EQNXTDZ($A$1,$B55,BP$5,$B$1)</f>
        <v>0</v>
      </c>
      <c r="BQ55" s="100">
        <f>_xll.EQNXTDZ($A$1,$B55,BQ$5,$B$1)</f>
        <v>0</v>
      </c>
      <c r="BR55" s="100">
        <f>_xll.EQNXTDZ($A$1,$B55,BR$5,$B$1)</f>
        <v>0</v>
      </c>
      <c r="BS55" s="100">
        <f>_xll.EQNXTDZ($A$1,$B55,BS$5,$B$1)</f>
        <v>0</v>
      </c>
      <c r="BT55" s="100">
        <f>_xll.EQNXTDZ($A$1,$B55,BT$5,$B$1)</f>
        <v>0</v>
      </c>
      <c r="BU55" s="100">
        <f>_xll.EQNXTDZ($A$1,$B55,BU$5,$B$1)</f>
        <v>0</v>
      </c>
      <c r="BV55" s="100">
        <f>_xll.EQNXTDZ($A$1,$B55,BV$5,$B$1)</f>
        <v>0</v>
      </c>
    </row>
    <row r="56" spans="1:74" x14ac:dyDescent="0.25">
      <c r="A56" t="s">
        <v>41</v>
      </c>
      <c r="B56" t="s">
        <v>372</v>
      </c>
      <c r="C56" s="100">
        <f>_xll.EQNXTDZ($A$1,$B56,C$5,$B$1)</f>
        <v>42.38</v>
      </c>
      <c r="D56" s="100">
        <f>_xll.EQNXTDZ($A$1,$B56,D$5,$B$1)</f>
        <v>0</v>
      </c>
      <c r="E56" s="100">
        <f>_xll.EQNXTDZ($A$1,$B56,E$5,$B$1)</f>
        <v>42.38</v>
      </c>
      <c r="F56" s="100">
        <f>_xll.EQNXTDZ($A$1,$B56,F$5,$B$1)</f>
        <v>0</v>
      </c>
      <c r="G56" s="100">
        <f>_xll.EQNXTDZ($A$1,$B56,G$5,$B$1)</f>
        <v>42.38</v>
      </c>
      <c r="H56" s="100">
        <f>_xll.EQNXTDZ($A$1,$B56,H$5,$B$1)</f>
        <v>0</v>
      </c>
      <c r="I56" s="100">
        <f>_xll.EQNXTDZ($A$1,$B56,I$5,$B$1)</f>
        <v>42.38</v>
      </c>
      <c r="J56" s="100">
        <f>_xll.EQNXTDZ($A$1,$B56,J$5,$B$1)</f>
        <v>0</v>
      </c>
      <c r="K56" s="100">
        <f>_xll.EQNXTDZ($A$1,$B56,K$5,$B$1)</f>
        <v>42.38</v>
      </c>
      <c r="L56" s="100">
        <f>_xll.EQNXTDZ($A$1,$B56,L$5,$B$1)</f>
        <v>0</v>
      </c>
      <c r="M56" s="100">
        <f>_xll.EQNXTDZ($A$1,$B56,M$5,$B$1)</f>
        <v>42.38</v>
      </c>
      <c r="N56" s="100">
        <f>_xll.EQNXTDZ($A$1,$B56,N$5,$B$1)</f>
        <v>0</v>
      </c>
      <c r="O56" s="100">
        <f>_xll.EQNXTDZ($A$1,$B56,O$5,$B$1)</f>
        <v>42.38</v>
      </c>
      <c r="P56" s="100">
        <f>_xll.EQNXTDZ($A$1,$B56,P$5,$B$1)</f>
        <v>0</v>
      </c>
      <c r="Q56" s="100">
        <f>_xll.EQNXTDZ($A$1,$B56,Q$5,$B$1)</f>
        <v>42.38</v>
      </c>
      <c r="R56" s="100">
        <f>_xll.EQNXTDZ($A$1,$B56,R$5,$B$1)</f>
        <v>0</v>
      </c>
      <c r="S56" s="100">
        <f>_xll.EQNXTDZ($A$1,$B56,S$5,$B$1)</f>
        <v>42.38</v>
      </c>
      <c r="T56" s="100">
        <f>_xll.EQNXTDZ($A$1,$B56,T$5,$B$1)</f>
        <v>0</v>
      </c>
      <c r="U56" s="100">
        <f>_xll.EQNXTDZ($A$1,$B56,U$5,$B$1)</f>
        <v>42.38</v>
      </c>
      <c r="V56" s="100">
        <f>_xll.EQNXTDZ($A$1,$B56,V$5,$B$1)</f>
        <v>0</v>
      </c>
      <c r="W56" s="100">
        <f>_xll.EQNXTDZ($A$1,$B56,W$5,$B$1)</f>
        <v>42.38</v>
      </c>
      <c r="X56" s="100">
        <f>_xll.EQNXTDZ($A$1,$B56,X$5,$B$1)</f>
        <v>0</v>
      </c>
      <c r="Y56" s="100">
        <f>_xll.EQNXTDZ($A$1,$B56,Y$5,$B$1)</f>
        <v>42.38</v>
      </c>
      <c r="Z56" s="100">
        <f>_xll.EQNXTDZ($A$1,$B56,Z$5,$B$1)</f>
        <v>0</v>
      </c>
      <c r="AA56" s="100">
        <f>_xll.EQNXTDZ($A$1,$B56,AA$5,$B$1)</f>
        <v>42.38</v>
      </c>
      <c r="AB56" s="100">
        <f>_xll.EQNXTDZ($A$1,$B56,AB$5,$B$1)</f>
        <v>0</v>
      </c>
      <c r="AC56" s="100">
        <f>_xll.EQNXTDZ($A$1,$B56,AC$5,$B$1)</f>
        <v>42.38</v>
      </c>
      <c r="AD56" s="100">
        <f>_xll.EQNXTDZ($A$1,$B56,AD$5,$B$1)</f>
        <v>0</v>
      </c>
      <c r="AE56" s="100">
        <f>_xll.EQNXTDZ($A$1,$B56,AE$5,$B$1)</f>
        <v>42.38</v>
      </c>
      <c r="AF56" s="100">
        <f>_xll.EQNXTDZ($A$1,$B56,AF$5,$B$1)</f>
        <v>0</v>
      </c>
      <c r="AG56" s="100">
        <f>_xll.EQNXTDZ($A$1,$B56,AG$5,$B$1)</f>
        <v>42.38</v>
      </c>
      <c r="AH56" s="100">
        <f>_xll.EQNXTDZ($A$1,$B56,AH$5,$B$1)</f>
        <v>0</v>
      </c>
      <c r="AI56" s="100">
        <f>_xll.EQNXTDZ($A$1,$B56,AI$5,$B$1)</f>
        <v>42.38</v>
      </c>
      <c r="AJ56" s="100">
        <f>_xll.EQNXTDZ($A$1,$B56,AJ$5,$B$1)</f>
        <v>0</v>
      </c>
      <c r="AK56" s="100">
        <f>_xll.EQNXTDZ($A$1,$B56,AK$5,$B$1)</f>
        <v>42.38</v>
      </c>
      <c r="AL56" s="100">
        <f>_xll.EQNXTDZ($A$1,$B56,AL$5,$B$1)</f>
        <v>0</v>
      </c>
      <c r="AM56" s="100">
        <f>_xll.EQNXTDZ($A$1,$B56,AM$5,$B$1)</f>
        <v>42.38</v>
      </c>
      <c r="AN56" s="100">
        <f>_xll.EQNXTDZ($A$1,$B56,AN$5,$B$1)</f>
        <v>0</v>
      </c>
      <c r="AO56" s="100">
        <f>_xll.EQNXTDZ($A$1,$B56,AO$5,$B$1)</f>
        <v>42.38</v>
      </c>
      <c r="AP56" s="100">
        <f>_xll.EQNXTDZ($A$1,$B56,AP$5,$B$1)</f>
        <v>0</v>
      </c>
      <c r="AQ56" s="100">
        <f>_xll.EQNXTDZ($A$1,$B56,AQ$5,$B$1)</f>
        <v>42.38</v>
      </c>
      <c r="AR56" s="100">
        <f>_xll.EQNXTDZ($A$1,$B56,AR$5,$B$1)</f>
        <v>0</v>
      </c>
      <c r="AS56" s="100">
        <f>_xll.EQNXTDZ($A$1,$B56,AS$5,$B$1)</f>
        <v>42.38</v>
      </c>
      <c r="AT56" s="100">
        <f>_xll.EQNXTDZ($A$1,$B56,AT$5,$B$1)</f>
        <v>0</v>
      </c>
      <c r="AU56" s="100">
        <f>_xll.EQNXTDZ($A$1,$B56,AU$5,$B$1)</f>
        <v>42.38</v>
      </c>
      <c r="AV56" s="100">
        <f>_xll.EQNXTDZ($A$1,$B56,AV$5,$B$1)</f>
        <v>0</v>
      </c>
      <c r="AW56" s="100">
        <f>_xll.EQNXTDZ($A$1,$B56,AW$5,$B$1)</f>
        <v>42.38</v>
      </c>
      <c r="AX56" s="100">
        <f>_xll.EQNXTDZ($A$1,$B56,AX$5,$B$1)</f>
        <v>0</v>
      </c>
      <c r="AY56" s="100">
        <f>_xll.EQNXTDZ($A$1,$B56,AY$5,$B$1)</f>
        <v>42.38</v>
      </c>
      <c r="AZ56" s="100">
        <f>_xll.EQNXTDZ($A$1,$B56,AZ$5,$B$1)</f>
        <v>0</v>
      </c>
      <c r="BA56" s="100">
        <f>_xll.EQNXTDZ($A$1,$B56,BA$5,$B$1)</f>
        <v>42.38</v>
      </c>
      <c r="BB56" s="100">
        <f>_xll.EQNXTDZ($A$1,$B56,BB$5,$B$1)</f>
        <v>0</v>
      </c>
      <c r="BC56" s="100">
        <f>_xll.EQNXTDZ($A$1,$B56,BC$5,$B$1)</f>
        <v>42.38</v>
      </c>
      <c r="BD56" s="100">
        <f>_xll.EQNXTDZ($A$1,$B56,BD$5,$B$1)</f>
        <v>0</v>
      </c>
      <c r="BE56" s="100">
        <f>_xll.EQNXTDZ($A$1,$B56,BE$5,$B$1)</f>
        <v>42.38</v>
      </c>
      <c r="BF56" s="100">
        <f>_xll.EQNXTDZ($A$1,$B56,BF$5,$B$1)</f>
        <v>0</v>
      </c>
      <c r="BG56" s="100">
        <f>_xll.EQNXTDZ($A$1,$B56,BG$5,$B$1)</f>
        <v>0</v>
      </c>
      <c r="BH56" s="100">
        <f>_xll.EQNXTDZ($A$1,$B56,BH$5,$B$1)</f>
        <v>0</v>
      </c>
      <c r="BI56" s="100">
        <f>_xll.EQNXTDZ($A$1,$B56,BI$5,$B$1)</f>
        <v>0</v>
      </c>
      <c r="BJ56" s="100">
        <f>_xll.EQNXTDZ($A$1,$B56,BJ$5,$B$1)</f>
        <v>0</v>
      </c>
      <c r="BK56" s="100">
        <f>_xll.EQNXTDZ($A$1,$B56,BK$5,$B$1)</f>
        <v>0</v>
      </c>
      <c r="BL56" s="100">
        <f>_xll.EQNXTDZ($A$1,$B56,BL$5,$B$1)</f>
        <v>0</v>
      </c>
      <c r="BM56" s="100">
        <f>_xll.EQNXTDZ($A$1,$B56,BM$5,$B$1)</f>
        <v>0</v>
      </c>
      <c r="BN56" s="100">
        <f>_xll.EQNXTDZ($A$1,$B56,BN$5,$B$1)</f>
        <v>0</v>
      </c>
      <c r="BO56" s="100">
        <f>_xll.EQNXTDZ($A$1,$B56,BO$5,$B$1)</f>
        <v>0</v>
      </c>
      <c r="BP56" s="100">
        <f>_xll.EQNXTDZ($A$1,$B56,BP$5,$B$1)</f>
        <v>0</v>
      </c>
      <c r="BQ56" s="100">
        <f>_xll.EQNXTDZ($A$1,$B56,BQ$5,$B$1)</f>
        <v>0</v>
      </c>
      <c r="BR56" s="100">
        <f>_xll.EQNXTDZ($A$1,$B56,BR$5,$B$1)</f>
        <v>0</v>
      </c>
      <c r="BS56" s="100">
        <f>_xll.EQNXTDZ($A$1,$B56,BS$5,$B$1)</f>
        <v>0</v>
      </c>
      <c r="BT56" s="100">
        <f>_xll.EQNXTDZ($A$1,$B56,BT$5,$B$1)</f>
        <v>0</v>
      </c>
      <c r="BU56" s="100">
        <f>_xll.EQNXTDZ($A$1,$B56,BU$5,$B$1)</f>
        <v>0</v>
      </c>
      <c r="BV56" s="100">
        <f>_xll.EQNXTDZ($A$1,$B56,BV$5,$B$1)</f>
        <v>0</v>
      </c>
    </row>
    <row r="57" spans="1:74" x14ac:dyDescent="0.25">
      <c r="A57" t="s">
        <v>353</v>
      </c>
      <c r="B57" t="s">
        <v>373</v>
      </c>
      <c r="C57" s="100">
        <f>_xll.EQNXTDZ($A$1,$B57,C$5,$B$1)</f>
        <v>0</v>
      </c>
      <c r="D57" s="100">
        <f>_xll.EQNXTDZ($A$1,$B57,D$5,$B$1)</f>
        <v>0</v>
      </c>
      <c r="E57" s="100">
        <f>_xll.EQNXTDZ($A$1,$B57,E$5,$B$1)</f>
        <v>0</v>
      </c>
      <c r="F57" s="100">
        <f>_xll.EQNXTDZ($A$1,$B57,F$5,$B$1)</f>
        <v>0</v>
      </c>
      <c r="G57" s="100">
        <f>_xll.EQNXTDZ($A$1,$B57,G$5,$B$1)</f>
        <v>0</v>
      </c>
      <c r="H57" s="100">
        <f>_xll.EQNXTDZ($A$1,$B57,H$5,$B$1)</f>
        <v>0</v>
      </c>
      <c r="I57" s="100">
        <f>_xll.EQNXTDZ($A$1,$B57,I$5,$B$1)</f>
        <v>0</v>
      </c>
      <c r="J57" s="100">
        <f>_xll.EQNXTDZ($A$1,$B57,J$5,$B$1)</f>
        <v>0</v>
      </c>
      <c r="K57" s="100">
        <f>_xll.EQNXTDZ($A$1,$B57,K$5,$B$1)</f>
        <v>0</v>
      </c>
      <c r="L57" s="100">
        <f>_xll.EQNXTDZ($A$1,$B57,L$5,$B$1)</f>
        <v>0</v>
      </c>
      <c r="M57" s="100">
        <f>_xll.EQNXTDZ($A$1,$B57,M$5,$B$1)</f>
        <v>0</v>
      </c>
      <c r="N57" s="100">
        <f>_xll.EQNXTDZ($A$1,$B57,N$5,$B$1)</f>
        <v>0</v>
      </c>
      <c r="O57" s="100">
        <f>_xll.EQNXTDZ($A$1,$B57,O$5,$B$1)</f>
        <v>0</v>
      </c>
      <c r="P57" s="100">
        <f>_xll.EQNXTDZ($A$1,$B57,P$5,$B$1)</f>
        <v>0</v>
      </c>
      <c r="Q57" s="100">
        <f>_xll.EQNXTDZ($A$1,$B57,Q$5,$B$1)</f>
        <v>0</v>
      </c>
      <c r="R57" s="100">
        <f>_xll.EQNXTDZ($A$1,$B57,R$5,$B$1)</f>
        <v>0</v>
      </c>
      <c r="S57" s="100">
        <f>_xll.EQNXTDZ($A$1,$B57,S$5,$B$1)</f>
        <v>0</v>
      </c>
      <c r="T57" s="100">
        <f>_xll.EQNXTDZ($A$1,$B57,T$5,$B$1)</f>
        <v>0</v>
      </c>
      <c r="U57" s="100">
        <f>_xll.EQNXTDZ($A$1,$B57,U$5,$B$1)</f>
        <v>0</v>
      </c>
      <c r="V57" s="100">
        <f>_xll.EQNXTDZ($A$1,$B57,V$5,$B$1)</f>
        <v>0</v>
      </c>
      <c r="W57" s="100">
        <f>_xll.EQNXTDZ($A$1,$B57,W$5,$B$1)</f>
        <v>0</v>
      </c>
      <c r="X57" s="100">
        <f>_xll.EQNXTDZ($A$1,$B57,X$5,$B$1)</f>
        <v>0</v>
      </c>
      <c r="Y57" s="100">
        <f>_xll.EQNXTDZ($A$1,$B57,Y$5,$B$1)</f>
        <v>0</v>
      </c>
      <c r="Z57" s="100">
        <f>_xll.EQNXTDZ($A$1,$B57,Z$5,$B$1)</f>
        <v>0</v>
      </c>
      <c r="AA57" s="100">
        <f>_xll.EQNXTDZ($A$1,$B57,AA$5,$B$1)</f>
        <v>0</v>
      </c>
      <c r="AB57" s="100">
        <f>_xll.EQNXTDZ($A$1,$B57,AB$5,$B$1)</f>
        <v>0</v>
      </c>
      <c r="AC57" s="100">
        <f>_xll.EQNXTDZ($A$1,$B57,AC$5,$B$1)</f>
        <v>0</v>
      </c>
      <c r="AD57" s="100">
        <f>_xll.EQNXTDZ($A$1,$B57,AD$5,$B$1)</f>
        <v>0</v>
      </c>
      <c r="AE57" s="100">
        <f>_xll.EQNXTDZ($A$1,$B57,AE$5,$B$1)</f>
        <v>0</v>
      </c>
      <c r="AF57" s="100">
        <f>_xll.EQNXTDZ($A$1,$B57,AF$5,$B$1)</f>
        <v>0</v>
      </c>
      <c r="AG57" s="100">
        <f>_xll.EQNXTDZ($A$1,$B57,AG$5,$B$1)</f>
        <v>0</v>
      </c>
      <c r="AH57" s="100">
        <f>_xll.EQNXTDZ($A$1,$B57,AH$5,$B$1)</f>
        <v>0</v>
      </c>
      <c r="AI57" s="100">
        <f>_xll.EQNXTDZ($A$1,$B57,AI$5,$B$1)</f>
        <v>0</v>
      </c>
      <c r="AJ57" s="100">
        <f>_xll.EQNXTDZ($A$1,$B57,AJ$5,$B$1)</f>
        <v>0</v>
      </c>
      <c r="AK57" s="100">
        <f>_xll.EQNXTDZ($A$1,$B57,AK$5,$B$1)</f>
        <v>0</v>
      </c>
      <c r="AL57" s="100">
        <f>_xll.EQNXTDZ($A$1,$B57,AL$5,$B$1)</f>
        <v>0</v>
      </c>
      <c r="AM57" s="100">
        <f>_xll.EQNXTDZ($A$1,$B57,AM$5,$B$1)</f>
        <v>0</v>
      </c>
      <c r="AN57" s="100">
        <f>_xll.EQNXTDZ($A$1,$B57,AN$5,$B$1)</f>
        <v>0</v>
      </c>
      <c r="AO57" s="100">
        <f>_xll.EQNXTDZ($A$1,$B57,AO$5,$B$1)</f>
        <v>0</v>
      </c>
      <c r="AP57" s="100">
        <f>_xll.EQNXTDZ($A$1,$B57,AP$5,$B$1)</f>
        <v>0</v>
      </c>
      <c r="AQ57" s="100">
        <f>_xll.EQNXTDZ($A$1,$B57,AQ$5,$B$1)</f>
        <v>0</v>
      </c>
      <c r="AR57" s="100">
        <f>_xll.EQNXTDZ($A$1,$B57,AR$5,$B$1)</f>
        <v>0</v>
      </c>
      <c r="AS57" s="100">
        <f>_xll.EQNXTDZ($A$1,$B57,AS$5,$B$1)</f>
        <v>0</v>
      </c>
      <c r="AT57" s="100">
        <f>_xll.EQNXTDZ($A$1,$B57,AT$5,$B$1)</f>
        <v>0</v>
      </c>
      <c r="AU57" s="100">
        <f>_xll.EQNXTDZ($A$1,$B57,AU$5,$B$1)</f>
        <v>0</v>
      </c>
      <c r="AV57" s="100">
        <f>_xll.EQNXTDZ($A$1,$B57,AV$5,$B$1)</f>
        <v>0</v>
      </c>
      <c r="AW57" s="100">
        <f>_xll.EQNXTDZ($A$1,$B57,AW$5,$B$1)</f>
        <v>0</v>
      </c>
      <c r="AX57" s="100">
        <f>_xll.EQNXTDZ($A$1,$B57,AX$5,$B$1)</f>
        <v>0</v>
      </c>
      <c r="AY57" s="100">
        <f>_xll.EQNXTDZ($A$1,$B57,AY$5,$B$1)</f>
        <v>0</v>
      </c>
      <c r="AZ57" s="100">
        <f>_xll.EQNXTDZ($A$1,$B57,AZ$5,$B$1)</f>
        <v>0</v>
      </c>
      <c r="BA57" s="100">
        <f>_xll.EQNXTDZ($A$1,$B57,BA$5,$B$1)</f>
        <v>0</v>
      </c>
      <c r="BB57" s="100">
        <f>_xll.EQNXTDZ($A$1,$B57,BB$5,$B$1)</f>
        <v>0</v>
      </c>
      <c r="BC57" s="100">
        <f>_xll.EQNXTDZ($A$1,$B57,BC$5,$B$1)</f>
        <v>0</v>
      </c>
      <c r="BD57" s="100">
        <f>_xll.EQNXTDZ($A$1,$B57,BD$5,$B$1)</f>
        <v>0</v>
      </c>
      <c r="BE57" s="100">
        <f>_xll.EQNXTDZ($A$1,$B57,BE$5,$B$1)</f>
        <v>0</v>
      </c>
      <c r="BF57" s="100">
        <f>_xll.EQNXTDZ($A$1,$B57,BF$5,$B$1)</f>
        <v>0</v>
      </c>
      <c r="BG57" s="100">
        <f>_xll.EQNXTDZ($A$1,$B57,BG$5,$B$1)</f>
        <v>0</v>
      </c>
      <c r="BH57" s="100">
        <f>_xll.EQNXTDZ($A$1,$B57,BH$5,$B$1)</f>
        <v>0</v>
      </c>
      <c r="BI57" s="100">
        <f>_xll.EQNXTDZ($A$1,$B57,BI$5,$B$1)</f>
        <v>0</v>
      </c>
      <c r="BJ57" s="100">
        <f>_xll.EQNXTDZ($A$1,$B57,BJ$5,$B$1)</f>
        <v>0</v>
      </c>
      <c r="BK57" s="100">
        <f>_xll.EQNXTDZ($A$1,$B57,BK$5,$B$1)</f>
        <v>0</v>
      </c>
      <c r="BL57" s="100">
        <f>_xll.EQNXTDZ($A$1,$B57,BL$5,$B$1)</f>
        <v>0</v>
      </c>
      <c r="BM57" s="100">
        <f>_xll.EQNXTDZ($A$1,$B57,BM$5,$B$1)</f>
        <v>0</v>
      </c>
      <c r="BN57" s="100">
        <f>_xll.EQNXTDZ($A$1,$B57,BN$5,$B$1)</f>
        <v>0</v>
      </c>
      <c r="BO57" s="100">
        <f>_xll.EQNXTDZ($A$1,$B57,BO$5,$B$1)</f>
        <v>0</v>
      </c>
      <c r="BP57" s="100">
        <f>_xll.EQNXTDZ($A$1,$B57,BP$5,$B$1)</f>
        <v>0</v>
      </c>
      <c r="BQ57" s="100">
        <f>_xll.EQNXTDZ($A$1,$B57,BQ$5,$B$1)</f>
        <v>0</v>
      </c>
      <c r="BR57" s="100">
        <f>_xll.EQNXTDZ($A$1,$B57,BR$5,$B$1)</f>
        <v>0</v>
      </c>
      <c r="BS57" s="100">
        <f>_xll.EQNXTDZ($A$1,$B57,BS$5,$B$1)</f>
        <v>0</v>
      </c>
      <c r="BT57" s="100">
        <f>_xll.EQNXTDZ($A$1,$B57,BT$5,$B$1)</f>
        <v>0</v>
      </c>
      <c r="BU57" s="100">
        <f>_xll.EQNXTDZ($A$1,$B57,BU$5,$B$1)</f>
        <v>0</v>
      </c>
      <c r="BV57" s="100">
        <f>_xll.EQNXTDZ($A$1,$B57,BV$5,$B$1)</f>
        <v>0</v>
      </c>
    </row>
    <row r="58" spans="1:74" x14ac:dyDescent="0.25">
      <c r="A58" t="s">
        <v>354</v>
      </c>
      <c r="B58" t="s">
        <v>374</v>
      </c>
      <c r="C58" s="100">
        <f>_xll.EQNXTDZ($A$1,$B58,C$5,$B$1)</f>
        <v>2591.41</v>
      </c>
      <c r="D58" s="100">
        <f>_xll.EQNXTDZ($A$1,$B58,D$5,$B$1)</f>
        <v>0</v>
      </c>
      <c r="E58" s="100">
        <f>_xll.EQNXTDZ($A$1,$B58,E$5,$B$1)</f>
        <v>2559.2600000000002</v>
      </c>
      <c r="F58" s="100">
        <f>_xll.EQNXTDZ($A$1,$B58,F$5,$B$1)</f>
        <v>0</v>
      </c>
      <c r="G58" s="100">
        <f>_xll.EQNXTDZ($A$1,$B58,G$5,$B$1)</f>
        <v>2615.36</v>
      </c>
      <c r="H58" s="100">
        <f>_xll.EQNXTDZ($A$1,$B58,H$5,$B$1)</f>
        <v>0</v>
      </c>
      <c r="I58" s="100">
        <f>_xll.EQNXTDZ($A$1,$B58,I$5,$B$1)</f>
        <v>2635.18</v>
      </c>
      <c r="J58" s="100">
        <f>_xll.EQNXTDZ($A$1,$B58,J$5,$B$1)</f>
        <v>0</v>
      </c>
      <c r="K58" s="100">
        <f>_xll.EQNXTDZ($A$1,$B58,K$5,$B$1)</f>
        <v>2734.55</v>
      </c>
      <c r="L58" s="100">
        <f>_xll.EQNXTDZ($A$1,$B58,L$5,$B$1)</f>
        <v>0</v>
      </c>
      <c r="M58" s="100">
        <f>_xll.EQNXTDZ($A$1,$B58,M$5,$B$1)</f>
        <v>2769.6</v>
      </c>
      <c r="N58" s="100">
        <f>_xll.EQNXTDZ($A$1,$B58,N$5,$B$1)</f>
        <v>0</v>
      </c>
      <c r="O58" s="100">
        <f>_xll.EQNXTDZ($A$1,$B58,O$5,$B$1)</f>
        <v>2872.4</v>
      </c>
      <c r="P58" s="100">
        <f>_xll.EQNXTDZ($A$1,$B58,P$5,$B$1)</f>
        <v>0</v>
      </c>
      <c r="Q58" s="100">
        <f>_xll.EQNXTDZ($A$1,$B58,Q$5,$B$1)</f>
        <v>2966.17</v>
      </c>
      <c r="R58" s="100">
        <f>_xll.EQNXTDZ($A$1,$B58,R$5,$B$1)</f>
        <v>0</v>
      </c>
      <c r="S58" s="100">
        <f>_xll.EQNXTDZ($A$1,$B58,S$5,$B$1)</f>
        <v>3114.57</v>
      </c>
      <c r="T58" s="100">
        <f>_xll.EQNXTDZ($A$1,$B58,T$5,$B$1)</f>
        <v>0</v>
      </c>
      <c r="U58" s="100">
        <f>_xll.EQNXTDZ($A$1,$B58,U$5,$B$1)</f>
        <v>3240.4</v>
      </c>
      <c r="V58" s="100">
        <f>_xll.EQNXTDZ($A$1,$B58,V$5,$B$1)</f>
        <v>0</v>
      </c>
      <c r="W58" s="100">
        <f>_xll.EQNXTDZ($A$1,$B58,W$5,$B$1)</f>
        <v>3311.01</v>
      </c>
      <c r="X58" s="100">
        <f>_xll.EQNXTDZ($A$1,$B58,X$5,$B$1)</f>
        <v>0</v>
      </c>
      <c r="Y58" s="100">
        <f>_xll.EQNXTDZ($A$1,$B58,Y$5,$B$1)</f>
        <v>3564.51</v>
      </c>
      <c r="Z58" s="100">
        <f>_xll.EQNXTDZ($A$1,$B58,Z$5,$B$1)</f>
        <v>0</v>
      </c>
      <c r="AA58" s="100">
        <f>_xll.EQNXTDZ($A$1,$B58,AA$5,$B$1)</f>
        <v>3667.75</v>
      </c>
      <c r="AB58" s="100">
        <f>_xll.EQNXTDZ($A$1,$B58,AB$5,$B$1)</f>
        <v>0</v>
      </c>
      <c r="AC58" s="100">
        <f>_xll.EQNXTDZ($A$1,$B58,AC$5,$B$1)</f>
        <v>3964.94</v>
      </c>
      <c r="AD58" s="100">
        <f>_xll.EQNXTDZ($A$1,$B58,AD$5,$B$1)</f>
        <v>0</v>
      </c>
      <c r="AE58" s="100">
        <f>_xll.EQNXTDZ($A$1,$B58,AE$5,$B$1)</f>
        <v>4103.51</v>
      </c>
      <c r="AF58" s="100">
        <f>_xll.EQNXTDZ($A$1,$B58,AF$5,$B$1)</f>
        <v>0</v>
      </c>
      <c r="AG58" s="100">
        <f>_xll.EQNXTDZ($A$1,$B58,AG$5,$B$1)</f>
        <v>3477.73</v>
      </c>
      <c r="AH58" s="100">
        <f>_xll.EQNXTDZ($A$1,$B58,AH$5,$B$1)</f>
        <v>0</v>
      </c>
      <c r="AI58" s="100">
        <f>_xll.EQNXTDZ($A$1,$B58,AI$5,$B$1)</f>
        <v>3542.04</v>
      </c>
      <c r="AJ58" s="100">
        <f>_xll.EQNXTDZ($A$1,$B58,AJ$5,$B$1)</f>
        <v>0</v>
      </c>
      <c r="AK58" s="100">
        <f>_xll.EQNXTDZ($A$1,$B58,AK$5,$B$1)</f>
        <v>3564</v>
      </c>
      <c r="AL58" s="100">
        <f>_xll.EQNXTDZ($A$1,$B58,AL$5,$B$1)</f>
        <v>0</v>
      </c>
      <c r="AM58" s="100">
        <f>_xll.EQNXTDZ($A$1,$B58,AM$5,$B$1)</f>
        <v>3683.99</v>
      </c>
      <c r="AN58" s="100">
        <f>_xll.EQNXTDZ($A$1,$B58,AN$5,$B$1)</f>
        <v>0</v>
      </c>
      <c r="AO58" s="100">
        <f>_xll.EQNXTDZ($A$1,$B58,AO$5,$B$1)</f>
        <v>4002.81</v>
      </c>
      <c r="AP58" s="100">
        <f>_xll.EQNXTDZ($A$1,$B58,AP$5,$B$1)</f>
        <v>0</v>
      </c>
      <c r="AQ58" s="100">
        <f>_xll.EQNXTDZ($A$1,$B58,AQ$5,$B$1)</f>
        <v>4129.21</v>
      </c>
      <c r="AR58" s="100">
        <f>_xll.EQNXTDZ($A$1,$B58,AR$5,$B$1)</f>
        <v>0</v>
      </c>
      <c r="AS58" s="100">
        <f>_xll.EQNXTDZ($A$1,$B58,AS$5,$B$1)</f>
        <v>4897.03</v>
      </c>
      <c r="AT58" s="100">
        <f>_xll.EQNXTDZ($A$1,$B58,AT$5,$B$1)</f>
        <v>0</v>
      </c>
      <c r="AU58" s="100">
        <f>_xll.EQNXTDZ($A$1,$B58,AU$5,$B$1)</f>
        <v>5326.12</v>
      </c>
      <c r="AV58" s="100">
        <f>_xll.EQNXTDZ($A$1,$B58,AV$5,$B$1)</f>
        <v>0</v>
      </c>
      <c r="AW58" s="100">
        <f>_xll.EQNXTDZ($A$1,$B58,AW$5,$B$1)</f>
        <v>5902.22</v>
      </c>
      <c r="AX58" s="100">
        <f>_xll.EQNXTDZ($A$1,$B58,AX$5,$B$1)</f>
        <v>0</v>
      </c>
      <c r="AY58" s="100">
        <f>_xll.EQNXTDZ($A$1,$B58,AY$5,$B$1)</f>
        <v>6299.2</v>
      </c>
      <c r="AZ58" s="100">
        <f>_xll.EQNXTDZ($A$1,$B58,AZ$5,$B$1)</f>
        <v>0</v>
      </c>
      <c r="BA58" s="100">
        <f>_xll.EQNXTDZ($A$1,$B58,BA$5,$B$1)</f>
        <v>7033.02</v>
      </c>
      <c r="BB58" s="100">
        <f>_xll.EQNXTDZ($A$1,$B58,BB$5,$B$1)</f>
        <v>0</v>
      </c>
      <c r="BC58" s="100">
        <f>_xll.EQNXTDZ($A$1,$B58,BC$5,$B$1)</f>
        <v>7151.95</v>
      </c>
      <c r="BD58" s="100">
        <f>_xll.EQNXTDZ($A$1,$B58,BD$5,$B$1)</f>
        <v>0</v>
      </c>
      <c r="BE58" s="100">
        <f>_xll.EQNXTDZ($A$1,$B58,BE$5,$B$1)</f>
        <v>7793.61</v>
      </c>
      <c r="BF58" s="100">
        <f>_xll.EQNXTDZ($A$1,$B58,BF$5,$B$1)</f>
        <v>0</v>
      </c>
      <c r="BG58" s="100">
        <f>_xll.EQNXTDZ($A$1,$B58,BG$5,$B$1)</f>
        <v>0</v>
      </c>
      <c r="BH58" s="100">
        <f>_xll.EQNXTDZ($A$1,$B58,BH$5,$B$1)</f>
        <v>0</v>
      </c>
      <c r="BI58" s="100">
        <f>_xll.EQNXTDZ($A$1,$B58,BI$5,$B$1)</f>
        <v>0</v>
      </c>
      <c r="BJ58" s="100">
        <f>_xll.EQNXTDZ($A$1,$B58,BJ$5,$B$1)</f>
        <v>0</v>
      </c>
      <c r="BK58" s="100">
        <f>_xll.EQNXTDZ($A$1,$B58,BK$5,$B$1)</f>
        <v>0</v>
      </c>
      <c r="BL58" s="100">
        <f>_xll.EQNXTDZ($A$1,$B58,BL$5,$B$1)</f>
        <v>0</v>
      </c>
      <c r="BM58" s="100">
        <f>_xll.EQNXTDZ($A$1,$B58,BM$5,$B$1)</f>
        <v>0</v>
      </c>
      <c r="BN58" s="100">
        <f>_xll.EQNXTDZ($A$1,$B58,BN$5,$B$1)</f>
        <v>0</v>
      </c>
      <c r="BO58" s="100">
        <f>_xll.EQNXTDZ($A$1,$B58,BO$5,$B$1)</f>
        <v>0</v>
      </c>
      <c r="BP58" s="100">
        <f>_xll.EQNXTDZ($A$1,$B58,BP$5,$B$1)</f>
        <v>0</v>
      </c>
      <c r="BQ58" s="100">
        <f>_xll.EQNXTDZ($A$1,$B58,BQ$5,$B$1)</f>
        <v>0</v>
      </c>
      <c r="BR58" s="100">
        <f>_xll.EQNXTDZ($A$1,$B58,BR$5,$B$1)</f>
        <v>0</v>
      </c>
      <c r="BS58" s="100">
        <f>_xll.EQNXTDZ($A$1,$B58,BS$5,$B$1)</f>
        <v>0</v>
      </c>
      <c r="BT58" s="100">
        <f>_xll.EQNXTDZ($A$1,$B58,BT$5,$B$1)</f>
        <v>0</v>
      </c>
      <c r="BU58" s="100">
        <f>_xll.EQNXTDZ($A$1,$B58,BU$5,$B$1)</f>
        <v>0</v>
      </c>
      <c r="BV58" s="100">
        <f>_xll.EQNXTDZ($A$1,$B58,BV$5,$B$1)</f>
        <v>0</v>
      </c>
    </row>
    <row r="59" spans="1:74" x14ac:dyDescent="0.25">
      <c r="A59" t="s">
        <v>44</v>
      </c>
      <c r="B59" t="s">
        <v>375</v>
      </c>
      <c r="C59" s="100">
        <f>_xll.EQNXTDZ($A$1,$B59,C$5,$B$1)</f>
        <v>2633.79</v>
      </c>
      <c r="D59" s="100">
        <f>_xll.EQNXTDZ($A$1,$B59,D$5,$B$1)</f>
        <v>0</v>
      </c>
      <c r="E59" s="100">
        <f>_xll.EQNXTDZ($A$1,$B59,E$5,$B$1)</f>
        <v>2601.64</v>
      </c>
      <c r="F59" s="100">
        <f>_xll.EQNXTDZ($A$1,$B59,F$5,$B$1)</f>
        <v>0</v>
      </c>
      <c r="G59" s="100">
        <f>_xll.EQNXTDZ($A$1,$B59,G$5,$B$1)</f>
        <v>2657.74</v>
      </c>
      <c r="H59" s="100">
        <f>_xll.EQNXTDZ($A$1,$B59,H$5,$B$1)</f>
        <v>0</v>
      </c>
      <c r="I59" s="100">
        <f>_xll.EQNXTDZ($A$1,$B59,I$5,$B$1)</f>
        <v>2677.56</v>
      </c>
      <c r="J59" s="100">
        <f>_xll.EQNXTDZ($A$1,$B59,J$5,$B$1)</f>
        <v>0</v>
      </c>
      <c r="K59" s="100">
        <f>_xll.EQNXTDZ($A$1,$B59,K$5,$B$1)</f>
        <v>2776.93</v>
      </c>
      <c r="L59" s="100">
        <f>_xll.EQNXTDZ($A$1,$B59,L$5,$B$1)</f>
        <v>0</v>
      </c>
      <c r="M59" s="100">
        <f>_xll.EQNXTDZ($A$1,$B59,M$5,$B$1)</f>
        <v>2811.98</v>
      </c>
      <c r="N59" s="100">
        <f>_xll.EQNXTDZ($A$1,$B59,N$5,$B$1)</f>
        <v>0</v>
      </c>
      <c r="O59" s="100">
        <f>_xll.EQNXTDZ($A$1,$B59,O$5,$B$1)</f>
        <v>2914.78</v>
      </c>
      <c r="P59" s="100">
        <f>_xll.EQNXTDZ($A$1,$B59,P$5,$B$1)</f>
        <v>0</v>
      </c>
      <c r="Q59" s="100">
        <f>_xll.EQNXTDZ($A$1,$B59,Q$5,$B$1)</f>
        <v>3008.55</v>
      </c>
      <c r="R59" s="100">
        <f>_xll.EQNXTDZ($A$1,$B59,R$5,$B$1)</f>
        <v>0</v>
      </c>
      <c r="S59" s="100">
        <f>_xll.EQNXTDZ($A$1,$B59,S$5,$B$1)</f>
        <v>3156.95</v>
      </c>
      <c r="T59" s="100">
        <f>_xll.EQNXTDZ($A$1,$B59,T$5,$B$1)</f>
        <v>0</v>
      </c>
      <c r="U59" s="100">
        <f>_xll.EQNXTDZ($A$1,$B59,U$5,$B$1)</f>
        <v>3282.78</v>
      </c>
      <c r="V59" s="100">
        <f>_xll.EQNXTDZ($A$1,$B59,V$5,$B$1)</f>
        <v>0</v>
      </c>
      <c r="W59" s="100">
        <f>_xll.EQNXTDZ($A$1,$B59,W$5,$B$1)</f>
        <v>3353.39</v>
      </c>
      <c r="X59" s="100">
        <f>_xll.EQNXTDZ($A$1,$B59,X$5,$B$1)</f>
        <v>0</v>
      </c>
      <c r="Y59" s="100">
        <f>_xll.EQNXTDZ($A$1,$B59,Y$5,$B$1)</f>
        <v>3606.89</v>
      </c>
      <c r="Z59" s="100">
        <f>_xll.EQNXTDZ($A$1,$B59,Z$5,$B$1)</f>
        <v>0</v>
      </c>
      <c r="AA59" s="100">
        <f>_xll.EQNXTDZ($A$1,$B59,AA$5,$B$1)</f>
        <v>3710.13</v>
      </c>
      <c r="AB59" s="100">
        <f>_xll.EQNXTDZ($A$1,$B59,AB$5,$B$1)</f>
        <v>0</v>
      </c>
      <c r="AC59" s="100">
        <f>_xll.EQNXTDZ($A$1,$B59,AC$5,$B$1)</f>
        <v>4007.32</v>
      </c>
      <c r="AD59" s="100">
        <f>_xll.EQNXTDZ($A$1,$B59,AD$5,$B$1)</f>
        <v>0</v>
      </c>
      <c r="AE59" s="100">
        <f>_xll.EQNXTDZ($A$1,$B59,AE$5,$B$1)</f>
        <v>4145.8900000000003</v>
      </c>
      <c r="AF59" s="100">
        <f>_xll.EQNXTDZ($A$1,$B59,AF$5,$B$1)</f>
        <v>0</v>
      </c>
      <c r="AG59" s="100">
        <f>_xll.EQNXTDZ($A$1,$B59,AG$5,$B$1)</f>
        <v>3520.11</v>
      </c>
      <c r="AH59" s="100">
        <f>_xll.EQNXTDZ($A$1,$B59,AH$5,$B$1)</f>
        <v>0</v>
      </c>
      <c r="AI59" s="100">
        <f>_xll.EQNXTDZ($A$1,$B59,AI$5,$B$1)</f>
        <v>3584.42</v>
      </c>
      <c r="AJ59" s="100">
        <f>_xll.EQNXTDZ($A$1,$B59,AJ$5,$B$1)</f>
        <v>0</v>
      </c>
      <c r="AK59" s="100">
        <f>_xll.EQNXTDZ($A$1,$B59,AK$5,$B$1)</f>
        <v>3606.38</v>
      </c>
      <c r="AL59" s="100">
        <f>_xll.EQNXTDZ($A$1,$B59,AL$5,$B$1)</f>
        <v>0</v>
      </c>
      <c r="AM59" s="100">
        <f>_xll.EQNXTDZ($A$1,$B59,AM$5,$B$1)</f>
        <v>3726.37</v>
      </c>
      <c r="AN59" s="100">
        <f>_xll.EQNXTDZ($A$1,$B59,AN$5,$B$1)</f>
        <v>0</v>
      </c>
      <c r="AO59" s="100">
        <f>_xll.EQNXTDZ($A$1,$B59,AO$5,$B$1)</f>
        <v>4045.19</v>
      </c>
      <c r="AP59" s="100">
        <f>_xll.EQNXTDZ($A$1,$B59,AP$5,$B$1)</f>
        <v>0</v>
      </c>
      <c r="AQ59" s="100">
        <f>_xll.EQNXTDZ($A$1,$B59,AQ$5,$B$1)</f>
        <v>4171.59</v>
      </c>
      <c r="AR59" s="100">
        <f>_xll.EQNXTDZ($A$1,$B59,AR$5,$B$1)</f>
        <v>0</v>
      </c>
      <c r="AS59" s="100">
        <f>_xll.EQNXTDZ($A$1,$B59,AS$5,$B$1)</f>
        <v>4939.41</v>
      </c>
      <c r="AT59" s="100">
        <f>_xll.EQNXTDZ($A$1,$B59,AT$5,$B$1)</f>
        <v>0</v>
      </c>
      <c r="AU59" s="100">
        <f>_xll.EQNXTDZ($A$1,$B59,AU$5,$B$1)</f>
        <v>5368.5</v>
      </c>
      <c r="AV59" s="100">
        <f>_xll.EQNXTDZ($A$1,$B59,AV$5,$B$1)</f>
        <v>0</v>
      </c>
      <c r="AW59" s="100">
        <f>_xll.EQNXTDZ($A$1,$B59,AW$5,$B$1)</f>
        <v>5944.6</v>
      </c>
      <c r="AX59" s="100">
        <f>_xll.EQNXTDZ($A$1,$B59,AX$5,$B$1)</f>
        <v>0</v>
      </c>
      <c r="AY59" s="100">
        <f>_xll.EQNXTDZ($A$1,$B59,AY$5,$B$1)</f>
        <v>6341.58</v>
      </c>
      <c r="AZ59" s="100">
        <f>_xll.EQNXTDZ($A$1,$B59,AZ$5,$B$1)</f>
        <v>0</v>
      </c>
      <c r="BA59" s="100">
        <f>_xll.EQNXTDZ($A$1,$B59,BA$5,$B$1)</f>
        <v>7075.4</v>
      </c>
      <c r="BB59" s="100">
        <f>_xll.EQNXTDZ($A$1,$B59,BB$5,$B$1)</f>
        <v>0</v>
      </c>
      <c r="BC59" s="100">
        <f>_xll.EQNXTDZ($A$1,$B59,BC$5,$B$1)</f>
        <v>7194.33</v>
      </c>
      <c r="BD59" s="100">
        <f>_xll.EQNXTDZ($A$1,$B59,BD$5,$B$1)</f>
        <v>0</v>
      </c>
      <c r="BE59" s="100">
        <f>_xll.EQNXTDZ($A$1,$B59,BE$5,$B$1)</f>
        <v>7835.99</v>
      </c>
      <c r="BF59" s="100">
        <f>_xll.EQNXTDZ($A$1,$B59,BF$5,$B$1)</f>
        <v>0</v>
      </c>
      <c r="BG59" s="100">
        <f>_xll.EQNXTDZ($A$1,$B59,BG$5,$B$1)</f>
        <v>0</v>
      </c>
      <c r="BH59" s="100">
        <f>_xll.EQNXTDZ($A$1,$B59,BH$5,$B$1)</f>
        <v>0</v>
      </c>
      <c r="BI59" s="100">
        <f>_xll.EQNXTDZ($A$1,$B59,BI$5,$B$1)</f>
        <v>0</v>
      </c>
      <c r="BJ59" s="100">
        <f>_xll.EQNXTDZ($A$1,$B59,BJ$5,$B$1)</f>
        <v>0</v>
      </c>
      <c r="BK59" s="100">
        <f>_xll.EQNXTDZ($A$1,$B59,BK$5,$B$1)</f>
        <v>0</v>
      </c>
      <c r="BL59" s="100">
        <f>_xll.EQNXTDZ($A$1,$B59,BL$5,$B$1)</f>
        <v>0</v>
      </c>
      <c r="BM59" s="100">
        <f>_xll.EQNXTDZ($A$1,$B59,BM$5,$B$1)</f>
        <v>0</v>
      </c>
      <c r="BN59" s="100">
        <f>_xll.EQNXTDZ($A$1,$B59,BN$5,$B$1)</f>
        <v>0</v>
      </c>
      <c r="BO59" s="100">
        <f>_xll.EQNXTDZ($A$1,$B59,BO$5,$B$1)</f>
        <v>0</v>
      </c>
      <c r="BP59" s="100">
        <f>_xll.EQNXTDZ($A$1,$B59,BP$5,$B$1)</f>
        <v>0</v>
      </c>
      <c r="BQ59" s="100">
        <f>_xll.EQNXTDZ($A$1,$B59,BQ$5,$B$1)</f>
        <v>0</v>
      </c>
      <c r="BR59" s="100">
        <f>_xll.EQNXTDZ($A$1,$B59,BR$5,$B$1)</f>
        <v>0</v>
      </c>
      <c r="BS59" s="100">
        <f>_xll.EQNXTDZ($A$1,$B59,BS$5,$B$1)</f>
        <v>0</v>
      </c>
      <c r="BT59" s="100">
        <f>_xll.EQNXTDZ($A$1,$B59,BT$5,$B$1)</f>
        <v>0</v>
      </c>
      <c r="BU59" s="100">
        <f>_xll.EQNXTDZ($A$1,$B59,BU$5,$B$1)</f>
        <v>0</v>
      </c>
      <c r="BV59" s="100">
        <f>_xll.EQNXTDZ($A$1,$B59,BV$5,$B$1)</f>
        <v>0</v>
      </c>
    </row>
    <row r="60" spans="1:74" x14ac:dyDescent="0.25">
      <c r="A60" t="s">
        <v>23</v>
      </c>
      <c r="B60" t="s">
        <v>376</v>
      </c>
      <c r="C60" s="100">
        <f>_xll.EQNXTDZ($A$1,$B60,C$5,$B$1)</f>
        <v>0</v>
      </c>
      <c r="D60" s="100">
        <f>_xll.EQNXTDZ($A$1,$B60,D$5,$B$1)</f>
        <v>0</v>
      </c>
      <c r="E60" s="100">
        <f>_xll.EQNXTDZ($A$1,$B60,E$5,$B$1)</f>
        <v>0</v>
      </c>
      <c r="F60" s="100">
        <f>_xll.EQNXTDZ($A$1,$B60,F$5,$B$1)</f>
        <v>0</v>
      </c>
      <c r="G60" s="100">
        <f>_xll.EQNXTDZ($A$1,$B60,G$5,$B$1)</f>
        <v>0</v>
      </c>
      <c r="H60" s="100">
        <f>_xll.EQNXTDZ($A$1,$B60,H$5,$B$1)</f>
        <v>0</v>
      </c>
      <c r="I60" s="100">
        <f>_xll.EQNXTDZ($A$1,$B60,I$5,$B$1)</f>
        <v>0</v>
      </c>
      <c r="J60" s="100">
        <f>_xll.EQNXTDZ($A$1,$B60,J$5,$B$1)</f>
        <v>0</v>
      </c>
      <c r="K60" s="100">
        <f>_xll.EQNXTDZ($A$1,$B60,K$5,$B$1)</f>
        <v>0</v>
      </c>
      <c r="L60" s="100">
        <f>_xll.EQNXTDZ($A$1,$B60,L$5,$B$1)</f>
        <v>0</v>
      </c>
      <c r="M60" s="100">
        <f>_xll.EQNXTDZ($A$1,$B60,M$5,$B$1)</f>
        <v>0</v>
      </c>
      <c r="N60" s="100">
        <f>_xll.EQNXTDZ($A$1,$B60,N$5,$B$1)</f>
        <v>0</v>
      </c>
      <c r="O60" s="100">
        <f>_xll.EQNXTDZ($A$1,$B60,O$5,$B$1)</f>
        <v>0</v>
      </c>
      <c r="P60" s="100">
        <f>_xll.EQNXTDZ($A$1,$B60,P$5,$B$1)</f>
        <v>0</v>
      </c>
      <c r="Q60" s="100">
        <f>_xll.EQNXTDZ($A$1,$B60,Q$5,$B$1)</f>
        <v>0</v>
      </c>
      <c r="R60" s="100">
        <f>_xll.EQNXTDZ($A$1,$B60,R$5,$B$1)</f>
        <v>0</v>
      </c>
      <c r="S60" s="100">
        <f>_xll.EQNXTDZ($A$1,$B60,S$5,$B$1)</f>
        <v>0</v>
      </c>
      <c r="T60" s="100">
        <f>_xll.EQNXTDZ($A$1,$B60,T$5,$B$1)</f>
        <v>0</v>
      </c>
      <c r="U60" s="100">
        <f>_xll.EQNXTDZ($A$1,$B60,U$5,$B$1)</f>
        <v>0</v>
      </c>
      <c r="V60" s="100">
        <f>_xll.EQNXTDZ($A$1,$B60,V$5,$B$1)</f>
        <v>0</v>
      </c>
      <c r="W60" s="100">
        <f>_xll.EQNXTDZ($A$1,$B60,W$5,$B$1)</f>
        <v>0</v>
      </c>
      <c r="X60" s="100">
        <f>_xll.EQNXTDZ($A$1,$B60,X$5,$B$1)</f>
        <v>0</v>
      </c>
      <c r="Y60" s="100">
        <f>_xll.EQNXTDZ($A$1,$B60,Y$5,$B$1)</f>
        <v>0</v>
      </c>
      <c r="Z60" s="100">
        <f>_xll.EQNXTDZ($A$1,$B60,Z$5,$B$1)</f>
        <v>0</v>
      </c>
      <c r="AA60" s="100">
        <f>_xll.EQNXTDZ($A$1,$B60,AA$5,$B$1)</f>
        <v>0</v>
      </c>
      <c r="AB60" s="100">
        <f>_xll.EQNXTDZ($A$1,$B60,AB$5,$B$1)</f>
        <v>0</v>
      </c>
      <c r="AC60" s="100">
        <f>_xll.EQNXTDZ($A$1,$B60,AC$5,$B$1)</f>
        <v>0</v>
      </c>
      <c r="AD60" s="100">
        <f>_xll.EQNXTDZ($A$1,$B60,AD$5,$B$1)</f>
        <v>0</v>
      </c>
      <c r="AE60" s="100">
        <f>_xll.EQNXTDZ($A$1,$B60,AE$5,$B$1)</f>
        <v>0</v>
      </c>
      <c r="AF60" s="100">
        <f>_xll.EQNXTDZ($A$1,$B60,AF$5,$B$1)</f>
        <v>0</v>
      </c>
      <c r="AG60" s="100">
        <f>_xll.EQNXTDZ($A$1,$B60,AG$5,$B$1)</f>
        <v>0</v>
      </c>
      <c r="AH60" s="100">
        <f>_xll.EQNXTDZ($A$1,$B60,AH$5,$B$1)</f>
        <v>0</v>
      </c>
      <c r="AI60" s="100">
        <f>_xll.EQNXTDZ($A$1,$B60,AI$5,$B$1)</f>
        <v>0</v>
      </c>
      <c r="AJ60" s="100">
        <f>_xll.EQNXTDZ($A$1,$B60,AJ$5,$B$1)</f>
        <v>0</v>
      </c>
      <c r="AK60" s="100">
        <f>_xll.EQNXTDZ($A$1,$B60,AK$5,$B$1)</f>
        <v>0</v>
      </c>
      <c r="AL60" s="100">
        <f>_xll.EQNXTDZ($A$1,$B60,AL$5,$B$1)</f>
        <v>0</v>
      </c>
      <c r="AM60" s="100">
        <f>_xll.EQNXTDZ($A$1,$B60,AM$5,$B$1)</f>
        <v>0</v>
      </c>
      <c r="AN60" s="100">
        <f>_xll.EQNXTDZ($A$1,$B60,AN$5,$B$1)</f>
        <v>0</v>
      </c>
      <c r="AO60" s="100">
        <f>_xll.EQNXTDZ($A$1,$B60,AO$5,$B$1)</f>
        <v>0</v>
      </c>
      <c r="AP60" s="100">
        <f>_xll.EQNXTDZ($A$1,$B60,AP$5,$B$1)</f>
        <v>0</v>
      </c>
      <c r="AQ60" s="100">
        <f>_xll.EQNXTDZ($A$1,$B60,AQ$5,$B$1)</f>
        <v>0</v>
      </c>
      <c r="AR60" s="100">
        <f>_xll.EQNXTDZ($A$1,$B60,AR$5,$B$1)</f>
        <v>0</v>
      </c>
      <c r="AS60" s="100">
        <f>_xll.EQNXTDZ($A$1,$B60,AS$5,$B$1)</f>
        <v>0</v>
      </c>
      <c r="AT60" s="100">
        <f>_xll.EQNXTDZ($A$1,$B60,AT$5,$B$1)</f>
        <v>0</v>
      </c>
      <c r="AU60" s="100">
        <f>_xll.EQNXTDZ($A$1,$B60,AU$5,$B$1)</f>
        <v>0</v>
      </c>
      <c r="AV60" s="100">
        <f>_xll.EQNXTDZ($A$1,$B60,AV$5,$B$1)</f>
        <v>0</v>
      </c>
      <c r="AW60" s="100">
        <f>_xll.EQNXTDZ($A$1,$B60,AW$5,$B$1)</f>
        <v>0</v>
      </c>
      <c r="AX60" s="100">
        <f>_xll.EQNXTDZ($A$1,$B60,AX$5,$B$1)</f>
        <v>0</v>
      </c>
      <c r="AY60" s="100">
        <f>_xll.EQNXTDZ($A$1,$B60,AY$5,$B$1)</f>
        <v>0</v>
      </c>
      <c r="AZ60" s="100">
        <f>_xll.EQNXTDZ($A$1,$B60,AZ$5,$B$1)</f>
        <v>0</v>
      </c>
      <c r="BA60" s="100">
        <f>_xll.EQNXTDZ($A$1,$B60,BA$5,$B$1)</f>
        <v>0</v>
      </c>
      <c r="BB60" s="100">
        <f>_xll.EQNXTDZ($A$1,$B60,BB$5,$B$1)</f>
        <v>0</v>
      </c>
      <c r="BC60" s="100">
        <f>_xll.EQNXTDZ($A$1,$B60,BC$5,$B$1)</f>
        <v>0</v>
      </c>
      <c r="BD60" s="100">
        <f>_xll.EQNXTDZ($A$1,$B60,BD$5,$B$1)</f>
        <v>0</v>
      </c>
      <c r="BE60" s="100">
        <f>_xll.EQNXTDZ($A$1,$B60,BE$5,$B$1)</f>
        <v>0</v>
      </c>
      <c r="BF60" s="100">
        <f>_xll.EQNXTDZ($A$1,$B60,BF$5,$B$1)</f>
        <v>0</v>
      </c>
      <c r="BG60" s="100">
        <f>_xll.EQNXTDZ($A$1,$B60,BG$5,$B$1)</f>
        <v>0</v>
      </c>
      <c r="BH60" s="100">
        <f>_xll.EQNXTDZ($A$1,$B60,BH$5,$B$1)</f>
        <v>0</v>
      </c>
      <c r="BI60" s="100">
        <f>_xll.EQNXTDZ($A$1,$B60,BI$5,$B$1)</f>
        <v>0</v>
      </c>
      <c r="BJ60" s="100">
        <f>_xll.EQNXTDZ($A$1,$B60,BJ$5,$B$1)</f>
        <v>0</v>
      </c>
      <c r="BK60" s="100">
        <f>_xll.EQNXTDZ($A$1,$B60,BK$5,$B$1)</f>
        <v>0</v>
      </c>
      <c r="BL60" s="100">
        <f>_xll.EQNXTDZ($A$1,$B60,BL$5,$B$1)</f>
        <v>0</v>
      </c>
      <c r="BM60" s="100">
        <f>_xll.EQNXTDZ($A$1,$B60,BM$5,$B$1)</f>
        <v>0</v>
      </c>
      <c r="BN60" s="100">
        <f>_xll.EQNXTDZ($A$1,$B60,BN$5,$B$1)</f>
        <v>0</v>
      </c>
      <c r="BO60" s="100">
        <f>_xll.EQNXTDZ($A$1,$B60,BO$5,$B$1)</f>
        <v>0</v>
      </c>
      <c r="BP60" s="100">
        <f>_xll.EQNXTDZ($A$1,$B60,BP$5,$B$1)</f>
        <v>0</v>
      </c>
      <c r="BQ60" s="100">
        <f>_xll.EQNXTDZ($A$1,$B60,BQ$5,$B$1)</f>
        <v>0</v>
      </c>
      <c r="BR60" s="100">
        <f>_xll.EQNXTDZ($A$1,$B60,BR$5,$B$1)</f>
        <v>0</v>
      </c>
      <c r="BS60" s="100">
        <f>_xll.EQNXTDZ($A$1,$B60,BS$5,$B$1)</f>
        <v>0</v>
      </c>
      <c r="BT60" s="100">
        <f>_xll.EQNXTDZ($A$1,$B60,BT$5,$B$1)</f>
        <v>0</v>
      </c>
      <c r="BU60" s="100">
        <f>_xll.EQNXTDZ($A$1,$B60,BU$5,$B$1)</f>
        <v>0</v>
      </c>
      <c r="BV60" s="100">
        <f>_xll.EQNXTDZ($A$1,$B60,BV$5,$B$1)</f>
        <v>0</v>
      </c>
    </row>
    <row r="61" spans="1:74" x14ac:dyDescent="0.25">
      <c r="A61" t="s">
        <v>355</v>
      </c>
      <c r="B61" t="s">
        <v>377</v>
      </c>
      <c r="C61" s="100">
        <f>_xll.EQNXTDZ($A$1,$B61,C$5,$B$1)</f>
        <v>0</v>
      </c>
      <c r="D61" s="100">
        <f>_xll.EQNXTDZ($A$1,$B61,D$5,$B$1)</f>
        <v>0</v>
      </c>
      <c r="E61" s="100">
        <f>_xll.EQNXTDZ($A$1,$B61,E$5,$B$1)</f>
        <v>0</v>
      </c>
      <c r="F61" s="100">
        <f>_xll.EQNXTDZ($A$1,$B61,F$5,$B$1)</f>
        <v>0</v>
      </c>
      <c r="G61" s="100">
        <f>_xll.EQNXTDZ($A$1,$B61,G$5,$B$1)</f>
        <v>0</v>
      </c>
      <c r="H61" s="100">
        <f>_xll.EQNXTDZ($A$1,$B61,H$5,$B$1)</f>
        <v>0</v>
      </c>
      <c r="I61" s="100">
        <f>_xll.EQNXTDZ($A$1,$B61,I$5,$B$1)</f>
        <v>0</v>
      </c>
      <c r="J61" s="100">
        <f>_xll.EQNXTDZ($A$1,$B61,J$5,$B$1)</f>
        <v>0</v>
      </c>
      <c r="K61" s="100">
        <f>_xll.EQNXTDZ($A$1,$B61,K$5,$B$1)</f>
        <v>0</v>
      </c>
      <c r="L61" s="100">
        <f>_xll.EQNXTDZ($A$1,$B61,L$5,$B$1)</f>
        <v>0</v>
      </c>
      <c r="M61" s="100">
        <f>_xll.EQNXTDZ($A$1,$B61,M$5,$B$1)</f>
        <v>0</v>
      </c>
      <c r="N61" s="100">
        <f>_xll.EQNXTDZ($A$1,$B61,N$5,$B$1)</f>
        <v>0</v>
      </c>
      <c r="O61" s="100">
        <f>_xll.EQNXTDZ($A$1,$B61,O$5,$B$1)</f>
        <v>0</v>
      </c>
      <c r="P61" s="100">
        <f>_xll.EQNXTDZ($A$1,$B61,P$5,$B$1)</f>
        <v>0</v>
      </c>
      <c r="Q61" s="100">
        <f>_xll.EQNXTDZ($A$1,$B61,Q$5,$B$1)</f>
        <v>600</v>
      </c>
      <c r="R61" s="100">
        <f>_xll.EQNXTDZ($A$1,$B61,R$5,$B$1)</f>
        <v>0</v>
      </c>
      <c r="S61" s="100">
        <f>_xll.EQNXTDZ($A$1,$B61,S$5,$B$1)</f>
        <v>600</v>
      </c>
      <c r="T61" s="100">
        <f>_xll.EQNXTDZ($A$1,$B61,T$5,$B$1)</f>
        <v>0</v>
      </c>
      <c r="U61" s="100">
        <f>_xll.EQNXTDZ($A$1,$B61,U$5,$B$1)</f>
        <v>600</v>
      </c>
      <c r="V61" s="100">
        <f>_xll.EQNXTDZ($A$1,$B61,V$5,$B$1)</f>
        <v>0</v>
      </c>
      <c r="W61" s="100">
        <f>_xll.EQNXTDZ($A$1,$B61,W$5,$B$1)</f>
        <v>600</v>
      </c>
      <c r="X61" s="100">
        <f>_xll.EQNXTDZ($A$1,$B61,X$5,$B$1)</f>
        <v>0</v>
      </c>
      <c r="Y61" s="100">
        <f>_xll.EQNXTDZ($A$1,$B61,Y$5,$B$1)</f>
        <v>4.1399999999999997</v>
      </c>
      <c r="Z61" s="100">
        <f>_xll.EQNXTDZ($A$1,$B61,Z$5,$B$1)</f>
        <v>0</v>
      </c>
      <c r="AA61" s="100">
        <f>_xll.EQNXTDZ($A$1,$B61,AA$5,$B$1)</f>
        <v>3.95</v>
      </c>
      <c r="AB61" s="100">
        <f>_xll.EQNXTDZ($A$1,$B61,AB$5,$B$1)</f>
        <v>0</v>
      </c>
      <c r="AC61" s="100">
        <f>_xll.EQNXTDZ($A$1,$B61,AC$5,$B$1)</f>
        <v>2.0299999999999998</v>
      </c>
      <c r="AD61" s="100">
        <f>_xll.EQNXTDZ($A$1,$B61,AD$5,$B$1)</f>
        <v>0</v>
      </c>
      <c r="AE61" s="100">
        <f>_xll.EQNXTDZ($A$1,$B61,AE$5,$B$1)</f>
        <v>2.0299999999999998</v>
      </c>
      <c r="AF61" s="100">
        <f>_xll.EQNXTDZ($A$1,$B61,AF$5,$B$1)</f>
        <v>0</v>
      </c>
      <c r="AG61" s="100">
        <f>_xll.EQNXTDZ($A$1,$B61,AG$5,$B$1)</f>
        <v>7.06</v>
      </c>
      <c r="AH61" s="100">
        <f>_xll.EQNXTDZ($A$1,$B61,AH$5,$B$1)</f>
        <v>0</v>
      </c>
      <c r="AI61" s="100">
        <f>_xll.EQNXTDZ($A$1,$B61,AI$5,$B$1)</f>
        <v>0</v>
      </c>
      <c r="AJ61" s="100">
        <f>_xll.EQNXTDZ($A$1,$B61,AJ$5,$B$1)</f>
        <v>0</v>
      </c>
      <c r="AK61" s="100">
        <f>_xll.EQNXTDZ($A$1,$B61,AK$5,$B$1)</f>
        <v>0</v>
      </c>
      <c r="AL61" s="100">
        <f>_xll.EQNXTDZ($A$1,$B61,AL$5,$B$1)</f>
        <v>0</v>
      </c>
      <c r="AM61" s="100">
        <f>_xll.EQNXTDZ($A$1,$B61,AM$5,$B$1)</f>
        <v>0</v>
      </c>
      <c r="AN61" s="100">
        <f>_xll.EQNXTDZ($A$1,$B61,AN$5,$B$1)</f>
        <v>0</v>
      </c>
      <c r="AO61" s="100">
        <f>_xll.EQNXTDZ($A$1,$B61,AO$5,$B$1)</f>
        <v>0</v>
      </c>
      <c r="AP61" s="100">
        <f>_xll.EQNXTDZ($A$1,$B61,AP$5,$B$1)</f>
        <v>0</v>
      </c>
      <c r="AQ61" s="100">
        <f>_xll.EQNXTDZ($A$1,$B61,AQ$5,$B$1)</f>
        <v>0</v>
      </c>
      <c r="AR61" s="100">
        <f>_xll.EQNXTDZ($A$1,$B61,AR$5,$B$1)</f>
        <v>0</v>
      </c>
      <c r="AS61" s="100">
        <f>_xll.EQNXTDZ($A$1,$B61,AS$5,$B$1)</f>
        <v>0</v>
      </c>
      <c r="AT61" s="100">
        <f>_xll.EQNXTDZ($A$1,$B61,AT$5,$B$1)</f>
        <v>0</v>
      </c>
      <c r="AU61" s="100">
        <f>_xll.EQNXTDZ($A$1,$B61,AU$5,$B$1)</f>
        <v>0</v>
      </c>
      <c r="AV61" s="100">
        <f>_xll.EQNXTDZ($A$1,$B61,AV$5,$B$1)</f>
        <v>0</v>
      </c>
      <c r="AW61" s="100">
        <f>_xll.EQNXTDZ($A$1,$B61,AW$5,$B$1)</f>
        <v>0</v>
      </c>
      <c r="AX61" s="100">
        <f>_xll.EQNXTDZ($A$1,$B61,AX$5,$B$1)</f>
        <v>0</v>
      </c>
      <c r="AY61" s="100">
        <f>_xll.EQNXTDZ($A$1,$B61,AY$5,$B$1)</f>
        <v>0</v>
      </c>
      <c r="AZ61" s="100">
        <f>_xll.EQNXTDZ($A$1,$B61,AZ$5,$B$1)</f>
        <v>0</v>
      </c>
      <c r="BA61" s="100">
        <f>_xll.EQNXTDZ($A$1,$B61,BA$5,$B$1)</f>
        <v>0</v>
      </c>
      <c r="BB61" s="100">
        <f>_xll.EQNXTDZ($A$1,$B61,BB$5,$B$1)</f>
        <v>0</v>
      </c>
      <c r="BC61" s="100">
        <f>_xll.EQNXTDZ($A$1,$B61,BC$5,$B$1)</f>
        <v>0</v>
      </c>
      <c r="BD61" s="100">
        <f>_xll.EQNXTDZ($A$1,$B61,BD$5,$B$1)</f>
        <v>0</v>
      </c>
      <c r="BE61" s="100">
        <f>_xll.EQNXTDZ($A$1,$B61,BE$5,$B$1)</f>
        <v>0</v>
      </c>
      <c r="BF61" s="100">
        <f>_xll.EQNXTDZ($A$1,$B61,BF$5,$B$1)</f>
        <v>0</v>
      </c>
      <c r="BG61" s="100">
        <f>_xll.EQNXTDZ($A$1,$B61,BG$5,$B$1)</f>
        <v>0</v>
      </c>
      <c r="BH61" s="100">
        <f>_xll.EQNXTDZ($A$1,$B61,BH$5,$B$1)</f>
        <v>0</v>
      </c>
      <c r="BI61" s="100">
        <f>_xll.EQNXTDZ($A$1,$B61,BI$5,$B$1)</f>
        <v>0</v>
      </c>
      <c r="BJ61" s="100">
        <f>_xll.EQNXTDZ($A$1,$B61,BJ$5,$B$1)</f>
        <v>0</v>
      </c>
      <c r="BK61" s="100">
        <f>_xll.EQNXTDZ($A$1,$B61,BK$5,$B$1)</f>
        <v>0</v>
      </c>
      <c r="BL61" s="100">
        <f>_xll.EQNXTDZ($A$1,$B61,BL$5,$B$1)</f>
        <v>0</v>
      </c>
      <c r="BM61" s="100">
        <f>_xll.EQNXTDZ($A$1,$B61,BM$5,$B$1)</f>
        <v>0</v>
      </c>
      <c r="BN61" s="100">
        <f>_xll.EQNXTDZ($A$1,$B61,BN$5,$B$1)</f>
        <v>0</v>
      </c>
      <c r="BO61" s="100">
        <f>_xll.EQNXTDZ($A$1,$B61,BO$5,$B$1)</f>
        <v>0</v>
      </c>
      <c r="BP61" s="100">
        <f>_xll.EQNXTDZ($A$1,$B61,BP$5,$B$1)</f>
        <v>0</v>
      </c>
      <c r="BQ61" s="100">
        <f>_xll.EQNXTDZ($A$1,$B61,BQ$5,$B$1)</f>
        <v>0</v>
      </c>
      <c r="BR61" s="100">
        <f>_xll.EQNXTDZ($A$1,$B61,BR$5,$B$1)</f>
        <v>0</v>
      </c>
      <c r="BS61" s="100">
        <f>_xll.EQNXTDZ($A$1,$B61,BS$5,$B$1)</f>
        <v>0</v>
      </c>
      <c r="BT61" s="100">
        <f>_xll.EQNXTDZ($A$1,$B61,BT$5,$B$1)</f>
        <v>0</v>
      </c>
      <c r="BU61" s="100">
        <f>_xll.EQNXTDZ($A$1,$B61,BU$5,$B$1)</f>
        <v>0</v>
      </c>
      <c r="BV61" s="100">
        <f>_xll.EQNXTDZ($A$1,$B61,BV$5,$B$1)</f>
        <v>0</v>
      </c>
    </row>
    <row r="62" spans="1:74" x14ac:dyDescent="0.25">
      <c r="A62" t="s">
        <v>356</v>
      </c>
      <c r="B62" t="s">
        <v>378</v>
      </c>
      <c r="C62" s="100">
        <f>_xll.EQNXTDZ($A$1,$B62,C$5,$B$1)</f>
        <v>0</v>
      </c>
      <c r="D62" s="100">
        <f>_xll.EQNXTDZ($A$1,$B62,D$5,$B$1)</f>
        <v>0</v>
      </c>
      <c r="E62" s="100">
        <f>_xll.EQNXTDZ($A$1,$B62,E$5,$B$1)</f>
        <v>0</v>
      </c>
      <c r="F62" s="100">
        <f>_xll.EQNXTDZ($A$1,$B62,F$5,$B$1)</f>
        <v>0</v>
      </c>
      <c r="G62" s="100">
        <f>_xll.EQNXTDZ($A$1,$B62,G$5,$B$1)</f>
        <v>0</v>
      </c>
      <c r="H62" s="100">
        <f>_xll.EQNXTDZ($A$1,$B62,H$5,$B$1)</f>
        <v>0</v>
      </c>
      <c r="I62" s="100">
        <f>_xll.EQNXTDZ($A$1,$B62,I$5,$B$1)</f>
        <v>0</v>
      </c>
      <c r="J62" s="100">
        <f>_xll.EQNXTDZ($A$1,$B62,J$5,$B$1)</f>
        <v>0</v>
      </c>
      <c r="K62" s="100">
        <f>_xll.EQNXTDZ($A$1,$B62,K$5,$B$1)</f>
        <v>0</v>
      </c>
      <c r="L62" s="100">
        <f>_xll.EQNXTDZ($A$1,$B62,L$5,$B$1)</f>
        <v>0</v>
      </c>
      <c r="M62" s="100">
        <f>_xll.EQNXTDZ($A$1,$B62,M$5,$B$1)</f>
        <v>0</v>
      </c>
      <c r="N62" s="100">
        <f>_xll.EQNXTDZ($A$1,$B62,N$5,$B$1)</f>
        <v>0</v>
      </c>
      <c r="O62" s="100">
        <f>_xll.EQNXTDZ($A$1,$B62,O$5,$B$1)</f>
        <v>0</v>
      </c>
      <c r="P62" s="100">
        <f>_xll.EQNXTDZ($A$1,$B62,P$5,$B$1)</f>
        <v>0</v>
      </c>
      <c r="Q62" s="100">
        <f>_xll.EQNXTDZ($A$1,$B62,Q$5,$B$1)</f>
        <v>0</v>
      </c>
      <c r="R62" s="100">
        <f>_xll.EQNXTDZ($A$1,$B62,R$5,$B$1)</f>
        <v>0</v>
      </c>
      <c r="S62" s="100">
        <f>_xll.EQNXTDZ($A$1,$B62,S$5,$B$1)</f>
        <v>0</v>
      </c>
      <c r="T62" s="100">
        <f>_xll.EQNXTDZ($A$1,$B62,T$5,$B$1)</f>
        <v>0</v>
      </c>
      <c r="U62" s="100">
        <f>_xll.EQNXTDZ($A$1,$B62,U$5,$B$1)</f>
        <v>0</v>
      </c>
      <c r="V62" s="100">
        <f>_xll.EQNXTDZ($A$1,$B62,V$5,$B$1)</f>
        <v>0</v>
      </c>
      <c r="W62" s="100">
        <f>_xll.EQNXTDZ($A$1,$B62,W$5,$B$1)</f>
        <v>0</v>
      </c>
      <c r="X62" s="100">
        <f>_xll.EQNXTDZ($A$1,$B62,X$5,$B$1)</f>
        <v>0</v>
      </c>
      <c r="Y62" s="100">
        <f>_xll.EQNXTDZ($A$1,$B62,Y$5,$B$1)</f>
        <v>0</v>
      </c>
      <c r="Z62" s="100">
        <f>_xll.EQNXTDZ($A$1,$B62,Z$5,$B$1)</f>
        <v>0</v>
      </c>
      <c r="AA62" s="100">
        <f>_xll.EQNXTDZ($A$1,$B62,AA$5,$B$1)</f>
        <v>0</v>
      </c>
      <c r="AB62" s="100">
        <f>_xll.EQNXTDZ($A$1,$B62,AB$5,$B$1)</f>
        <v>0</v>
      </c>
      <c r="AC62" s="100">
        <f>_xll.EQNXTDZ($A$1,$B62,AC$5,$B$1)</f>
        <v>0</v>
      </c>
      <c r="AD62" s="100">
        <f>_xll.EQNXTDZ($A$1,$B62,AD$5,$B$1)</f>
        <v>0</v>
      </c>
      <c r="AE62" s="100">
        <f>_xll.EQNXTDZ($A$1,$B62,AE$5,$B$1)</f>
        <v>0</v>
      </c>
      <c r="AF62" s="100">
        <f>_xll.EQNXTDZ($A$1,$B62,AF$5,$B$1)</f>
        <v>0</v>
      </c>
      <c r="AG62" s="100">
        <f>_xll.EQNXTDZ($A$1,$B62,AG$5,$B$1)</f>
        <v>0</v>
      </c>
      <c r="AH62" s="100">
        <f>_xll.EQNXTDZ($A$1,$B62,AH$5,$B$1)</f>
        <v>0</v>
      </c>
      <c r="AI62" s="100">
        <f>_xll.EQNXTDZ($A$1,$B62,AI$5,$B$1)</f>
        <v>0</v>
      </c>
      <c r="AJ62" s="100">
        <f>_xll.EQNXTDZ($A$1,$B62,AJ$5,$B$1)</f>
        <v>0</v>
      </c>
      <c r="AK62" s="100">
        <f>_xll.EQNXTDZ($A$1,$B62,AK$5,$B$1)</f>
        <v>0</v>
      </c>
      <c r="AL62" s="100">
        <f>_xll.EQNXTDZ($A$1,$B62,AL$5,$B$1)</f>
        <v>0</v>
      </c>
      <c r="AM62" s="100">
        <f>_xll.EQNXTDZ($A$1,$B62,AM$5,$B$1)</f>
        <v>0</v>
      </c>
      <c r="AN62" s="100">
        <f>_xll.EQNXTDZ($A$1,$B62,AN$5,$B$1)</f>
        <v>0</v>
      </c>
      <c r="AO62" s="100">
        <f>_xll.EQNXTDZ($A$1,$B62,AO$5,$B$1)</f>
        <v>0</v>
      </c>
      <c r="AP62" s="100">
        <f>_xll.EQNXTDZ($A$1,$B62,AP$5,$B$1)</f>
        <v>0</v>
      </c>
      <c r="AQ62" s="100">
        <f>_xll.EQNXTDZ($A$1,$B62,AQ$5,$B$1)</f>
        <v>0</v>
      </c>
      <c r="AR62" s="100">
        <f>_xll.EQNXTDZ($A$1,$B62,AR$5,$B$1)</f>
        <v>0</v>
      </c>
      <c r="AS62" s="100">
        <f>_xll.EQNXTDZ($A$1,$B62,AS$5,$B$1)</f>
        <v>0</v>
      </c>
      <c r="AT62" s="100">
        <f>_xll.EQNXTDZ($A$1,$B62,AT$5,$B$1)</f>
        <v>0</v>
      </c>
      <c r="AU62" s="100">
        <f>_xll.EQNXTDZ($A$1,$B62,AU$5,$B$1)</f>
        <v>0</v>
      </c>
      <c r="AV62" s="100">
        <f>_xll.EQNXTDZ($A$1,$B62,AV$5,$B$1)</f>
        <v>0</v>
      </c>
      <c r="AW62" s="100">
        <f>_xll.EQNXTDZ($A$1,$B62,AW$5,$B$1)</f>
        <v>0</v>
      </c>
      <c r="AX62" s="100">
        <f>_xll.EQNXTDZ($A$1,$B62,AX$5,$B$1)</f>
        <v>0</v>
      </c>
      <c r="AY62" s="100">
        <f>_xll.EQNXTDZ($A$1,$B62,AY$5,$B$1)</f>
        <v>0</v>
      </c>
      <c r="AZ62" s="100">
        <f>_xll.EQNXTDZ($A$1,$B62,AZ$5,$B$1)</f>
        <v>0</v>
      </c>
      <c r="BA62" s="100">
        <f>_xll.EQNXTDZ($A$1,$B62,BA$5,$B$1)</f>
        <v>0</v>
      </c>
      <c r="BB62" s="100">
        <f>_xll.EQNXTDZ($A$1,$B62,BB$5,$B$1)</f>
        <v>0</v>
      </c>
      <c r="BC62" s="100">
        <f>_xll.EQNXTDZ($A$1,$B62,BC$5,$B$1)</f>
        <v>0</v>
      </c>
      <c r="BD62" s="100">
        <f>_xll.EQNXTDZ($A$1,$B62,BD$5,$B$1)</f>
        <v>0</v>
      </c>
      <c r="BE62" s="100">
        <f>_xll.EQNXTDZ($A$1,$B62,BE$5,$B$1)</f>
        <v>0</v>
      </c>
      <c r="BF62" s="100">
        <f>_xll.EQNXTDZ($A$1,$B62,BF$5,$B$1)</f>
        <v>0</v>
      </c>
      <c r="BG62" s="100">
        <f>_xll.EQNXTDZ($A$1,$B62,BG$5,$B$1)</f>
        <v>0</v>
      </c>
      <c r="BH62" s="100">
        <f>_xll.EQNXTDZ($A$1,$B62,BH$5,$B$1)</f>
        <v>0</v>
      </c>
      <c r="BI62" s="100">
        <f>_xll.EQNXTDZ($A$1,$B62,BI$5,$B$1)</f>
        <v>0</v>
      </c>
      <c r="BJ62" s="100">
        <f>_xll.EQNXTDZ($A$1,$B62,BJ$5,$B$1)</f>
        <v>0</v>
      </c>
      <c r="BK62" s="100">
        <f>_xll.EQNXTDZ($A$1,$B62,BK$5,$B$1)</f>
        <v>0</v>
      </c>
      <c r="BL62" s="100">
        <f>_xll.EQNXTDZ($A$1,$B62,BL$5,$B$1)</f>
        <v>0</v>
      </c>
      <c r="BM62" s="100">
        <f>_xll.EQNXTDZ($A$1,$B62,BM$5,$B$1)</f>
        <v>0</v>
      </c>
      <c r="BN62" s="100">
        <f>_xll.EQNXTDZ($A$1,$B62,BN$5,$B$1)</f>
        <v>0</v>
      </c>
      <c r="BO62" s="100">
        <f>_xll.EQNXTDZ($A$1,$B62,BO$5,$B$1)</f>
        <v>0</v>
      </c>
      <c r="BP62" s="100">
        <f>_xll.EQNXTDZ($A$1,$B62,BP$5,$B$1)</f>
        <v>0</v>
      </c>
      <c r="BQ62" s="100">
        <f>_xll.EQNXTDZ($A$1,$B62,BQ$5,$B$1)</f>
        <v>0</v>
      </c>
      <c r="BR62" s="100">
        <f>_xll.EQNXTDZ($A$1,$B62,BR$5,$B$1)</f>
        <v>0</v>
      </c>
      <c r="BS62" s="100">
        <f>_xll.EQNXTDZ($A$1,$B62,BS$5,$B$1)</f>
        <v>0</v>
      </c>
      <c r="BT62" s="100">
        <f>_xll.EQNXTDZ($A$1,$B62,BT$5,$B$1)</f>
        <v>0</v>
      </c>
      <c r="BU62" s="100">
        <f>_xll.EQNXTDZ($A$1,$B62,BU$5,$B$1)</f>
        <v>0</v>
      </c>
      <c r="BV62" s="100">
        <f>_xll.EQNXTDZ($A$1,$B62,BV$5,$B$1)</f>
        <v>0</v>
      </c>
    </row>
    <row r="63" spans="1:74" x14ac:dyDescent="0.25">
      <c r="A63" t="s">
        <v>46</v>
      </c>
      <c r="B63" t="s">
        <v>379</v>
      </c>
      <c r="C63" s="100">
        <f>_xll.EQNXTDZ($A$1,$B63,C$5,$B$1)</f>
        <v>0</v>
      </c>
      <c r="D63" s="100">
        <f>_xll.EQNXTDZ($A$1,$B63,D$5,$B$1)</f>
        <v>0</v>
      </c>
      <c r="E63" s="100">
        <f>_xll.EQNXTDZ($A$1,$B63,E$5,$B$1)</f>
        <v>0</v>
      </c>
      <c r="F63" s="100">
        <f>_xll.EQNXTDZ($A$1,$B63,F$5,$B$1)</f>
        <v>0</v>
      </c>
      <c r="G63" s="100">
        <f>_xll.EQNXTDZ($A$1,$B63,G$5,$B$1)</f>
        <v>0</v>
      </c>
      <c r="H63" s="100">
        <f>_xll.EQNXTDZ($A$1,$B63,H$5,$B$1)</f>
        <v>0</v>
      </c>
      <c r="I63" s="100">
        <f>_xll.EQNXTDZ($A$1,$B63,I$5,$B$1)</f>
        <v>0</v>
      </c>
      <c r="J63" s="100">
        <f>_xll.EQNXTDZ($A$1,$B63,J$5,$B$1)</f>
        <v>0</v>
      </c>
      <c r="K63" s="100">
        <f>_xll.EQNXTDZ($A$1,$B63,K$5,$B$1)</f>
        <v>0</v>
      </c>
      <c r="L63" s="100">
        <f>_xll.EQNXTDZ($A$1,$B63,L$5,$B$1)</f>
        <v>0</v>
      </c>
      <c r="M63" s="100">
        <f>_xll.EQNXTDZ($A$1,$B63,M$5,$B$1)</f>
        <v>0</v>
      </c>
      <c r="N63" s="100">
        <f>_xll.EQNXTDZ($A$1,$B63,N$5,$B$1)</f>
        <v>0</v>
      </c>
      <c r="O63" s="100">
        <f>_xll.EQNXTDZ($A$1,$B63,O$5,$B$1)</f>
        <v>0</v>
      </c>
      <c r="P63" s="100">
        <f>_xll.EQNXTDZ($A$1,$B63,P$5,$B$1)</f>
        <v>0</v>
      </c>
      <c r="Q63" s="100">
        <f>_xll.EQNXTDZ($A$1,$B63,Q$5,$B$1)</f>
        <v>600</v>
      </c>
      <c r="R63" s="100">
        <f>_xll.EQNXTDZ($A$1,$B63,R$5,$B$1)</f>
        <v>0</v>
      </c>
      <c r="S63" s="100">
        <f>_xll.EQNXTDZ($A$1,$B63,S$5,$B$1)</f>
        <v>600</v>
      </c>
      <c r="T63" s="100">
        <f>_xll.EQNXTDZ($A$1,$B63,T$5,$B$1)</f>
        <v>0</v>
      </c>
      <c r="U63" s="100">
        <f>_xll.EQNXTDZ($A$1,$B63,U$5,$B$1)</f>
        <v>600</v>
      </c>
      <c r="V63" s="100">
        <f>_xll.EQNXTDZ($A$1,$B63,V$5,$B$1)</f>
        <v>0</v>
      </c>
      <c r="W63" s="100">
        <f>_xll.EQNXTDZ($A$1,$B63,W$5,$B$1)</f>
        <v>600</v>
      </c>
      <c r="X63" s="100">
        <f>_xll.EQNXTDZ($A$1,$B63,X$5,$B$1)</f>
        <v>0</v>
      </c>
      <c r="Y63" s="100">
        <f>_xll.EQNXTDZ($A$1,$B63,Y$5,$B$1)</f>
        <v>4.1399999999999997</v>
      </c>
      <c r="Z63" s="100">
        <f>_xll.EQNXTDZ($A$1,$B63,Z$5,$B$1)</f>
        <v>0</v>
      </c>
      <c r="AA63" s="100">
        <f>_xll.EQNXTDZ($A$1,$B63,AA$5,$B$1)</f>
        <v>3.95</v>
      </c>
      <c r="AB63" s="100">
        <f>_xll.EQNXTDZ($A$1,$B63,AB$5,$B$1)</f>
        <v>0</v>
      </c>
      <c r="AC63" s="100">
        <f>_xll.EQNXTDZ($A$1,$B63,AC$5,$B$1)</f>
        <v>2.0299999999999998</v>
      </c>
      <c r="AD63" s="100">
        <f>_xll.EQNXTDZ($A$1,$B63,AD$5,$B$1)</f>
        <v>0</v>
      </c>
      <c r="AE63" s="100">
        <f>_xll.EQNXTDZ($A$1,$B63,AE$5,$B$1)</f>
        <v>2.0299999999999998</v>
      </c>
      <c r="AF63" s="100">
        <f>_xll.EQNXTDZ($A$1,$B63,AF$5,$B$1)</f>
        <v>0</v>
      </c>
      <c r="AG63" s="100">
        <f>_xll.EQNXTDZ($A$1,$B63,AG$5,$B$1)</f>
        <v>7.06</v>
      </c>
      <c r="AH63" s="100">
        <f>_xll.EQNXTDZ($A$1,$B63,AH$5,$B$1)</f>
        <v>0</v>
      </c>
      <c r="AI63" s="100">
        <f>_xll.EQNXTDZ($A$1,$B63,AI$5,$B$1)</f>
        <v>0</v>
      </c>
      <c r="AJ63" s="100">
        <f>_xll.EQNXTDZ($A$1,$B63,AJ$5,$B$1)</f>
        <v>0</v>
      </c>
      <c r="AK63" s="100">
        <f>_xll.EQNXTDZ($A$1,$B63,AK$5,$B$1)</f>
        <v>0</v>
      </c>
      <c r="AL63" s="100">
        <f>_xll.EQNXTDZ($A$1,$B63,AL$5,$B$1)</f>
        <v>0</v>
      </c>
      <c r="AM63" s="100">
        <f>_xll.EQNXTDZ($A$1,$B63,AM$5,$B$1)</f>
        <v>0</v>
      </c>
      <c r="AN63" s="100">
        <f>_xll.EQNXTDZ($A$1,$B63,AN$5,$B$1)</f>
        <v>0</v>
      </c>
      <c r="AO63" s="100">
        <f>_xll.EQNXTDZ($A$1,$B63,AO$5,$B$1)</f>
        <v>0</v>
      </c>
      <c r="AP63" s="100">
        <f>_xll.EQNXTDZ($A$1,$B63,AP$5,$B$1)</f>
        <v>0</v>
      </c>
      <c r="AQ63" s="100">
        <f>_xll.EQNXTDZ($A$1,$B63,AQ$5,$B$1)</f>
        <v>0</v>
      </c>
      <c r="AR63" s="100">
        <f>_xll.EQNXTDZ($A$1,$B63,AR$5,$B$1)</f>
        <v>0</v>
      </c>
      <c r="AS63" s="100">
        <f>_xll.EQNXTDZ($A$1,$B63,AS$5,$B$1)</f>
        <v>0</v>
      </c>
      <c r="AT63" s="100">
        <f>_xll.EQNXTDZ($A$1,$B63,AT$5,$B$1)</f>
        <v>0</v>
      </c>
      <c r="AU63" s="100">
        <f>_xll.EQNXTDZ($A$1,$B63,AU$5,$B$1)</f>
        <v>0</v>
      </c>
      <c r="AV63" s="100">
        <f>_xll.EQNXTDZ($A$1,$B63,AV$5,$B$1)</f>
        <v>0</v>
      </c>
      <c r="AW63" s="100">
        <f>_xll.EQNXTDZ($A$1,$B63,AW$5,$B$1)</f>
        <v>0</v>
      </c>
      <c r="AX63" s="100">
        <f>_xll.EQNXTDZ($A$1,$B63,AX$5,$B$1)</f>
        <v>0</v>
      </c>
      <c r="AY63" s="100">
        <f>_xll.EQNXTDZ($A$1,$B63,AY$5,$B$1)</f>
        <v>0</v>
      </c>
      <c r="AZ63" s="100">
        <f>_xll.EQNXTDZ($A$1,$B63,AZ$5,$B$1)</f>
        <v>0</v>
      </c>
      <c r="BA63" s="100">
        <f>_xll.EQNXTDZ($A$1,$B63,BA$5,$B$1)</f>
        <v>0</v>
      </c>
      <c r="BB63" s="100">
        <f>_xll.EQNXTDZ($A$1,$B63,BB$5,$B$1)</f>
        <v>0</v>
      </c>
      <c r="BC63" s="100">
        <f>_xll.EQNXTDZ($A$1,$B63,BC$5,$B$1)</f>
        <v>0</v>
      </c>
      <c r="BD63" s="100">
        <f>_xll.EQNXTDZ($A$1,$B63,BD$5,$B$1)</f>
        <v>0</v>
      </c>
      <c r="BE63" s="100">
        <f>_xll.EQNXTDZ($A$1,$B63,BE$5,$B$1)</f>
        <v>0</v>
      </c>
      <c r="BF63" s="100">
        <f>_xll.EQNXTDZ($A$1,$B63,BF$5,$B$1)</f>
        <v>0</v>
      </c>
      <c r="BG63" s="100">
        <f>_xll.EQNXTDZ($A$1,$B63,BG$5,$B$1)</f>
        <v>0</v>
      </c>
      <c r="BH63" s="100">
        <f>_xll.EQNXTDZ($A$1,$B63,BH$5,$B$1)</f>
        <v>0</v>
      </c>
      <c r="BI63" s="100">
        <f>_xll.EQNXTDZ($A$1,$B63,BI$5,$B$1)</f>
        <v>0</v>
      </c>
      <c r="BJ63" s="100">
        <f>_xll.EQNXTDZ($A$1,$B63,BJ$5,$B$1)</f>
        <v>0</v>
      </c>
      <c r="BK63" s="100">
        <f>_xll.EQNXTDZ($A$1,$B63,BK$5,$B$1)</f>
        <v>0</v>
      </c>
      <c r="BL63" s="100">
        <f>_xll.EQNXTDZ($A$1,$B63,BL$5,$B$1)</f>
        <v>0</v>
      </c>
      <c r="BM63" s="100">
        <f>_xll.EQNXTDZ($A$1,$B63,BM$5,$B$1)</f>
        <v>0</v>
      </c>
      <c r="BN63" s="100">
        <f>_xll.EQNXTDZ($A$1,$B63,BN$5,$B$1)</f>
        <v>0</v>
      </c>
      <c r="BO63" s="100">
        <f>_xll.EQNXTDZ($A$1,$B63,BO$5,$B$1)</f>
        <v>0</v>
      </c>
      <c r="BP63" s="100">
        <f>_xll.EQNXTDZ($A$1,$B63,BP$5,$B$1)</f>
        <v>0</v>
      </c>
      <c r="BQ63" s="100">
        <f>_xll.EQNXTDZ($A$1,$B63,BQ$5,$B$1)</f>
        <v>0</v>
      </c>
      <c r="BR63" s="100">
        <f>_xll.EQNXTDZ($A$1,$B63,BR$5,$B$1)</f>
        <v>0</v>
      </c>
      <c r="BS63" s="100">
        <f>_xll.EQNXTDZ($A$1,$B63,BS$5,$B$1)</f>
        <v>0</v>
      </c>
      <c r="BT63" s="100">
        <f>_xll.EQNXTDZ($A$1,$B63,BT$5,$B$1)</f>
        <v>0</v>
      </c>
      <c r="BU63" s="100">
        <f>_xll.EQNXTDZ($A$1,$B63,BU$5,$B$1)</f>
        <v>0</v>
      </c>
      <c r="BV63" s="100">
        <f>_xll.EQNXTDZ($A$1,$B63,BV$5,$B$1)</f>
        <v>0</v>
      </c>
    </row>
    <row r="64" spans="1:74" x14ac:dyDescent="0.25">
      <c r="A64" t="s">
        <v>66</v>
      </c>
      <c r="B64" t="s">
        <v>380</v>
      </c>
      <c r="C64" s="100">
        <f>_xll.EQNXTDZ($A$1,$B64,C$5,$B$1)</f>
        <v>3.84</v>
      </c>
      <c r="D64" s="100">
        <f>_xll.EQNXTDZ($A$1,$B64,D$5,$B$1)</f>
        <v>0</v>
      </c>
      <c r="E64" s="100">
        <f>_xll.EQNXTDZ($A$1,$B64,E$5,$B$1)</f>
        <v>3.89</v>
      </c>
      <c r="F64" s="100">
        <f>_xll.EQNXTDZ($A$1,$B64,F$5,$B$1)</f>
        <v>0</v>
      </c>
      <c r="G64" s="100">
        <f>_xll.EQNXTDZ($A$1,$B64,G$5,$B$1)</f>
        <v>4.04</v>
      </c>
      <c r="H64" s="100">
        <f>_xll.EQNXTDZ($A$1,$B64,H$5,$B$1)</f>
        <v>0</v>
      </c>
      <c r="I64" s="100">
        <f>_xll.EQNXTDZ($A$1,$B64,I$5,$B$1)</f>
        <v>4.17</v>
      </c>
      <c r="J64" s="100">
        <f>_xll.EQNXTDZ($A$1,$B64,J$5,$B$1)</f>
        <v>0</v>
      </c>
      <c r="K64" s="100">
        <f>_xll.EQNXTDZ($A$1,$B64,K$5,$B$1)</f>
        <v>4.34</v>
      </c>
      <c r="L64" s="100">
        <f>_xll.EQNXTDZ($A$1,$B64,L$5,$B$1)</f>
        <v>0</v>
      </c>
      <c r="M64" s="100">
        <f>_xll.EQNXTDZ($A$1,$B64,M$5,$B$1)</f>
        <v>4.51</v>
      </c>
      <c r="N64" s="100">
        <f>_xll.EQNXTDZ($A$1,$B64,N$5,$B$1)</f>
        <v>0</v>
      </c>
      <c r="O64" s="100">
        <f>_xll.EQNXTDZ($A$1,$B64,O$5,$B$1)</f>
        <v>4.47</v>
      </c>
      <c r="P64" s="100">
        <f>_xll.EQNXTDZ($A$1,$B64,P$5,$B$1)</f>
        <v>0</v>
      </c>
      <c r="Q64" s="100">
        <f>_xll.EQNXTDZ($A$1,$B64,Q$5,$B$1)</f>
        <v>4.3</v>
      </c>
      <c r="R64" s="100">
        <f>_xll.EQNXTDZ($A$1,$B64,R$5,$B$1)</f>
        <v>0</v>
      </c>
      <c r="S64" s="100">
        <f>_xll.EQNXTDZ($A$1,$B64,S$5,$B$1)</f>
        <v>4.3499999999999996</v>
      </c>
      <c r="T64" s="100">
        <f>_xll.EQNXTDZ($A$1,$B64,T$5,$B$1)</f>
        <v>0</v>
      </c>
      <c r="U64" s="100">
        <f>_xll.EQNXTDZ($A$1,$B64,U$5,$B$1)</f>
        <v>3.91</v>
      </c>
      <c r="V64" s="100">
        <f>_xll.EQNXTDZ($A$1,$B64,V$5,$B$1)</f>
        <v>0</v>
      </c>
      <c r="W64" s="100">
        <f>_xll.EQNXTDZ($A$1,$B64,W$5,$B$1)</f>
        <v>3.8</v>
      </c>
      <c r="X64" s="100">
        <f>_xll.EQNXTDZ($A$1,$B64,X$5,$B$1)</f>
        <v>0</v>
      </c>
      <c r="Y64" s="100">
        <f>_xll.EQNXTDZ($A$1,$B64,Y$5,$B$1)</f>
        <v>3.86</v>
      </c>
      <c r="Z64" s="100">
        <f>_xll.EQNXTDZ($A$1,$B64,Z$5,$B$1)</f>
        <v>0</v>
      </c>
      <c r="AA64" s="100">
        <f>_xll.EQNXTDZ($A$1,$B64,AA$5,$B$1)</f>
        <v>3.98</v>
      </c>
      <c r="AB64" s="100">
        <f>_xll.EQNXTDZ($A$1,$B64,AB$5,$B$1)</f>
        <v>0</v>
      </c>
      <c r="AC64" s="100">
        <f>_xll.EQNXTDZ($A$1,$B64,AC$5,$B$1)</f>
        <v>3.49</v>
      </c>
      <c r="AD64" s="100">
        <f>_xll.EQNXTDZ($A$1,$B64,AD$5,$B$1)</f>
        <v>0</v>
      </c>
      <c r="AE64" s="100">
        <f>_xll.EQNXTDZ($A$1,$B64,AE$5,$B$1)</f>
        <v>3.57</v>
      </c>
      <c r="AF64" s="100">
        <f>_xll.EQNXTDZ($A$1,$B64,AF$5,$B$1)</f>
        <v>0</v>
      </c>
      <c r="AG64" s="100">
        <f>_xll.EQNXTDZ($A$1,$B64,AG$5,$B$1)</f>
        <v>3.56</v>
      </c>
      <c r="AH64" s="100">
        <f>_xll.EQNXTDZ($A$1,$B64,AH$5,$B$1)</f>
        <v>0</v>
      </c>
      <c r="AI64" s="100">
        <f>_xll.EQNXTDZ($A$1,$B64,AI$5,$B$1)</f>
        <v>14.44</v>
      </c>
      <c r="AJ64" s="100">
        <f>_xll.EQNXTDZ($A$1,$B64,AJ$5,$B$1)</f>
        <v>0</v>
      </c>
      <c r="AK64" s="100">
        <f>_xll.EQNXTDZ($A$1,$B64,AK$5,$B$1)</f>
        <v>50.2</v>
      </c>
      <c r="AL64" s="100">
        <f>_xll.EQNXTDZ($A$1,$B64,AL$5,$B$1)</f>
        <v>0</v>
      </c>
      <c r="AM64" s="100">
        <f>_xll.EQNXTDZ($A$1,$B64,AM$5,$B$1)</f>
        <v>40.18</v>
      </c>
      <c r="AN64" s="100">
        <f>_xll.EQNXTDZ($A$1,$B64,AN$5,$B$1)</f>
        <v>0</v>
      </c>
      <c r="AO64" s="100">
        <f>_xll.EQNXTDZ($A$1,$B64,AO$5,$B$1)</f>
        <v>23.76</v>
      </c>
      <c r="AP64" s="100">
        <f>_xll.EQNXTDZ($A$1,$B64,AP$5,$B$1)</f>
        <v>0</v>
      </c>
      <c r="AQ64" s="100">
        <f>_xll.EQNXTDZ($A$1,$B64,AQ$5,$B$1)</f>
        <v>24.31</v>
      </c>
      <c r="AR64" s="100">
        <f>_xll.EQNXTDZ($A$1,$B64,AR$5,$B$1)</f>
        <v>0</v>
      </c>
      <c r="AS64" s="100">
        <f>_xll.EQNXTDZ($A$1,$B64,AS$5,$B$1)</f>
        <v>28.48</v>
      </c>
      <c r="AT64" s="100">
        <f>_xll.EQNXTDZ($A$1,$B64,AT$5,$B$1)</f>
        <v>0</v>
      </c>
      <c r="AU64" s="100">
        <f>_xll.EQNXTDZ($A$1,$B64,AU$5,$B$1)</f>
        <v>21.3</v>
      </c>
      <c r="AV64" s="100">
        <f>_xll.EQNXTDZ($A$1,$B64,AV$5,$B$1)</f>
        <v>0</v>
      </c>
      <c r="AW64" s="100">
        <f>_xll.EQNXTDZ($A$1,$B64,AW$5,$B$1)</f>
        <v>36.799999999999997</v>
      </c>
      <c r="AX64" s="100">
        <f>_xll.EQNXTDZ($A$1,$B64,AX$5,$B$1)</f>
        <v>0</v>
      </c>
      <c r="AY64" s="100">
        <f>_xll.EQNXTDZ($A$1,$B64,AY$5,$B$1)</f>
        <v>21.97</v>
      </c>
      <c r="AZ64" s="100">
        <f>_xll.EQNXTDZ($A$1,$B64,AZ$5,$B$1)</f>
        <v>0</v>
      </c>
      <c r="BA64" s="100">
        <f>_xll.EQNXTDZ($A$1,$B64,BA$5,$B$1)</f>
        <v>36.840000000000003</v>
      </c>
      <c r="BB64" s="100">
        <f>_xll.EQNXTDZ($A$1,$B64,BB$5,$B$1)</f>
        <v>0</v>
      </c>
      <c r="BC64" s="100">
        <f>_xll.EQNXTDZ($A$1,$B64,BC$5,$B$1)</f>
        <v>58.51</v>
      </c>
      <c r="BD64" s="100">
        <f>_xll.EQNXTDZ($A$1,$B64,BD$5,$B$1)</f>
        <v>0</v>
      </c>
      <c r="BE64" s="100">
        <f>_xll.EQNXTDZ($A$1,$B64,BE$5,$B$1)</f>
        <v>64.69</v>
      </c>
      <c r="BF64" s="100">
        <f>_xll.EQNXTDZ($A$1,$B64,BF$5,$B$1)</f>
        <v>0</v>
      </c>
      <c r="BG64" s="100">
        <f>_xll.EQNXTDZ($A$1,$B64,BG$5,$B$1)</f>
        <v>0</v>
      </c>
      <c r="BH64" s="100">
        <f>_xll.EQNXTDZ($A$1,$B64,BH$5,$B$1)</f>
        <v>0</v>
      </c>
      <c r="BI64" s="100">
        <f>_xll.EQNXTDZ($A$1,$B64,BI$5,$B$1)</f>
        <v>0</v>
      </c>
      <c r="BJ64" s="100">
        <f>_xll.EQNXTDZ($A$1,$B64,BJ$5,$B$1)</f>
        <v>0</v>
      </c>
      <c r="BK64" s="100">
        <f>_xll.EQNXTDZ($A$1,$B64,BK$5,$B$1)</f>
        <v>0</v>
      </c>
      <c r="BL64" s="100">
        <f>_xll.EQNXTDZ($A$1,$B64,BL$5,$B$1)</f>
        <v>0</v>
      </c>
      <c r="BM64" s="100">
        <f>_xll.EQNXTDZ($A$1,$B64,BM$5,$B$1)</f>
        <v>0</v>
      </c>
      <c r="BN64" s="100">
        <f>_xll.EQNXTDZ($A$1,$B64,BN$5,$B$1)</f>
        <v>0</v>
      </c>
      <c r="BO64" s="100">
        <f>_xll.EQNXTDZ($A$1,$B64,BO$5,$B$1)</f>
        <v>0</v>
      </c>
      <c r="BP64" s="100">
        <f>_xll.EQNXTDZ($A$1,$B64,BP$5,$B$1)</f>
        <v>0</v>
      </c>
      <c r="BQ64" s="100">
        <f>_xll.EQNXTDZ($A$1,$B64,BQ$5,$B$1)</f>
        <v>0</v>
      </c>
      <c r="BR64" s="100">
        <f>_xll.EQNXTDZ($A$1,$B64,BR$5,$B$1)</f>
        <v>0</v>
      </c>
      <c r="BS64" s="100">
        <f>_xll.EQNXTDZ($A$1,$B64,BS$5,$B$1)</f>
        <v>0</v>
      </c>
      <c r="BT64" s="100">
        <f>_xll.EQNXTDZ($A$1,$B64,BT$5,$B$1)</f>
        <v>0</v>
      </c>
      <c r="BU64" s="100">
        <f>_xll.EQNXTDZ($A$1,$B64,BU$5,$B$1)</f>
        <v>0</v>
      </c>
      <c r="BV64" s="100">
        <f>_xll.EQNXTDZ($A$1,$B64,BV$5,$B$1)</f>
        <v>0</v>
      </c>
    </row>
    <row r="65" spans="1:74" x14ac:dyDescent="0.25">
      <c r="A65" t="s">
        <v>161</v>
      </c>
      <c r="B65" t="s">
        <v>381</v>
      </c>
      <c r="C65" s="100">
        <f>_xll.EQNXTDZ($A$1,$B65,C$5,$B$1)</f>
        <v>0</v>
      </c>
      <c r="D65" s="100">
        <f>_xll.EQNXTDZ($A$1,$B65,D$5,$B$1)</f>
        <v>0</v>
      </c>
      <c r="E65" s="100">
        <f>_xll.EQNXTDZ($A$1,$B65,E$5,$B$1)</f>
        <v>5.71</v>
      </c>
      <c r="F65" s="100">
        <f>_xll.EQNXTDZ($A$1,$B65,F$5,$B$1)</f>
        <v>0</v>
      </c>
      <c r="G65" s="100">
        <f>_xll.EQNXTDZ($A$1,$B65,G$5,$B$1)</f>
        <v>0</v>
      </c>
      <c r="H65" s="100">
        <f>_xll.EQNXTDZ($A$1,$B65,H$5,$B$1)</f>
        <v>0</v>
      </c>
      <c r="I65" s="100">
        <f>_xll.EQNXTDZ($A$1,$B65,I$5,$B$1)</f>
        <v>0</v>
      </c>
      <c r="J65" s="100">
        <f>_xll.EQNXTDZ($A$1,$B65,J$5,$B$1)</f>
        <v>0</v>
      </c>
      <c r="K65" s="100">
        <f>_xll.EQNXTDZ($A$1,$B65,K$5,$B$1)</f>
        <v>0</v>
      </c>
      <c r="L65" s="100">
        <f>_xll.EQNXTDZ($A$1,$B65,L$5,$B$1)</f>
        <v>0</v>
      </c>
      <c r="M65" s="100">
        <f>_xll.EQNXTDZ($A$1,$B65,M$5,$B$1)</f>
        <v>0</v>
      </c>
      <c r="N65" s="100">
        <f>_xll.EQNXTDZ($A$1,$B65,N$5,$B$1)</f>
        <v>0</v>
      </c>
      <c r="O65" s="100">
        <f>_xll.EQNXTDZ($A$1,$B65,O$5,$B$1)</f>
        <v>0</v>
      </c>
      <c r="P65" s="100">
        <f>_xll.EQNXTDZ($A$1,$B65,P$5,$B$1)</f>
        <v>0</v>
      </c>
      <c r="Q65" s="100">
        <f>_xll.EQNXTDZ($A$1,$B65,Q$5,$B$1)</f>
        <v>0</v>
      </c>
      <c r="R65" s="100">
        <f>_xll.EQNXTDZ($A$1,$B65,R$5,$B$1)</f>
        <v>0</v>
      </c>
      <c r="S65" s="100">
        <f>_xll.EQNXTDZ($A$1,$B65,S$5,$B$1)</f>
        <v>0</v>
      </c>
      <c r="T65" s="100">
        <f>_xll.EQNXTDZ($A$1,$B65,T$5,$B$1)</f>
        <v>0</v>
      </c>
      <c r="U65" s="100">
        <f>_xll.EQNXTDZ($A$1,$B65,U$5,$B$1)</f>
        <v>0</v>
      </c>
      <c r="V65" s="100">
        <f>_xll.EQNXTDZ($A$1,$B65,V$5,$B$1)</f>
        <v>0</v>
      </c>
      <c r="W65" s="100">
        <f>_xll.EQNXTDZ($A$1,$B65,W$5,$B$1)</f>
        <v>0</v>
      </c>
      <c r="X65" s="100">
        <f>_xll.EQNXTDZ($A$1,$B65,X$5,$B$1)</f>
        <v>0</v>
      </c>
      <c r="Y65" s="100">
        <f>_xll.EQNXTDZ($A$1,$B65,Y$5,$B$1)</f>
        <v>0</v>
      </c>
      <c r="Z65" s="100">
        <f>_xll.EQNXTDZ($A$1,$B65,Z$5,$B$1)</f>
        <v>0</v>
      </c>
      <c r="AA65" s="100">
        <f>_xll.EQNXTDZ($A$1,$B65,AA$5,$B$1)</f>
        <v>0</v>
      </c>
      <c r="AB65" s="100">
        <f>_xll.EQNXTDZ($A$1,$B65,AB$5,$B$1)</f>
        <v>0</v>
      </c>
      <c r="AC65" s="100">
        <f>_xll.EQNXTDZ($A$1,$B65,AC$5,$B$1)</f>
        <v>0</v>
      </c>
      <c r="AD65" s="100">
        <f>_xll.EQNXTDZ($A$1,$B65,AD$5,$B$1)</f>
        <v>0</v>
      </c>
      <c r="AE65" s="100">
        <f>_xll.EQNXTDZ($A$1,$B65,AE$5,$B$1)</f>
        <v>0</v>
      </c>
      <c r="AF65" s="100">
        <f>_xll.EQNXTDZ($A$1,$B65,AF$5,$B$1)</f>
        <v>0</v>
      </c>
      <c r="AG65" s="100">
        <f>_xll.EQNXTDZ($A$1,$B65,AG$5,$B$1)</f>
        <v>0</v>
      </c>
      <c r="AH65" s="100">
        <f>_xll.EQNXTDZ($A$1,$B65,AH$5,$B$1)</f>
        <v>0</v>
      </c>
      <c r="AI65" s="100">
        <f>_xll.EQNXTDZ($A$1,$B65,AI$5,$B$1)</f>
        <v>0</v>
      </c>
      <c r="AJ65" s="100">
        <f>_xll.EQNXTDZ($A$1,$B65,AJ$5,$B$1)</f>
        <v>0</v>
      </c>
      <c r="AK65" s="100">
        <f>_xll.EQNXTDZ($A$1,$B65,AK$5,$B$1)</f>
        <v>0</v>
      </c>
      <c r="AL65" s="100">
        <f>_xll.EQNXTDZ($A$1,$B65,AL$5,$B$1)</f>
        <v>0</v>
      </c>
      <c r="AM65" s="100">
        <f>_xll.EQNXTDZ($A$1,$B65,AM$5,$B$1)</f>
        <v>0</v>
      </c>
      <c r="AN65" s="100">
        <f>_xll.EQNXTDZ($A$1,$B65,AN$5,$B$1)</f>
        <v>0</v>
      </c>
      <c r="AO65" s="100">
        <f>_xll.EQNXTDZ($A$1,$B65,AO$5,$B$1)</f>
        <v>0</v>
      </c>
      <c r="AP65" s="100">
        <f>_xll.EQNXTDZ($A$1,$B65,AP$5,$B$1)</f>
        <v>0</v>
      </c>
      <c r="AQ65" s="100">
        <f>_xll.EQNXTDZ($A$1,$B65,AQ$5,$B$1)</f>
        <v>0</v>
      </c>
      <c r="AR65" s="100">
        <f>_xll.EQNXTDZ($A$1,$B65,AR$5,$B$1)</f>
        <v>0</v>
      </c>
      <c r="AS65" s="100">
        <f>_xll.EQNXTDZ($A$1,$B65,AS$5,$B$1)</f>
        <v>0</v>
      </c>
      <c r="AT65" s="100">
        <f>_xll.EQNXTDZ($A$1,$B65,AT$5,$B$1)</f>
        <v>0</v>
      </c>
      <c r="AU65" s="100">
        <f>_xll.EQNXTDZ($A$1,$B65,AU$5,$B$1)</f>
        <v>0</v>
      </c>
      <c r="AV65" s="100">
        <f>_xll.EQNXTDZ($A$1,$B65,AV$5,$B$1)</f>
        <v>0</v>
      </c>
      <c r="AW65" s="100">
        <f>_xll.EQNXTDZ($A$1,$B65,AW$5,$B$1)</f>
        <v>0</v>
      </c>
      <c r="AX65" s="100">
        <f>_xll.EQNXTDZ($A$1,$B65,AX$5,$B$1)</f>
        <v>0</v>
      </c>
      <c r="AY65" s="100">
        <f>_xll.EQNXTDZ($A$1,$B65,AY$5,$B$1)</f>
        <v>0</v>
      </c>
      <c r="AZ65" s="100">
        <f>_xll.EQNXTDZ($A$1,$B65,AZ$5,$B$1)</f>
        <v>0</v>
      </c>
      <c r="BA65" s="100">
        <f>_xll.EQNXTDZ($A$1,$B65,BA$5,$B$1)</f>
        <v>0</v>
      </c>
      <c r="BB65" s="100">
        <f>_xll.EQNXTDZ($A$1,$B65,BB$5,$B$1)</f>
        <v>0</v>
      </c>
      <c r="BC65" s="100">
        <f>_xll.EQNXTDZ($A$1,$B65,BC$5,$B$1)</f>
        <v>0</v>
      </c>
      <c r="BD65" s="100">
        <f>_xll.EQNXTDZ($A$1,$B65,BD$5,$B$1)</f>
        <v>0</v>
      </c>
      <c r="BE65" s="100">
        <f>_xll.EQNXTDZ($A$1,$B65,BE$5,$B$1)</f>
        <v>0</v>
      </c>
      <c r="BF65" s="100">
        <f>_xll.EQNXTDZ($A$1,$B65,BF$5,$B$1)</f>
        <v>0</v>
      </c>
      <c r="BG65" s="100">
        <f>_xll.EQNXTDZ($A$1,$B65,BG$5,$B$1)</f>
        <v>0</v>
      </c>
      <c r="BH65" s="100">
        <f>_xll.EQNXTDZ($A$1,$B65,BH$5,$B$1)</f>
        <v>0</v>
      </c>
      <c r="BI65" s="100">
        <f>_xll.EQNXTDZ($A$1,$B65,BI$5,$B$1)</f>
        <v>0</v>
      </c>
      <c r="BJ65" s="100">
        <f>_xll.EQNXTDZ($A$1,$B65,BJ$5,$B$1)</f>
        <v>0</v>
      </c>
      <c r="BK65" s="100">
        <f>_xll.EQNXTDZ($A$1,$B65,BK$5,$B$1)</f>
        <v>0</v>
      </c>
      <c r="BL65" s="100">
        <f>_xll.EQNXTDZ($A$1,$B65,BL$5,$B$1)</f>
        <v>0</v>
      </c>
      <c r="BM65" s="100">
        <f>_xll.EQNXTDZ($A$1,$B65,BM$5,$B$1)</f>
        <v>0</v>
      </c>
      <c r="BN65" s="100">
        <f>_xll.EQNXTDZ($A$1,$B65,BN$5,$B$1)</f>
        <v>0</v>
      </c>
      <c r="BO65" s="100">
        <f>_xll.EQNXTDZ($A$1,$B65,BO$5,$B$1)</f>
        <v>0</v>
      </c>
      <c r="BP65" s="100">
        <f>_xll.EQNXTDZ($A$1,$B65,BP$5,$B$1)</f>
        <v>0</v>
      </c>
      <c r="BQ65" s="100">
        <f>_xll.EQNXTDZ($A$1,$B65,BQ$5,$B$1)</f>
        <v>0</v>
      </c>
      <c r="BR65" s="100">
        <f>_xll.EQNXTDZ($A$1,$B65,BR$5,$B$1)</f>
        <v>0</v>
      </c>
      <c r="BS65" s="100">
        <f>_xll.EQNXTDZ($A$1,$B65,BS$5,$B$1)</f>
        <v>0</v>
      </c>
      <c r="BT65" s="100">
        <f>_xll.EQNXTDZ($A$1,$B65,BT$5,$B$1)</f>
        <v>0</v>
      </c>
      <c r="BU65" s="100">
        <f>_xll.EQNXTDZ($A$1,$B65,BU$5,$B$1)</f>
        <v>0</v>
      </c>
      <c r="BV65" s="100">
        <f>_xll.EQNXTDZ($A$1,$B65,BV$5,$B$1)</f>
        <v>0</v>
      </c>
    </row>
    <row r="66" spans="1:74" x14ac:dyDescent="0.25">
      <c r="A66" t="s">
        <v>357</v>
      </c>
      <c r="B66" t="s">
        <v>382</v>
      </c>
      <c r="C66" s="100">
        <f>_xll.EQNXTDZ($A$1,$B66,C$5,$B$1)</f>
        <v>5.71</v>
      </c>
      <c r="D66" s="100">
        <f>_xll.EQNXTDZ($A$1,$B66,D$5,$B$1)</f>
        <v>0</v>
      </c>
      <c r="E66" s="100">
        <f>_xll.EQNXTDZ($A$1,$B66,E$5,$B$1)</f>
        <v>0</v>
      </c>
      <c r="F66" s="100">
        <f>_xll.EQNXTDZ($A$1,$B66,F$5,$B$1)</f>
        <v>0</v>
      </c>
      <c r="G66" s="100">
        <f>_xll.EQNXTDZ($A$1,$B66,G$5,$B$1)</f>
        <v>5.71</v>
      </c>
      <c r="H66" s="100">
        <f>_xll.EQNXTDZ($A$1,$B66,H$5,$B$1)</f>
        <v>0</v>
      </c>
      <c r="I66" s="100">
        <f>_xll.EQNXTDZ($A$1,$B66,I$5,$B$1)</f>
        <v>18.11</v>
      </c>
      <c r="J66" s="100">
        <f>_xll.EQNXTDZ($A$1,$B66,J$5,$B$1)</f>
        <v>0</v>
      </c>
      <c r="K66" s="100">
        <f>_xll.EQNXTDZ($A$1,$B66,K$5,$B$1)</f>
        <v>24.67</v>
      </c>
      <c r="L66" s="100">
        <f>_xll.EQNXTDZ($A$1,$B66,L$5,$B$1)</f>
        <v>0</v>
      </c>
      <c r="M66" s="100">
        <f>_xll.EQNXTDZ($A$1,$B66,M$5,$B$1)</f>
        <v>37.44</v>
      </c>
      <c r="N66" s="100">
        <f>_xll.EQNXTDZ($A$1,$B66,N$5,$B$1)</f>
        <v>0</v>
      </c>
      <c r="O66" s="100">
        <f>_xll.EQNXTDZ($A$1,$B66,O$5,$B$1)</f>
        <v>40.72</v>
      </c>
      <c r="P66" s="100">
        <f>_xll.EQNXTDZ($A$1,$B66,P$5,$B$1)</f>
        <v>0</v>
      </c>
      <c r="Q66" s="100">
        <f>_xll.EQNXTDZ($A$1,$B66,Q$5,$B$1)</f>
        <v>47.92</v>
      </c>
      <c r="R66" s="100">
        <f>_xll.EQNXTDZ($A$1,$B66,R$5,$B$1)</f>
        <v>0</v>
      </c>
      <c r="S66" s="100">
        <f>_xll.EQNXTDZ($A$1,$B66,S$5,$B$1)</f>
        <v>55.53</v>
      </c>
      <c r="T66" s="100">
        <f>_xll.EQNXTDZ($A$1,$B66,T$5,$B$1)</f>
        <v>0</v>
      </c>
      <c r="U66" s="100">
        <f>_xll.EQNXTDZ($A$1,$B66,U$5,$B$1)</f>
        <v>52.08</v>
      </c>
      <c r="V66" s="100">
        <f>_xll.EQNXTDZ($A$1,$B66,V$5,$B$1)</f>
        <v>0</v>
      </c>
      <c r="W66" s="100">
        <f>_xll.EQNXTDZ($A$1,$B66,W$5,$B$1)</f>
        <v>49.69</v>
      </c>
      <c r="X66" s="100">
        <f>_xll.EQNXTDZ($A$1,$B66,X$5,$B$1)</f>
        <v>0</v>
      </c>
      <c r="Y66" s="100">
        <f>_xll.EQNXTDZ($A$1,$B66,Y$5,$B$1)</f>
        <v>42.68</v>
      </c>
      <c r="Z66" s="100">
        <f>_xll.EQNXTDZ($A$1,$B66,Z$5,$B$1)</f>
        <v>0</v>
      </c>
      <c r="AA66" s="100">
        <f>_xll.EQNXTDZ($A$1,$B66,AA$5,$B$1)</f>
        <v>42.68</v>
      </c>
      <c r="AB66" s="100">
        <f>_xll.EQNXTDZ($A$1,$B66,AB$5,$B$1)</f>
        <v>0</v>
      </c>
      <c r="AC66" s="100">
        <f>_xll.EQNXTDZ($A$1,$B66,AC$5,$B$1)</f>
        <v>32.29</v>
      </c>
      <c r="AD66" s="100">
        <f>_xll.EQNXTDZ($A$1,$B66,AD$5,$B$1)</f>
        <v>0</v>
      </c>
      <c r="AE66" s="100">
        <f>_xll.EQNXTDZ($A$1,$B66,AE$5,$B$1)</f>
        <v>30</v>
      </c>
      <c r="AF66" s="100">
        <f>_xll.EQNXTDZ($A$1,$B66,AF$5,$B$1)</f>
        <v>0</v>
      </c>
      <c r="AG66" s="100">
        <f>_xll.EQNXTDZ($A$1,$B66,AG$5,$B$1)</f>
        <v>44.97</v>
      </c>
      <c r="AH66" s="100">
        <f>_xll.EQNXTDZ($A$1,$B66,AH$5,$B$1)</f>
        <v>0</v>
      </c>
      <c r="AI66" s="100">
        <f>_xll.EQNXTDZ($A$1,$B66,AI$5,$B$1)</f>
        <v>0</v>
      </c>
      <c r="AJ66" s="100">
        <f>_xll.EQNXTDZ($A$1,$B66,AJ$5,$B$1)</f>
        <v>0</v>
      </c>
      <c r="AK66" s="100">
        <f>_xll.EQNXTDZ($A$1,$B66,AK$5,$B$1)</f>
        <v>0</v>
      </c>
      <c r="AL66" s="100">
        <f>_xll.EQNXTDZ($A$1,$B66,AL$5,$B$1)</f>
        <v>0</v>
      </c>
      <c r="AM66" s="100">
        <f>_xll.EQNXTDZ($A$1,$B66,AM$5,$B$1)</f>
        <v>0</v>
      </c>
      <c r="AN66" s="100">
        <f>_xll.EQNXTDZ($A$1,$B66,AN$5,$B$1)</f>
        <v>0</v>
      </c>
      <c r="AO66" s="100">
        <f>_xll.EQNXTDZ($A$1,$B66,AO$5,$B$1)</f>
        <v>0</v>
      </c>
      <c r="AP66" s="100">
        <f>_xll.EQNXTDZ($A$1,$B66,AP$5,$B$1)</f>
        <v>0</v>
      </c>
      <c r="AQ66" s="100">
        <f>_xll.EQNXTDZ($A$1,$B66,AQ$5,$B$1)</f>
        <v>0</v>
      </c>
      <c r="AR66" s="100">
        <f>_xll.EQNXTDZ($A$1,$B66,AR$5,$B$1)</f>
        <v>0</v>
      </c>
      <c r="AS66" s="100">
        <f>_xll.EQNXTDZ($A$1,$B66,AS$5,$B$1)</f>
        <v>0</v>
      </c>
      <c r="AT66" s="100">
        <f>_xll.EQNXTDZ($A$1,$B66,AT$5,$B$1)</f>
        <v>0</v>
      </c>
      <c r="AU66" s="100">
        <f>_xll.EQNXTDZ($A$1,$B66,AU$5,$B$1)</f>
        <v>0</v>
      </c>
      <c r="AV66" s="100">
        <f>_xll.EQNXTDZ($A$1,$B66,AV$5,$B$1)</f>
        <v>0</v>
      </c>
      <c r="AW66" s="100">
        <f>_xll.EQNXTDZ($A$1,$B66,AW$5,$B$1)</f>
        <v>5.63</v>
      </c>
      <c r="AX66" s="100">
        <f>_xll.EQNXTDZ($A$1,$B66,AX$5,$B$1)</f>
        <v>0</v>
      </c>
      <c r="AY66" s="100">
        <f>_xll.EQNXTDZ($A$1,$B66,AY$5,$B$1)</f>
        <v>5.63</v>
      </c>
      <c r="AZ66" s="100">
        <f>_xll.EQNXTDZ($A$1,$B66,AZ$5,$B$1)</f>
        <v>0</v>
      </c>
      <c r="BA66" s="100">
        <f>_xll.EQNXTDZ($A$1,$B66,BA$5,$B$1)</f>
        <v>5.13</v>
      </c>
      <c r="BB66" s="100">
        <f>_xll.EQNXTDZ($A$1,$B66,BB$5,$B$1)</f>
        <v>0</v>
      </c>
      <c r="BC66" s="100">
        <f>_xll.EQNXTDZ($A$1,$B66,BC$5,$B$1)</f>
        <v>2.59</v>
      </c>
      <c r="BD66" s="100">
        <f>_xll.EQNXTDZ($A$1,$B66,BD$5,$B$1)</f>
        <v>0</v>
      </c>
      <c r="BE66" s="100">
        <f>_xll.EQNXTDZ($A$1,$B66,BE$5,$B$1)</f>
        <v>4.3499999999999996</v>
      </c>
      <c r="BF66" s="100">
        <f>_xll.EQNXTDZ($A$1,$B66,BF$5,$B$1)</f>
        <v>0</v>
      </c>
      <c r="BG66" s="100">
        <f>_xll.EQNXTDZ($A$1,$B66,BG$5,$B$1)</f>
        <v>0</v>
      </c>
      <c r="BH66" s="100">
        <f>_xll.EQNXTDZ($A$1,$B66,BH$5,$B$1)</f>
        <v>0</v>
      </c>
      <c r="BI66" s="100">
        <f>_xll.EQNXTDZ($A$1,$B66,BI$5,$B$1)</f>
        <v>0</v>
      </c>
      <c r="BJ66" s="100">
        <f>_xll.EQNXTDZ($A$1,$B66,BJ$5,$B$1)</f>
        <v>0</v>
      </c>
      <c r="BK66" s="100">
        <f>_xll.EQNXTDZ($A$1,$B66,BK$5,$B$1)</f>
        <v>0</v>
      </c>
      <c r="BL66" s="100">
        <f>_xll.EQNXTDZ($A$1,$B66,BL$5,$B$1)</f>
        <v>0</v>
      </c>
      <c r="BM66" s="100">
        <f>_xll.EQNXTDZ($A$1,$B66,BM$5,$B$1)</f>
        <v>0</v>
      </c>
      <c r="BN66" s="100">
        <f>_xll.EQNXTDZ($A$1,$B66,BN$5,$B$1)</f>
        <v>0</v>
      </c>
      <c r="BO66" s="100">
        <f>_xll.EQNXTDZ($A$1,$B66,BO$5,$B$1)</f>
        <v>0</v>
      </c>
      <c r="BP66" s="100">
        <f>_xll.EQNXTDZ($A$1,$B66,BP$5,$B$1)</f>
        <v>0</v>
      </c>
      <c r="BQ66" s="100">
        <f>_xll.EQNXTDZ($A$1,$B66,BQ$5,$B$1)</f>
        <v>0</v>
      </c>
      <c r="BR66" s="100">
        <f>_xll.EQNXTDZ($A$1,$B66,BR$5,$B$1)</f>
        <v>0</v>
      </c>
      <c r="BS66" s="100">
        <f>_xll.EQNXTDZ($A$1,$B66,BS$5,$B$1)</f>
        <v>0</v>
      </c>
      <c r="BT66" s="100">
        <f>_xll.EQNXTDZ($A$1,$B66,BT$5,$B$1)</f>
        <v>0</v>
      </c>
      <c r="BU66" s="100">
        <f>_xll.EQNXTDZ($A$1,$B66,BU$5,$B$1)</f>
        <v>0</v>
      </c>
      <c r="BV66" s="100">
        <f>_xll.EQNXTDZ($A$1,$B66,BV$5,$B$1)</f>
        <v>0</v>
      </c>
    </row>
    <row r="67" spans="1:74" x14ac:dyDescent="0.25">
      <c r="A67" t="s">
        <v>165</v>
      </c>
      <c r="B67" t="s">
        <v>383</v>
      </c>
      <c r="C67" s="100">
        <f>_xll.EQNXTDZ($A$1,$B67,C$5,$B$1)</f>
        <v>2643.34</v>
      </c>
      <c r="D67" s="100">
        <f>_xll.EQNXTDZ($A$1,$B67,D$5,$B$1)</f>
        <v>0</v>
      </c>
      <c r="E67" s="100">
        <f>_xll.EQNXTDZ($A$1,$B67,E$5,$B$1)</f>
        <v>2611.2399999999998</v>
      </c>
      <c r="F67" s="100">
        <f>_xll.EQNXTDZ($A$1,$B67,F$5,$B$1)</f>
        <v>0</v>
      </c>
      <c r="G67" s="100">
        <f>_xll.EQNXTDZ($A$1,$B67,G$5,$B$1)</f>
        <v>2667.49</v>
      </c>
      <c r="H67" s="100">
        <f>_xll.EQNXTDZ($A$1,$B67,H$5,$B$1)</f>
        <v>0</v>
      </c>
      <c r="I67" s="100">
        <f>_xll.EQNXTDZ($A$1,$B67,I$5,$B$1)</f>
        <v>2699.84</v>
      </c>
      <c r="J67" s="100">
        <f>_xll.EQNXTDZ($A$1,$B67,J$5,$B$1)</f>
        <v>0</v>
      </c>
      <c r="K67" s="100">
        <f>_xll.EQNXTDZ($A$1,$B67,K$5,$B$1)</f>
        <v>2805.94</v>
      </c>
      <c r="L67" s="100">
        <f>_xll.EQNXTDZ($A$1,$B67,L$5,$B$1)</f>
        <v>0</v>
      </c>
      <c r="M67" s="100">
        <f>_xll.EQNXTDZ($A$1,$B67,M$5,$B$1)</f>
        <v>2853.93</v>
      </c>
      <c r="N67" s="100">
        <f>_xll.EQNXTDZ($A$1,$B67,N$5,$B$1)</f>
        <v>0</v>
      </c>
      <c r="O67" s="100">
        <f>_xll.EQNXTDZ($A$1,$B67,O$5,$B$1)</f>
        <v>2959.97</v>
      </c>
      <c r="P67" s="100">
        <f>_xll.EQNXTDZ($A$1,$B67,P$5,$B$1)</f>
        <v>0</v>
      </c>
      <c r="Q67" s="100">
        <f>_xll.EQNXTDZ($A$1,$B67,Q$5,$B$1)</f>
        <v>3660.77</v>
      </c>
      <c r="R67" s="100">
        <f>_xll.EQNXTDZ($A$1,$B67,R$5,$B$1)</f>
        <v>0</v>
      </c>
      <c r="S67" s="100">
        <f>_xll.EQNXTDZ($A$1,$B67,S$5,$B$1)</f>
        <v>3816.83</v>
      </c>
      <c r="T67" s="100">
        <f>_xll.EQNXTDZ($A$1,$B67,T$5,$B$1)</f>
        <v>0</v>
      </c>
      <c r="U67" s="100">
        <f>_xll.EQNXTDZ($A$1,$B67,U$5,$B$1)</f>
        <v>3938.77</v>
      </c>
      <c r="V67" s="100">
        <f>_xll.EQNXTDZ($A$1,$B67,V$5,$B$1)</f>
        <v>0</v>
      </c>
      <c r="W67" s="100">
        <f>_xll.EQNXTDZ($A$1,$B67,W$5,$B$1)</f>
        <v>4006.88</v>
      </c>
      <c r="X67" s="100">
        <f>_xll.EQNXTDZ($A$1,$B67,X$5,$B$1)</f>
        <v>0</v>
      </c>
      <c r="Y67" s="100">
        <f>_xll.EQNXTDZ($A$1,$B67,Y$5,$B$1)</f>
        <v>3657.57</v>
      </c>
      <c r="Z67" s="100">
        <f>_xll.EQNXTDZ($A$1,$B67,Z$5,$B$1)</f>
        <v>0</v>
      </c>
      <c r="AA67" s="100">
        <f>_xll.EQNXTDZ($A$1,$B67,AA$5,$B$1)</f>
        <v>3760.74</v>
      </c>
      <c r="AB67" s="100">
        <f>_xll.EQNXTDZ($A$1,$B67,AB$5,$B$1)</f>
        <v>0</v>
      </c>
      <c r="AC67" s="100">
        <f>_xll.EQNXTDZ($A$1,$B67,AC$5,$B$1)</f>
        <v>4045.13</v>
      </c>
      <c r="AD67" s="100">
        <f>_xll.EQNXTDZ($A$1,$B67,AD$5,$B$1)</f>
        <v>0</v>
      </c>
      <c r="AE67" s="100">
        <f>_xll.EQNXTDZ($A$1,$B67,AE$5,$B$1)</f>
        <v>4181.49</v>
      </c>
      <c r="AF67" s="100">
        <f>_xll.EQNXTDZ($A$1,$B67,AF$5,$B$1)</f>
        <v>0</v>
      </c>
      <c r="AG67" s="100">
        <f>_xll.EQNXTDZ($A$1,$B67,AG$5,$B$1)</f>
        <v>3575.7</v>
      </c>
      <c r="AH67" s="100">
        <f>_xll.EQNXTDZ($A$1,$B67,AH$5,$B$1)</f>
        <v>0</v>
      </c>
      <c r="AI67" s="100">
        <f>_xll.EQNXTDZ($A$1,$B67,AI$5,$B$1)</f>
        <v>3598.86</v>
      </c>
      <c r="AJ67" s="100">
        <f>_xll.EQNXTDZ($A$1,$B67,AJ$5,$B$1)</f>
        <v>0</v>
      </c>
      <c r="AK67" s="100">
        <f>_xll.EQNXTDZ($A$1,$B67,AK$5,$B$1)</f>
        <v>3656.58</v>
      </c>
      <c r="AL67" s="100">
        <f>_xll.EQNXTDZ($A$1,$B67,AL$5,$B$1)</f>
        <v>0</v>
      </c>
      <c r="AM67" s="100">
        <f>_xll.EQNXTDZ($A$1,$B67,AM$5,$B$1)</f>
        <v>3766.55</v>
      </c>
      <c r="AN67" s="100">
        <f>_xll.EQNXTDZ($A$1,$B67,AN$5,$B$1)</f>
        <v>0</v>
      </c>
      <c r="AO67" s="100">
        <f>_xll.EQNXTDZ($A$1,$B67,AO$5,$B$1)</f>
        <v>4068.95</v>
      </c>
      <c r="AP67" s="100">
        <f>_xll.EQNXTDZ($A$1,$B67,AP$5,$B$1)</f>
        <v>0</v>
      </c>
      <c r="AQ67" s="100">
        <f>_xll.EQNXTDZ($A$1,$B67,AQ$5,$B$1)</f>
        <v>4195.8999999999996</v>
      </c>
      <c r="AR67" s="100">
        <f>_xll.EQNXTDZ($A$1,$B67,AR$5,$B$1)</f>
        <v>0</v>
      </c>
      <c r="AS67" s="100">
        <f>_xll.EQNXTDZ($A$1,$B67,AS$5,$B$1)</f>
        <v>4967.8900000000003</v>
      </c>
      <c r="AT67" s="100">
        <f>_xll.EQNXTDZ($A$1,$B67,AT$5,$B$1)</f>
        <v>0</v>
      </c>
      <c r="AU67" s="100">
        <f>_xll.EQNXTDZ($A$1,$B67,AU$5,$B$1)</f>
        <v>5389.8</v>
      </c>
      <c r="AV67" s="100">
        <f>_xll.EQNXTDZ($A$1,$B67,AV$5,$B$1)</f>
        <v>0</v>
      </c>
      <c r="AW67" s="100">
        <f>_xll.EQNXTDZ($A$1,$B67,AW$5,$B$1)</f>
        <v>5987.03</v>
      </c>
      <c r="AX67" s="100">
        <f>_xll.EQNXTDZ($A$1,$B67,AX$5,$B$1)</f>
        <v>0</v>
      </c>
      <c r="AY67" s="100">
        <f>_xll.EQNXTDZ($A$1,$B67,AY$5,$B$1)</f>
        <v>6369.18</v>
      </c>
      <c r="AZ67" s="100">
        <f>_xll.EQNXTDZ($A$1,$B67,AZ$5,$B$1)</f>
        <v>0</v>
      </c>
      <c r="BA67" s="100">
        <f>_xll.EQNXTDZ($A$1,$B67,BA$5,$B$1)</f>
        <v>7117.37</v>
      </c>
      <c r="BB67" s="100">
        <f>_xll.EQNXTDZ($A$1,$B67,BB$5,$B$1)</f>
        <v>0</v>
      </c>
      <c r="BC67" s="100">
        <f>_xll.EQNXTDZ($A$1,$B67,BC$5,$B$1)</f>
        <v>7255.43</v>
      </c>
      <c r="BD67" s="100">
        <f>_xll.EQNXTDZ($A$1,$B67,BD$5,$B$1)</f>
        <v>0</v>
      </c>
      <c r="BE67" s="100">
        <f>_xll.EQNXTDZ($A$1,$B67,BE$5,$B$1)</f>
        <v>7905.03</v>
      </c>
      <c r="BF67" s="100">
        <f>_xll.EQNXTDZ($A$1,$B67,BF$5,$B$1)</f>
        <v>0</v>
      </c>
      <c r="BG67" s="100">
        <f>_xll.EQNXTDZ($A$1,$B67,BG$5,$B$1)</f>
        <v>0</v>
      </c>
      <c r="BH67" s="100">
        <f>_xll.EQNXTDZ($A$1,$B67,BH$5,$B$1)</f>
        <v>0</v>
      </c>
      <c r="BI67" s="100">
        <f>_xll.EQNXTDZ($A$1,$B67,BI$5,$B$1)</f>
        <v>0</v>
      </c>
      <c r="BJ67" s="100">
        <f>_xll.EQNXTDZ($A$1,$B67,BJ$5,$B$1)</f>
        <v>0</v>
      </c>
      <c r="BK67" s="100">
        <f>_xll.EQNXTDZ($A$1,$B67,BK$5,$B$1)</f>
        <v>0</v>
      </c>
      <c r="BL67" s="100">
        <f>_xll.EQNXTDZ($A$1,$B67,BL$5,$B$1)</f>
        <v>0</v>
      </c>
      <c r="BM67" s="100">
        <f>_xll.EQNXTDZ($A$1,$B67,BM$5,$B$1)</f>
        <v>0</v>
      </c>
      <c r="BN67" s="100">
        <f>_xll.EQNXTDZ($A$1,$B67,BN$5,$B$1)</f>
        <v>0</v>
      </c>
      <c r="BO67" s="100">
        <f>_xll.EQNXTDZ($A$1,$B67,BO$5,$B$1)</f>
        <v>0</v>
      </c>
      <c r="BP67" s="100">
        <f>_xll.EQNXTDZ($A$1,$B67,BP$5,$B$1)</f>
        <v>0</v>
      </c>
      <c r="BQ67" s="100">
        <f>_xll.EQNXTDZ($A$1,$B67,BQ$5,$B$1)</f>
        <v>0</v>
      </c>
      <c r="BR67" s="100">
        <f>_xll.EQNXTDZ($A$1,$B67,BR$5,$B$1)</f>
        <v>0</v>
      </c>
      <c r="BS67" s="100">
        <f>_xll.EQNXTDZ($A$1,$B67,BS$5,$B$1)</f>
        <v>0</v>
      </c>
      <c r="BT67" s="100">
        <f>_xll.EQNXTDZ($A$1,$B67,BT$5,$B$1)</f>
        <v>0</v>
      </c>
      <c r="BU67" s="100">
        <f>_xll.EQNXTDZ($A$1,$B67,BU$5,$B$1)</f>
        <v>0</v>
      </c>
      <c r="BV67" s="100">
        <f>_xll.EQNXTDZ($A$1,$B67,BV$5,$B$1)</f>
        <v>0</v>
      </c>
    </row>
    <row r="68" spans="1:74" x14ac:dyDescent="0.25">
      <c r="A68" t="s">
        <v>358</v>
      </c>
      <c r="B68" t="s">
        <v>384</v>
      </c>
      <c r="C68" s="100">
        <f>_xll.EQNXTDZ($A$1,$B68,C$5,$B$1)</f>
        <v>1267.53</v>
      </c>
      <c r="D68" s="100">
        <f>_xll.EQNXTDZ($A$1,$B68,D$5,$B$1)</f>
        <v>0</v>
      </c>
      <c r="E68" s="100">
        <f>_xll.EQNXTDZ($A$1,$B68,E$5,$B$1)</f>
        <v>1350.8</v>
      </c>
      <c r="F68" s="100">
        <f>_xll.EQNXTDZ($A$1,$B68,F$5,$B$1)</f>
        <v>0</v>
      </c>
      <c r="G68" s="100">
        <f>_xll.EQNXTDZ($A$1,$B68,G$5,$B$1)</f>
        <v>1407.22</v>
      </c>
      <c r="H68" s="100">
        <f>_xll.EQNXTDZ($A$1,$B68,H$5,$B$1)</f>
        <v>0</v>
      </c>
      <c r="I68" s="100">
        <f>_xll.EQNXTDZ($A$1,$B68,I$5,$B$1)</f>
        <v>1439</v>
      </c>
      <c r="J68" s="100">
        <f>_xll.EQNXTDZ($A$1,$B68,J$5,$B$1)</f>
        <v>0</v>
      </c>
      <c r="K68" s="100">
        <f>_xll.EQNXTDZ($A$1,$B68,K$5,$B$1)</f>
        <v>1432.84</v>
      </c>
      <c r="L68" s="100">
        <f>_xll.EQNXTDZ($A$1,$B68,L$5,$B$1)</f>
        <v>0</v>
      </c>
      <c r="M68" s="100">
        <f>_xll.EQNXTDZ($A$1,$B68,M$5,$B$1)</f>
        <v>1431.47</v>
      </c>
      <c r="N68" s="100">
        <f>_xll.EQNXTDZ($A$1,$B68,N$5,$B$1)</f>
        <v>0</v>
      </c>
      <c r="O68" s="100">
        <f>_xll.EQNXTDZ($A$1,$B68,O$5,$B$1)</f>
        <v>1364.85</v>
      </c>
      <c r="P68" s="100">
        <f>_xll.EQNXTDZ($A$1,$B68,P$5,$B$1)</f>
        <v>0</v>
      </c>
      <c r="Q68" s="100">
        <f>_xll.EQNXTDZ($A$1,$B68,Q$5,$B$1)</f>
        <v>1342.7</v>
      </c>
      <c r="R68" s="100">
        <f>_xll.EQNXTDZ($A$1,$B68,R$5,$B$1)</f>
        <v>0</v>
      </c>
      <c r="S68" s="100">
        <f>_xll.EQNXTDZ($A$1,$B68,S$5,$B$1)</f>
        <v>1319.16</v>
      </c>
      <c r="T68" s="100">
        <f>_xll.EQNXTDZ($A$1,$B68,T$5,$B$1)</f>
        <v>0</v>
      </c>
      <c r="U68" s="100">
        <f>_xll.EQNXTDZ($A$1,$B68,U$5,$B$1)</f>
        <v>1322.69</v>
      </c>
      <c r="V68" s="100">
        <f>_xll.EQNXTDZ($A$1,$B68,V$5,$B$1)</f>
        <v>0</v>
      </c>
      <c r="W68" s="100">
        <f>_xll.EQNXTDZ($A$1,$B68,W$5,$B$1)</f>
        <v>1233.8800000000001</v>
      </c>
      <c r="X68" s="100">
        <f>_xll.EQNXTDZ($A$1,$B68,X$5,$B$1)</f>
        <v>0</v>
      </c>
      <c r="Y68" s="100">
        <f>_xll.EQNXTDZ($A$1,$B68,Y$5,$B$1)</f>
        <v>1218.6600000000001</v>
      </c>
      <c r="Z68" s="100">
        <f>_xll.EQNXTDZ($A$1,$B68,Z$5,$B$1)</f>
        <v>0</v>
      </c>
      <c r="AA68" s="100">
        <f>_xll.EQNXTDZ($A$1,$B68,AA$5,$B$1)</f>
        <v>1251.83</v>
      </c>
      <c r="AB68" s="100">
        <f>_xll.EQNXTDZ($A$1,$B68,AB$5,$B$1)</f>
        <v>0</v>
      </c>
      <c r="AC68" s="100">
        <f>_xll.EQNXTDZ($A$1,$B68,AC$5,$B$1)</f>
        <v>893.14</v>
      </c>
      <c r="AD68" s="100">
        <f>_xll.EQNXTDZ($A$1,$B68,AD$5,$B$1)</f>
        <v>0</v>
      </c>
      <c r="AE68" s="100">
        <f>_xll.EQNXTDZ($A$1,$B68,AE$5,$B$1)</f>
        <v>733.99</v>
      </c>
      <c r="AF68" s="100">
        <f>_xll.EQNXTDZ($A$1,$B68,AF$5,$B$1)</f>
        <v>0</v>
      </c>
      <c r="AG68" s="100">
        <f>_xll.EQNXTDZ($A$1,$B68,AG$5,$B$1)</f>
        <v>741.69</v>
      </c>
      <c r="AH68" s="100">
        <f>_xll.EQNXTDZ($A$1,$B68,AH$5,$B$1)</f>
        <v>0</v>
      </c>
      <c r="AI68" s="100">
        <f>_xll.EQNXTDZ($A$1,$B68,AI$5,$B$1)</f>
        <v>724.19</v>
      </c>
      <c r="AJ68" s="100">
        <f>_xll.EQNXTDZ($A$1,$B68,AJ$5,$B$1)</f>
        <v>0</v>
      </c>
      <c r="AK68" s="100">
        <f>_xll.EQNXTDZ($A$1,$B68,AK$5,$B$1)</f>
        <v>708.44</v>
      </c>
      <c r="AL68" s="100">
        <f>_xll.EQNXTDZ($A$1,$B68,AL$5,$B$1)</f>
        <v>0</v>
      </c>
      <c r="AM68" s="100">
        <f>_xll.EQNXTDZ($A$1,$B68,AM$5,$B$1)</f>
        <v>724.96</v>
      </c>
      <c r="AN68" s="100">
        <f>_xll.EQNXTDZ($A$1,$B68,AN$5,$B$1)</f>
        <v>0</v>
      </c>
      <c r="AO68" s="100">
        <f>_xll.EQNXTDZ($A$1,$B68,AO$5,$B$1)</f>
        <v>771.47</v>
      </c>
      <c r="AP68" s="100">
        <f>_xll.EQNXTDZ($A$1,$B68,AP$5,$B$1)</f>
        <v>0</v>
      </c>
      <c r="AQ68" s="100">
        <f>_xll.EQNXTDZ($A$1,$B68,AQ$5,$B$1)</f>
        <v>769.97</v>
      </c>
      <c r="AR68" s="100">
        <f>_xll.EQNXTDZ($A$1,$B68,AR$5,$B$1)</f>
        <v>0</v>
      </c>
      <c r="AS68" s="100">
        <f>_xll.EQNXTDZ($A$1,$B68,AS$5,$B$1)</f>
        <v>858</v>
      </c>
      <c r="AT68" s="100">
        <f>_xll.EQNXTDZ($A$1,$B68,AT$5,$B$1)</f>
        <v>0</v>
      </c>
      <c r="AU68" s="100">
        <f>_xll.EQNXTDZ($A$1,$B68,AU$5,$B$1)</f>
        <v>880.24</v>
      </c>
      <c r="AV68" s="100">
        <f>_xll.EQNXTDZ($A$1,$B68,AV$5,$B$1)</f>
        <v>0</v>
      </c>
      <c r="AW68" s="100">
        <f>_xll.EQNXTDZ($A$1,$B68,AW$5,$B$1)</f>
        <v>937.96</v>
      </c>
      <c r="AX68" s="100">
        <f>_xll.EQNXTDZ($A$1,$B68,AX$5,$B$1)</f>
        <v>0</v>
      </c>
      <c r="AY68" s="100">
        <f>_xll.EQNXTDZ($A$1,$B68,AY$5,$B$1)</f>
        <v>950.77</v>
      </c>
      <c r="AZ68" s="100">
        <f>_xll.EQNXTDZ($A$1,$B68,AZ$5,$B$1)</f>
        <v>0</v>
      </c>
      <c r="BA68" s="100">
        <f>_xll.EQNXTDZ($A$1,$B68,BA$5,$B$1)</f>
        <v>988.25</v>
      </c>
      <c r="BB68" s="100">
        <f>_xll.EQNXTDZ($A$1,$B68,BB$5,$B$1)</f>
        <v>0</v>
      </c>
      <c r="BC68" s="100">
        <f>_xll.EQNXTDZ($A$1,$B68,BC$5,$B$1)</f>
        <v>1033.75</v>
      </c>
      <c r="BD68" s="100">
        <f>_xll.EQNXTDZ($A$1,$B68,BD$5,$B$1)</f>
        <v>0</v>
      </c>
      <c r="BE68" s="100">
        <f>_xll.EQNXTDZ($A$1,$B68,BE$5,$B$1)</f>
        <v>1089.56</v>
      </c>
      <c r="BF68" s="100">
        <f>_xll.EQNXTDZ($A$1,$B68,BF$5,$B$1)</f>
        <v>0</v>
      </c>
      <c r="BG68" s="100">
        <f>_xll.EQNXTDZ($A$1,$B68,BG$5,$B$1)</f>
        <v>0</v>
      </c>
      <c r="BH68" s="100">
        <f>_xll.EQNXTDZ($A$1,$B68,BH$5,$B$1)</f>
        <v>0</v>
      </c>
      <c r="BI68" s="100">
        <f>_xll.EQNXTDZ($A$1,$B68,BI$5,$B$1)</f>
        <v>0</v>
      </c>
      <c r="BJ68" s="100">
        <f>_xll.EQNXTDZ($A$1,$B68,BJ$5,$B$1)</f>
        <v>0</v>
      </c>
      <c r="BK68" s="100">
        <f>_xll.EQNXTDZ($A$1,$B68,BK$5,$B$1)</f>
        <v>0</v>
      </c>
      <c r="BL68" s="100">
        <f>_xll.EQNXTDZ($A$1,$B68,BL$5,$B$1)</f>
        <v>0</v>
      </c>
      <c r="BM68" s="100">
        <f>_xll.EQNXTDZ($A$1,$B68,BM$5,$B$1)</f>
        <v>0</v>
      </c>
      <c r="BN68" s="100">
        <f>_xll.EQNXTDZ($A$1,$B68,BN$5,$B$1)</f>
        <v>0</v>
      </c>
      <c r="BO68" s="100">
        <f>_xll.EQNXTDZ($A$1,$B68,BO$5,$B$1)</f>
        <v>0</v>
      </c>
      <c r="BP68" s="100">
        <f>_xll.EQNXTDZ($A$1,$B68,BP$5,$B$1)</f>
        <v>0</v>
      </c>
      <c r="BQ68" s="100">
        <f>_xll.EQNXTDZ($A$1,$B68,BQ$5,$B$1)</f>
        <v>0</v>
      </c>
      <c r="BR68" s="100">
        <f>_xll.EQNXTDZ($A$1,$B68,BR$5,$B$1)</f>
        <v>0</v>
      </c>
      <c r="BS68" s="100">
        <f>_xll.EQNXTDZ($A$1,$B68,BS$5,$B$1)</f>
        <v>0</v>
      </c>
      <c r="BT68" s="100">
        <f>_xll.EQNXTDZ($A$1,$B68,BT$5,$B$1)</f>
        <v>0</v>
      </c>
      <c r="BU68" s="100">
        <f>_xll.EQNXTDZ($A$1,$B68,BU$5,$B$1)</f>
        <v>0</v>
      </c>
      <c r="BV68" s="100">
        <f>_xll.EQNXTDZ($A$1,$B68,BV$5,$B$1)</f>
        <v>0</v>
      </c>
    </row>
    <row r="69" spans="1:74" x14ac:dyDescent="0.25">
      <c r="A69" t="s">
        <v>51</v>
      </c>
      <c r="B69" t="s">
        <v>385</v>
      </c>
      <c r="C69" s="100">
        <f>_xll.EQNXTDZ($A$1,$B69,C$5,$B$1)</f>
        <v>0</v>
      </c>
      <c r="D69" s="100">
        <f>_xll.EQNXTDZ($A$1,$B69,D$5,$B$1)</f>
        <v>0</v>
      </c>
      <c r="E69" s="100">
        <f>_xll.EQNXTDZ($A$1,$B69,E$5,$B$1)</f>
        <v>0</v>
      </c>
      <c r="F69" s="100">
        <f>_xll.EQNXTDZ($A$1,$B69,F$5,$B$1)</f>
        <v>0</v>
      </c>
      <c r="G69" s="100">
        <f>_xll.EQNXTDZ($A$1,$B69,G$5,$B$1)</f>
        <v>0</v>
      </c>
      <c r="H69" s="100">
        <f>_xll.EQNXTDZ($A$1,$B69,H$5,$B$1)</f>
        <v>0</v>
      </c>
      <c r="I69" s="100">
        <f>_xll.EQNXTDZ($A$1,$B69,I$5,$B$1)</f>
        <v>0</v>
      </c>
      <c r="J69" s="100">
        <f>_xll.EQNXTDZ($A$1,$B69,J$5,$B$1)</f>
        <v>0</v>
      </c>
      <c r="K69" s="100">
        <f>_xll.EQNXTDZ($A$1,$B69,K$5,$B$1)</f>
        <v>0</v>
      </c>
      <c r="L69" s="100">
        <f>_xll.EQNXTDZ($A$1,$B69,L$5,$B$1)</f>
        <v>0</v>
      </c>
      <c r="M69" s="100">
        <f>_xll.EQNXTDZ($A$1,$B69,M$5,$B$1)</f>
        <v>0</v>
      </c>
      <c r="N69" s="100">
        <f>_xll.EQNXTDZ($A$1,$B69,N$5,$B$1)</f>
        <v>0</v>
      </c>
      <c r="O69" s="100">
        <f>_xll.EQNXTDZ($A$1,$B69,O$5,$B$1)</f>
        <v>0</v>
      </c>
      <c r="P69" s="100">
        <f>_xll.EQNXTDZ($A$1,$B69,P$5,$B$1)</f>
        <v>0</v>
      </c>
      <c r="Q69" s="100">
        <f>_xll.EQNXTDZ($A$1,$B69,Q$5,$B$1)</f>
        <v>0</v>
      </c>
      <c r="R69" s="100">
        <f>_xll.EQNXTDZ($A$1,$B69,R$5,$B$1)</f>
        <v>0</v>
      </c>
      <c r="S69" s="100">
        <f>_xll.EQNXTDZ($A$1,$B69,S$5,$B$1)</f>
        <v>0</v>
      </c>
      <c r="T69" s="100">
        <f>_xll.EQNXTDZ($A$1,$B69,T$5,$B$1)</f>
        <v>0</v>
      </c>
      <c r="U69" s="100">
        <f>_xll.EQNXTDZ($A$1,$B69,U$5,$B$1)</f>
        <v>0</v>
      </c>
      <c r="V69" s="100">
        <f>_xll.EQNXTDZ($A$1,$B69,V$5,$B$1)</f>
        <v>0</v>
      </c>
      <c r="W69" s="100">
        <f>_xll.EQNXTDZ($A$1,$B69,W$5,$B$1)</f>
        <v>0</v>
      </c>
      <c r="X69" s="100">
        <f>_xll.EQNXTDZ($A$1,$B69,X$5,$B$1)</f>
        <v>0</v>
      </c>
      <c r="Y69" s="100">
        <f>_xll.EQNXTDZ($A$1,$B69,Y$5,$B$1)</f>
        <v>0</v>
      </c>
      <c r="Z69" s="100">
        <f>_xll.EQNXTDZ($A$1,$B69,Z$5,$B$1)</f>
        <v>0</v>
      </c>
      <c r="AA69" s="100">
        <f>_xll.EQNXTDZ($A$1,$B69,AA$5,$B$1)</f>
        <v>0</v>
      </c>
      <c r="AB69" s="100">
        <f>_xll.EQNXTDZ($A$1,$B69,AB$5,$B$1)</f>
        <v>0</v>
      </c>
      <c r="AC69" s="100">
        <f>_xll.EQNXTDZ($A$1,$B69,AC$5,$B$1)</f>
        <v>0</v>
      </c>
      <c r="AD69" s="100">
        <f>_xll.EQNXTDZ($A$1,$B69,AD$5,$B$1)</f>
        <v>0</v>
      </c>
      <c r="AE69" s="100">
        <f>_xll.EQNXTDZ($A$1,$B69,AE$5,$B$1)</f>
        <v>0</v>
      </c>
      <c r="AF69" s="100">
        <f>_xll.EQNXTDZ($A$1,$B69,AF$5,$B$1)</f>
        <v>0</v>
      </c>
      <c r="AG69" s="100">
        <f>_xll.EQNXTDZ($A$1,$B69,AG$5,$B$1)</f>
        <v>0</v>
      </c>
      <c r="AH69" s="100">
        <f>_xll.EQNXTDZ($A$1,$B69,AH$5,$B$1)</f>
        <v>0</v>
      </c>
      <c r="AI69" s="100">
        <f>_xll.EQNXTDZ($A$1,$B69,AI$5,$B$1)</f>
        <v>0</v>
      </c>
      <c r="AJ69" s="100">
        <f>_xll.EQNXTDZ($A$1,$B69,AJ$5,$B$1)</f>
        <v>0</v>
      </c>
      <c r="AK69" s="100">
        <f>_xll.EQNXTDZ($A$1,$B69,AK$5,$B$1)</f>
        <v>0</v>
      </c>
      <c r="AL69" s="100">
        <f>_xll.EQNXTDZ($A$1,$B69,AL$5,$B$1)</f>
        <v>0</v>
      </c>
      <c r="AM69" s="100">
        <f>_xll.EQNXTDZ($A$1,$B69,AM$5,$B$1)</f>
        <v>0</v>
      </c>
      <c r="AN69" s="100">
        <f>_xll.EQNXTDZ($A$1,$B69,AN$5,$B$1)</f>
        <v>0</v>
      </c>
      <c r="AO69" s="100">
        <f>_xll.EQNXTDZ($A$1,$B69,AO$5,$B$1)</f>
        <v>0</v>
      </c>
      <c r="AP69" s="100">
        <f>_xll.EQNXTDZ($A$1,$B69,AP$5,$B$1)</f>
        <v>0</v>
      </c>
      <c r="AQ69" s="100">
        <f>_xll.EQNXTDZ($A$1,$B69,AQ$5,$B$1)</f>
        <v>0</v>
      </c>
      <c r="AR69" s="100">
        <f>_xll.EQNXTDZ($A$1,$B69,AR$5,$B$1)</f>
        <v>0</v>
      </c>
      <c r="AS69" s="100">
        <f>_xll.EQNXTDZ($A$1,$B69,AS$5,$B$1)</f>
        <v>0</v>
      </c>
      <c r="AT69" s="100">
        <f>_xll.EQNXTDZ($A$1,$B69,AT$5,$B$1)</f>
        <v>0</v>
      </c>
      <c r="AU69" s="100">
        <f>_xll.EQNXTDZ($A$1,$B69,AU$5,$B$1)</f>
        <v>0</v>
      </c>
      <c r="AV69" s="100">
        <f>_xll.EQNXTDZ($A$1,$B69,AV$5,$B$1)</f>
        <v>0</v>
      </c>
      <c r="AW69" s="100">
        <f>_xll.EQNXTDZ($A$1,$B69,AW$5,$B$1)</f>
        <v>0</v>
      </c>
      <c r="AX69" s="100">
        <f>_xll.EQNXTDZ($A$1,$B69,AX$5,$B$1)</f>
        <v>0</v>
      </c>
      <c r="AY69" s="100">
        <f>_xll.EQNXTDZ($A$1,$B69,AY$5,$B$1)</f>
        <v>0</v>
      </c>
      <c r="AZ69" s="100">
        <f>_xll.EQNXTDZ($A$1,$B69,AZ$5,$B$1)</f>
        <v>0</v>
      </c>
      <c r="BA69" s="100">
        <f>_xll.EQNXTDZ($A$1,$B69,BA$5,$B$1)</f>
        <v>0</v>
      </c>
      <c r="BB69" s="100">
        <f>_xll.EQNXTDZ($A$1,$B69,BB$5,$B$1)</f>
        <v>0</v>
      </c>
      <c r="BC69" s="100">
        <f>_xll.EQNXTDZ($A$1,$B69,BC$5,$B$1)</f>
        <v>0</v>
      </c>
      <c r="BD69" s="100">
        <f>_xll.EQNXTDZ($A$1,$B69,BD$5,$B$1)</f>
        <v>0</v>
      </c>
      <c r="BE69" s="100">
        <f>_xll.EQNXTDZ($A$1,$B69,BE$5,$B$1)</f>
        <v>0</v>
      </c>
      <c r="BF69" s="100">
        <f>_xll.EQNXTDZ($A$1,$B69,BF$5,$B$1)</f>
        <v>0</v>
      </c>
      <c r="BG69" s="100">
        <f>_xll.EQNXTDZ($A$1,$B69,BG$5,$B$1)</f>
        <v>0</v>
      </c>
      <c r="BH69" s="100">
        <f>_xll.EQNXTDZ($A$1,$B69,BH$5,$B$1)</f>
        <v>0</v>
      </c>
      <c r="BI69" s="100">
        <f>_xll.EQNXTDZ($A$1,$B69,BI$5,$B$1)</f>
        <v>0</v>
      </c>
      <c r="BJ69" s="100">
        <f>_xll.EQNXTDZ($A$1,$B69,BJ$5,$B$1)</f>
        <v>0</v>
      </c>
      <c r="BK69" s="100">
        <f>_xll.EQNXTDZ($A$1,$B69,BK$5,$B$1)</f>
        <v>0</v>
      </c>
      <c r="BL69" s="100">
        <f>_xll.EQNXTDZ($A$1,$B69,BL$5,$B$1)</f>
        <v>0</v>
      </c>
      <c r="BM69" s="100">
        <f>_xll.EQNXTDZ($A$1,$B69,BM$5,$B$1)</f>
        <v>0</v>
      </c>
      <c r="BN69" s="100">
        <f>_xll.EQNXTDZ($A$1,$B69,BN$5,$B$1)</f>
        <v>0</v>
      </c>
      <c r="BO69" s="100">
        <f>_xll.EQNXTDZ($A$1,$B69,BO$5,$B$1)</f>
        <v>0</v>
      </c>
      <c r="BP69" s="100">
        <f>_xll.EQNXTDZ($A$1,$B69,BP$5,$B$1)</f>
        <v>0</v>
      </c>
      <c r="BQ69" s="100">
        <f>_xll.EQNXTDZ($A$1,$B69,BQ$5,$B$1)</f>
        <v>0</v>
      </c>
      <c r="BR69" s="100">
        <f>_xll.EQNXTDZ($A$1,$B69,BR$5,$B$1)</f>
        <v>0</v>
      </c>
      <c r="BS69" s="100">
        <f>_xll.EQNXTDZ($A$1,$B69,BS$5,$B$1)</f>
        <v>0</v>
      </c>
      <c r="BT69" s="100">
        <f>_xll.EQNXTDZ($A$1,$B69,BT$5,$B$1)</f>
        <v>0</v>
      </c>
      <c r="BU69" s="100">
        <f>_xll.EQNXTDZ($A$1,$B69,BU$5,$B$1)</f>
        <v>0</v>
      </c>
      <c r="BV69" s="100">
        <f>_xll.EQNXTDZ($A$1,$B69,BV$5,$B$1)</f>
        <v>0</v>
      </c>
    </row>
    <row r="70" spans="1:74" x14ac:dyDescent="0.25">
      <c r="A70" t="s">
        <v>52</v>
      </c>
      <c r="B70" t="s">
        <v>386</v>
      </c>
      <c r="C70" s="100">
        <f>_xll.EQNXTDZ($A$1,$B70,C$5,$B$1)</f>
        <v>0</v>
      </c>
      <c r="D70" s="100">
        <f>_xll.EQNXTDZ($A$1,$B70,D$5,$B$1)</f>
        <v>0</v>
      </c>
      <c r="E70" s="100">
        <f>_xll.EQNXTDZ($A$1,$B70,E$5,$B$1)</f>
        <v>0</v>
      </c>
      <c r="F70" s="100">
        <f>_xll.EQNXTDZ($A$1,$B70,F$5,$B$1)</f>
        <v>0</v>
      </c>
      <c r="G70" s="100">
        <f>_xll.EQNXTDZ($A$1,$B70,G$5,$B$1)</f>
        <v>0</v>
      </c>
      <c r="H70" s="100">
        <f>_xll.EQNXTDZ($A$1,$B70,H$5,$B$1)</f>
        <v>0</v>
      </c>
      <c r="I70" s="100">
        <f>_xll.EQNXTDZ($A$1,$B70,I$5,$B$1)</f>
        <v>0</v>
      </c>
      <c r="J70" s="100">
        <f>_xll.EQNXTDZ($A$1,$B70,J$5,$B$1)</f>
        <v>0</v>
      </c>
      <c r="K70" s="100">
        <f>_xll.EQNXTDZ($A$1,$B70,K$5,$B$1)</f>
        <v>0</v>
      </c>
      <c r="L70" s="100">
        <f>_xll.EQNXTDZ($A$1,$B70,L$5,$B$1)</f>
        <v>0</v>
      </c>
      <c r="M70" s="100">
        <f>_xll.EQNXTDZ($A$1,$B70,M$5,$B$1)</f>
        <v>0</v>
      </c>
      <c r="N70" s="100">
        <f>_xll.EQNXTDZ($A$1,$B70,N$5,$B$1)</f>
        <v>0</v>
      </c>
      <c r="O70" s="100">
        <f>_xll.EQNXTDZ($A$1,$B70,O$5,$B$1)</f>
        <v>0</v>
      </c>
      <c r="P70" s="100">
        <f>_xll.EQNXTDZ($A$1,$B70,P$5,$B$1)</f>
        <v>0</v>
      </c>
      <c r="Q70" s="100">
        <f>_xll.EQNXTDZ($A$1,$B70,Q$5,$B$1)</f>
        <v>0</v>
      </c>
      <c r="R70" s="100">
        <f>_xll.EQNXTDZ($A$1,$B70,R$5,$B$1)</f>
        <v>0</v>
      </c>
      <c r="S70" s="100">
        <f>_xll.EQNXTDZ($A$1,$B70,S$5,$B$1)</f>
        <v>0</v>
      </c>
      <c r="T70" s="100">
        <f>_xll.EQNXTDZ($A$1,$B70,T$5,$B$1)</f>
        <v>0</v>
      </c>
      <c r="U70" s="100">
        <f>_xll.EQNXTDZ($A$1,$B70,U$5,$B$1)</f>
        <v>0</v>
      </c>
      <c r="V70" s="100">
        <f>_xll.EQNXTDZ($A$1,$B70,V$5,$B$1)</f>
        <v>0</v>
      </c>
      <c r="W70" s="100">
        <f>_xll.EQNXTDZ($A$1,$B70,W$5,$B$1)</f>
        <v>0</v>
      </c>
      <c r="X70" s="100">
        <f>_xll.EQNXTDZ($A$1,$B70,X$5,$B$1)</f>
        <v>0</v>
      </c>
      <c r="Y70" s="100">
        <f>_xll.EQNXTDZ($A$1,$B70,Y$5,$B$1)</f>
        <v>0</v>
      </c>
      <c r="Z70" s="100">
        <f>_xll.EQNXTDZ($A$1,$B70,Z$5,$B$1)</f>
        <v>0</v>
      </c>
      <c r="AA70" s="100">
        <f>_xll.EQNXTDZ($A$1,$B70,AA$5,$B$1)</f>
        <v>0</v>
      </c>
      <c r="AB70" s="100">
        <f>_xll.EQNXTDZ($A$1,$B70,AB$5,$B$1)</f>
        <v>0</v>
      </c>
      <c r="AC70" s="100">
        <f>_xll.EQNXTDZ($A$1,$B70,AC$5,$B$1)</f>
        <v>0</v>
      </c>
      <c r="AD70" s="100">
        <f>_xll.EQNXTDZ($A$1,$B70,AD$5,$B$1)</f>
        <v>0</v>
      </c>
      <c r="AE70" s="100">
        <f>_xll.EQNXTDZ($A$1,$B70,AE$5,$B$1)</f>
        <v>0</v>
      </c>
      <c r="AF70" s="100">
        <f>_xll.EQNXTDZ($A$1,$B70,AF$5,$B$1)</f>
        <v>0</v>
      </c>
      <c r="AG70" s="100">
        <f>_xll.EQNXTDZ($A$1,$B70,AG$5,$B$1)</f>
        <v>0</v>
      </c>
      <c r="AH70" s="100">
        <f>_xll.EQNXTDZ($A$1,$B70,AH$5,$B$1)</f>
        <v>0</v>
      </c>
      <c r="AI70" s="100">
        <f>_xll.EQNXTDZ($A$1,$B70,AI$5,$B$1)</f>
        <v>0</v>
      </c>
      <c r="AJ70" s="100">
        <f>_xll.EQNXTDZ($A$1,$B70,AJ$5,$B$1)</f>
        <v>0</v>
      </c>
      <c r="AK70" s="100">
        <f>_xll.EQNXTDZ($A$1,$B70,AK$5,$B$1)</f>
        <v>0</v>
      </c>
      <c r="AL70" s="100">
        <f>_xll.EQNXTDZ($A$1,$B70,AL$5,$B$1)</f>
        <v>0</v>
      </c>
      <c r="AM70" s="100">
        <f>_xll.EQNXTDZ($A$1,$B70,AM$5,$B$1)</f>
        <v>0</v>
      </c>
      <c r="AN70" s="100">
        <f>_xll.EQNXTDZ($A$1,$B70,AN$5,$B$1)</f>
        <v>0</v>
      </c>
      <c r="AO70" s="100">
        <f>_xll.EQNXTDZ($A$1,$B70,AO$5,$B$1)</f>
        <v>0</v>
      </c>
      <c r="AP70" s="100">
        <f>_xll.EQNXTDZ($A$1,$B70,AP$5,$B$1)</f>
        <v>0</v>
      </c>
      <c r="AQ70" s="100">
        <f>_xll.EQNXTDZ($A$1,$B70,AQ$5,$B$1)</f>
        <v>0</v>
      </c>
      <c r="AR70" s="100">
        <f>_xll.EQNXTDZ($A$1,$B70,AR$5,$B$1)</f>
        <v>0</v>
      </c>
      <c r="AS70" s="100">
        <f>_xll.EQNXTDZ($A$1,$B70,AS$5,$B$1)</f>
        <v>0</v>
      </c>
      <c r="AT70" s="100">
        <f>_xll.EQNXTDZ($A$1,$B70,AT$5,$B$1)</f>
        <v>0</v>
      </c>
      <c r="AU70" s="100">
        <f>_xll.EQNXTDZ($A$1,$B70,AU$5,$B$1)</f>
        <v>0</v>
      </c>
      <c r="AV70" s="100">
        <f>_xll.EQNXTDZ($A$1,$B70,AV$5,$B$1)</f>
        <v>0</v>
      </c>
      <c r="AW70" s="100">
        <f>_xll.EQNXTDZ($A$1,$B70,AW$5,$B$1)</f>
        <v>0</v>
      </c>
      <c r="AX70" s="100">
        <f>_xll.EQNXTDZ($A$1,$B70,AX$5,$B$1)</f>
        <v>0</v>
      </c>
      <c r="AY70" s="100">
        <f>_xll.EQNXTDZ($A$1,$B70,AY$5,$B$1)</f>
        <v>0</v>
      </c>
      <c r="AZ70" s="100">
        <f>_xll.EQNXTDZ($A$1,$B70,AZ$5,$B$1)</f>
        <v>0</v>
      </c>
      <c r="BA70" s="100">
        <f>_xll.EQNXTDZ($A$1,$B70,BA$5,$B$1)</f>
        <v>0</v>
      </c>
      <c r="BB70" s="100">
        <f>_xll.EQNXTDZ($A$1,$B70,BB$5,$B$1)</f>
        <v>0</v>
      </c>
      <c r="BC70" s="100">
        <f>_xll.EQNXTDZ($A$1,$B70,BC$5,$B$1)</f>
        <v>0</v>
      </c>
      <c r="BD70" s="100">
        <f>_xll.EQNXTDZ($A$1,$B70,BD$5,$B$1)</f>
        <v>0</v>
      </c>
      <c r="BE70" s="100">
        <f>_xll.EQNXTDZ($A$1,$B70,BE$5,$B$1)</f>
        <v>0</v>
      </c>
      <c r="BF70" s="100">
        <f>_xll.EQNXTDZ($A$1,$B70,BF$5,$B$1)</f>
        <v>0</v>
      </c>
      <c r="BG70" s="100">
        <f>_xll.EQNXTDZ($A$1,$B70,BG$5,$B$1)</f>
        <v>0</v>
      </c>
      <c r="BH70" s="100">
        <f>_xll.EQNXTDZ($A$1,$B70,BH$5,$B$1)</f>
        <v>0</v>
      </c>
      <c r="BI70" s="100">
        <f>_xll.EQNXTDZ($A$1,$B70,BI$5,$B$1)</f>
        <v>0</v>
      </c>
      <c r="BJ70" s="100">
        <f>_xll.EQNXTDZ($A$1,$B70,BJ$5,$B$1)</f>
        <v>0</v>
      </c>
      <c r="BK70" s="100">
        <f>_xll.EQNXTDZ($A$1,$B70,BK$5,$B$1)</f>
        <v>0</v>
      </c>
      <c r="BL70" s="100">
        <f>_xll.EQNXTDZ($A$1,$B70,BL$5,$B$1)</f>
        <v>0</v>
      </c>
      <c r="BM70" s="100">
        <f>_xll.EQNXTDZ($A$1,$B70,BM$5,$B$1)</f>
        <v>0</v>
      </c>
      <c r="BN70" s="100">
        <f>_xll.EQNXTDZ($A$1,$B70,BN$5,$B$1)</f>
        <v>0</v>
      </c>
      <c r="BO70" s="100">
        <f>_xll.EQNXTDZ($A$1,$B70,BO$5,$B$1)</f>
        <v>0</v>
      </c>
      <c r="BP70" s="100">
        <f>_xll.EQNXTDZ($A$1,$B70,BP$5,$B$1)</f>
        <v>0</v>
      </c>
      <c r="BQ70" s="100">
        <f>_xll.EQNXTDZ($A$1,$B70,BQ$5,$B$1)</f>
        <v>0</v>
      </c>
      <c r="BR70" s="100">
        <f>_xll.EQNXTDZ($A$1,$B70,BR$5,$B$1)</f>
        <v>0</v>
      </c>
      <c r="BS70" s="100">
        <f>_xll.EQNXTDZ($A$1,$B70,BS$5,$B$1)</f>
        <v>0</v>
      </c>
      <c r="BT70" s="100">
        <f>_xll.EQNXTDZ($A$1,$B70,BT$5,$B$1)</f>
        <v>0</v>
      </c>
      <c r="BU70" s="100">
        <f>_xll.EQNXTDZ($A$1,$B70,BU$5,$B$1)</f>
        <v>0</v>
      </c>
      <c r="BV70" s="100">
        <f>_xll.EQNXTDZ($A$1,$B70,BV$5,$B$1)</f>
        <v>0</v>
      </c>
    </row>
    <row r="71" spans="1:74" x14ac:dyDescent="0.25">
      <c r="A71" t="s">
        <v>359</v>
      </c>
      <c r="B71" t="s">
        <v>387</v>
      </c>
      <c r="C71" s="100">
        <f>_xll.EQNXTDZ($A$1,$B71,C$5,$B$1)</f>
        <v>1267.53</v>
      </c>
      <c r="D71" s="100">
        <f>_xll.EQNXTDZ($A$1,$B71,D$5,$B$1)</f>
        <v>0</v>
      </c>
      <c r="E71" s="100">
        <f>_xll.EQNXTDZ($A$1,$B71,E$5,$B$1)</f>
        <v>1350.8</v>
      </c>
      <c r="F71" s="100">
        <f>_xll.EQNXTDZ($A$1,$B71,F$5,$B$1)</f>
        <v>0</v>
      </c>
      <c r="G71" s="100">
        <f>_xll.EQNXTDZ($A$1,$B71,G$5,$B$1)</f>
        <v>1407.22</v>
      </c>
      <c r="H71" s="100">
        <f>_xll.EQNXTDZ($A$1,$B71,H$5,$B$1)</f>
        <v>0</v>
      </c>
      <c r="I71" s="100">
        <f>_xll.EQNXTDZ($A$1,$B71,I$5,$B$1)</f>
        <v>1439</v>
      </c>
      <c r="J71" s="100">
        <f>_xll.EQNXTDZ($A$1,$B71,J$5,$B$1)</f>
        <v>0</v>
      </c>
      <c r="K71" s="100">
        <f>_xll.EQNXTDZ($A$1,$B71,K$5,$B$1)</f>
        <v>1432.84</v>
      </c>
      <c r="L71" s="100">
        <f>_xll.EQNXTDZ($A$1,$B71,L$5,$B$1)</f>
        <v>0</v>
      </c>
      <c r="M71" s="100">
        <f>_xll.EQNXTDZ($A$1,$B71,M$5,$B$1)</f>
        <v>1431.47</v>
      </c>
      <c r="N71" s="100">
        <f>_xll.EQNXTDZ($A$1,$B71,N$5,$B$1)</f>
        <v>0</v>
      </c>
      <c r="O71" s="100">
        <f>_xll.EQNXTDZ($A$1,$B71,O$5,$B$1)</f>
        <v>1364.85</v>
      </c>
      <c r="P71" s="100">
        <f>_xll.EQNXTDZ($A$1,$B71,P$5,$B$1)</f>
        <v>0</v>
      </c>
      <c r="Q71" s="100">
        <f>_xll.EQNXTDZ($A$1,$B71,Q$5,$B$1)</f>
        <v>1342.7</v>
      </c>
      <c r="R71" s="100">
        <f>_xll.EQNXTDZ($A$1,$B71,R$5,$B$1)</f>
        <v>0</v>
      </c>
      <c r="S71" s="100">
        <f>_xll.EQNXTDZ($A$1,$B71,S$5,$B$1)</f>
        <v>1319.16</v>
      </c>
      <c r="T71" s="100">
        <f>_xll.EQNXTDZ($A$1,$B71,T$5,$B$1)</f>
        <v>0</v>
      </c>
      <c r="U71" s="100">
        <f>_xll.EQNXTDZ($A$1,$B71,U$5,$B$1)</f>
        <v>1322.69</v>
      </c>
      <c r="V71" s="100">
        <f>_xll.EQNXTDZ($A$1,$B71,V$5,$B$1)</f>
        <v>0</v>
      </c>
      <c r="W71" s="100">
        <f>_xll.EQNXTDZ($A$1,$B71,W$5,$B$1)</f>
        <v>1233.8800000000001</v>
      </c>
      <c r="X71" s="100">
        <f>_xll.EQNXTDZ($A$1,$B71,X$5,$B$1)</f>
        <v>0</v>
      </c>
      <c r="Y71" s="100">
        <f>_xll.EQNXTDZ($A$1,$B71,Y$5,$B$1)</f>
        <v>1218.6600000000001</v>
      </c>
      <c r="Z71" s="100">
        <f>_xll.EQNXTDZ($A$1,$B71,Z$5,$B$1)</f>
        <v>0</v>
      </c>
      <c r="AA71" s="100">
        <f>_xll.EQNXTDZ($A$1,$B71,AA$5,$B$1)</f>
        <v>1251.83</v>
      </c>
      <c r="AB71" s="100">
        <f>_xll.EQNXTDZ($A$1,$B71,AB$5,$B$1)</f>
        <v>0</v>
      </c>
      <c r="AC71" s="100">
        <f>_xll.EQNXTDZ($A$1,$B71,AC$5,$B$1)</f>
        <v>893.14</v>
      </c>
      <c r="AD71" s="100">
        <f>_xll.EQNXTDZ($A$1,$B71,AD$5,$B$1)</f>
        <v>0</v>
      </c>
      <c r="AE71" s="100">
        <f>_xll.EQNXTDZ($A$1,$B71,AE$5,$B$1)</f>
        <v>733.99</v>
      </c>
      <c r="AF71" s="100">
        <f>_xll.EQNXTDZ($A$1,$B71,AF$5,$B$1)</f>
        <v>0</v>
      </c>
      <c r="AG71" s="100">
        <f>_xll.EQNXTDZ($A$1,$B71,AG$5,$B$1)</f>
        <v>741.69</v>
      </c>
      <c r="AH71" s="100">
        <f>_xll.EQNXTDZ($A$1,$B71,AH$5,$B$1)</f>
        <v>0</v>
      </c>
      <c r="AI71" s="100">
        <f>_xll.EQNXTDZ($A$1,$B71,AI$5,$B$1)</f>
        <v>724.19</v>
      </c>
      <c r="AJ71" s="100">
        <f>_xll.EQNXTDZ($A$1,$B71,AJ$5,$B$1)</f>
        <v>0</v>
      </c>
      <c r="AK71" s="100">
        <f>_xll.EQNXTDZ($A$1,$B71,AK$5,$B$1)</f>
        <v>708.44</v>
      </c>
      <c r="AL71" s="100">
        <f>_xll.EQNXTDZ($A$1,$B71,AL$5,$B$1)</f>
        <v>0</v>
      </c>
      <c r="AM71" s="100">
        <f>_xll.EQNXTDZ($A$1,$B71,AM$5,$B$1)</f>
        <v>724.96</v>
      </c>
      <c r="AN71" s="100">
        <f>_xll.EQNXTDZ($A$1,$B71,AN$5,$B$1)</f>
        <v>0</v>
      </c>
      <c r="AO71" s="100">
        <f>_xll.EQNXTDZ($A$1,$B71,AO$5,$B$1)</f>
        <v>771.47</v>
      </c>
      <c r="AP71" s="100">
        <f>_xll.EQNXTDZ($A$1,$B71,AP$5,$B$1)</f>
        <v>0</v>
      </c>
      <c r="AQ71" s="100">
        <f>_xll.EQNXTDZ($A$1,$B71,AQ$5,$B$1)</f>
        <v>769.97</v>
      </c>
      <c r="AR71" s="100">
        <f>_xll.EQNXTDZ($A$1,$B71,AR$5,$B$1)</f>
        <v>0</v>
      </c>
      <c r="AS71" s="100">
        <f>_xll.EQNXTDZ($A$1,$B71,AS$5,$B$1)</f>
        <v>858</v>
      </c>
      <c r="AT71" s="100">
        <f>_xll.EQNXTDZ($A$1,$B71,AT$5,$B$1)</f>
        <v>0</v>
      </c>
      <c r="AU71" s="100">
        <f>_xll.EQNXTDZ($A$1,$B71,AU$5,$B$1)</f>
        <v>880.24</v>
      </c>
      <c r="AV71" s="100">
        <f>_xll.EQNXTDZ($A$1,$B71,AV$5,$B$1)</f>
        <v>0</v>
      </c>
      <c r="AW71" s="100">
        <f>_xll.EQNXTDZ($A$1,$B71,AW$5,$B$1)</f>
        <v>937.96</v>
      </c>
      <c r="AX71" s="100">
        <f>_xll.EQNXTDZ($A$1,$B71,AX$5,$B$1)</f>
        <v>0</v>
      </c>
      <c r="AY71" s="100">
        <f>_xll.EQNXTDZ($A$1,$B71,AY$5,$B$1)</f>
        <v>950.77</v>
      </c>
      <c r="AZ71" s="100">
        <f>_xll.EQNXTDZ($A$1,$B71,AZ$5,$B$1)</f>
        <v>0</v>
      </c>
      <c r="BA71" s="100">
        <f>_xll.EQNXTDZ($A$1,$B71,BA$5,$B$1)</f>
        <v>988.25</v>
      </c>
      <c r="BB71" s="100">
        <f>_xll.EQNXTDZ($A$1,$B71,BB$5,$B$1)</f>
        <v>0</v>
      </c>
      <c r="BC71" s="100">
        <f>_xll.EQNXTDZ($A$1,$B71,BC$5,$B$1)</f>
        <v>1033.75</v>
      </c>
      <c r="BD71" s="100">
        <f>_xll.EQNXTDZ($A$1,$B71,BD$5,$B$1)</f>
        <v>0</v>
      </c>
      <c r="BE71" s="100">
        <f>_xll.EQNXTDZ($A$1,$B71,BE$5,$B$1)</f>
        <v>1089.56</v>
      </c>
      <c r="BF71" s="100">
        <f>_xll.EQNXTDZ($A$1,$B71,BF$5,$B$1)</f>
        <v>0</v>
      </c>
      <c r="BG71" s="100">
        <f>_xll.EQNXTDZ($A$1,$B71,BG$5,$B$1)</f>
        <v>0</v>
      </c>
      <c r="BH71" s="100">
        <f>_xll.EQNXTDZ($A$1,$B71,BH$5,$B$1)</f>
        <v>0</v>
      </c>
      <c r="BI71" s="100">
        <f>_xll.EQNXTDZ($A$1,$B71,BI$5,$B$1)</f>
        <v>0</v>
      </c>
      <c r="BJ71" s="100">
        <f>_xll.EQNXTDZ($A$1,$B71,BJ$5,$B$1)</f>
        <v>0</v>
      </c>
      <c r="BK71" s="100">
        <f>_xll.EQNXTDZ($A$1,$B71,BK$5,$B$1)</f>
        <v>0</v>
      </c>
      <c r="BL71" s="100">
        <f>_xll.EQNXTDZ($A$1,$B71,BL$5,$B$1)</f>
        <v>0</v>
      </c>
      <c r="BM71" s="100">
        <f>_xll.EQNXTDZ($A$1,$B71,BM$5,$B$1)</f>
        <v>0</v>
      </c>
      <c r="BN71" s="100">
        <f>_xll.EQNXTDZ($A$1,$B71,BN$5,$B$1)</f>
        <v>0</v>
      </c>
      <c r="BO71" s="100">
        <f>_xll.EQNXTDZ($A$1,$B71,BO$5,$B$1)</f>
        <v>0</v>
      </c>
      <c r="BP71" s="100">
        <f>_xll.EQNXTDZ($A$1,$B71,BP$5,$B$1)</f>
        <v>0</v>
      </c>
      <c r="BQ71" s="100">
        <f>_xll.EQNXTDZ($A$1,$B71,BQ$5,$B$1)</f>
        <v>0</v>
      </c>
      <c r="BR71" s="100">
        <f>_xll.EQNXTDZ($A$1,$B71,BR$5,$B$1)</f>
        <v>0</v>
      </c>
      <c r="BS71" s="100">
        <f>_xll.EQNXTDZ($A$1,$B71,BS$5,$B$1)</f>
        <v>0</v>
      </c>
      <c r="BT71" s="100">
        <f>_xll.EQNXTDZ($A$1,$B71,BT$5,$B$1)</f>
        <v>0</v>
      </c>
      <c r="BU71" s="100">
        <f>_xll.EQNXTDZ($A$1,$B71,BU$5,$B$1)</f>
        <v>0</v>
      </c>
      <c r="BV71" s="100">
        <f>_xll.EQNXTDZ($A$1,$B71,BV$5,$B$1)</f>
        <v>0</v>
      </c>
    </row>
    <row r="72" spans="1:74" x14ac:dyDescent="0.25">
      <c r="A72" t="s">
        <v>360</v>
      </c>
      <c r="B72" t="s">
        <v>388</v>
      </c>
      <c r="C72" s="100">
        <f>_xll.EQNXTDZ($A$1,$B72,C$5,$B$1)</f>
        <v>0</v>
      </c>
      <c r="D72" s="100">
        <f>_xll.EQNXTDZ($A$1,$B72,D$5,$B$1)</f>
        <v>0</v>
      </c>
      <c r="E72" s="100">
        <f>_xll.EQNXTDZ($A$1,$B72,E$5,$B$1)</f>
        <v>0</v>
      </c>
      <c r="F72" s="100">
        <f>_xll.EQNXTDZ($A$1,$B72,F$5,$B$1)</f>
        <v>0</v>
      </c>
      <c r="G72" s="100">
        <f>_xll.EQNXTDZ($A$1,$B72,G$5,$B$1)</f>
        <v>0</v>
      </c>
      <c r="H72" s="100">
        <f>_xll.EQNXTDZ($A$1,$B72,H$5,$B$1)</f>
        <v>0</v>
      </c>
      <c r="I72" s="100">
        <f>_xll.EQNXTDZ($A$1,$B72,I$5,$B$1)</f>
        <v>0</v>
      </c>
      <c r="J72" s="100">
        <f>_xll.EQNXTDZ($A$1,$B72,J$5,$B$1)</f>
        <v>0</v>
      </c>
      <c r="K72" s="100">
        <f>_xll.EQNXTDZ($A$1,$B72,K$5,$B$1)</f>
        <v>0</v>
      </c>
      <c r="L72" s="100">
        <f>_xll.EQNXTDZ($A$1,$B72,L$5,$B$1)</f>
        <v>0</v>
      </c>
      <c r="M72" s="100">
        <f>_xll.EQNXTDZ($A$1,$B72,M$5,$B$1)</f>
        <v>0</v>
      </c>
      <c r="N72" s="100">
        <f>_xll.EQNXTDZ($A$1,$B72,N$5,$B$1)</f>
        <v>0</v>
      </c>
      <c r="O72" s="100">
        <f>_xll.EQNXTDZ($A$1,$B72,O$5,$B$1)</f>
        <v>0</v>
      </c>
      <c r="P72" s="100">
        <f>_xll.EQNXTDZ($A$1,$B72,P$5,$B$1)</f>
        <v>0</v>
      </c>
      <c r="Q72" s="100">
        <f>_xll.EQNXTDZ($A$1,$B72,Q$5,$B$1)</f>
        <v>0</v>
      </c>
      <c r="R72" s="100">
        <f>_xll.EQNXTDZ($A$1,$B72,R$5,$B$1)</f>
        <v>0</v>
      </c>
      <c r="S72" s="100">
        <f>_xll.EQNXTDZ($A$1,$B72,S$5,$B$1)</f>
        <v>0</v>
      </c>
      <c r="T72" s="100">
        <f>_xll.EQNXTDZ($A$1,$B72,T$5,$B$1)</f>
        <v>0</v>
      </c>
      <c r="U72" s="100">
        <f>_xll.EQNXTDZ($A$1,$B72,U$5,$B$1)</f>
        <v>0</v>
      </c>
      <c r="V72" s="100">
        <f>_xll.EQNXTDZ($A$1,$B72,V$5,$B$1)</f>
        <v>0</v>
      </c>
      <c r="W72" s="100">
        <f>_xll.EQNXTDZ($A$1,$B72,W$5,$B$1)</f>
        <v>0</v>
      </c>
      <c r="X72" s="100">
        <f>_xll.EQNXTDZ($A$1,$B72,X$5,$B$1)</f>
        <v>0</v>
      </c>
      <c r="Y72" s="100">
        <f>_xll.EQNXTDZ($A$1,$B72,Y$5,$B$1)</f>
        <v>0</v>
      </c>
      <c r="Z72" s="100">
        <f>_xll.EQNXTDZ($A$1,$B72,Z$5,$B$1)</f>
        <v>0</v>
      </c>
      <c r="AA72" s="100">
        <f>_xll.EQNXTDZ($A$1,$B72,AA$5,$B$1)</f>
        <v>0</v>
      </c>
      <c r="AB72" s="100">
        <f>_xll.EQNXTDZ($A$1,$B72,AB$5,$B$1)</f>
        <v>0</v>
      </c>
      <c r="AC72" s="100">
        <f>_xll.EQNXTDZ($A$1,$B72,AC$5,$B$1)</f>
        <v>0</v>
      </c>
      <c r="AD72" s="100">
        <f>_xll.EQNXTDZ($A$1,$B72,AD$5,$B$1)</f>
        <v>0</v>
      </c>
      <c r="AE72" s="100">
        <f>_xll.EQNXTDZ($A$1,$B72,AE$5,$B$1)</f>
        <v>14.62</v>
      </c>
      <c r="AF72" s="100">
        <f>_xll.EQNXTDZ($A$1,$B72,AF$5,$B$1)</f>
        <v>0</v>
      </c>
      <c r="AG72" s="100">
        <f>_xll.EQNXTDZ($A$1,$B72,AG$5,$B$1)</f>
        <v>0</v>
      </c>
      <c r="AH72" s="100">
        <f>_xll.EQNXTDZ($A$1,$B72,AH$5,$B$1)</f>
        <v>0</v>
      </c>
      <c r="AI72" s="100">
        <f>_xll.EQNXTDZ($A$1,$B72,AI$5,$B$1)</f>
        <v>0</v>
      </c>
      <c r="AJ72" s="100">
        <f>_xll.EQNXTDZ($A$1,$B72,AJ$5,$B$1)</f>
        <v>0</v>
      </c>
      <c r="AK72" s="100">
        <f>_xll.EQNXTDZ($A$1,$B72,AK$5,$B$1)</f>
        <v>0</v>
      </c>
      <c r="AL72" s="100">
        <f>_xll.EQNXTDZ($A$1,$B72,AL$5,$B$1)</f>
        <v>0</v>
      </c>
      <c r="AM72" s="100">
        <f>_xll.EQNXTDZ($A$1,$B72,AM$5,$B$1)</f>
        <v>0</v>
      </c>
      <c r="AN72" s="100">
        <f>_xll.EQNXTDZ($A$1,$B72,AN$5,$B$1)</f>
        <v>0</v>
      </c>
      <c r="AO72" s="100">
        <f>_xll.EQNXTDZ($A$1,$B72,AO$5,$B$1)</f>
        <v>0</v>
      </c>
      <c r="AP72" s="100">
        <f>_xll.EQNXTDZ($A$1,$B72,AP$5,$B$1)</f>
        <v>0</v>
      </c>
      <c r="AQ72" s="100">
        <f>_xll.EQNXTDZ($A$1,$B72,AQ$5,$B$1)</f>
        <v>14.62</v>
      </c>
      <c r="AR72" s="100">
        <f>_xll.EQNXTDZ($A$1,$B72,AR$5,$B$1)</f>
        <v>0</v>
      </c>
      <c r="AS72" s="100">
        <f>_xll.EQNXTDZ($A$1,$B72,AS$5,$B$1)</f>
        <v>0</v>
      </c>
      <c r="AT72" s="100">
        <f>_xll.EQNXTDZ($A$1,$B72,AT$5,$B$1)</f>
        <v>0</v>
      </c>
      <c r="AU72" s="100">
        <f>_xll.EQNXTDZ($A$1,$B72,AU$5,$B$1)</f>
        <v>0</v>
      </c>
      <c r="AV72" s="100">
        <f>_xll.EQNXTDZ($A$1,$B72,AV$5,$B$1)</f>
        <v>0</v>
      </c>
      <c r="AW72" s="100">
        <f>_xll.EQNXTDZ($A$1,$B72,AW$5,$B$1)</f>
        <v>0</v>
      </c>
      <c r="AX72" s="100">
        <f>_xll.EQNXTDZ($A$1,$B72,AX$5,$B$1)</f>
        <v>0</v>
      </c>
      <c r="AY72" s="100">
        <f>_xll.EQNXTDZ($A$1,$B72,AY$5,$B$1)</f>
        <v>0</v>
      </c>
      <c r="AZ72" s="100">
        <f>_xll.EQNXTDZ($A$1,$B72,AZ$5,$B$1)</f>
        <v>0</v>
      </c>
      <c r="BA72" s="100">
        <f>_xll.EQNXTDZ($A$1,$B72,BA$5,$B$1)</f>
        <v>14.62</v>
      </c>
      <c r="BB72" s="100">
        <f>_xll.EQNXTDZ($A$1,$B72,BB$5,$B$1)</f>
        <v>0</v>
      </c>
      <c r="BC72" s="100">
        <f>_xll.EQNXTDZ($A$1,$B72,BC$5,$B$1)</f>
        <v>0</v>
      </c>
      <c r="BD72" s="100">
        <f>_xll.EQNXTDZ($A$1,$B72,BD$5,$B$1)</f>
        <v>0</v>
      </c>
      <c r="BE72" s="100">
        <f>_xll.EQNXTDZ($A$1,$B72,BE$5,$B$1)</f>
        <v>14.62</v>
      </c>
      <c r="BF72" s="100">
        <f>_xll.EQNXTDZ($A$1,$B72,BF$5,$B$1)</f>
        <v>0</v>
      </c>
      <c r="BG72" s="100">
        <f>_xll.EQNXTDZ($A$1,$B72,BG$5,$B$1)</f>
        <v>0</v>
      </c>
      <c r="BH72" s="100">
        <f>_xll.EQNXTDZ($A$1,$B72,BH$5,$B$1)</f>
        <v>0</v>
      </c>
      <c r="BI72" s="100">
        <f>_xll.EQNXTDZ($A$1,$B72,BI$5,$B$1)</f>
        <v>0</v>
      </c>
      <c r="BJ72" s="100">
        <f>_xll.EQNXTDZ($A$1,$B72,BJ$5,$B$1)</f>
        <v>0</v>
      </c>
      <c r="BK72" s="100">
        <f>_xll.EQNXTDZ($A$1,$B72,BK$5,$B$1)</f>
        <v>0</v>
      </c>
      <c r="BL72" s="100">
        <f>_xll.EQNXTDZ($A$1,$B72,BL$5,$B$1)</f>
        <v>0</v>
      </c>
      <c r="BM72" s="100">
        <f>_xll.EQNXTDZ($A$1,$B72,BM$5,$B$1)</f>
        <v>0</v>
      </c>
      <c r="BN72" s="100">
        <f>_xll.EQNXTDZ($A$1,$B72,BN$5,$B$1)</f>
        <v>0</v>
      </c>
      <c r="BO72" s="100">
        <f>_xll.EQNXTDZ($A$1,$B72,BO$5,$B$1)</f>
        <v>0</v>
      </c>
      <c r="BP72" s="100">
        <f>_xll.EQNXTDZ($A$1,$B72,BP$5,$B$1)</f>
        <v>0</v>
      </c>
      <c r="BQ72" s="100">
        <f>_xll.EQNXTDZ($A$1,$B72,BQ$5,$B$1)</f>
        <v>0</v>
      </c>
      <c r="BR72" s="100">
        <f>_xll.EQNXTDZ($A$1,$B72,BR$5,$B$1)</f>
        <v>0</v>
      </c>
      <c r="BS72" s="100">
        <f>_xll.EQNXTDZ($A$1,$B72,BS$5,$B$1)</f>
        <v>0</v>
      </c>
      <c r="BT72" s="100">
        <f>_xll.EQNXTDZ($A$1,$B72,BT$5,$B$1)</f>
        <v>0</v>
      </c>
      <c r="BU72" s="100">
        <f>_xll.EQNXTDZ($A$1,$B72,BU$5,$B$1)</f>
        <v>0</v>
      </c>
      <c r="BV72" s="100">
        <f>_xll.EQNXTDZ($A$1,$B72,BV$5,$B$1)</f>
        <v>0</v>
      </c>
    </row>
    <row r="73" spans="1:74" x14ac:dyDescent="0.25">
      <c r="A73" t="s">
        <v>361</v>
      </c>
      <c r="B73" t="s">
        <v>389</v>
      </c>
      <c r="C73" s="100">
        <f>_xll.EQNXTDZ($A$1,$B73,C$5,$B$1)</f>
        <v>0</v>
      </c>
      <c r="D73" s="100">
        <f>_xll.EQNXTDZ($A$1,$B73,D$5,$B$1)</f>
        <v>0</v>
      </c>
      <c r="E73" s="100">
        <f>_xll.EQNXTDZ($A$1,$B73,E$5,$B$1)</f>
        <v>0</v>
      </c>
      <c r="F73" s="100">
        <f>_xll.EQNXTDZ($A$1,$B73,F$5,$B$1)</f>
        <v>0</v>
      </c>
      <c r="G73" s="100">
        <f>_xll.EQNXTDZ($A$1,$B73,G$5,$B$1)</f>
        <v>0</v>
      </c>
      <c r="H73" s="100">
        <f>_xll.EQNXTDZ($A$1,$B73,H$5,$B$1)</f>
        <v>0</v>
      </c>
      <c r="I73" s="100">
        <f>_xll.EQNXTDZ($A$1,$B73,I$5,$B$1)</f>
        <v>0</v>
      </c>
      <c r="J73" s="100">
        <f>_xll.EQNXTDZ($A$1,$B73,J$5,$B$1)</f>
        <v>0</v>
      </c>
      <c r="K73" s="100">
        <f>_xll.EQNXTDZ($A$1,$B73,K$5,$B$1)</f>
        <v>0</v>
      </c>
      <c r="L73" s="100">
        <f>_xll.EQNXTDZ($A$1,$B73,L$5,$B$1)</f>
        <v>0</v>
      </c>
      <c r="M73" s="100">
        <f>_xll.EQNXTDZ($A$1,$B73,M$5,$B$1)</f>
        <v>0</v>
      </c>
      <c r="N73" s="100">
        <f>_xll.EQNXTDZ($A$1,$B73,N$5,$B$1)</f>
        <v>0</v>
      </c>
      <c r="O73" s="100">
        <f>_xll.EQNXTDZ($A$1,$B73,O$5,$B$1)</f>
        <v>0</v>
      </c>
      <c r="P73" s="100">
        <f>_xll.EQNXTDZ($A$1,$B73,P$5,$B$1)</f>
        <v>0</v>
      </c>
      <c r="Q73" s="100">
        <f>_xll.EQNXTDZ($A$1,$B73,Q$5,$B$1)</f>
        <v>0</v>
      </c>
      <c r="R73" s="100">
        <f>_xll.EQNXTDZ($A$1,$B73,R$5,$B$1)</f>
        <v>0</v>
      </c>
      <c r="S73" s="100">
        <f>_xll.EQNXTDZ($A$1,$B73,S$5,$B$1)</f>
        <v>0</v>
      </c>
      <c r="T73" s="100">
        <f>_xll.EQNXTDZ($A$1,$B73,T$5,$B$1)</f>
        <v>0</v>
      </c>
      <c r="U73" s="100">
        <f>_xll.EQNXTDZ($A$1,$B73,U$5,$B$1)</f>
        <v>0</v>
      </c>
      <c r="V73" s="100">
        <f>_xll.EQNXTDZ($A$1,$B73,V$5,$B$1)</f>
        <v>0</v>
      </c>
      <c r="W73" s="100">
        <f>_xll.EQNXTDZ($A$1,$B73,W$5,$B$1)</f>
        <v>0</v>
      </c>
      <c r="X73" s="100">
        <f>_xll.EQNXTDZ($A$1,$B73,X$5,$B$1)</f>
        <v>0</v>
      </c>
      <c r="Y73" s="100">
        <f>_xll.EQNXTDZ($A$1,$B73,Y$5,$B$1)</f>
        <v>0</v>
      </c>
      <c r="Z73" s="100">
        <f>_xll.EQNXTDZ($A$1,$B73,Z$5,$B$1)</f>
        <v>0</v>
      </c>
      <c r="AA73" s="100">
        <f>_xll.EQNXTDZ($A$1,$B73,AA$5,$B$1)</f>
        <v>0</v>
      </c>
      <c r="AB73" s="100">
        <f>_xll.EQNXTDZ($A$1,$B73,AB$5,$B$1)</f>
        <v>0</v>
      </c>
      <c r="AC73" s="100">
        <f>_xll.EQNXTDZ($A$1,$B73,AC$5,$B$1)</f>
        <v>0</v>
      </c>
      <c r="AD73" s="100">
        <f>_xll.EQNXTDZ($A$1,$B73,AD$5,$B$1)</f>
        <v>0</v>
      </c>
      <c r="AE73" s="100">
        <f>_xll.EQNXTDZ($A$1,$B73,AE$5,$B$1)</f>
        <v>0</v>
      </c>
      <c r="AF73" s="100">
        <f>_xll.EQNXTDZ($A$1,$B73,AF$5,$B$1)</f>
        <v>0</v>
      </c>
      <c r="AG73" s="100">
        <f>_xll.EQNXTDZ($A$1,$B73,AG$5,$B$1)</f>
        <v>0</v>
      </c>
      <c r="AH73" s="100">
        <f>_xll.EQNXTDZ($A$1,$B73,AH$5,$B$1)</f>
        <v>0</v>
      </c>
      <c r="AI73" s="100">
        <f>_xll.EQNXTDZ($A$1,$B73,AI$5,$B$1)</f>
        <v>0</v>
      </c>
      <c r="AJ73" s="100">
        <f>_xll.EQNXTDZ($A$1,$B73,AJ$5,$B$1)</f>
        <v>0</v>
      </c>
      <c r="AK73" s="100">
        <f>_xll.EQNXTDZ($A$1,$B73,AK$5,$B$1)</f>
        <v>0</v>
      </c>
      <c r="AL73" s="100">
        <f>_xll.EQNXTDZ($A$1,$B73,AL$5,$B$1)</f>
        <v>0</v>
      </c>
      <c r="AM73" s="100">
        <f>_xll.EQNXTDZ($A$1,$B73,AM$5,$B$1)</f>
        <v>0</v>
      </c>
      <c r="AN73" s="100">
        <f>_xll.EQNXTDZ($A$1,$B73,AN$5,$B$1)</f>
        <v>0</v>
      </c>
      <c r="AO73" s="100">
        <f>_xll.EQNXTDZ($A$1,$B73,AO$5,$B$1)</f>
        <v>0</v>
      </c>
      <c r="AP73" s="100">
        <f>_xll.EQNXTDZ($A$1,$B73,AP$5,$B$1)</f>
        <v>0</v>
      </c>
      <c r="AQ73" s="100">
        <f>_xll.EQNXTDZ($A$1,$B73,AQ$5,$B$1)</f>
        <v>0</v>
      </c>
      <c r="AR73" s="100">
        <f>_xll.EQNXTDZ($A$1,$B73,AR$5,$B$1)</f>
        <v>0</v>
      </c>
      <c r="AS73" s="100">
        <f>_xll.EQNXTDZ($A$1,$B73,AS$5,$B$1)</f>
        <v>0</v>
      </c>
      <c r="AT73" s="100">
        <f>_xll.EQNXTDZ($A$1,$B73,AT$5,$B$1)</f>
        <v>0</v>
      </c>
      <c r="AU73" s="100">
        <f>_xll.EQNXTDZ($A$1,$B73,AU$5,$B$1)</f>
        <v>0</v>
      </c>
      <c r="AV73" s="100">
        <f>_xll.EQNXTDZ($A$1,$B73,AV$5,$B$1)</f>
        <v>0</v>
      </c>
      <c r="AW73" s="100">
        <f>_xll.EQNXTDZ($A$1,$B73,AW$5,$B$1)</f>
        <v>0</v>
      </c>
      <c r="AX73" s="100">
        <f>_xll.EQNXTDZ($A$1,$B73,AX$5,$B$1)</f>
        <v>0</v>
      </c>
      <c r="AY73" s="100">
        <f>_xll.EQNXTDZ($A$1,$B73,AY$5,$B$1)</f>
        <v>0</v>
      </c>
      <c r="AZ73" s="100">
        <f>_xll.EQNXTDZ($A$1,$B73,AZ$5,$B$1)</f>
        <v>0</v>
      </c>
      <c r="BA73" s="100">
        <f>_xll.EQNXTDZ($A$1,$B73,BA$5,$B$1)</f>
        <v>0</v>
      </c>
      <c r="BB73" s="100">
        <f>_xll.EQNXTDZ($A$1,$B73,BB$5,$B$1)</f>
        <v>0</v>
      </c>
      <c r="BC73" s="100">
        <f>_xll.EQNXTDZ($A$1,$B73,BC$5,$B$1)</f>
        <v>0</v>
      </c>
      <c r="BD73" s="100">
        <f>_xll.EQNXTDZ($A$1,$B73,BD$5,$B$1)</f>
        <v>0</v>
      </c>
      <c r="BE73" s="100">
        <f>_xll.EQNXTDZ($A$1,$B73,BE$5,$B$1)</f>
        <v>0</v>
      </c>
      <c r="BF73" s="100">
        <f>_xll.EQNXTDZ($A$1,$B73,BF$5,$B$1)</f>
        <v>0</v>
      </c>
      <c r="BG73" s="100">
        <f>_xll.EQNXTDZ($A$1,$B73,BG$5,$B$1)</f>
        <v>0</v>
      </c>
      <c r="BH73" s="100">
        <f>_xll.EQNXTDZ($A$1,$B73,BH$5,$B$1)</f>
        <v>0</v>
      </c>
      <c r="BI73" s="100">
        <f>_xll.EQNXTDZ($A$1,$B73,BI$5,$B$1)</f>
        <v>0</v>
      </c>
      <c r="BJ73" s="100">
        <f>_xll.EQNXTDZ($A$1,$B73,BJ$5,$B$1)</f>
        <v>0</v>
      </c>
      <c r="BK73" s="100">
        <f>_xll.EQNXTDZ($A$1,$B73,BK$5,$B$1)</f>
        <v>0</v>
      </c>
      <c r="BL73" s="100">
        <f>_xll.EQNXTDZ($A$1,$B73,BL$5,$B$1)</f>
        <v>0</v>
      </c>
      <c r="BM73" s="100">
        <f>_xll.EQNXTDZ($A$1,$B73,BM$5,$B$1)</f>
        <v>0</v>
      </c>
      <c r="BN73" s="100">
        <f>_xll.EQNXTDZ($A$1,$B73,BN$5,$B$1)</f>
        <v>0</v>
      </c>
      <c r="BO73" s="100">
        <f>_xll.EQNXTDZ($A$1,$B73,BO$5,$B$1)</f>
        <v>0</v>
      </c>
      <c r="BP73" s="100">
        <f>_xll.EQNXTDZ($A$1,$B73,BP$5,$B$1)</f>
        <v>0</v>
      </c>
      <c r="BQ73" s="100">
        <f>_xll.EQNXTDZ($A$1,$B73,BQ$5,$B$1)</f>
        <v>0</v>
      </c>
      <c r="BR73" s="100">
        <f>_xll.EQNXTDZ($A$1,$B73,BR$5,$B$1)</f>
        <v>0</v>
      </c>
      <c r="BS73" s="100">
        <f>_xll.EQNXTDZ($A$1,$B73,BS$5,$B$1)</f>
        <v>0</v>
      </c>
      <c r="BT73" s="100">
        <f>_xll.EQNXTDZ($A$1,$B73,BT$5,$B$1)</f>
        <v>0</v>
      </c>
      <c r="BU73" s="100">
        <f>_xll.EQNXTDZ($A$1,$B73,BU$5,$B$1)</f>
        <v>0</v>
      </c>
      <c r="BV73" s="100">
        <f>_xll.EQNXTDZ($A$1,$B73,BV$5,$B$1)</f>
        <v>0</v>
      </c>
    </row>
    <row r="74" spans="1:74" x14ac:dyDescent="0.25">
      <c r="A74" t="s">
        <v>362</v>
      </c>
      <c r="B74" t="s">
        <v>390</v>
      </c>
      <c r="C74" s="100">
        <f>_xll.EQNXTDZ($A$1,$B74,C$5,$B$1)</f>
        <v>0</v>
      </c>
      <c r="D74" s="100">
        <f>_xll.EQNXTDZ($A$1,$B74,D$5,$B$1)</f>
        <v>0</v>
      </c>
      <c r="E74" s="100">
        <f>_xll.EQNXTDZ($A$1,$B74,E$5,$B$1)</f>
        <v>0</v>
      </c>
      <c r="F74" s="100">
        <f>_xll.EQNXTDZ($A$1,$B74,F$5,$B$1)</f>
        <v>0</v>
      </c>
      <c r="G74" s="100">
        <f>_xll.EQNXTDZ($A$1,$B74,G$5,$B$1)</f>
        <v>0</v>
      </c>
      <c r="H74" s="100">
        <f>_xll.EQNXTDZ($A$1,$B74,H$5,$B$1)</f>
        <v>0</v>
      </c>
      <c r="I74" s="100">
        <f>_xll.EQNXTDZ($A$1,$B74,I$5,$B$1)</f>
        <v>0</v>
      </c>
      <c r="J74" s="100">
        <f>_xll.EQNXTDZ($A$1,$B74,J$5,$B$1)</f>
        <v>0</v>
      </c>
      <c r="K74" s="100">
        <f>_xll.EQNXTDZ($A$1,$B74,K$5,$B$1)</f>
        <v>0</v>
      </c>
      <c r="L74" s="100">
        <f>_xll.EQNXTDZ($A$1,$B74,L$5,$B$1)</f>
        <v>0</v>
      </c>
      <c r="M74" s="100">
        <f>_xll.EQNXTDZ($A$1,$B74,M$5,$B$1)</f>
        <v>0</v>
      </c>
      <c r="N74" s="100">
        <f>_xll.EQNXTDZ($A$1,$B74,N$5,$B$1)</f>
        <v>0</v>
      </c>
      <c r="O74" s="100">
        <f>_xll.EQNXTDZ($A$1,$B74,O$5,$B$1)</f>
        <v>0</v>
      </c>
      <c r="P74" s="100">
        <f>_xll.EQNXTDZ($A$1,$B74,P$5,$B$1)</f>
        <v>0</v>
      </c>
      <c r="Q74" s="100">
        <f>_xll.EQNXTDZ($A$1,$B74,Q$5,$B$1)</f>
        <v>0</v>
      </c>
      <c r="R74" s="100">
        <f>_xll.EQNXTDZ($A$1,$B74,R$5,$B$1)</f>
        <v>0</v>
      </c>
      <c r="S74" s="100">
        <f>_xll.EQNXTDZ($A$1,$B74,S$5,$B$1)</f>
        <v>0</v>
      </c>
      <c r="T74" s="100">
        <f>_xll.EQNXTDZ($A$1,$B74,T$5,$B$1)</f>
        <v>0</v>
      </c>
      <c r="U74" s="100">
        <f>_xll.EQNXTDZ($A$1,$B74,U$5,$B$1)</f>
        <v>0</v>
      </c>
      <c r="V74" s="100">
        <f>_xll.EQNXTDZ($A$1,$B74,V$5,$B$1)</f>
        <v>0</v>
      </c>
      <c r="W74" s="100">
        <f>_xll.EQNXTDZ($A$1,$B74,W$5,$B$1)</f>
        <v>68.92</v>
      </c>
      <c r="X74" s="100">
        <f>_xll.EQNXTDZ($A$1,$B74,X$5,$B$1)</f>
        <v>0</v>
      </c>
      <c r="Y74" s="100">
        <f>_xll.EQNXTDZ($A$1,$B74,Y$5,$B$1)</f>
        <v>116.48</v>
      </c>
      <c r="Z74" s="100">
        <f>_xll.EQNXTDZ($A$1,$B74,Z$5,$B$1)</f>
        <v>0</v>
      </c>
      <c r="AA74" s="100">
        <f>_xll.EQNXTDZ($A$1,$B74,AA$5,$B$1)</f>
        <v>122.75</v>
      </c>
      <c r="AB74" s="100">
        <f>_xll.EQNXTDZ($A$1,$B74,AB$5,$B$1)</f>
        <v>0</v>
      </c>
      <c r="AC74" s="100">
        <f>_xll.EQNXTDZ($A$1,$B74,AC$5,$B$1)</f>
        <v>83.06</v>
      </c>
      <c r="AD74" s="100">
        <f>_xll.EQNXTDZ($A$1,$B74,AD$5,$B$1)</f>
        <v>0</v>
      </c>
      <c r="AE74" s="100">
        <f>_xll.EQNXTDZ($A$1,$B74,AE$5,$B$1)</f>
        <v>82.48</v>
      </c>
      <c r="AF74" s="100">
        <f>_xll.EQNXTDZ($A$1,$B74,AF$5,$B$1)</f>
        <v>0</v>
      </c>
      <c r="AG74" s="100">
        <f>_xll.EQNXTDZ($A$1,$B74,AG$5,$B$1)</f>
        <v>59.48</v>
      </c>
      <c r="AH74" s="100">
        <f>_xll.EQNXTDZ($A$1,$B74,AH$5,$B$1)</f>
        <v>0</v>
      </c>
      <c r="AI74" s="100">
        <f>_xll.EQNXTDZ($A$1,$B74,AI$5,$B$1)</f>
        <v>80.37</v>
      </c>
      <c r="AJ74" s="100">
        <f>_xll.EQNXTDZ($A$1,$B74,AJ$5,$B$1)</f>
        <v>0</v>
      </c>
      <c r="AK74" s="100">
        <f>_xll.EQNXTDZ($A$1,$B74,AK$5,$B$1)</f>
        <v>74.86</v>
      </c>
      <c r="AL74" s="100">
        <f>_xll.EQNXTDZ($A$1,$B74,AL$5,$B$1)</f>
        <v>0</v>
      </c>
      <c r="AM74" s="100">
        <f>_xll.EQNXTDZ($A$1,$B74,AM$5,$B$1)</f>
        <v>98.52</v>
      </c>
      <c r="AN74" s="100">
        <f>_xll.EQNXTDZ($A$1,$B74,AN$5,$B$1)</f>
        <v>0</v>
      </c>
      <c r="AO74" s="100">
        <f>_xll.EQNXTDZ($A$1,$B74,AO$5,$B$1)</f>
        <v>76.930000000000007</v>
      </c>
      <c r="AP74" s="100">
        <f>_xll.EQNXTDZ($A$1,$B74,AP$5,$B$1)</f>
        <v>0</v>
      </c>
      <c r="AQ74" s="100">
        <f>_xll.EQNXTDZ($A$1,$B74,AQ$5,$B$1)</f>
        <v>0</v>
      </c>
      <c r="AR74" s="100">
        <f>_xll.EQNXTDZ($A$1,$B74,AR$5,$B$1)</f>
        <v>0</v>
      </c>
      <c r="AS74" s="100">
        <f>_xll.EQNXTDZ($A$1,$B74,AS$5,$B$1)</f>
        <v>69.25</v>
      </c>
      <c r="AT74" s="100">
        <f>_xll.EQNXTDZ($A$1,$B74,AT$5,$B$1)</f>
        <v>0</v>
      </c>
      <c r="AU74" s="100">
        <f>_xll.EQNXTDZ($A$1,$B74,AU$5,$B$1)</f>
        <v>74.150000000000006</v>
      </c>
      <c r="AV74" s="100">
        <f>_xll.EQNXTDZ($A$1,$B74,AV$5,$B$1)</f>
        <v>0</v>
      </c>
      <c r="AW74" s="100">
        <f>_xll.EQNXTDZ($A$1,$B74,AW$5,$B$1)</f>
        <v>59.92</v>
      </c>
      <c r="AX74" s="100">
        <f>_xll.EQNXTDZ($A$1,$B74,AX$5,$B$1)</f>
        <v>0</v>
      </c>
      <c r="AY74" s="100">
        <f>_xll.EQNXTDZ($A$1,$B74,AY$5,$B$1)</f>
        <v>64.66</v>
      </c>
      <c r="AZ74" s="100">
        <f>_xll.EQNXTDZ($A$1,$B74,AZ$5,$B$1)</f>
        <v>0</v>
      </c>
      <c r="BA74" s="100">
        <f>_xll.EQNXTDZ($A$1,$B74,BA$5,$B$1)</f>
        <v>94.77</v>
      </c>
      <c r="BB74" s="100">
        <f>_xll.EQNXTDZ($A$1,$B74,BB$5,$B$1)</f>
        <v>0</v>
      </c>
      <c r="BC74" s="100">
        <f>_xll.EQNXTDZ($A$1,$B74,BC$5,$B$1)</f>
        <v>99.72</v>
      </c>
      <c r="BD74" s="100">
        <f>_xll.EQNXTDZ($A$1,$B74,BD$5,$B$1)</f>
        <v>0</v>
      </c>
      <c r="BE74" s="100">
        <f>_xll.EQNXTDZ($A$1,$B74,BE$5,$B$1)</f>
        <v>116.44</v>
      </c>
      <c r="BF74" s="100">
        <f>_xll.EQNXTDZ($A$1,$B74,BF$5,$B$1)</f>
        <v>0</v>
      </c>
      <c r="BG74" s="100">
        <f>_xll.EQNXTDZ($A$1,$B74,BG$5,$B$1)</f>
        <v>0</v>
      </c>
      <c r="BH74" s="100">
        <f>_xll.EQNXTDZ($A$1,$B74,BH$5,$B$1)</f>
        <v>0</v>
      </c>
      <c r="BI74" s="100">
        <f>_xll.EQNXTDZ($A$1,$B74,BI$5,$B$1)</f>
        <v>0</v>
      </c>
      <c r="BJ74" s="100">
        <f>_xll.EQNXTDZ($A$1,$B74,BJ$5,$B$1)</f>
        <v>0</v>
      </c>
      <c r="BK74" s="100">
        <f>_xll.EQNXTDZ($A$1,$B74,BK$5,$B$1)</f>
        <v>0</v>
      </c>
      <c r="BL74" s="100">
        <f>_xll.EQNXTDZ($A$1,$B74,BL$5,$B$1)</f>
        <v>0</v>
      </c>
      <c r="BM74" s="100">
        <f>_xll.EQNXTDZ($A$1,$B74,BM$5,$B$1)</f>
        <v>0</v>
      </c>
      <c r="BN74" s="100">
        <f>_xll.EQNXTDZ($A$1,$B74,BN$5,$B$1)</f>
        <v>0</v>
      </c>
      <c r="BO74" s="100">
        <f>_xll.EQNXTDZ($A$1,$B74,BO$5,$B$1)</f>
        <v>0</v>
      </c>
      <c r="BP74" s="100">
        <f>_xll.EQNXTDZ($A$1,$B74,BP$5,$B$1)</f>
        <v>0</v>
      </c>
      <c r="BQ74" s="100">
        <f>_xll.EQNXTDZ($A$1,$B74,BQ$5,$B$1)</f>
        <v>0</v>
      </c>
      <c r="BR74" s="100">
        <f>_xll.EQNXTDZ($A$1,$B74,BR$5,$B$1)</f>
        <v>0</v>
      </c>
      <c r="BS74" s="100">
        <f>_xll.EQNXTDZ($A$1,$B74,BS$5,$B$1)</f>
        <v>0</v>
      </c>
      <c r="BT74" s="100">
        <f>_xll.EQNXTDZ($A$1,$B74,BT$5,$B$1)</f>
        <v>0</v>
      </c>
      <c r="BU74" s="100">
        <f>_xll.EQNXTDZ($A$1,$B74,BU$5,$B$1)</f>
        <v>0</v>
      </c>
      <c r="BV74" s="100">
        <f>_xll.EQNXTDZ($A$1,$B74,BV$5,$B$1)</f>
        <v>0</v>
      </c>
    </row>
    <row r="75" spans="1:74" x14ac:dyDescent="0.25">
      <c r="A75" t="s">
        <v>363</v>
      </c>
      <c r="B75" t="s">
        <v>391</v>
      </c>
      <c r="C75" s="100">
        <f>_xll.EQNXTDZ($A$1,$B75,C$5,$B$1)</f>
        <v>0</v>
      </c>
      <c r="D75" s="100">
        <f>_xll.EQNXTDZ($A$1,$B75,D$5,$B$1)</f>
        <v>0</v>
      </c>
      <c r="E75" s="100">
        <f>_xll.EQNXTDZ($A$1,$B75,E$5,$B$1)</f>
        <v>0</v>
      </c>
      <c r="F75" s="100">
        <f>_xll.EQNXTDZ($A$1,$B75,F$5,$B$1)</f>
        <v>0</v>
      </c>
      <c r="G75" s="100">
        <f>_xll.EQNXTDZ($A$1,$B75,G$5,$B$1)</f>
        <v>0</v>
      </c>
      <c r="H75" s="100">
        <f>_xll.EQNXTDZ($A$1,$B75,H$5,$B$1)</f>
        <v>0</v>
      </c>
      <c r="I75" s="100">
        <f>_xll.EQNXTDZ($A$1,$B75,I$5,$B$1)</f>
        <v>0</v>
      </c>
      <c r="J75" s="100">
        <f>_xll.EQNXTDZ($A$1,$B75,J$5,$B$1)</f>
        <v>0</v>
      </c>
      <c r="K75" s="100">
        <f>_xll.EQNXTDZ($A$1,$B75,K$5,$B$1)</f>
        <v>0</v>
      </c>
      <c r="L75" s="100">
        <f>_xll.EQNXTDZ($A$1,$B75,L$5,$B$1)</f>
        <v>0</v>
      </c>
      <c r="M75" s="100">
        <f>_xll.EQNXTDZ($A$1,$B75,M$5,$B$1)</f>
        <v>0</v>
      </c>
      <c r="N75" s="100">
        <f>_xll.EQNXTDZ($A$1,$B75,N$5,$B$1)</f>
        <v>0</v>
      </c>
      <c r="O75" s="100">
        <f>_xll.EQNXTDZ($A$1,$B75,O$5,$B$1)</f>
        <v>0</v>
      </c>
      <c r="P75" s="100">
        <f>_xll.EQNXTDZ($A$1,$B75,P$5,$B$1)</f>
        <v>0</v>
      </c>
      <c r="Q75" s="100">
        <f>_xll.EQNXTDZ($A$1,$B75,Q$5,$B$1)</f>
        <v>0</v>
      </c>
      <c r="R75" s="100">
        <f>_xll.EQNXTDZ($A$1,$B75,R$5,$B$1)</f>
        <v>0</v>
      </c>
      <c r="S75" s="100">
        <f>_xll.EQNXTDZ($A$1,$B75,S$5,$B$1)</f>
        <v>0</v>
      </c>
      <c r="T75" s="100">
        <f>_xll.EQNXTDZ($A$1,$B75,T$5,$B$1)</f>
        <v>0</v>
      </c>
      <c r="U75" s="100">
        <f>_xll.EQNXTDZ($A$1,$B75,U$5,$B$1)</f>
        <v>0</v>
      </c>
      <c r="V75" s="100">
        <f>_xll.EQNXTDZ($A$1,$B75,V$5,$B$1)</f>
        <v>0</v>
      </c>
      <c r="W75" s="100">
        <f>_xll.EQNXTDZ($A$1,$B75,W$5,$B$1)</f>
        <v>0</v>
      </c>
      <c r="X75" s="100">
        <f>_xll.EQNXTDZ($A$1,$B75,X$5,$B$1)</f>
        <v>0</v>
      </c>
      <c r="Y75" s="100">
        <f>_xll.EQNXTDZ($A$1,$B75,Y$5,$B$1)</f>
        <v>0</v>
      </c>
      <c r="Z75" s="100">
        <f>_xll.EQNXTDZ($A$1,$B75,Z$5,$B$1)</f>
        <v>0</v>
      </c>
      <c r="AA75" s="100">
        <f>_xll.EQNXTDZ($A$1,$B75,AA$5,$B$1)</f>
        <v>0</v>
      </c>
      <c r="AB75" s="100">
        <f>_xll.EQNXTDZ($A$1,$B75,AB$5,$B$1)</f>
        <v>0</v>
      </c>
      <c r="AC75" s="100">
        <f>_xll.EQNXTDZ($A$1,$B75,AC$5,$B$1)</f>
        <v>0</v>
      </c>
      <c r="AD75" s="100">
        <f>_xll.EQNXTDZ($A$1,$B75,AD$5,$B$1)</f>
        <v>0</v>
      </c>
      <c r="AE75" s="100">
        <f>_xll.EQNXTDZ($A$1,$B75,AE$5,$B$1)</f>
        <v>0</v>
      </c>
      <c r="AF75" s="100">
        <f>_xll.EQNXTDZ($A$1,$B75,AF$5,$B$1)</f>
        <v>0</v>
      </c>
      <c r="AG75" s="100">
        <f>_xll.EQNXTDZ($A$1,$B75,AG$5,$B$1)</f>
        <v>0</v>
      </c>
      <c r="AH75" s="100">
        <f>_xll.EQNXTDZ($A$1,$B75,AH$5,$B$1)</f>
        <v>0</v>
      </c>
      <c r="AI75" s="100">
        <f>_xll.EQNXTDZ($A$1,$B75,AI$5,$B$1)</f>
        <v>0</v>
      </c>
      <c r="AJ75" s="100">
        <f>_xll.EQNXTDZ($A$1,$B75,AJ$5,$B$1)</f>
        <v>0</v>
      </c>
      <c r="AK75" s="100">
        <f>_xll.EQNXTDZ($A$1,$B75,AK$5,$B$1)</f>
        <v>0</v>
      </c>
      <c r="AL75" s="100">
        <f>_xll.EQNXTDZ($A$1,$B75,AL$5,$B$1)</f>
        <v>0</v>
      </c>
      <c r="AM75" s="100">
        <f>_xll.EQNXTDZ($A$1,$B75,AM$5,$B$1)</f>
        <v>0</v>
      </c>
      <c r="AN75" s="100">
        <f>_xll.EQNXTDZ($A$1,$B75,AN$5,$B$1)</f>
        <v>0</v>
      </c>
      <c r="AO75" s="100">
        <f>_xll.EQNXTDZ($A$1,$B75,AO$5,$B$1)</f>
        <v>0</v>
      </c>
      <c r="AP75" s="100">
        <f>_xll.EQNXTDZ($A$1,$B75,AP$5,$B$1)</f>
        <v>0</v>
      </c>
      <c r="AQ75" s="100">
        <f>_xll.EQNXTDZ($A$1,$B75,AQ$5,$B$1)</f>
        <v>0</v>
      </c>
      <c r="AR75" s="100">
        <f>_xll.EQNXTDZ($A$1,$B75,AR$5,$B$1)</f>
        <v>0</v>
      </c>
      <c r="AS75" s="100">
        <f>_xll.EQNXTDZ($A$1,$B75,AS$5,$B$1)</f>
        <v>0</v>
      </c>
      <c r="AT75" s="100">
        <f>_xll.EQNXTDZ($A$1,$B75,AT$5,$B$1)</f>
        <v>0</v>
      </c>
      <c r="AU75" s="100">
        <f>_xll.EQNXTDZ($A$1,$B75,AU$5,$B$1)</f>
        <v>0</v>
      </c>
      <c r="AV75" s="100">
        <f>_xll.EQNXTDZ($A$1,$B75,AV$5,$B$1)</f>
        <v>0</v>
      </c>
      <c r="AW75" s="100">
        <f>_xll.EQNXTDZ($A$1,$B75,AW$5,$B$1)</f>
        <v>0</v>
      </c>
      <c r="AX75" s="100">
        <f>_xll.EQNXTDZ($A$1,$B75,AX$5,$B$1)</f>
        <v>0</v>
      </c>
      <c r="AY75" s="100">
        <f>_xll.EQNXTDZ($A$1,$B75,AY$5,$B$1)</f>
        <v>0</v>
      </c>
      <c r="AZ75" s="100">
        <f>_xll.EQNXTDZ($A$1,$B75,AZ$5,$B$1)</f>
        <v>0</v>
      </c>
      <c r="BA75" s="100">
        <f>_xll.EQNXTDZ($A$1,$B75,BA$5,$B$1)</f>
        <v>0</v>
      </c>
      <c r="BB75" s="100">
        <f>_xll.EQNXTDZ($A$1,$B75,BB$5,$B$1)</f>
        <v>0</v>
      </c>
      <c r="BC75" s="100">
        <f>_xll.EQNXTDZ($A$1,$B75,BC$5,$B$1)</f>
        <v>0</v>
      </c>
      <c r="BD75" s="100">
        <f>_xll.EQNXTDZ($A$1,$B75,BD$5,$B$1)</f>
        <v>0</v>
      </c>
      <c r="BE75" s="100">
        <f>_xll.EQNXTDZ($A$1,$B75,BE$5,$B$1)</f>
        <v>0</v>
      </c>
      <c r="BF75" s="100">
        <f>_xll.EQNXTDZ($A$1,$B75,BF$5,$B$1)</f>
        <v>0</v>
      </c>
      <c r="BG75" s="100">
        <f>_xll.EQNXTDZ($A$1,$B75,BG$5,$B$1)</f>
        <v>0</v>
      </c>
      <c r="BH75" s="100">
        <f>_xll.EQNXTDZ($A$1,$B75,BH$5,$B$1)</f>
        <v>0</v>
      </c>
      <c r="BI75" s="100">
        <f>_xll.EQNXTDZ($A$1,$B75,BI$5,$B$1)</f>
        <v>0</v>
      </c>
      <c r="BJ75" s="100">
        <f>_xll.EQNXTDZ($A$1,$B75,BJ$5,$B$1)</f>
        <v>0</v>
      </c>
      <c r="BK75" s="100">
        <f>_xll.EQNXTDZ($A$1,$B75,BK$5,$B$1)</f>
        <v>0</v>
      </c>
      <c r="BL75" s="100">
        <f>_xll.EQNXTDZ($A$1,$B75,BL$5,$B$1)</f>
        <v>0</v>
      </c>
      <c r="BM75" s="100">
        <f>_xll.EQNXTDZ($A$1,$B75,BM$5,$B$1)</f>
        <v>0</v>
      </c>
      <c r="BN75" s="100">
        <f>_xll.EQNXTDZ($A$1,$B75,BN$5,$B$1)</f>
        <v>0</v>
      </c>
      <c r="BO75" s="100">
        <f>_xll.EQNXTDZ($A$1,$B75,BO$5,$B$1)</f>
        <v>0</v>
      </c>
      <c r="BP75" s="100">
        <f>_xll.EQNXTDZ($A$1,$B75,BP$5,$B$1)</f>
        <v>0</v>
      </c>
      <c r="BQ75" s="100">
        <f>_xll.EQNXTDZ($A$1,$B75,BQ$5,$B$1)</f>
        <v>0</v>
      </c>
      <c r="BR75" s="100">
        <f>_xll.EQNXTDZ($A$1,$B75,BR$5,$B$1)</f>
        <v>0</v>
      </c>
      <c r="BS75" s="100">
        <f>_xll.EQNXTDZ($A$1,$B75,BS$5,$B$1)</f>
        <v>0</v>
      </c>
      <c r="BT75" s="100">
        <f>_xll.EQNXTDZ($A$1,$B75,BT$5,$B$1)</f>
        <v>0</v>
      </c>
      <c r="BU75" s="100">
        <f>_xll.EQNXTDZ($A$1,$B75,BU$5,$B$1)</f>
        <v>0</v>
      </c>
      <c r="BV75" s="100">
        <f>_xll.EQNXTDZ($A$1,$B75,BV$5,$B$1)</f>
        <v>0</v>
      </c>
    </row>
    <row r="76" spans="1:74" x14ac:dyDescent="0.25">
      <c r="A76" t="s">
        <v>364</v>
      </c>
      <c r="B76" t="s">
        <v>392</v>
      </c>
      <c r="C76" s="100">
        <f>_xll.EQNXTDZ($A$1,$B76,C$5,$B$1)</f>
        <v>0</v>
      </c>
      <c r="D76" s="100">
        <f>_xll.EQNXTDZ($A$1,$B76,D$5,$B$1)</f>
        <v>0</v>
      </c>
      <c r="E76" s="100">
        <f>_xll.EQNXTDZ($A$1,$B76,E$5,$B$1)</f>
        <v>0</v>
      </c>
      <c r="F76" s="100">
        <f>_xll.EQNXTDZ($A$1,$B76,F$5,$B$1)</f>
        <v>0</v>
      </c>
      <c r="G76" s="100">
        <f>_xll.EQNXTDZ($A$1,$B76,G$5,$B$1)</f>
        <v>0</v>
      </c>
      <c r="H76" s="100">
        <f>_xll.EQNXTDZ($A$1,$B76,H$5,$B$1)</f>
        <v>0</v>
      </c>
      <c r="I76" s="100">
        <f>_xll.EQNXTDZ($A$1,$B76,I$5,$B$1)</f>
        <v>0</v>
      </c>
      <c r="J76" s="100">
        <f>_xll.EQNXTDZ($A$1,$B76,J$5,$B$1)</f>
        <v>0</v>
      </c>
      <c r="K76" s="100">
        <f>_xll.EQNXTDZ($A$1,$B76,K$5,$B$1)</f>
        <v>0</v>
      </c>
      <c r="L76" s="100">
        <f>_xll.EQNXTDZ($A$1,$B76,L$5,$B$1)</f>
        <v>0</v>
      </c>
      <c r="M76" s="100">
        <f>_xll.EQNXTDZ($A$1,$B76,M$5,$B$1)</f>
        <v>0</v>
      </c>
      <c r="N76" s="100">
        <f>_xll.EQNXTDZ($A$1,$B76,N$5,$B$1)</f>
        <v>0</v>
      </c>
      <c r="O76" s="100">
        <f>_xll.EQNXTDZ($A$1,$B76,O$5,$B$1)</f>
        <v>0</v>
      </c>
      <c r="P76" s="100">
        <f>_xll.EQNXTDZ($A$1,$B76,P$5,$B$1)</f>
        <v>0</v>
      </c>
      <c r="Q76" s="100">
        <f>_xll.EQNXTDZ($A$1,$B76,Q$5,$B$1)</f>
        <v>0</v>
      </c>
      <c r="R76" s="100">
        <f>_xll.EQNXTDZ($A$1,$B76,R$5,$B$1)</f>
        <v>0</v>
      </c>
      <c r="S76" s="100">
        <f>_xll.EQNXTDZ($A$1,$B76,S$5,$B$1)</f>
        <v>0</v>
      </c>
      <c r="T76" s="100">
        <f>_xll.EQNXTDZ($A$1,$B76,T$5,$B$1)</f>
        <v>0</v>
      </c>
      <c r="U76" s="100">
        <f>_xll.EQNXTDZ($A$1,$B76,U$5,$B$1)</f>
        <v>0</v>
      </c>
      <c r="V76" s="100">
        <f>_xll.EQNXTDZ($A$1,$B76,V$5,$B$1)</f>
        <v>0</v>
      </c>
      <c r="W76" s="100">
        <f>_xll.EQNXTDZ($A$1,$B76,W$5,$B$1)</f>
        <v>0</v>
      </c>
      <c r="X76" s="100">
        <f>_xll.EQNXTDZ($A$1,$B76,X$5,$B$1)</f>
        <v>0</v>
      </c>
      <c r="Y76" s="100">
        <f>_xll.EQNXTDZ($A$1,$B76,Y$5,$B$1)</f>
        <v>0</v>
      </c>
      <c r="Z76" s="100">
        <f>_xll.EQNXTDZ($A$1,$B76,Z$5,$B$1)</f>
        <v>0</v>
      </c>
      <c r="AA76" s="100">
        <f>_xll.EQNXTDZ($A$1,$B76,AA$5,$B$1)</f>
        <v>0</v>
      </c>
      <c r="AB76" s="100">
        <f>_xll.EQNXTDZ($A$1,$B76,AB$5,$B$1)</f>
        <v>0</v>
      </c>
      <c r="AC76" s="100">
        <f>_xll.EQNXTDZ($A$1,$B76,AC$5,$B$1)</f>
        <v>0</v>
      </c>
      <c r="AD76" s="100">
        <f>_xll.EQNXTDZ($A$1,$B76,AD$5,$B$1)</f>
        <v>0</v>
      </c>
      <c r="AE76" s="100">
        <f>_xll.EQNXTDZ($A$1,$B76,AE$5,$B$1)</f>
        <v>0</v>
      </c>
      <c r="AF76" s="100">
        <f>_xll.EQNXTDZ($A$1,$B76,AF$5,$B$1)</f>
        <v>0</v>
      </c>
      <c r="AG76" s="100">
        <f>_xll.EQNXTDZ($A$1,$B76,AG$5,$B$1)</f>
        <v>0</v>
      </c>
      <c r="AH76" s="100">
        <f>_xll.EQNXTDZ($A$1,$B76,AH$5,$B$1)</f>
        <v>0</v>
      </c>
      <c r="AI76" s="100">
        <f>_xll.EQNXTDZ($A$1,$B76,AI$5,$B$1)</f>
        <v>0</v>
      </c>
      <c r="AJ76" s="100">
        <f>_xll.EQNXTDZ($A$1,$B76,AJ$5,$B$1)</f>
        <v>0</v>
      </c>
      <c r="AK76" s="100">
        <f>_xll.EQNXTDZ($A$1,$B76,AK$5,$B$1)</f>
        <v>0</v>
      </c>
      <c r="AL76" s="100">
        <f>_xll.EQNXTDZ($A$1,$B76,AL$5,$B$1)</f>
        <v>0</v>
      </c>
      <c r="AM76" s="100">
        <f>_xll.EQNXTDZ($A$1,$B76,AM$5,$B$1)</f>
        <v>0</v>
      </c>
      <c r="AN76" s="100">
        <f>_xll.EQNXTDZ($A$1,$B76,AN$5,$B$1)</f>
        <v>0</v>
      </c>
      <c r="AO76" s="100">
        <f>_xll.EQNXTDZ($A$1,$B76,AO$5,$B$1)</f>
        <v>0</v>
      </c>
      <c r="AP76" s="100">
        <f>_xll.EQNXTDZ($A$1,$B76,AP$5,$B$1)</f>
        <v>0</v>
      </c>
      <c r="AQ76" s="100">
        <f>_xll.EQNXTDZ($A$1,$B76,AQ$5,$B$1)</f>
        <v>0</v>
      </c>
      <c r="AR76" s="100">
        <f>_xll.EQNXTDZ($A$1,$B76,AR$5,$B$1)</f>
        <v>0</v>
      </c>
      <c r="AS76" s="100">
        <f>_xll.EQNXTDZ($A$1,$B76,AS$5,$B$1)</f>
        <v>0</v>
      </c>
      <c r="AT76" s="100">
        <f>_xll.EQNXTDZ($A$1,$B76,AT$5,$B$1)</f>
        <v>0</v>
      </c>
      <c r="AU76" s="100">
        <f>_xll.EQNXTDZ($A$1,$B76,AU$5,$B$1)</f>
        <v>0</v>
      </c>
      <c r="AV76" s="100">
        <f>_xll.EQNXTDZ($A$1,$B76,AV$5,$B$1)</f>
        <v>0</v>
      </c>
      <c r="AW76" s="100">
        <f>_xll.EQNXTDZ($A$1,$B76,AW$5,$B$1)</f>
        <v>0</v>
      </c>
      <c r="AX76" s="100">
        <f>_xll.EQNXTDZ($A$1,$B76,AX$5,$B$1)</f>
        <v>0</v>
      </c>
      <c r="AY76" s="100">
        <f>_xll.EQNXTDZ($A$1,$B76,AY$5,$B$1)</f>
        <v>0</v>
      </c>
      <c r="AZ76" s="100">
        <f>_xll.EQNXTDZ($A$1,$B76,AZ$5,$B$1)</f>
        <v>0</v>
      </c>
      <c r="BA76" s="100">
        <f>_xll.EQNXTDZ($A$1,$B76,BA$5,$B$1)</f>
        <v>0</v>
      </c>
      <c r="BB76" s="100">
        <f>_xll.EQNXTDZ($A$1,$B76,BB$5,$B$1)</f>
        <v>0</v>
      </c>
      <c r="BC76" s="100">
        <f>_xll.EQNXTDZ($A$1,$B76,BC$5,$B$1)</f>
        <v>0</v>
      </c>
      <c r="BD76" s="100">
        <f>_xll.EQNXTDZ($A$1,$B76,BD$5,$B$1)</f>
        <v>0</v>
      </c>
      <c r="BE76" s="100">
        <f>_xll.EQNXTDZ($A$1,$B76,BE$5,$B$1)</f>
        <v>0</v>
      </c>
      <c r="BF76" s="100">
        <f>_xll.EQNXTDZ($A$1,$B76,BF$5,$B$1)</f>
        <v>0</v>
      </c>
      <c r="BG76" s="100">
        <f>_xll.EQNXTDZ($A$1,$B76,BG$5,$B$1)</f>
        <v>0</v>
      </c>
      <c r="BH76" s="100">
        <f>_xll.EQNXTDZ($A$1,$B76,BH$5,$B$1)</f>
        <v>0</v>
      </c>
      <c r="BI76" s="100">
        <f>_xll.EQNXTDZ($A$1,$B76,BI$5,$B$1)</f>
        <v>0</v>
      </c>
      <c r="BJ76" s="100">
        <f>_xll.EQNXTDZ($A$1,$B76,BJ$5,$B$1)</f>
        <v>0</v>
      </c>
      <c r="BK76" s="100">
        <f>_xll.EQNXTDZ($A$1,$B76,BK$5,$B$1)</f>
        <v>0</v>
      </c>
      <c r="BL76" s="100">
        <f>_xll.EQNXTDZ($A$1,$B76,BL$5,$B$1)</f>
        <v>0</v>
      </c>
      <c r="BM76" s="100">
        <f>_xll.EQNXTDZ($A$1,$B76,BM$5,$B$1)</f>
        <v>0</v>
      </c>
      <c r="BN76" s="100">
        <f>_xll.EQNXTDZ($A$1,$B76,BN$5,$B$1)</f>
        <v>0</v>
      </c>
      <c r="BO76" s="100">
        <f>_xll.EQNXTDZ($A$1,$B76,BO$5,$B$1)</f>
        <v>0</v>
      </c>
      <c r="BP76" s="100">
        <f>_xll.EQNXTDZ($A$1,$B76,BP$5,$B$1)</f>
        <v>0</v>
      </c>
      <c r="BQ76" s="100">
        <f>_xll.EQNXTDZ($A$1,$B76,BQ$5,$B$1)</f>
        <v>0</v>
      </c>
      <c r="BR76" s="100">
        <f>_xll.EQNXTDZ($A$1,$B76,BR$5,$B$1)</f>
        <v>0</v>
      </c>
      <c r="BS76" s="100">
        <f>_xll.EQNXTDZ($A$1,$B76,BS$5,$B$1)</f>
        <v>0</v>
      </c>
      <c r="BT76" s="100">
        <f>_xll.EQNXTDZ($A$1,$B76,BT$5,$B$1)</f>
        <v>0</v>
      </c>
      <c r="BU76" s="100">
        <f>_xll.EQNXTDZ($A$1,$B76,BU$5,$B$1)</f>
        <v>0</v>
      </c>
      <c r="BV76" s="100">
        <f>_xll.EQNXTDZ($A$1,$B76,BV$5,$B$1)</f>
        <v>0</v>
      </c>
    </row>
    <row r="77" spans="1:74" x14ac:dyDescent="0.25">
      <c r="A77" t="s">
        <v>365</v>
      </c>
      <c r="B77" t="s">
        <v>393</v>
      </c>
      <c r="C77" s="100">
        <f>_xll.EQNXTDZ($A$1,$B77,C$5,$B$1)</f>
        <v>50.54</v>
      </c>
      <c r="D77" s="100">
        <f>_xll.EQNXTDZ($A$1,$B77,D$5,$B$1)</f>
        <v>0</v>
      </c>
      <c r="E77" s="100">
        <f>_xll.EQNXTDZ($A$1,$B77,E$5,$B$1)</f>
        <v>16.559999999999999</v>
      </c>
      <c r="F77" s="100">
        <f>_xll.EQNXTDZ($A$1,$B77,F$5,$B$1)</f>
        <v>0</v>
      </c>
      <c r="G77" s="100">
        <f>_xll.EQNXTDZ($A$1,$B77,G$5,$B$1)</f>
        <v>16.47</v>
      </c>
      <c r="H77" s="100">
        <f>_xll.EQNXTDZ($A$1,$B77,H$5,$B$1)</f>
        <v>0</v>
      </c>
      <c r="I77" s="100">
        <f>_xll.EQNXTDZ($A$1,$B77,I$5,$B$1)</f>
        <v>16.47</v>
      </c>
      <c r="J77" s="100">
        <f>_xll.EQNXTDZ($A$1,$B77,J$5,$B$1)</f>
        <v>0</v>
      </c>
      <c r="K77" s="100">
        <f>_xll.EQNXTDZ($A$1,$B77,K$5,$B$1)</f>
        <v>16.39</v>
      </c>
      <c r="L77" s="100">
        <f>_xll.EQNXTDZ($A$1,$B77,L$5,$B$1)</f>
        <v>0</v>
      </c>
      <c r="M77" s="100">
        <f>_xll.EQNXTDZ($A$1,$B77,M$5,$B$1)</f>
        <v>16.39</v>
      </c>
      <c r="N77" s="100">
        <f>_xll.EQNXTDZ($A$1,$B77,N$5,$B$1)</f>
        <v>0</v>
      </c>
      <c r="O77" s="100">
        <f>_xll.EQNXTDZ($A$1,$B77,O$5,$B$1)</f>
        <v>16.309999999999999</v>
      </c>
      <c r="P77" s="100">
        <f>_xll.EQNXTDZ($A$1,$B77,P$5,$B$1)</f>
        <v>0</v>
      </c>
      <c r="Q77" s="100">
        <f>_xll.EQNXTDZ($A$1,$B77,Q$5,$B$1)</f>
        <v>16.309999999999999</v>
      </c>
      <c r="R77" s="100">
        <f>_xll.EQNXTDZ($A$1,$B77,R$5,$B$1)</f>
        <v>0</v>
      </c>
      <c r="S77" s="100">
        <f>_xll.EQNXTDZ($A$1,$B77,S$5,$B$1)</f>
        <v>16.23</v>
      </c>
      <c r="T77" s="100">
        <f>_xll.EQNXTDZ($A$1,$B77,T$5,$B$1)</f>
        <v>0</v>
      </c>
      <c r="U77" s="100">
        <f>_xll.EQNXTDZ($A$1,$B77,U$5,$B$1)</f>
        <v>16.23</v>
      </c>
      <c r="V77" s="100">
        <f>_xll.EQNXTDZ($A$1,$B77,V$5,$B$1)</f>
        <v>0</v>
      </c>
      <c r="W77" s="100">
        <f>_xll.EQNXTDZ($A$1,$B77,W$5,$B$1)</f>
        <v>16.22</v>
      </c>
      <c r="X77" s="100">
        <f>_xll.EQNXTDZ($A$1,$B77,X$5,$B$1)</f>
        <v>0</v>
      </c>
      <c r="Y77" s="100">
        <f>_xll.EQNXTDZ($A$1,$B77,Y$5,$B$1)</f>
        <v>0.17</v>
      </c>
      <c r="Z77" s="100">
        <f>_xll.EQNXTDZ($A$1,$B77,Z$5,$B$1)</f>
        <v>0</v>
      </c>
      <c r="AA77" s="100">
        <f>_xll.EQNXTDZ($A$1,$B77,AA$5,$B$1)</f>
        <v>0.09</v>
      </c>
      <c r="AB77" s="100">
        <f>_xll.EQNXTDZ($A$1,$B77,AB$5,$B$1)</f>
        <v>0</v>
      </c>
      <c r="AC77" s="100">
        <f>_xll.EQNXTDZ($A$1,$B77,AC$5,$B$1)</f>
        <v>0.09</v>
      </c>
      <c r="AD77" s="100">
        <f>_xll.EQNXTDZ($A$1,$B77,AD$5,$B$1)</f>
        <v>0</v>
      </c>
      <c r="AE77" s="100">
        <f>_xll.EQNXTDZ($A$1,$B77,AE$5,$B$1)</f>
        <v>0.09</v>
      </c>
      <c r="AF77" s="100">
        <f>_xll.EQNXTDZ($A$1,$B77,AF$5,$B$1)</f>
        <v>0</v>
      </c>
      <c r="AG77" s="100">
        <f>_xll.EQNXTDZ($A$1,$B77,AG$5,$B$1)</f>
        <v>0</v>
      </c>
      <c r="AH77" s="100">
        <f>_xll.EQNXTDZ($A$1,$B77,AH$5,$B$1)</f>
        <v>0</v>
      </c>
      <c r="AI77" s="100">
        <f>_xll.EQNXTDZ($A$1,$B77,AI$5,$B$1)</f>
        <v>0</v>
      </c>
      <c r="AJ77" s="100">
        <f>_xll.EQNXTDZ($A$1,$B77,AJ$5,$B$1)</f>
        <v>0</v>
      </c>
      <c r="AK77" s="100">
        <f>_xll.EQNXTDZ($A$1,$B77,AK$5,$B$1)</f>
        <v>0</v>
      </c>
      <c r="AL77" s="100">
        <f>_xll.EQNXTDZ($A$1,$B77,AL$5,$B$1)</f>
        <v>0</v>
      </c>
      <c r="AM77" s="100">
        <f>_xll.EQNXTDZ($A$1,$B77,AM$5,$B$1)</f>
        <v>0</v>
      </c>
      <c r="AN77" s="100">
        <f>_xll.EQNXTDZ($A$1,$B77,AN$5,$B$1)</f>
        <v>0</v>
      </c>
      <c r="AO77" s="100">
        <f>_xll.EQNXTDZ($A$1,$B77,AO$5,$B$1)</f>
        <v>0</v>
      </c>
      <c r="AP77" s="100">
        <f>_xll.EQNXTDZ($A$1,$B77,AP$5,$B$1)</f>
        <v>0</v>
      </c>
      <c r="AQ77" s="100">
        <f>_xll.EQNXTDZ($A$1,$B77,AQ$5,$B$1)</f>
        <v>100.12</v>
      </c>
      <c r="AR77" s="100">
        <f>_xll.EQNXTDZ($A$1,$B77,AR$5,$B$1)</f>
        <v>0</v>
      </c>
      <c r="AS77" s="100">
        <f>_xll.EQNXTDZ($A$1,$B77,AS$5,$B$1)</f>
        <v>0</v>
      </c>
      <c r="AT77" s="100">
        <f>_xll.EQNXTDZ($A$1,$B77,AT$5,$B$1)</f>
        <v>0</v>
      </c>
      <c r="AU77" s="100">
        <f>_xll.EQNXTDZ($A$1,$B77,AU$5,$B$1)</f>
        <v>1.56</v>
      </c>
      <c r="AV77" s="100">
        <f>_xll.EQNXTDZ($A$1,$B77,AV$5,$B$1)</f>
        <v>0</v>
      </c>
      <c r="AW77" s="100">
        <f>_xll.EQNXTDZ($A$1,$B77,AW$5,$B$1)</f>
        <v>1.56</v>
      </c>
      <c r="AX77" s="100">
        <f>_xll.EQNXTDZ($A$1,$B77,AX$5,$B$1)</f>
        <v>0</v>
      </c>
      <c r="AY77" s="100">
        <f>_xll.EQNXTDZ($A$1,$B77,AY$5,$B$1)</f>
        <v>1.56</v>
      </c>
      <c r="AZ77" s="100">
        <f>_xll.EQNXTDZ($A$1,$B77,AZ$5,$B$1)</f>
        <v>0</v>
      </c>
      <c r="BA77" s="100">
        <f>_xll.EQNXTDZ($A$1,$B77,BA$5,$B$1)</f>
        <v>1.56</v>
      </c>
      <c r="BB77" s="100">
        <f>_xll.EQNXTDZ($A$1,$B77,BB$5,$B$1)</f>
        <v>0</v>
      </c>
      <c r="BC77" s="100">
        <f>_xll.EQNXTDZ($A$1,$B77,BC$5,$B$1)</f>
        <v>1.56</v>
      </c>
      <c r="BD77" s="100">
        <f>_xll.EQNXTDZ($A$1,$B77,BD$5,$B$1)</f>
        <v>0</v>
      </c>
      <c r="BE77" s="100">
        <f>_xll.EQNXTDZ($A$1,$B77,BE$5,$B$1)</f>
        <v>1.56</v>
      </c>
      <c r="BF77" s="100">
        <f>_xll.EQNXTDZ($A$1,$B77,BF$5,$B$1)</f>
        <v>0</v>
      </c>
      <c r="BG77" s="100">
        <f>_xll.EQNXTDZ($A$1,$B77,BG$5,$B$1)</f>
        <v>0</v>
      </c>
      <c r="BH77" s="100">
        <f>_xll.EQNXTDZ($A$1,$B77,BH$5,$B$1)</f>
        <v>0</v>
      </c>
      <c r="BI77" s="100">
        <f>_xll.EQNXTDZ($A$1,$B77,BI$5,$B$1)</f>
        <v>0</v>
      </c>
      <c r="BJ77" s="100">
        <f>_xll.EQNXTDZ($A$1,$B77,BJ$5,$B$1)</f>
        <v>0</v>
      </c>
      <c r="BK77" s="100">
        <f>_xll.EQNXTDZ($A$1,$B77,BK$5,$B$1)</f>
        <v>0</v>
      </c>
      <c r="BL77" s="100">
        <f>_xll.EQNXTDZ($A$1,$B77,BL$5,$B$1)</f>
        <v>0</v>
      </c>
      <c r="BM77" s="100">
        <f>_xll.EQNXTDZ($A$1,$B77,BM$5,$B$1)</f>
        <v>0</v>
      </c>
      <c r="BN77" s="100">
        <f>_xll.EQNXTDZ($A$1,$B77,BN$5,$B$1)</f>
        <v>0</v>
      </c>
      <c r="BO77" s="100">
        <f>_xll.EQNXTDZ($A$1,$B77,BO$5,$B$1)</f>
        <v>0</v>
      </c>
      <c r="BP77" s="100">
        <f>_xll.EQNXTDZ($A$1,$B77,BP$5,$B$1)</f>
        <v>0</v>
      </c>
      <c r="BQ77" s="100">
        <f>_xll.EQNXTDZ($A$1,$B77,BQ$5,$B$1)</f>
        <v>0</v>
      </c>
      <c r="BR77" s="100">
        <f>_xll.EQNXTDZ($A$1,$B77,BR$5,$B$1)</f>
        <v>0</v>
      </c>
      <c r="BS77" s="100">
        <f>_xll.EQNXTDZ($A$1,$B77,BS$5,$B$1)</f>
        <v>0</v>
      </c>
      <c r="BT77" s="100">
        <f>_xll.EQNXTDZ($A$1,$B77,BT$5,$B$1)</f>
        <v>0</v>
      </c>
      <c r="BU77" s="100">
        <f>_xll.EQNXTDZ($A$1,$B77,BU$5,$B$1)</f>
        <v>0</v>
      </c>
      <c r="BV77" s="100">
        <f>_xll.EQNXTDZ($A$1,$B77,BV$5,$B$1)</f>
        <v>0</v>
      </c>
    </row>
    <row r="78" spans="1:74" x14ac:dyDescent="0.25">
      <c r="A78" t="s">
        <v>59</v>
      </c>
      <c r="B78" t="s">
        <v>394</v>
      </c>
      <c r="C78" s="100">
        <f>_xll.EQNXTDZ($A$1,$B78,C$5,$B$1)</f>
        <v>197.19</v>
      </c>
      <c r="D78" s="100">
        <f>_xll.EQNXTDZ($A$1,$B78,D$5,$B$1)</f>
        <v>0</v>
      </c>
      <c r="E78" s="100">
        <f>_xll.EQNXTDZ($A$1,$B78,E$5,$B$1)</f>
        <v>231.25</v>
      </c>
      <c r="F78" s="100">
        <f>_xll.EQNXTDZ($A$1,$B78,F$5,$B$1)</f>
        <v>0</v>
      </c>
      <c r="G78" s="100">
        <f>_xll.EQNXTDZ($A$1,$B78,G$5,$B$1)</f>
        <v>338.17</v>
      </c>
      <c r="H78" s="100">
        <f>_xll.EQNXTDZ($A$1,$B78,H$5,$B$1)</f>
        <v>0</v>
      </c>
      <c r="I78" s="100">
        <f>_xll.EQNXTDZ($A$1,$B78,I$5,$B$1)</f>
        <v>350.89</v>
      </c>
      <c r="J78" s="100">
        <f>_xll.EQNXTDZ($A$1,$B78,J$5,$B$1)</f>
        <v>0</v>
      </c>
      <c r="K78" s="100">
        <f>_xll.EQNXTDZ($A$1,$B78,K$5,$B$1)</f>
        <v>409.28</v>
      </c>
      <c r="L78" s="100">
        <f>_xll.EQNXTDZ($A$1,$B78,L$5,$B$1)</f>
        <v>0</v>
      </c>
      <c r="M78" s="100">
        <f>_xll.EQNXTDZ($A$1,$B78,M$5,$B$1)</f>
        <v>401.53</v>
      </c>
      <c r="N78" s="100">
        <f>_xll.EQNXTDZ($A$1,$B78,N$5,$B$1)</f>
        <v>0</v>
      </c>
      <c r="O78" s="100">
        <f>_xll.EQNXTDZ($A$1,$B78,O$5,$B$1)</f>
        <v>435.96</v>
      </c>
      <c r="P78" s="100">
        <f>_xll.EQNXTDZ($A$1,$B78,P$5,$B$1)</f>
        <v>0</v>
      </c>
      <c r="Q78" s="100">
        <f>_xll.EQNXTDZ($A$1,$B78,Q$5,$B$1)</f>
        <v>422.2</v>
      </c>
      <c r="R78" s="100">
        <f>_xll.EQNXTDZ($A$1,$B78,R$5,$B$1)</f>
        <v>0</v>
      </c>
      <c r="S78" s="100">
        <f>_xll.EQNXTDZ($A$1,$B78,S$5,$B$1)</f>
        <v>337.58</v>
      </c>
      <c r="T78" s="100">
        <f>_xll.EQNXTDZ($A$1,$B78,T$5,$B$1)</f>
        <v>0</v>
      </c>
      <c r="U78" s="100">
        <f>_xll.EQNXTDZ($A$1,$B78,U$5,$B$1)</f>
        <v>380.6</v>
      </c>
      <c r="V78" s="100">
        <f>_xll.EQNXTDZ($A$1,$B78,V$5,$B$1)</f>
        <v>0</v>
      </c>
      <c r="W78" s="100">
        <f>_xll.EQNXTDZ($A$1,$B78,W$5,$B$1)</f>
        <v>21.42</v>
      </c>
      <c r="X78" s="100">
        <f>_xll.EQNXTDZ($A$1,$B78,X$5,$B$1)</f>
        <v>0</v>
      </c>
      <c r="Y78" s="100">
        <f>_xll.EQNXTDZ($A$1,$B78,Y$5,$B$1)</f>
        <v>21.56</v>
      </c>
      <c r="Z78" s="100">
        <f>_xll.EQNXTDZ($A$1,$B78,Z$5,$B$1)</f>
        <v>0</v>
      </c>
      <c r="AA78" s="100">
        <f>_xll.EQNXTDZ($A$1,$B78,AA$5,$B$1)</f>
        <v>18.510000000000002</v>
      </c>
      <c r="AB78" s="100">
        <f>_xll.EQNXTDZ($A$1,$B78,AB$5,$B$1)</f>
        <v>0</v>
      </c>
      <c r="AC78" s="100">
        <f>_xll.EQNXTDZ($A$1,$B78,AC$5,$B$1)</f>
        <v>10.42</v>
      </c>
      <c r="AD78" s="100">
        <f>_xll.EQNXTDZ($A$1,$B78,AD$5,$B$1)</f>
        <v>0</v>
      </c>
      <c r="AE78" s="100">
        <f>_xll.EQNXTDZ($A$1,$B78,AE$5,$B$1)</f>
        <v>10.41</v>
      </c>
      <c r="AF78" s="100">
        <f>_xll.EQNXTDZ($A$1,$B78,AF$5,$B$1)</f>
        <v>0</v>
      </c>
      <c r="AG78" s="100">
        <f>_xll.EQNXTDZ($A$1,$B78,AG$5,$B$1)</f>
        <v>10.51</v>
      </c>
      <c r="AH78" s="100">
        <f>_xll.EQNXTDZ($A$1,$B78,AH$5,$B$1)</f>
        <v>0</v>
      </c>
      <c r="AI78" s="100">
        <f>_xll.EQNXTDZ($A$1,$B78,AI$5,$B$1)</f>
        <v>9.17</v>
      </c>
      <c r="AJ78" s="100">
        <f>_xll.EQNXTDZ($A$1,$B78,AJ$5,$B$1)</f>
        <v>0</v>
      </c>
      <c r="AK78" s="100">
        <f>_xll.EQNXTDZ($A$1,$B78,AK$5,$B$1)</f>
        <v>9.1199999999999992</v>
      </c>
      <c r="AL78" s="100">
        <f>_xll.EQNXTDZ($A$1,$B78,AL$5,$B$1)</f>
        <v>0</v>
      </c>
      <c r="AM78" s="100">
        <f>_xll.EQNXTDZ($A$1,$B78,AM$5,$B$1)</f>
        <v>9.07</v>
      </c>
      <c r="AN78" s="100">
        <f>_xll.EQNXTDZ($A$1,$B78,AN$5,$B$1)</f>
        <v>0</v>
      </c>
      <c r="AO78" s="100">
        <f>_xll.EQNXTDZ($A$1,$B78,AO$5,$B$1)</f>
        <v>0</v>
      </c>
      <c r="AP78" s="100">
        <f>_xll.EQNXTDZ($A$1,$B78,AP$5,$B$1)</f>
        <v>0</v>
      </c>
      <c r="AQ78" s="100">
        <f>_xll.EQNXTDZ($A$1,$B78,AQ$5,$B$1)</f>
        <v>0</v>
      </c>
      <c r="AR78" s="100">
        <f>_xll.EQNXTDZ($A$1,$B78,AR$5,$B$1)</f>
        <v>0</v>
      </c>
      <c r="AS78" s="100">
        <f>_xll.EQNXTDZ($A$1,$B78,AS$5,$B$1)</f>
        <v>0</v>
      </c>
      <c r="AT78" s="100">
        <f>_xll.EQNXTDZ($A$1,$B78,AT$5,$B$1)</f>
        <v>0</v>
      </c>
      <c r="AU78" s="100">
        <f>_xll.EQNXTDZ($A$1,$B78,AU$5,$B$1)</f>
        <v>0</v>
      </c>
      <c r="AV78" s="100">
        <f>_xll.EQNXTDZ($A$1,$B78,AV$5,$B$1)</f>
        <v>0</v>
      </c>
      <c r="AW78" s="100">
        <f>_xll.EQNXTDZ($A$1,$B78,AW$5,$B$1)</f>
        <v>0</v>
      </c>
      <c r="AX78" s="100">
        <f>_xll.EQNXTDZ($A$1,$B78,AX$5,$B$1)</f>
        <v>0</v>
      </c>
      <c r="AY78" s="100">
        <f>_xll.EQNXTDZ($A$1,$B78,AY$5,$B$1)</f>
        <v>0</v>
      </c>
      <c r="AZ78" s="100">
        <f>_xll.EQNXTDZ($A$1,$B78,AZ$5,$B$1)</f>
        <v>0</v>
      </c>
      <c r="BA78" s="100">
        <f>_xll.EQNXTDZ($A$1,$B78,BA$5,$B$1)</f>
        <v>0</v>
      </c>
      <c r="BB78" s="100">
        <f>_xll.EQNXTDZ($A$1,$B78,BB$5,$B$1)</f>
        <v>0</v>
      </c>
      <c r="BC78" s="100">
        <f>_xll.EQNXTDZ($A$1,$B78,BC$5,$B$1)</f>
        <v>0</v>
      </c>
      <c r="BD78" s="100">
        <f>_xll.EQNXTDZ($A$1,$B78,BD$5,$B$1)</f>
        <v>0</v>
      </c>
      <c r="BE78" s="100">
        <f>_xll.EQNXTDZ($A$1,$B78,BE$5,$B$1)</f>
        <v>0</v>
      </c>
      <c r="BF78" s="100">
        <f>_xll.EQNXTDZ($A$1,$B78,BF$5,$B$1)</f>
        <v>0</v>
      </c>
      <c r="BG78" s="100">
        <f>_xll.EQNXTDZ($A$1,$B78,BG$5,$B$1)</f>
        <v>0</v>
      </c>
      <c r="BH78" s="100">
        <f>_xll.EQNXTDZ($A$1,$B78,BH$5,$B$1)</f>
        <v>0</v>
      </c>
      <c r="BI78" s="100">
        <f>_xll.EQNXTDZ($A$1,$B78,BI$5,$B$1)</f>
        <v>0</v>
      </c>
      <c r="BJ78" s="100">
        <f>_xll.EQNXTDZ($A$1,$B78,BJ$5,$B$1)</f>
        <v>0</v>
      </c>
      <c r="BK78" s="100">
        <f>_xll.EQNXTDZ($A$1,$B78,BK$5,$B$1)</f>
        <v>0</v>
      </c>
      <c r="BL78" s="100">
        <f>_xll.EQNXTDZ($A$1,$B78,BL$5,$B$1)</f>
        <v>0</v>
      </c>
      <c r="BM78" s="100">
        <f>_xll.EQNXTDZ($A$1,$B78,BM$5,$B$1)</f>
        <v>0</v>
      </c>
      <c r="BN78" s="100">
        <f>_xll.EQNXTDZ($A$1,$B78,BN$5,$B$1)</f>
        <v>0</v>
      </c>
      <c r="BO78" s="100">
        <f>_xll.EQNXTDZ($A$1,$B78,BO$5,$B$1)</f>
        <v>0</v>
      </c>
      <c r="BP78" s="100">
        <f>_xll.EQNXTDZ($A$1,$B78,BP$5,$B$1)</f>
        <v>0</v>
      </c>
      <c r="BQ78" s="100">
        <f>_xll.EQNXTDZ($A$1,$B78,BQ$5,$B$1)</f>
        <v>0</v>
      </c>
      <c r="BR78" s="100">
        <f>_xll.EQNXTDZ($A$1,$B78,BR$5,$B$1)</f>
        <v>0</v>
      </c>
      <c r="BS78" s="100">
        <f>_xll.EQNXTDZ($A$1,$B78,BS$5,$B$1)</f>
        <v>0</v>
      </c>
      <c r="BT78" s="100">
        <f>_xll.EQNXTDZ($A$1,$B78,BT$5,$B$1)</f>
        <v>0</v>
      </c>
      <c r="BU78" s="100">
        <f>_xll.EQNXTDZ($A$1,$B78,BU$5,$B$1)</f>
        <v>0</v>
      </c>
      <c r="BV78" s="100">
        <f>_xll.EQNXTDZ($A$1,$B78,BV$5,$B$1)</f>
        <v>0</v>
      </c>
    </row>
    <row r="79" spans="1:74" x14ac:dyDescent="0.25">
      <c r="A79" t="s">
        <v>60</v>
      </c>
      <c r="B79" t="s">
        <v>395</v>
      </c>
      <c r="C79" s="100">
        <f>_xll.EQNXTDZ($A$1,$B79,C$5,$B$1)</f>
        <v>8.36</v>
      </c>
      <c r="D79" s="100">
        <f>_xll.EQNXTDZ($A$1,$B79,D$5,$B$1)</f>
        <v>0</v>
      </c>
      <c r="E79" s="100">
        <f>_xll.EQNXTDZ($A$1,$B79,E$5,$B$1)</f>
        <v>8.9700000000000006</v>
      </c>
      <c r="F79" s="100">
        <f>_xll.EQNXTDZ($A$1,$B79,F$5,$B$1)</f>
        <v>0</v>
      </c>
      <c r="G79" s="100">
        <f>_xll.EQNXTDZ($A$1,$B79,G$5,$B$1)</f>
        <v>8.18</v>
      </c>
      <c r="H79" s="100">
        <f>_xll.EQNXTDZ($A$1,$B79,H$5,$B$1)</f>
        <v>0</v>
      </c>
      <c r="I79" s="100">
        <f>_xll.EQNXTDZ($A$1,$B79,I$5,$B$1)</f>
        <v>8.3000000000000007</v>
      </c>
      <c r="J79" s="100">
        <f>_xll.EQNXTDZ($A$1,$B79,J$5,$B$1)</f>
        <v>0</v>
      </c>
      <c r="K79" s="100">
        <f>_xll.EQNXTDZ($A$1,$B79,K$5,$B$1)</f>
        <v>8.3000000000000007</v>
      </c>
      <c r="L79" s="100">
        <f>_xll.EQNXTDZ($A$1,$B79,L$5,$B$1)</f>
        <v>0</v>
      </c>
      <c r="M79" s="100">
        <f>_xll.EQNXTDZ($A$1,$B79,M$5,$B$1)</f>
        <v>7.48</v>
      </c>
      <c r="N79" s="100">
        <f>_xll.EQNXTDZ($A$1,$B79,N$5,$B$1)</f>
        <v>0</v>
      </c>
      <c r="O79" s="100">
        <f>_xll.EQNXTDZ($A$1,$B79,O$5,$B$1)</f>
        <v>7.5</v>
      </c>
      <c r="P79" s="100">
        <f>_xll.EQNXTDZ($A$1,$B79,P$5,$B$1)</f>
        <v>0</v>
      </c>
      <c r="Q79" s="100">
        <f>_xll.EQNXTDZ($A$1,$B79,Q$5,$B$1)</f>
        <v>6.69</v>
      </c>
      <c r="R79" s="100">
        <f>_xll.EQNXTDZ($A$1,$B79,R$5,$B$1)</f>
        <v>0</v>
      </c>
      <c r="S79" s="100">
        <f>_xll.EQNXTDZ($A$1,$B79,S$5,$B$1)</f>
        <v>7.19</v>
      </c>
      <c r="T79" s="100">
        <f>_xll.EQNXTDZ($A$1,$B79,T$5,$B$1)</f>
        <v>0</v>
      </c>
      <c r="U79" s="100">
        <f>_xll.EQNXTDZ($A$1,$B79,U$5,$B$1)</f>
        <v>7.23</v>
      </c>
      <c r="V79" s="100">
        <f>_xll.EQNXTDZ($A$1,$B79,V$5,$B$1)</f>
        <v>0</v>
      </c>
      <c r="W79" s="100">
        <f>_xll.EQNXTDZ($A$1,$B79,W$5,$B$1)</f>
        <v>340.19</v>
      </c>
      <c r="X79" s="100">
        <f>_xll.EQNXTDZ($A$1,$B79,X$5,$B$1)</f>
        <v>0</v>
      </c>
      <c r="Y79" s="100">
        <f>_xll.EQNXTDZ($A$1,$B79,Y$5,$B$1)</f>
        <v>457.44</v>
      </c>
      <c r="Z79" s="100">
        <f>_xll.EQNXTDZ($A$1,$B79,Z$5,$B$1)</f>
        <v>0</v>
      </c>
      <c r="AA79" s="100">
        <f>_xll.EQNXTDZ($A$1,$B79,AA$5,$B$1)</f>
        <v>425.94</v>
      </c>
      <c r="AB79" s="100">
        <f>_xll.EQNXTDZ($A$1,$B79,AB$5,$B$1)</f>
        <v>0</v>
      </c>
      <c r="AC79" s="100">
        <f>_xll.EQNXTDZ($A$1,$B79,AC$5,$B$1)</f>
        <v>450.11</v>
      </c>
      <c r="AD79" s="100">
        <f>_xll.EQNXTDZ($A$1,$B79,AD$5,$B$1)</f>
        <v>0</v>
      </c>
      <c r="AE79" s="100">
        <f>_xll.EQNXTDZ($A$1,$B79,AE$5,$B$1)</f>
        <v>354.66</v>
      </c>
      <c r="AF79" s="100">
        <f>_xll.EQNXTDZ($A$1,$B79,AF$5,$B$1)</f>
        <v>0</v>
      </c>
      <c r="AG79" s="100">
        <f>_xll.EQNXTDZ($A$1,$B79,AG$5,$B$1)</f>
        <v>380.62</v>
      </c>
      <c r="AH79" s="100">
        <f>_xll.EQNXTDZ($A$1,$B79,AH$5,$B$1)</f>
        <v>0</v>
      </c>
      <c r="AI79" s="100">
        <f>_xll.EQNXTDZ($A$1,$B79,AI$5,$B$1)</f>
        <v>516.62</v>
      </c>
      <c r="AJ79" s="100">
        <f>_xll.EQNXTDZ($A$1,$B79,AJ$5,$B$1)</f>
        <v>0</v>
      </c>
      <c r="AK79" s="100">
        <f>_xll.EQNXTDZ($A$1,$B79,AK$5,$B$1)</f>
        <v>597.23</v>
      </c>
      <c r="AL79" s="100">
        <f>_xll.EQNXTDZ($A$1,$B79,AL$5,$B$1)</f>
        <v>0</v>
      </c>
      <c r="AM79" s="100">
        <f>_xll.EQNXTDZ($A$1,$B79,AM$5,$B$1)</f>
        <v>488.95</v>
      </c>
      <c r="AN79" s="100">
        <f>_xll.EQNXTDZ($A$1,$B79,AN$5,$B$1)</f>
        <v>0</v>
      </c>
      <c r="AO79" s="100">
        <f>_xll.EQNXTDZ($A$1,$B79,AO$5,$B$1)</f>
        <v>495.14</v>
      </c>
      <c r="AP79" s="100">
        <f>_xll.EQNXTDZ($A$1,$B79,AP$5,$B$1)</f>
        <v>0</v>
      </c>
      <c r="AQ79" s="100">
        <f>_xll.EQNXTDZ($A$1,$B79,AQ$5,$B$1)</f>
        <v>483.71</v>
      </c>
      <c r="AR79" s="100">
        <f>_xll.EQNXTDZ($A$1,$B79,AR$5,$B$1)</f>
        <v>0</v>
      </c>
      <c r="AS79" s="100">
        <f>_xll.EQNXTDZ($A$1,$B79,AS$5,$B$1)</f>
        <v>402.54</v>
      </c>
      <c r="AT79" s="100">
        <f>_xll.EQNXTDZ($A$1,$B79,AT$5,$B$1)</f>
        <v>0</v>
      </c>
      <c r="AU79" s="100">
        <f>_xll.EQNXTDZ($A$1,$B79,AU$5,$B$1)</f>
        <v>340.48</v>
      </c>
      <c r="AV79" s="100">
        <f>_xll.EQNXTDZ($A$1,$B79,AV$5,$B$1)</f>
        <v>0</v>
      </c>
      <c r="AW79" s="100">
        <f>_xll.EQNXTDZ($A$1,$B79,AW$5,$B$1)</f>
        <v>351.56</v>
      </c>
      <c r="AX79" s="100">
        <f>_xll.EQNXTDZ($A$1,$B79,AX$5,$B$1)</f>
        <v>0</v>
      </c>
      <c r="AY79" s="100">
        <f>_xll.EQNXTDZ($A$1,$B79,AY$5,$B$1)</f>
        <v>365.39</v>
      </c>
      <c r="AZ79" s="100">
        <f>_xll.EQNXTDZ($A$1,$B79,AZ$5,$B$1)</f>
        <v>0</v>
      </c>
      <c r="BA79" s="100">
        <f>_xll.EQNXTDZ($A$1,$B79,BA$5,$B$1)</f>
        <v>431.04</v>
      </c>
      <c r="BB79" s="100">
        <f>_xll.EQNXTDZ($A$1,$B79,BB$5,$B$1)</f>
        <v>0</v>
      </c>
      <c r="BC79" s="100">
        <f>_xll.EQNXTDZ($A$1,$B79,BC$5,$B$1)</f>
        <v>438.84</v>
      </c>
      <c r="BD79" s="100">
        <f>_xll.EQNXTDZ($A$1,$B79,BD$5,$B$1)</f>
        <v>0</v>
      </c>
      <c r="BE79" s="100">
        <f>_xll.EQNXTDZ($A$1,$B79,BE$5,$B$1)</f>
        <v>610.13</v>
      </c>
      <c r="BF79" s="100">
        <f>_xll.EQNXTDZ($A$1,$B79,BF$5,$B$1)</f>
        <v>0</v>
      </c>
      <c r="BG79" s="100">
        <f>_xll.EQNXTDZ($A$1,$B79,BG$5,$B$1)</f>
        <v>0</v>
      </c>
      <c r="BH79" s="100">
        <f>_xll.EQNXTDZ($A$1,$B79,BH$5,$B$1)</f>
        <v>0</v>
      </c>
      <c r="BI79" s="100">
        <f>_xll.EQNXTDZ($A$1,$B79,BI$5,$B$1)</f>
        <v>0</v>
      </c>
      <c r="BJ79" s="100">
        <f>_xll.EQNXTDZ($A$1,$B79,BJ$5,$B$1)</f>
        <v>0</v>
      </c>
      <c r="BK79" s="100">
        <f>_xll.EQNXTDZ($A$1,$B79,BK$5,$B$1)</f>
        <v>0</v>
      </c>
      <c r="BL79" s="100">
        <f>_xll.EQNXTDZ($A$1,$B79,BL$5,$B$1)</f>
        <v>0</v>
      </c>
      <c r="BM79" s="100">
        <f>_xll.EQNXTDZ($A$1,$B79,BM$5,$B$1)</f>
        <v>0</v>
      </c>
      <c r="BN79" s="100">
        <f>_xll.EQNXTDZ($A$1,$B79,BN$5,$B$1)</f>
        <v>0</v>
      </c>
      <c r="BO79" s="100">
        <f>_xll.EQNXTDZ($A$1,$B79,BO$5,$B$1)</f>
        <v>0</v>
      </c>
      <c r="BP79" s="100">
        <f>_xll.EQNXTDZ($A$1,$B79,BP$5,$B$1)</f>
        <v>0</v>
      </c>
      <c r="BQ79" s="100">
        <f>_xll.EQNXTDZ($A$1,$B79,BQ$5,$B$1)</f>
        <v>0</v>
      </c>
      <c r="BR79" s="100">
        <f>_xll.EQNXTDZ($A$1,$B79,BR$5,$B$1)</f>
        <v>0</v>
      </c>
      <c r="BS79" s="100">
        <f>_xll.EQNXTDZ($A$1,$B79,BS$5,$B$1)</f>
        <v>0</v>
      </c>
      <c r="BT79" s="100">
        <f>_xll.EQNXTDZ($A$1,$B79,BT$5,$B$1)</f>
        <v>0</v>
      </c>
      <c r="BU79" s="100">
        <f>_xll.EQNXTDZ($A$1,$B79,BU$5,$B$1)</f>
        <v>0</v>
      </c>
      <c r="BV79" s="100">
        <f>_xll.EQNXTDZ($A$1,$B79,BV$5,$B$1)</f>
        <v>0</v>
      </c>
    </row>
    <row r="80" spans="1:74" x14ac:dyDescent="0.25">
      <c r="A80" t="s">
        <v>366</v>
      </c>
      <c r="B80" t="s">
        <v>396</v>
      </c>
      <c r="C80" s="100">
        <f>_xll.EQNXTDZ($A$1,$B80,C$5,$B$1)</f>
        <v>0.08</v>
      </c>
      <c r="D80" s="100">
        <f>_xll.EQNXTDZ($A$1,$B80,D$5,$B$1)</f>
        <v>0</v>
      </c>
      <c r="E80" s="100">
        <f>_xll.EQNXTDZ($A$1,$B80,E$5,$B$1)</f>
        <v>0.08</v>
      </c>
      <c r="F80" s="100">
        <f>_xll.EQNXTDZ($A$1,$B80,F$5,$B$1)</f>
        <v>0</v>
      </c>
      <c r="G80" s="100">
        <f>_xll.EQNXTDZ($A$1,$B80,G$5,$B$1)</f>
        <v>0.08</v>
      </c>
      <c r="H80" s="100">
        <f>_xll.EQNXTDZ($A$1,$B80,H$5,$B$1)</f>
        <v>0</v>
      </c>
      <c r="I80" s="100">
        <f>_xll.EQNXTDZ($A$1,$B80,I$5,$B$1)</f>
        <v>0.08</v>
      </c>
      <c r="J80" s="100">
        <f>_xll.EQNXTDZ($A$1,$B80,J$5,$B$1)</f>
        <v>0</v>
      </c>
      <c r="K80" s="100">
        <f>_xll.EQNXTDZ($A$1,$B80,K$5,$B$1)</f>
        <v>0.08</v>
      </c>
      <c r="L80" s="100">
        <f>_xll.EQNXTDZ($A$1,$B80,L$5,$B$1)</f>
        <v>0</v>
      </c>
      <c r="M80" s="100">
        <f>_xll.EQNXTDZ($A$1,$B80,M$5,$B$1)</f>
        <v>0.08</v>
      </c>
      <c r="N80" s="100">
        <f>_xll.EQNXTDZ($A$1,$B80,N$5,$B$1)</f>
        <v>0</v>
      </c>
      <c r="O80" s="100">
        <f>_xll.EQNXTDZ($A$1,$B80,O$5,$B$1)</f>
        <v>0.08</v>
      </c>
      <c r="P80" s="100">
        <f>_xll.EQNXTDZ($A$1,$B80,P$5,$B$1)</f>
        <v>0</v>
      </c>
      <c r="Q80" s="100">
        <f>_xll.EQNXTDZ($A$1,$B80,Q$5,$B$1)</f>
        <v>0.08</v>
      </c>
      <c r="R80" s="100">
        <f>_xll.EQNXTDZ($A$1,$B80,R$5,$B$1)</f>
        <v>0</v>
      </c>
      <c r="S80" s="100">
        <f>_xll.EQNXTDZ($A$1,$B80,S$5,$B$1)</f>
        <v>0.08</v>
      </c>
      <c r="T80" s="100">
        <f>_xll.EQNXTDZ($A$1,$B80,T$5,$B$1)</f>
        <v>0</v>
      </c>
      <c r="U80" s="100">
        <f>_xll.EQNXTDZ($A$1,$B80,U$5,$B$1)</f>
        <v>0.08</v>
      </c>
      <c r="V80" s="100">
        <f>_xll.EQNXTDZ($A$1,$B80,V$5,$B$1)</f>
        <v>0</v>
      </c>
      <c r="W80" s="100">
        <f>_xll.EQNXTDZ($A$1,$B80,W$5,$B$1)</f>
        <v>250.08</v>
      </c>
      <c r="X80" s="100">
        <f>_xll.EQNXTDZ($A$1,$B80,X$5,$B$1)</f>
        <v>0</v>
      </c>
      <c r="Y80" s="100">
        <f>_xll.EQNXTDZ($A$1,$B80,Y$5,$B$1)</f>
        <v>270.45</v>
      </c>
      <c r="Z80" s="100">
        <f>_xll.EQNXTDZ($A$1,$B80,Z$5,$B$1)</f>
        <v>0</v>
      </c>
      <c r="AA80" s="100">
        <f>_xll.EQNXTDZ($A$1,$B80,AA$5,$B$1)</f>
        <v>263.38</v>
      </c>
      <c r="AB80" s="100">
        <f>_xll.EQNXTDZ($A$1,$B80,AB$5,$B$1)</f>
        <v>0</v>
      </c>
      <c r="AC80" s="100">
        <f>_xll.EQNXTDZ($A$1,$B80,AC$5,$B$1)</f>
        <v>0.08</v>
      </c>
      <c r="AD80" s="100">
        <f>_xll.EQNXTDZ($A$1,$B80,AD$5,$B$1)</f>
        <v>0</v>
      </c>
      <c r="AE80" s="100">
        <f>_xll.EQNXTDZ($A$1,$B80,AE$5,$B$1)</f>
        <v>0.08</v>
      </c>
      <c r="AF80" s="100">
        <f>_xll.EQNXTDZ($A$1,$B80,AF$5,$B$1)</f>
        <v>0</v>
      </c>
      <c r="AG80" s="100">
        <f>_xll.EQNXTDZ($A$1,$B80,AG$5,$B$1)</f>
        <v>0.08</v>
      </c>
      <c r="AH80" s="100">
        <f>_xll.EQNXTDZ($A$1,$B80,AH$5,$B$1)</f>
        <v>0</v>
      </c>
      <c r="AI80" s="100">
        <f>_xll.EQNXTDZ($A$1,$B80,AI$5,$B$1)</f>
        <v>0.08</v>
      </c>
      <c r="AJ80" s="100">
        <f>_xll.EQNXTDZ($A$1,$B80,AJ$5,$B$1)</f>
        <v>0</v>
      </c>
      <c r="AK80" s="100">
        <f>_xll.EQNXTDZ($A$1,$B80,AK$5,$B$1)</f>
        <v>0.08</v>
      </c>
      <c r="AL80" s="100">
        <f>_xll.EQNXTDZ($A$1,$B80,AL$5,$B$1)</f>
        <v>0</v>
      </c>
      <c r="AM80" s="100">
        <f>_xll.EQNXTDZ($A$1,$B80,AM$5,$B$1)</f>
        <v>0.08</v>
      </c>
      <c r="AN80" s="100">
        <f>_xll.EQNXTDZ($A$1,$B80,AN$5,$B$1)</f>
        <v>0</v>
      </c>
      <c r="AO80" s="100">
        <f>_xll.EQNXTDZ($A$1,$B80,AO$5,$B$1)</f>
        <v>0</v>
      </c>
      <c r="AP80" s="100">
        <f>_xll.EQNXTDZ($A$1,$B80,AP$5,$B$1)</f>
        <v>0</v>
      </c>
      <c r="AQ80" s="100">
        <f>_xll.EQNXTDZ($A$1,$B80,AQ$5,$B$1)</f>
        <v>975.04</v>
      </c>
      <c r="AR80" s="100">
        <f>_xll.EQNXTDZ($A$1,$B80,AR$5,$B$1)</f>
        <v>0</v>
      </c>
      <c r="AS80" s="100">
        <f>_xll.EQNXTDZ($A$1,$B80,AS$5,$B$1)</f>
        <v>493.15</v>
      </c>
      <c r="AT80" s="100">
        <f>_xll.EQNXTDZ($A$1,$B80,AT$5,$B$1)</f>
        <v>0</v>
      </c>
      <c r="AU80" s="100">
        <f>_xll.EQNXTDZ($A$1,$B80,AU$5,$B$1)</f>
        <v>0</v>
      </c>
      <c r="AV80" s="100">
        <f>_xll.EQNXTDZ($A$1,$B80,AV$5,$B$1)</f>
        <v>0</v>
      </c>
      <c r="AW80" s="100">
        <f>_xll.EQNXTDZ($A$1,$B80,AW$5,$B$1)</f>
        <v>0</v>
      </c>
      <c r="AX80" s="100">
        <f>_xll.EQNXTDZ($A$1,$B80,AX$5,$B$1)</f>
        <v>0</v>
      </c>
      <c r="AY80" s="100">
        <f>_xll.EQNXTDZ($A$1,$B80,AY$5,$B$1)</f>
        <v>0</v>
      </c>
      <c r="AZ80" s="100">
        <f>_xll.EQNXTDZ($A$1,$B80,AZ$5,$B$1)</f>
        <v>0</v>
      </c>
      <c r="BA80" s="100">
        <f>_xll.EQNXTDZ($A$1,$B80,BA$5,$B$1)</f>
        <v>0</v>
      </c>
      <c r="BB80" s="100">
        <f>_xll.EQNXTDZ($A$1,$B80,BB$5,$B$1)</f>
        <v>0</v>
      </c>
      <c r="BC80" s="100">
        <f>_xll.EQNXTDZ($A$1,$B80,BC$5,$B$1)</f>
        <v>0</v>
      </c>
      <c r="BD80" s="100">
        <f>_xll.EQNXTDZ($A$1,$B80,BD$5,$B$1)</f>
        <v>0</v>
      </c>
      <c r="BE80" s="100">
        <f>_xll.EQNXTDZ($A$1,$B80,BE$5,$B$1)</f>
        <v>0</v>
      </c>
      <c r="BF80" s="100">
        <f>_xll.EQNXTDZ($A$1,$B80,BF$5,$B$1)</f>
        <v>0</v>
      </c>
      <c r="BG80" s="100">
        <f>_xll.EQNXTDZ($A$1,$B80,BG$5,$B$1)</f>
        <v>0</v>
      </c>
      <c r="BH80" s="100">
        <f>_xll.EQNXTDZ($A$1,$B80,BH$5,$B$1)</f>
        <v>0</v>
      </c>
      <c r="BI80" s="100">
        <f>_xll.EQNXTDZ($A$1,$B80,BI$5,$B$1)</f>
        <v>0</v>
      </c>
      <c r="BJ80" s="100">
        <f>_xll.EQNXTDZ($A$1,$B80,BJ$5,$B$1)</f>
        <v>0</v>
      </c>
      <c r="BK80" s="100">
        <f>_xll.EQNXTDZ($A$1,$B80,BK$5,$B$1)</f>
        <v>0</v>
      </c>
      <c r="BL80" s="100">
        <f>_xll.EQNXTDZ($A$1,$B80,BL$5,$B$1)</f>
        <v>0</v>
      </c>
      <c r="BM80" s="100">
        <f>_xll.EQNXTDZ($A$1,$B80,BM$5,$B$1)</f>
        <v>0</v>
      </c>
      <c r="BN80" s="100">
        <f>_xll.EQNXTDZ($A$1,$B80,BN$5,$B$1)</f>
        <v>0</v>
      </c>
      <c r="BO80" s="100">
        <f>_xll.EQNXTDZ($A$1,$B80,BO$5,$B$1)</f>
        <v>0</v>
      </c>
      <c r="BP80" s="100">
        <f>_xll.EQNXTDZ($A$1,$B80,BP$5,$B$1)</f>
        <v>0</v>
      </c>
      <c r="BQ80" s="100">
        <f>_xll.EQNXTDZ($A$1,$B80,BQ$5,$B$1)</f>
        <v>0</v>
      </c>
      <c r="BR80" s="100">
        <f>_xll.EQNXTDZ($A$1,$B80,BR$5,$B$1)</f>
        <v>0</v>
      </c>
      <c r="BS80" s="100">
        <f>_xll.EQNXTDZ($A$1,$B80,BS$5,$B$1)</f>
        <v>0</v>
      </c>
      <c r="BT80" s="100">
        <f>_xll.EQNXTDZ($A$1,$B80,BT$5,$B$1)</f>
        <v>0</v>
      </c>
      <c r="BU80" s="100">
        <f>_xll.EQNXTDZ($A$1,$B80,BU$5,$B$1)</f>
        <v>0</v>
      </c>
      <c r="BV80" s="100">
        <f>_xll.EQNXTDZ($A$1,$B80,BV$5,$B$1)</f>
        <v>0</v>
      </c>
    </row>
    <row r="81" spans="1:74" x14ac:dyDescent="0.25">
      <c r="A81" t="s">
        <v>61</v>
      </c>
      <c r="B81" t="s">
        <v>397</v>
      </c>
      <c r="C81" s="100">
        <f>_xll.EQNXTDZ($A$1,$B81,C$5,$B$1)</f>
        <v>941.7</v>
      </c>
      <c r="D81" s="100">
        <f>_xll.EQNXTDZ($A$1,$B81,D$5,$B$1)</f>
        <v>0</v>
      </c>
      <c r="E81" s="100">
        <f>_xll.EQNXTDZ($A$1,$B81,E$5,$B$1)</f>
        <v>933.37</v>
      </c>
      <c r="F81" s="100">
        <f>_xll.EQNXTDZ($A$1,$B81,F$5,$B$1)</f>
        <v>0</v>
      </c>
      <c r="G81" s="100">
        <f>_xll.EQNXTDZ($A$1,$B81,G$5,$B$1)</f>
        <v>992.59</v>
      </c>
      <c r="H81" s="100">
        <f>_xll.EQNXTDZ($A$1,$B81,H$5,$B$1)</f>
        <v>0</v>
      </c>
      <c r="I81" s="100">
        <f>_xll.EQNXTDZ($A$1,$B81,I$5,$B$1)</f>
        <v>988.85</v>
      </c>
      <c r="J81" s="100">
        <f>_xll.EQNXTDZ($A$1,$B81,J$5,$B$1)</f>
        <v>0</v>
      </c>
      <c r="K81" s="100">
        <f>_xll.EQNXTDZ($A$1,$B81,K$5,$B$1)</f>
        <v>998.06</v>
      </c>
      <c r="L81" s="100">
        <f>_xll.EQNXTDZ($A$1,$B81,L$5,$B$1)</f>
        <v>0</v>
      </c>
      <c r="M81" s="100">
        <f>_xll.EQNXTDZ($A$1,$B81,M$5,$B$1)</f>
        <v>893.82</v>
      </c>
      <c r="N81" s="100">
        <f>_xll.EQNXTDZ($A$1,$B81,N$5,$B$1)</f>
        <v>0</v>
      </c>
      <c r="O81" s="100">
        <f>_xll.EQNXTDZ($A$1,$B81,O$5,$B$1)</f>
        <v>1048.02</v>
      </c>
      <c r="P81" s="100">
        <f>_xll.EQNXTDZ($A$1,$B81,P$5,$B$1)</f>
        <v>0</v>
      </c>
      <c r="Q81" s="100">
        <f>_xll.EQNXTDZ($A$1,$B81,Q$5,$B$1)</f>
        <v>939.57</v>
      </c>
      <c r="R81" s="100">
        <f>_xll.EQNXTDZ($A$1,$B81,R$5,$B$1)</f>
        <v>0</v>
      </c>
      <c r="S81" s="100">
        <f>_xll.EQNXTDZ($A$1,$B81,S$5,$B$1)</f>
        <v>1030.1600000000001</v>
      </c>
      <c r="T81" s="100">
        <f>_xll.EQNXTDZ($A$1,$B81,T$5,$B$1)</f>
        <v>0</v>
      </c>
      <c r="U81" s="100">
        <f>_xll.EQNXTDZ($A$1,$B81,U$5,$B$1)</f>
        <v>940.25</v>
      </c>
      <c r="V81" s="100">
        <f>_xll.EQNXTDZ($A$1,$B81,V$5,$B$1)</f>
        <v>0</v>
      </c>
      <c r="W81" s="100">
        <f>_xll.EQNXTDZ($A$1,$B81,W$5,$B$1)</f>
        <v>1052.45</v>
      </c>
      <c r="X81" s="100">
        <f>_xll.EQNXTDZ($A$1,$B81,X$5,$B$1)</f>
        <v>0</v>
      </c>
      <c r="Y81" s="100">
        <f>_xll.EQNXTDZ($A$1,$B81,Y$5,$B$1)</f>
        <v>1153.55</v>
      </c>
      <c r="Z81" s="100">
        <f>_xll.EQNXTDZ($A$1,$B81,Z$5,$B$1)</f>
        <v>0</v>
      </c>
      <c r="AA81" s="100">
        <f>_xll.EQNXTDZ($A$1,$B81,AA$5,$B$1)</f>
        <v>1312.35</v>
      </c>
      <c r="AB81" s="100">
        <f>_xll.EQNXTDZ($A$1,$B81,AB$5,$B$1)</f>
        <v>0</v>
      </c>
      <c r="AC81" s="100">
        <f>_xll.EQNXTDZ($A$1,$B81,AC$5,$B$1)</f>
        <v>927.85</v>
      </c>
      <c r="AD81" s="100">
        <f>_xll.EQNXTDZ($A$1,$B81,AD$5,$B$1)</f>
        <v>0</v>
      </c>
      <c r="AE81" s="100">
        <f>_xll.EQNXTDZ($A$1,$B81,AE$5,$B$1)</f>
        <v>928.61</v>
      </c>
      <c r="AF81" s="100">
        <f>_xll.EQNXTDZ($A$1,$B81,AF$5,$B$1)</f>
        <v>0</v>
      </c>
      <c r="AG81" s="100">
        <f>_xll.EQNXTDZ($A$1,$B81,AG$5,$B$1)</f>
        <v>861.73</v>
      </c>
      <c r="AH81" s="100">
        <f>_xll.EQNXTDZ($A$1,$B81,AH$5,$B$1)</f>
        <v>0</v>
      </c>
      <c r="AI81" s="100">
        <f>_xll.EQNXTDZ($A$1,$B81,AI$5,$B$1)</f>
        <v>1140.21</v>
      </c>
      <c r="AJ81" s="100">
        <f>_xll.EQNXTDZ($A$1,$B81,AJ$5,$B$1)</f>
        <v>0</v>
      </c>
      <c r="AK81" s="100">
        <f>_xll.EQNXTDZ($A$1,$B81,AK$5,$B$1)</f>
        <v>840.83</v>
      </c>
      <c r="AL81" s="100">
        <f>_xll.EQNXTDZ($A$1,$B81,AL$5,$B$1)</f>
        <v>0</v>
      </c>
      <c r="AM81" s="100">
        <f>_xll.EQNXTDZ($A$1,$B81,AM$5,$B$1)</f>
        <v>988.54</v>
      </c>
      <c r="AN81" s="100">
        <f>_xll.EQNXTDZ($A$1,$B81,AN$5,$B$1)</f>
        <v>0</v>
      </c>
      <c r="AO81" s="100">
        <f>_xll.EQNXTDZ($A$1,$B81,AO$5,$B$1)</f>
        <v>1009.09</v>
      </c>
      <c r="AP81" s="100">
        <f>_xll.EQNXTDZ($A$1,$B81,AP$5,$B$1)</f>
        <v>0</v>
      </c>
      <c r="AQ81" s="100">
        <f>_xll.EQNXTDZ($A$1,$B81,AQ$5,$B$1)</f>
        <v>1320.42</v>
      </c>
      <c r="AR81" s="100">
        <f>_xll.EQNXTDZ($A$1,$B81,AR$5,$B$1)</f>
        <v>0</v>
      </c>
      <c r="AS81" s="100">
        <f>_xll.EQNXTDZ($A$1,$B81,AS$5,$B$1)</f>
        <v>1420.66</v>
      </c>
      <c r="AT81" s="100">
        <f>_xll.EQNXTDZ($A$1,$B81,AT$5,$B$1)</f>
        <v>0</v>
      </c>
      <c r="AU81" s="100">
        <f>_xll.EQNXTDZ($A$1,$B81,AU$5,$B$1)</f>
        <v>1617.06</v>
      </c>
      <c r="AV81" s="100">
        <f>_xll.EQNXTDZ($A$1,$B81,AV$5,$B$1)</f>
        <v>0</v>
      </c>
      <c r="AW81" s="100">
        <f>_xll.EQNXTDZ($A$1,$B81,AW$5,$B$1)</f>
        <v>1560.76</v>
      </c>
      <c r="AX81" s="100">
        <f>_xll.EQNXTDZ($A$1,$B81,AX$5,$B$1)</f>
        <v>0</v>
      </c>
      <c r="AY81" s="100">
        <f>_xll.EQNXTDZ($A$1,$B81,AY$5,$B$1)</f>
        <v>1695.74</v>
      </c>
      <c r="AZ81" s="100">
        <f>_xll.EQNXTDZ($A$1,$B81,AZ$5,$B$1)</f>
        <v>0</v>
      </c>
      <c r="BA81" s="100">
        <f>_xll.EQNXTDZ($A$1,$B81,BA$5,$B$1)</f>
        <v>1777.99</v>
      </c>
      <c r="BB81" s="100">
        <f>_xll.EQNXTDZ($A$1,$B81,BB$5,$B$1)</f>
        <v>0</v>
      </c>
      <c r="BC81" s="100">
        <f>_xll.EQNXTDZ($A$1,$B81,BC$5,$B$1)</f>
        <v>2312.15</v>
      </c>
      <c r="BD81" s="100">
        <f>_xll.EQNXTDZ($A$1,$B81,BD$5,$B$1)</f>
        <v>0</v>
      </c>
      <c r="BE81" s="100">
        <f>_xll.EQNXTDZ($A$1,$B81,BE$5,$B$1)</f>
        <v>2052.98</v>
      </c>
      <c r="BF81" s="100">
        <f>_xll.EQNXTDZ($A$1,$B81,BF$5,$B$1)</f>
        <v>0</v>
      </c>
      <c r="BG81" s="100">
        <f>_xll.EQNXTDZ($A$1,$B81,BG$5,$B$1)</f>
        <v>0</v>
      </c>
      <c r="BH81" s="100">
        <f>_xll.EQNXTDZ($A$1,$B81,BH$5,$B$1)</f>
        <v>0</v>
      </c>
      <c r="BI81" s="100">
        <f>_xll.EQNXTDZ($A$1,$B81,BI$5,$B$1)</f>
        <v>0</v>
      </c>
      <c r="BJ81" s="100">
        <f>_xll.EQNXTDZ($A$1,$B81,BJ$5,$B$1)</f>
        <v>0</v>
      </c>
      <c r="BK81" s="100">
        <f>_xll.EQNXTDZ($A$1,$B81,BK$5,$B$1)</f>
        <v>0</v>
      </c>
      <c r="BL81" s="100">
        <f>_xll.EQNXTDZ($A$1,$B81,BL$5,$B$1)</f>
        <v>0</v>
      </c>
      <c r="BM81" s="100">
        <f>_xll.EQNXTDZ($A$1,$B81,BM$5,$B$1)</f>
        <v>0</v>
      </c>
      <c r="BN81" s="100">
        <f>_xll.EQNXTDZ($A$1,$B81,BN$5,$B$1)</f>
        <v>0</v>
      </c>
      <c r="BO81" s="100">
        <f>_xll.EQNXTDZ($A$1,$B81,BO$5,$B$1)</f>
        <v>0</v>
      </c>
      <c r="BP81" s="100">
        <f>_xll.EQNXTDZ($A$1,$B81,BP$5,$B$1)</f>
        <v>0</v>
      </c>
      <c r="BQ81" s="100">
        <f>_xll.EQNXTDZ($A$1,$B81,BQ$5,$B$1)</f>
        <v>0</v>
      </c>
      <c r="BR81" s="100">
        <f>_xll.EQNXTDZ($A$1,$B81,BR$5,$B$1)</f>
        <v>0</v>
      </c>
      <c r="BS81" s="100">
        <f>_xll.EQNXTDZ($A$1,$B81,BS$5,$B$1)</f>
        <v>0</v>
      </c>
      <c r="BT81" s="100">
        <f>_xll.EQNXTDZ($A$1,$B81,BT$5,$B$1)</f>
        <v>0</v>
      </c>
      <c r="BU81" s="100">
        <f>_xll.EQNXTDZ($A$1,$B81,BU$5,$B$1)</f>
        <v>0</v>
      </c>
      <c r="BV81" s="100">
        <f>_xll.EQNXTDZ($A$1,$B81,BV$5,$B$1)</f>
        <v>0</v>
      </c>
    </row>
    <row r="82" spans="1:74" x14ac:dyDescent="0.25">
      <c r="A82" t="s">
        <v>62</v>
      </c>
      <c r="B82" t="s">
        <v>398</v>
      </c>
      <c r="C82" s="100">
        <f>_xll.EQNXTDZ($A$1,$B82,C$5,$B$1)</f>
        <v>3065.64</v>
      </c>
      <c r="D82" s="100">
        <f>_xll.EQNXTDZ($A$1,$B82,D$5,$B$1)</f>
        <v>0</v>
      </c>
      <c r="E82" s="100">
        <f>_xll.EQNXTDZ($A$1,$B82,E$5,$B$1)</f>
        <v>3280.82</v>
      </c>
      <c r="F82" s="100">
        <f>_xll.EQNXTDZ($A$1,$B82,F$5,$B$1)</f>
        <v>0</v>
      </c>
      <c r="G82" s="100">
        <f>_xll.EQNXTDZ($A$1,$B82,G$5,$B$1)</f>
        <v>3170.65</v>
      </c>
      <c r="H82" s="100">
        <f>_xll.EQNXTDZ($A$1,$B82,H$5,$B$1)</f>
        <v>0</v>
      </c>
      <c r="I82" s="100">
        <f>_xll.EQNXTDZ($A$1,$B82,I$5,$B$1)</f>
        <v>3235.72</v>
      </c>
      <c r="J82" s="100">
        <f>_xll.EQNXTDZ($A$1,$B82,J$5,$B$1)</f>
        <v>0</v>
      </c>
      <c r="K82" s="100">
        <f>_xll.EQNXTDZ($A$1,$B82,K$5,$B$1)</f>
        <v>3186.4</v>
      </c>
      <c r="L82" s="100">
        <f>_xll.EQNXTDZ($A$1,$B82,L$5,$B$1)</f>
        <v>0</v>
      </c>
      <c r="M82" s="100">
        <f>_xll.EQNXTDZ($A$1,$B82,M$5,$B$1)</f>
        <v>3157.52</v>
      </c>
      <c r="N82" s="100">
        <f>_xll.EQNXTDZ($A$1,$B82,N$5,$B$1)</f>
        <v>0</v>
      </c>
      <c r="O82" s="100">
        <f>_xll.EQNXTDZ($A$1,$B82,O$5,$B$1)</f>
        <v>3233.34</v>
      </c>
      <c r="P82" s="100">
        <f>_xll.EQNXTDZ($A$1,$B82,P$5,$B$1)</f>
        <v>0</v>
      </c>
      <c r="Q82" s="100">
        <f>_xll.EQNXTDZ($A$1,$B82,Q$5,$B$1)</f>
        <v>3390.93</v>
      </c>
      <c r="R82" s="100">
        <f>_xll.EQNXTDZ($A$1,$B82,R$5,$B$1)</f>
        <v>0</v>
      </c>
      <c r="S82" s="100">
        <f>_xll.EQNXTDZ($A$1,$B82,S$5,$B$1)</f>
        <v>3110.63</v>
      </c>
      <c r="T82" s="100">
        <f>_xll.EQNXTDZ($A$1,$B82,T$5,$B$1)</f>
        <v>0</v>
      </c>
      <c r="U82" s="100">
        <f>_xll.EQNXTDZ($A$1,$B82,U$5,$B$1)</f>
        <v>3063.33</v>
      </c>
      <c r="V82" s="100">
        <f>_xll.EQNXTDZ($A$1,$B82,V$5,$B$1)</f>
        <v>0</v>
      </c>
      <c r="W82" s="100">
        <f>_xll.EQNXTDZ($A$1,$B82,W$5,$B$1)</f>
        <v>2826.53</v>
      </c>
      <c r="X82" s="100">
        <f>_xll.EQNXTDZ($A$1,$B82,X$5,$B$1)</f>
        <v>0</v>
      </c>
      <c r="Y82" s="100">
        <f>_xll.EQNXTDZ($A$1,$B82,Y$5,$B$1)</f>
        <v>2787.78</v>
      </c>
      <c r="Z82" s="100">
        <f>_xll.EQNXTDZ($A$1,$B82,Z$5,$B$1)</f>
        <v>0</v>
      </c>
      <c r="AA82" s="100">
        <f>_xll.EQNXTDZ($A$1,$B82,AA$5,$B$1)</f>
        <v>2925.58</v>
      </c>
      <c r="AB82" s="100">
        <f>_xll.EQNXTDZ($A$1,$B82,AB$5,$B$1)</f>
        <v>0</v>
      </c>
      <c r="AC82" s="100">
        <f>_xll.EQNXTDZ($A$1,$B82,AC$5,$B$1)</f>
        <v>1686.89</v>
      </c>
      <c r="AD82" s="100">
        <f>_xll.EQNXTDZ($A$1,$B82,AD$5,$B$1)</f>
        <v>0</v>
      </c>
      <c r="AE82" s="100">
        <f>_xll.EQNXTDZ($A$1,$B82,AE$5,$B$1)</f>
        <v>1864.89</v>
      </c>
      <c r="AF82" s="100">
        <f>_xll.EQNXTDZ($A$1,$B82,AF$5,$B$1)</f>
        <v>0</v>
      </c>
      <c r="AG82" s="100">
        <f>_xll.EQNXTDZ($A$1,$B82,AG$5,$B$1)</f>
        <v>1947.54</v>
      </c>
      <c r="AH82" s="100">
        <f>_xll.EQNXTDZ($A$1,$B82,AH$5,$B$1)</f>
        <v>0</v>
      </c>
      <c r="AI82" s="100">
        <f>_xll.EQNXTDZ($A$1,$B82,AI$5,$B$1)</f>
        <v>1604.85</v>
      </c>
      <c r="AJ82" s="100">
        <f>_xll.EQNXTDZ($A$1,$B82,AJ$5,$B$1)</f>
        <v>0</v>
      </c>
      <c r="AK82" s="100">
        <f>_xll.EQNXTDZ($A$1,$B82,AK$5,$B$1)</f>
        <v>1694.96</v>
      </c>
      <c r="AL82" s="100">
        <f>_xll.EQNXTDZ($A$1,$B82,AL$5,$B$1)</f>
        <v>0</v>
      </c>
      <c r="AM82" s="100">
        <f>_xll.EQNXTDZ($A$1,$B82,AM$5,$B$1)</f>
        <v>1599.78</v>
      </c>
      <c r="AN82" s="100">
        <f>_xll.EQNXTDZ($A$1,$B82,AN$5,$B$1)</f>
        <v>0</v>
      </c>
      <c r="AO82" s="100">
        <f>_xll.EQNXTDZ($A$1,$B82,AO$5,$B$1)</f>
        <v>1883.84</v>
      </c>
      <c r="AP82" s="100">
        <f>_xll.EQNXTDZ($A$1,$B82,AP$5,$B$1)</f>
        <v>0</v>
      </c>
      <c r="AQ82" s="100">
        <f>_xll.EQNXTDZ($A$1,$B82,AQ$5,$B$1)</f>
        <v>1999.5</v>
      </c>
      <c r="AR82" s="100">
        <f>_xll.EQNXTDZ($A$1,$B82,AR$5,$B$1)</f>
        <v>0</v>
      </c>
      <c r="AS82" s="100">
        <f>_xll.EQNXTDZ($A$1,$B82,AS$5,$B$1)</f>
        <v>2092.9899999999998</v>
      </c>
      <c r="AT82" s="100">
        <f>_xll.EQNXTDZ($A$1,$B82,AT$5,$B$1)</f>
        <v>0</v>
      </c>
      <c r="AU82" s="100">
        <f>_xll.EQNXTDZ($A$1,$B82,AU$5,$B$1)</f>
        <v>2392.92</v>
      </c>
      <c r="AV82" s="100">
        <f>_xll.EQNXTDZ($A$1,$B82,AV$5,$B$1)</f>
        <v>0</v>
      </c>
      <c r="AW82" s="100">
        <f>_xll.EQNXTDZ($A$1,$B82,AW$5,$B$1)</f>
        <v>2544.3000000000002</v>
      </c>
      <c r="AX82" s="100">
        <f>_xll.EQNXTDZ($A$1,$B82,AX$5,$B$1)</f>
        <v>0</v>
      </c>
      <c r="AY82" s="100">
        <f>_xll.EQNXTDZ($A$1,$B82,AY$5,$B$1)</f>
        <v>2897.76</v>
      </c>
      <c r="AZ82" s="100">
        <f>_xll.EQNXTDZ($A$1,$B82,AZ$5,$B$1)</f>
        <v>0</v>
      </c>
      <c r="BA82" s="100">
        <f>_xll.EQNXTDZ($A$1,$B82,BA$5,$B$1)</f>
        <v>2983.66</v>
      </c>
      <c r="BB82" s="100">
        <f>_xll.EQNXTDZ($A$1,$B82,BB$5,$B$1)</f>
        <v>0</v>
      </c>
      <c r="BC82" s="100">
        <f>_xll.EQNXTDZ($A$1,$B82,BC$5,$B$1)</f>
        <v>2983.98</v>
      </c>
      <c r="BD82" s="100">
        <f>_xll.EQNXTDZ($A$1,$B82,BD$5,$B$1)</f>
        <v>0</v>
      </c>
      <c r="BE82" s="100">
        <f>_xll.EQNXTDZ($A$1,$B82,BE$5,$B$1)</f>
        <v>3176.33</v>
      </c>
      <c r="BF82" s="100">
        <f>_xll.EQNXTDZ($A$1,$B82,BF$5,$B$1)</f>
        <v>0</v>
      </c>
      <c r="BG82" s="100">
        <f>_xll.EQNXTDZ($A$1,$B82,BG$5,$B$1)</f>
        <v>0</v>
      </c>
      <c r="BH82" s="100">
        <f>_xll.EQNXTDZ($A$1,$B82,BH$5,$B$1)</f>
        <v>0</v>
      </c>
      <c r="BI82" s="100">
        <f>_xll.EQNXTDZ($A$1,$B82,BI$5,$B$1)</f>
        <v>0</v>
      </c>
      <c r="BJ82" s="100">
        <f>_xll.EQNXTDZ($A$1,$B82,BJ$5,$B$1)</f>
        <v>0</v>
      </c>
      <c r="BK82" s="100">
        <f>_xll.EQNXTDZ($A$1,$B82,BK$5,$B$1)</f>
        <v>0</v>
      </c>
      <c r="BL82" s="100">
        <f>_xll.EQNXTDZ($A$1,$B82,BL$5,$B$1)</f>
        <v>0</v>
      </c>
      <c r="BM82" s="100">
        <f>_xll.EQNXTDZ($A$1,$B82,BM$5,$B$1)</f>
        <v>0</v>
      </c>
      <c r="BN82" s="100">
        <f>_xll.EQNXTDZ($A$1,$B82,BN$5,$B$1)</f>
        <v>0</v>
      </c>
      <c r="BO82" s="100">
        <f>_xll.EQNXTDZ($A$1,$B82,BO$5,$B$1)</f>
        <v>0</v>
      </c>
      <c r="BP82" s="100">
        <f>_xll.EQNXTDZ($A$1,$B82,BP$5,$B$1)</f>
        <v>0</v>
      </c>
      <c r="BQ82" s="100">
        <f>_xll.EQNXTDZ($A$1,$B82,BQ$5,$B$1)</f>
        <v>0</v>
      </c>
      <c r="BR82" s="100">
        <f>_xll.EQNXTDZ($A$1,$B82,BR$5,$B$1)</f>
        <v>0</v>
      </c>
      <c r="BS82" s="100">
        <f>_xll.EQNXTDZ($A$1,$B82,BS$5,$B$1)</f>
        <v>0</v>
      </c>
      <c r="BT82" s="100">
        <f>_xll.EQNXTDZ($A$1,$B82,BT$5,$B$1)</f>
        <v>0</v>
      </c>
      <c r="BU82" s="100">
        <f>_xll.EQNXTDZ($A$1,$B82,BU$5,$B$1)</f>
        <v>0</v>
      </c>
      <c r="BV82" s="100">
        <f>_xll.EQNXTDZ($A$1,$B82,BV$5,$B$1)</f>
        <v>0</v>
      </c>
    </row>
    <row r="83" spans="1:74" x14ac:dyDescent="0.25">
      <c r="A83" t="s">
        <v>76</v>
      </c>
      <c r="B83" t="s">
        <v>399</v>
      </c>
      <c r="C83" s="100">
        <f>_xll.EQNXTDZ($A$1,$B83,C$5,$B$1)</f>
        <v>110.86</v>
      </c>
      <c r="D83" s="100">
        <f>_xll.EQNXTDZ($A$1,$B83,D$5,$B$1)</f>
        <v>0</v>
      </c>
      <c r="E83" s="100">
        <f>_xll.EQNXTDZ($A$1,$B83,E$5,$B$1)</f>
        <v>86.84</v>
      </c>
      <c r="F83" s="100">
        <f>_xll.EQNXTDZ($A$1,$B83,F$5,$B$1)</f>
        <v>0</v>
      </c>
      <c r="G83" s="100">
        <f>_xll.EQNXTDZ($A$1,$B83,G$5,$B$1)</f>
        <v>165.14</v>
      </c>
      <c r="H83" s="100">
        <f>_xll.EQNXTDZ($A$1,$B83,H$5,$B$1)</f>
        <v>0</v>
      </c>
      <c r="I83" s="100">
        <f>_xll.EQNXTDZ($A$1,$B83,I$5,$B$1)</f>
        <v>316.58</v>
      </c>
      <c r="J83" s="100">
        <f>_xll.EQNXTDZ($A$1,$B83,J$5,$B$1)</f>
        <v>0</v>
      </c>
      <c r="K83" s="100">
        <f>_xll.EQNXTDZ($A$1,$B83,K$5,$B$1)</f>
        <v>238.22</v>
      </c>
      <c r="L83" s="100">
        <f>_xll.EQNXTDZ($A$1,$B83,L$5,$B$1)</f>
        <v>0</v>
      </c>
      <c r="M83" s="100">
        <f>_xll.EQNXTDZ($A$1,$B83,M$5,$B$1)</f>
        <v>225.96</v>
      </c>
      <c r="N83" s="100">
        <f>_xll.EQNXTDZ($A$1,$B83,N$5,$B$1)</f>
        <v>0</v>
      </c>
      <c r="O83" s="100">
        <f>_xll.EQNXTDZ($A$1,$B83,O$5,$B$1)</f>
        <v>229.46</v>
      </c>
      <c r="P83" s="100">
        <f>_xll.EQNXTDZ($A$1,$B83,P$5,$B$1)</f>
        <v>0</v>
      </c>
      <c r="Q83" s="100">
        <f>_xll.EQNXTDZ($A$1,$B83,Q$5,$B$1)</f>
        <v>573.59</v>
      </c>
      <c r="R83" s="100">
        <f>_xll.EQNXTDZ($A$1,$B83,R$5,$B$1)</f>
        <v>0</v>
      </c>
      <c r="S83" s="100">
        <f>_xll.EQNXTDZ($A$1,$B83,S$5,$B$1)</f>
        <v>720.49</v>
      </c>
      <c r="T83" s="100">
        <f>_xll.EQNXTDZ($A$1,$B83,T$5,$B$1)</f>
        <v>0</v>
      </c>
      <c r="U83" s="100">
        <f>_xll.EQNXTDZ($A$1,$B83,U$5,$B$1)</f>
        <v>1189.1600000000001</v>
      </c>
      <c r="V83" s="100">
        <f>_xll.EQNXTDZ($A$1,$B83,V$5,$B$1)</f>
        <v>0</v>
      </c>
      <c r="W83" s="100">
        <f>_xll.EQNXTDZ($A$1,$B83,W$5,$B$1)</f>
        <v>1335.45</v>
      </c>
      <c r="X83" s="100">
        <f>_xll.EQNXTDZ($A$1,$B83,X$5,$B$1)</f>
        <v>0</v>
      </c>
      <c r="Y83" s="100">
        <f>_xll.EQNXTDZ($A$1,$B83,Y$5,$B$1)</f>
        <v>1491.66</v>
      </c>
      <c r="Z83" s="100">
        <f>_xll.EQNXTDZ($A$1,$B83,Z$5,$B$1)</f>
        <v>0</v>
      </c>
      <c r="AA83" s="100">
        <f>_xll.EQNXTDZ($A$1,$B83,AA$5,$B$1)</f>
        <v>1329.32</v>
      </c>
      <c r="AB83" s="100">
        <f>_xll.EQNXTDZ($A$1,$B83,AB$5,$B$1)</f>
        <v>0</v>
      </c>
      <c r="AC83" s="100">
        <f>_xll.EQNXTDZ($A$1,$B83,AC$5,$B$1)</f>
        <v>1475.07</v>
      </c>
      <c r="AD83" s="100">
        <f>_xll.EQNXTDZ($A$1,$B83,AD$5,$B$1)</f>
        <v>0</v>
      </c>
      <c r="AE83" s="100">
        <f>_xll.EQNXTDZ($A$1,$B83,AE$5,$B$1)</f>
        <v>1314.57</v>
      </c>
      <c r="AF83" s="100">
        <f>_xll.EQNXTDZ($A$1,$B83,AF$5,$B$1)</f>
        <v>0</v>
      </c>
      <c r="AG83" s="100">
        <f>_xll.EQNXTDZ($A$1,$B83,AG$5,$B$1)</f>
        <v>1597.57</v>
      </c>
      <c r="AH83" s="100">
        <f>_xll.EQNXTDZ($A$1,$B83,AH$5,$B$1)</f>
        <v>0</v>
      </c>
      <c r="AI83" s="100">
        <f>_xll.EQNXTDZ($A$1,$B83,AI$5,$B$1)</f>
        <v>1511.41</v>
      </c>
      <c r="AJ83" s="100">
        <f>_xll.EQNXTDZ($A$1,$B83,AJ$5,$B$1)</f>
        <v>0</v>
      </c>
      <c r="AK83" s="100">
        <f>_xll.EQNXTDZ($A$1,$B83,AK$5,$B$1)</f>
        <v>2206.5700000000002</v>
      </c>
      <c r="AL83" s="100">
        <f>_xll.EQNXTDZ($A$1,$B83,AL$5,$B$1)</f>
        <v>0</v>
      </c>
      <c r="AM83" s="100">
        <f>_xll.EQNXTDZ($A$1,$B83,AM$5,$B$1)</f>
        <v>2364.35</v>
      </c>
      <c r="AN83" s="100">
        <f>_xll.EQNXTDZ($A$1,$B83,AN$5,$B$1)</f>
        <v>0</v>
      </c>
      <c r="AO83" s="100">
        <f>_xll.EQNXTDZ($A$1,$B83,AO$5,$B$1)</f>
        <v>2687.74</v>
      </c>
      <c r="AP83" s="100">
        <f>_xll.EQNXTDZ($A$1,$B83,AP$5,$B$1)</f>
        <v>0</v>
      </c>
      <c r="AQ83" s="100">
        <f>_xll.EQNXTDZ($A$1,$B83,AQ$5,$B$1)</f>
        <v>1853.68</v>
      </c>
      <c r="AR83" s="100">
        <f>_xll.EQNXTDZ($A$1,$B83,AR$5,$B$1)</f>
        <v>0</v>
      </c>
      <c r="AS83" s="100">
        <f>_xll.EQNXTDZ($A$1,$B83,AS$5,$B$1)</f>
        <v>3149.08</v>
      </c>
      <c r="AT83" s="100">
        <f>_xll.EQNXTDZ($A$1,$B83,AT$5,$B$1)</f>
        <v>0</v>
      </c>
      <c r="AU83" s="100">
        <f>_xll.EQNXTDZ($A$1,$B83,AU$5,$B$1)</f>
        <v>4150.34</v>
      </c>
      <c r="AV83" s="100">
        <f>_xll.EQNXTDZ($A$1,$B83,AV$5,$B$1)</f>
        <v>0</v>
      </c>
      <c r="AW83" s="100">
        <f>_xll.EQNXTDZ($A$1,$B83,AW$5,$B$1)</f>
        <v>4816.17</v>
      </c>
      <c r="AX83" s="100">
        <f>_xll.EQNXTDZ($A$1,$B83,AX$5,$B$1)</f>
        <v>0</v>
      </c>
      <c r="AY83" s="100">
        <f>_xll.EQNXTDZ($A$1,$B83,AY$5,$B$1)</f>
        <v>5009.29</v>
      </c>
      <c r="AZ83" s="100">
        <f>_xll.EQNXTDZ($A$1,$B83,AZ$5,$B$1)</f>
        <v>0</v>
      </c>
      <c r="BA83" s="100">
        <f>_xll.EQNXTDZ($A$1,$B83,BA$5,$B$1)</f>
        <v>5507.82</v>
      </c>
      <c r="BB83" s="100">
        <f>_xll.EQNXTDZ($A$1,$B83,BB$5,$B$1)</f>
        <v>0</v>
      </c>
      <c r="BC83" s="100">
        <f>_xll.EQNXTDZ($A$1,$B83,BC$5,$B$1)</f>
        <v>5261.82</v>
      </c>
      <c r="BD83" s="100">
        <f>_xll.EQNXTDZ($A$1,$B83,BD$5,$B$1)</f>
        <v>0</v>
      </c>
      <c r="BE83" s="100">
        <f>_xll.EQNXTDZ($A$1,$B83,BE$5,$B$1)</f>
        <v>5834.87</v>
      </c>
      <c r="BF83" s="100">
        <f>_xll.EQNXTDZ($A$1,$B83,BF$5,$B$1)</f>
        <v>0</v>
      </c>
      <c r="BG83" s="100">
        <f>_xll.EQNXTDZ($A$1,$B83,BG$5,$B$1)</f>
        <v>0</v>
      </c>
      <c r="BH83" s="100">
        <f>_xll.EQNXTDZ($A$1,$B83,BH$5,$B$1)</f>
        <v>0</v>
      </c>
      <c r="BI83" s="100">
        <f>_xll.EQNXTDZ($A$1,$B83,BI$5,$B$1)</f>
        <v>0</v>
      </c>
      <c r="BJ83" s="100">
        <f>_xll.EQNXTDZ($A$1,$B83,BJ$5,$B$1)</f>
        <v>0</v>
      </c>
      <c r="BK83" s="100">
        <f>_xll.EQNXTDZ($A$1,$B83,BK$5,$B$1)</f>
        <v>0</v>
      </c>
      <c r="BL83" s="100">
        <f>_xll.EQNXTDZ($A$1,$B83,BL$5,$B$1)</f>
        <v>0</v>
      </c>
      <c r="BM83" s="100">
        <f>_xll.EQNXTDZ($A$1,$B83,BM$5,$B$1)</f>
        <v>0</v>
      </c>
      <c r="BN83" s="100">
        <f>_xll.EQNXTDZ($A$1,$B83,BN$5,$B$1)</f>
        <v>0</v>
      </c>
      <c r="BO83" s="100">
        <f>_xll.EQNXTDZ($A$1,$B83,BO$5,$B$1)</f>
        <v>0</v>
      </c>
      <c r="BP83" s="100">
        <f>_xll.EQNXTDZ($A$1,$B83,BP$5,$B$1)</f>
        <v>0</v>
      </c>
      <c r="BQ83" s="100">
        <f>_xll.EQNXTDZ($A$1,$B83,BQ$5,$B$1)</f>
        <v>0</v>
      </c>
      <c r="BR83" s="100">
        <f>_xll.EQNXTDZ($A$1,$B83,BR$5,$B$1)</f>
        <v>0</v>
      </c>
      <c r="BS83" s="100">
        <f>_xll.EQNXTDZ($A$1,$B83,BS$5,$B$1)</f>
        <v>0</v>
      </c>
      <c r="BT83" s="100">
        <f>_xll.EQNXTDZ($A$1,$B83,BT$5,$B$1)</f>
        <v>0</v>
      </c>
      <c r="BU83" s="100">
        <f>_xll.EQNXTDZ($A$1,$B83,BU$5,$B$1)</f>
        <v>0</v>
      </c>
      <c r="BV83" s="100">
        <f>_xll.EQNXTDZ($A$1,$B83,BV$5,$B$1)</f>
        <v>0</v>
      </c>
    </row>
    <row r="84" spans="1:74" x14ac:dyDescent="0.25">
      <c r="A84" t="s">
        <v>63</v>
      </c>
      <c r="B84" t="s">
        <v>400</v>
      </c>
      <c r="C84" s="100">
        <f>_xll.EQNXTDZ($A$1,$B84,C$5,$B$1)</f>
        <v>394.06</v>
      </c>
      <c r="D84" s="100">
        <f>_xll.EQNXTDZ($A$1,$B84,D$5,$B$1)</f>
        <v>0</v>
      </c>
      <c r="E84" s="100">
        <f>_xll.EQNXTDZ($A$1,$B84,E$5,$B$1)</f>
        <v>350.22</v>
      </c>
      <c r="F84" s="100">
        <f>_xll.EQNXTDZ($A$1,$B84,F$5,$B$1)</f>
        <v>0</v>
      </c>
      <c r="G84" s="100">
        <f>_xll.EQNXTDZ($A$1,$B84,G$5,$B$1)</f>
        <v>408.78</v>
      </c>
      <c r="H84" s="100">
        <f>_xll.EQNXTDZ($A$1,$B84,H$5,$B$1)</f>
        <v>0</v>
      </c>
      <c r="I84" s="100">
        <f>_xll.EQNXTDZ($A$1,$B84,I$5,$B$1)</f>
        <v>408.94</v>
      </c>
      <c r="J84" s="100">
        <f>_xll.EQNXTDZ($A$1,$B84,J$5,$B$1)</f>
        <v>0</v>
      </c>
      <c r="K84" s="100">
        <f>_xll.EQNXTDZ($A$1,$B84,K$5,$B$1)</f>
        <v>404.69</v>
      </c>
      <c r="L84" s="100">
        <f>_xll.EQNXTDZ($A$1,$B84,L$5,$B$1)</f>
        <v>0</v>
      </c>
      <c r="M84" s="100">
        <f>_xll.EQNXTDZ($A$1,$B84,M$5,$B$1)</f>
        <v>394.72</v>
      </c>
      <c r="N84" s="100">
        <f>_xll.EQNXTDZ($A$1,$B84,N$5,$B$1)</f>
        <v>0</v>
      </c>
      <c r="O84" s="100">
        <f>_xll.EQNXTDZ($A$1,$B84,O$5,$B$1)</f>
        <v>390.74</v>
      </c>
      <c r="P84" s="100">
        <f>_xll.EQNXTDZ($A$1,$B84,P$5,$B$1)</f>
        <v>0</v>
      </c>
      <c r="Q84" s="100">
        <f>_xll.EQNXTDZ($A$1,$B84,Q$5,$B$1)</f>
        <v>389.72</v>
      </c>
      <c r="R84" s="100">
        <f>_xll.EQNXTDZ($A$1,$B84,R$5,$B$1)</f>
        <v>0</v>
      </c>
      <c r="S84" s="100">
        <f>_xll.EQNXTDZ($A$1,$B84,S$5,$B$1)</f>
        <v>353.28</v>
      </c>
      <c r="T84" s="100">
        <f>_xll.EQNXTDZ($A$1,$B84,T$5,$B$1)</f>
        <v>0</v>
      </c>
      <c r="U84" s="100">
        <f>_xll.EQNXTDZ($A$1,$B84,U$5,$B$1)</f>
        <v>400.2</v>
      </c>
      <c r="V84" s="100">
        <f>_xll.EQNXTDZ($A$1,$B84,V$5,$B$1)</f>
        <v>0</v>
      </c>
      <c r="W84" s="100">
        <f>_xll.EQNXTDZ($A$1,$B84,W$5,$B$1)</f>
        <v>787.32</v>
      </c>
      <c r="X84" s="100">
        <f>_xll.EQNXTDZ($A$1,$B84,X$5,$B$1)</f>
        <v>0</v>
      </c>
      <c r="Y84" s="100">
        <f>_xll.EQNXTDZ($A$1,$B84,Y$5,$B$1)</f>
        <v>1228.3800000000001</v>
      </c>
      <c r="Z84" s="100">
        <f>_xll.EQNXTDZ($A$1,$B84,Z$5,$B$1)</f>
        <v>0</v>
      </c>
      <c r="AA84" s="100">
        <f>_xll.EQNXTDZ($A$1,$B84,AA$5,$B$1)</f>
        <v>1508.19</v>
      </c>
      <c r="AB84" s="100">
        <f>_xll.EQNXTDZ($A$1,$B84,AB$5,$B$1)</f>
        <v>0</v>
      </c>
      <c r="AC84" s="100">
        <f>_xll.EQNXTDZ($A$1,$B84,AC$5,$B$1)</f>
        <v>3419.39</v>
      </c>
      <c r="AD84" s="100">
        <f>_xll.EQNXTDZ($A$1,$B84,AD$5,$B$1)</f>
        <v>0</v>
      </c>
      <c r="AE84" s="100">
        <f>_xll.EQNXTDZ($A$1,$B84,AE$5,$B$1)</f>
        <v>3789.71</v>
      </c>
      <c r="AF84" s="100">
        <f>_xll.EQNXTDZ($A$1,$B84,AF$5,$B$1)</f>
        <v>0</v>
      </c>
      <c r="AG84" s="100">
        <f>_xll.EQNXTDZ($A$1,$B84,AG$5,$B$1)</f>
        <v>1624.74</v>
      </c>
      <c r="AH84" s="100">
        <f>_xll.EQNXTDZ($A$1,$B84,AH$5,$B$1)</f>
        <v>0</v>
      </c>
      <c r="AI84" s="100">
        <f>_xll.EQNXTDZ($A$1,$B84,AI$5,$B$1)</f>
        <v>1609.14</v>
      </c>
      <c r="AJ84" s="100">
        <f>_xll.EQNXTDZ($A$1,$B84,AJ$5,$B$1)</f>
        <v>0</v>
      </c>
      <c r="AK84" s="100">
        <f>_xll.EQNXTDZ($A$1,$B84,AK$5,$B$1)</f>
        <v>1323.32</v>
      </c>
      <c r="AL84" s="100">
        <f>_xll.EQNXTDZ($A$1,$B84,AL$5,$B$1)</f>
        <v>0</v>
      </c>
      <c r="AM84" s="100">
        <f>_xll.EQNXTDZ($A$1,$B84,AM$5,$B$1)</f>
        <v>1174.72</v>
      </c>
      <c r="AN84" s="100">
        <f>_xll.EQNXTDZ($A$1,$B84,AN$5,$B$1)</f>
        <v>0</v>
      </c>
      <c r="AO84" s="100">
        <f>_xll.EQNXTDZ($A$1,$B84,AO$5,$B$1)</f>
        <v>1036.1600000000001</v>
      </c>
      <c r="AP84" s="100">
        <f>_xll.EQNXTDZ($A$1,$B84,AP$5,$B$1)</f>
        <v>0</v>
      </c>
      <c r="AQ84" s="100">
        <f>_xll.EQNXTDZ($A$1,$B84,AQ$5,$B$1)</f>
        <v>927.26</v>
      </c>
      <c r="AR84" s="100">
        <f>_xll.EQNXTDZ($A$1,$B84,AR$5,$B$1)</f>
        <v>0</v>
      </c>
      <c r="AS84" s="100">
        <f>_xll.EQNXTDZ($A$1,$B84,AS$5,$B$1)</f>
        <v>737.78</v>
      </c>
      <c r="AT84" s="100">
        <f>_xll.EQNXTDZ($A$1,$B84,AT$5,$B$1)</f>
        <v>0</v>
      </c>
      <c r="AU84" s="100">
        <f>_xll.EQNXTDZ($A$1,$B84,AU$5,$B$1)</f>
        <v>788.06</v>
      </c>
      <c r="AV84" s="100">
        <f>_xll.EQNXTDZ($A$1,$B84,AV$5,$B$1)</f>
        <v>0</v>
      </c>
      <c r="AW84" s="100">
        <f>_xll.EQNXTDZ($A$1,$B84,AW$5,$B$1)</f>
        <v>620.86</v>
      </c>
      <c r="AX84" s="100">
        <f>_xll.EQNXTDZ($A$1,$B84,AX$5,$B$1)</f>
        <v>0</v>
      </c>
      <c r="AY84" s="100">
        <f>_xll.EQNXTDZ($A$1,$B84,AY$5,$B$1)</f>
        <v>606.54</v>
      </c>
      <c r="AZ84" s="100">
        <f>_xll.EQNXTDZ($A$1,$B84,AZ$5,$B$1)</f>
        <v>0</v>
      </c>
      <c r="BA84" s="100">
        <f>_xll.EQNXTDZ($A$1,$B84,BA$5,$B$1)</f>
        <v>486.84</v>
      </c>
      <c r="BB84" s="100">
        <f>_xll.EQNXTDZ($A$1,$B84,BB$5,$B$1)</f>
        <v>0</v>
      </c>
      <c r="BC84" s="100">
        <f>_xll.EQNXTDZ($A$1,$B84,BC$5,$B$1)</f>
        <v>587.78</v>
      </c>
      <c r="BD84" s="100">
        <f>_xll.EQNXTDZ($A$1,$B84,BD$5,$B$1)</f>
        <v>0</v>
      </c>
      <c r="BE84" s="100">
        <f>_xll.EQNXTDZ($A$1,$B84,BE$5,$B$1)</f>
        <v>679.19</v>
      </c>
      <c r="BF84" s="100">
        <f>_xll.EQNXTDZ($A$1,$B84,BF$5,$B$1)</f>
        <v>0</v>
      </c>
      <c r="BG84" s="100">
        <f>_xll.EQNXTDZ($A$1,$B84,BG$5,$B$1)</f>
        <v>0</v>
      </c>
      <c r="BH84" s="100">
        <f>_xll.EQNXTDZ($A$1,$B84,BH$5,$B$1)</f>
        <v>0</v>
      </c>
      <c r="BI84" s="100">
        <f>_xll.EQNXTDZ($A$1,$B84,BI$5,$B$1)</f>
        <v>0</v>
      </c>
      <c r="BJ84" s="100">
        <f>_xll.EQNXTDZ($A$1,$B84,BJ$5,$B$1)</f>
        <v>0</v>
      </c>
      <c r="BK84" s="100">
        <f>_xll.EQNXTDZ($A$1,$B84,BK$5,$B$1)</f>
        <v>0</v>
      </c>
      <c r="BL84" s="100">
        <f>_xll.EQNXTDZ($A$1,$B84,BL$5,$B$1)</f>
        <v>0</v>
      </c>
      <c r="BM84" s="100">
        <f>_xll.EQNXTDZ($A$1,$B84,BM$5,$B$1)</f>
        <v>0</v>
      </c>
      <c r="BN84" s="100">
        <f>_xll.EQNXTDZ($A$1,$B84,BN$5,$B$1)</f>
        <v>0</v>
      </c>
      <c r="BO84" s="100">
        <f>_xll.EQNXTDZ($A$1,$B84,BO$5,$B$1)</f>
        <v>0</v>
      </c>
      <c r="BP84" s="100">
        <f>_xll.EQNXTDZ($A$1,$B84,BP$5,$B$1)</f>
        <v>0</v>
      </c>
      <c r="BQ84" s="100">
        <f>_xll.EQNXTDZ($A$1,$B84,BQ$5,$B$1)</f>
        <v>0</v>
      </c>
      <c r="BR84" s="100">
        <f>_xll.EQNXTDZ($A$1,$B84,BR$5,$B$1)</f>
        <v>0</v>
      </c>
      <c r="BS84" s="100">
        <f>_xll.EQNXTDZ($A$1,$B84,BS$5,$B$1)</f>
        <v>0</v>
      </c>
      <c r="BT84" s="100">
        <f>_xll.EQNXTDZ($A$1,$B84,BT$5,$B$1)</f>
        <v>0</v>
      </c>
      <c r="BU84" s="100">
        <f>_xll.EQNXTDZ($A$1,$B84,BU$5,$B$1)</f>
        <v>0</v>
      </c>
      <c r="BV84" s="100">
        <f>_xll.EQNXTDZ($A$1,$B84,BV$5,$B$1)</f>
        <v>0</v>
      </c>
    </row>
    <row r="85" spans="1:74" x14ac:dyDescent="0.25">
      <c r="A85" t="s">
        <v>367</v>
      </c>
      <c r="B85" t="s">
        <v>401</v>
      </c>
      <c r="C85" s="100">
        <f>_xll.EQNXTDZ($A$1,$B85,C$5,$B$1)</f>
        <v>246.36</v>
      </c>
      <c r="D85" s="100">
        <f>_xll.EQNXTDZ($A$1,$B85,D$5,$B$1)</f>
        <v>0</v>
      </c>
      <c r="E85" s="100">
        <f>_xll.EQNXTDZ($A$1,$B85,E$5,$B$1)</f>
        <v>230.51</v>
      </c>
      <c r="F85" s="100">
        <f>_xll.EQNXTDZ($A$1,$B85,F$5,$B$1)</f>
        <v>0</v>
      </c>
      <c r="G85" s="100">
        <f>_xll.EQNXTDZ($A$1,$B85,G$5,$B$1)</f>
        <v>271.83999999999997</v>
      </c>
      <c r="H85" s="100">
        <f>_xll.EQNXTDZ($A$1,$B85,H$5,$B$1)</f>
        <v>0</v>
      </c>
      <c r="I85" s="100">
        <f>_xll.EQNXTDZ($A$1,$B85,I$5,$B$1)</f>
        <v>256.77</v>
      </c>
      <c r="J85" s="100">
        <f>_xll.EQNXTDZ($A$1,$B85,J$5,$B$1)</f>
        <v>0</v>
      </c>
      <c r="K85" s="100">
        <f>_xll.EQNXTDZ($A$1,$B85,K$5,$B$1)</f>
        <v>314.20999999999998</v>
      </c>
      <c r="L85" s="100">
        <f>_xll.EQNXTDZ($A$1,$B85,L$5,$B$1)</f>
        <v>0</v>
      </c>
      <c r="M85" s="100">
        <f>_xll.EQNXTDZ($A$1,$B85,M$5,$B$1)</f>
        <v>277.45</v>
      </c>
      <c r="N85" s="100">
        <f>_xll.EQNXTDZ($A$1,$B85,N$5,$B$1)</f>
        <v>0</v>
      </c>
      <c r="O85" s="100">
        <f>_xll.EQNXTDZ($A$1,$B85,O$5,$B$1)</f>
        <v>286.64999999999998</v>
      </c>
      <c r="P85" s="100">
        <f>_xll.EQNXTDZ($A$1,$B85,P$5,$B$1)</f>
        <v>0</v>
      </c>
      <c r="Q85" s="100">
        <f>_xll.EQNXTDZ($A$1,$B85,Q$5,$B$1)</f>
        <v>278.08</v>
      </c>
      <c r="R85" s="100">
        <f>_xll.EQNXTDZ($A$1,$B85,R$5,$B$1)</f>
        <v>0</v>
      </c>
      <c r="S85" s="100">
        <f>_xll.EQNXTDZ($A$1,$B85,S$5,$B$1)</f>
        <v>328.13</v>
      </c>
      <c r="T85" s="100">
        <f>_xll.EQNXTDZ($A$1,$B85,T$5,$B$1)</f>
        <v>0</v>
      </c>
      <c r="U85" s="100">
        <f>_xll.EQNXTDZ($A$1,$B85,U$5,$B$1)</f>
        <v>330.78</v>
      </c>
      <c r="V85" s="100">
        <f>_xll.EQNXTDZ($A$1,$B85,V$5,$B$1)</f>
        <v>0</v>
      </c>
      <c r="W85" s="100">
        <f>_xll.EQNXTDZ($A$1,$B85,W$5,$B$1)</f>
        <v>22.31</v>
      </c>
      <c r="X85" s="100">
        <f>_xll.EQNXTDZ($A$1,$B85,X$5,$B$1)</f>
        <v>0</v>
      </c>
      <c r="Y85" s="100">
        <f>_xll.EQNXTDZ($A$1,$B85,Y$5,$B$1)</f>
        <v>24.62</v>
      </c>
      <c r="Z85" s="100">
        <f>_xll.EQNXTDZ($A$1,$B85,Z$5,$B$1)</f>
        <v>0</v>
      </c>
      <c r="AA85" s="100">
        <f>_xll.EQNXTDZ($A$1,$B85,AA$5,$B$1)</f>
        <v>29.82</v>
      </c>
      <c r="AB85" s="100">
        <f>_xll.EQNXTDZ($A$1,$B85,AB$5,$B$1)</f>
        <v>0</v>
      </c>
      <c r="AC85" s="100">
        <f>_xll.EQNXTDZ($A$1,$B85,AC$5,$B$1)</f>
        <v>15.84</v>
      </c>
      <c r="AD85" s="100">
        <f>_xll.EQNXTDZ($A$1,$B85,AD$5,$B$1)</f>
        <v>0</v>
      </c>
      <c r="AE85" s="100">
        <f>_xll.EQNXTDZ($A$1,$B85,AE$5,$B$1)</f>
        <v>20.52</v>
      </c>
      <c r="AF85" s="100">
        <f>_xll.EQNXTDZ($A$1,$B85,AF$5,$B$1)</f>
        <v>0</v>
      </c>
      <c r="AG85" s="100">
        <f>_xll.EQNXTDZ($A$1,$B85,AG$5,$B$1)</f>
        <v>366.53</v>
      </c>
      <c r="AH85" s="100">
        <f>_xll.EQNXTDZ($A$1,$B85,AH$5,$B$1)</f>
        <v>0</v>
      </c>
      <c r="AI85" s="100">
        <f>_xll.EQNXTDZ($A$1,$B85,AI$5,$B$1)</f>
        <v>37.6</v>
      </c>
      <c r="AJ85" s="100">
        <f>_xll.EQNXTDZ($A$1,$B85,AJ$5,$B$1)</f>
        <v>0</v>
      </c>
      <c r="AK85" s="100">
        <f>_xll.EQNXTDZ($A$1,$B85,AK$5,$B$1)</f>
        <v>17.88</v>
      </c>
      <c r="AL85" s="100">
        <f>_xll.EQNXTDZ($A$1,$B85,AL$5,$B$1)</f>
        <v>0</v>
      </c>
      <c r="AM85" s="100">
        <f>_xll.EQNXTDZ($A$1,$B85,AM$5,$B$1)</f>
        <v>19.989999999999998</v>
      </c>
      <c r="AN85" s="100">
        <f>_xll.EQNXTDZ($A$1,$B85,AN$5,$B$1)</f>
        <v>0</v>
      </c>
      <c r="AO85" s="100">
        <f>_xll.EQNXTDZ($A$1,$B85,AO$5,$B$1)</f>
        <v>18.510000000000002</v>
      </c>
      <c r="AP85" s="100">
        <f>_xll.EQNXTDZ($A$1,$B85,AP$5,$B$1)</f>
        <v>0</v>
      </c>
      <c r="AQ85" s="100">
        <f>_xll.EQNXTDZ($A$1,$B85,AQ$5,$B$1)</f>
        <v>3.71</v>
      </c>
      <c r="AR85" s="100">
        <f>_xll.EQNXTDZ($A$1,$B85,AR$5,$B$1)</f>
        <v>0</v>
      </c>
      <c r="AS85" s="100">
        <f>_xll.EQNXTDZ($A$1,$B85,AS$5,$B$1)</f>
        <v>4.9400000000000004</v>
      </c>
      <c r="AT85" s="100">
        <f>_xll.EQNXTDZ($A$1,$B85,AT$5,$B$1)</f>
        <v>0</v>
      </c>
      <c r="AU85" s="100">
        <f>_xll.EQNXTDZ($A$1,$B85,AU$5,$B$1)</f>
        <v>3.87</v>
      </c>
      <c r="AV85" s="100">
        <f>_xll.EQNXTDZ($A$1,$B85,AV$5,$B$1)</f>
        <v>0</v>
      </c>
      <c r="AW85" s="100">
        <f>_xll.EQNXTDZ($A$1,$B85,AW$5,$B$1)</f>
        <v>5.4</v>
      </c>
      <c r="AX85" s="100">
        <f>_xll.EQNXTDZ($A$1,$B85,AX$5,$B$1)</f>
        <v>0</v>
      </c>
      <c r="AY85" s="100">
        <f>_xll.EQNXTDZ($A$1,$B85,AY$5,$B$1)</f>
        <v>4.0599999999999996</v>
      </c>
      <c r="AZ85" s="100">
        <f>_xll.EQNXTDZ($A$1,$B85,AZ$5,$B$1)</f>
        <v>0</v>
      </c>
      <c r="BA85" s="100">
        <f>_xll.EQNXTDZ($A$1,$B85,BA$5,$B$1)</f>
        <v>6.29</v>
      </c>
      <c r="BB85" s="100">
        <f>_xll.EQNXTDZ($A$1,$B85,BB$5,$B$1)</f>
        <v>0</v>
      </c>
      <c r="BC85" s="100">
        <f>_xll.EQNXTDZ($A$1,$B85,BC$5,$B$1)</f>
        <v>4.3499999999999996</v>
      </c>
      <c r="BD85" s="100">
        <f>_xll.EQNXTDZ($A$1,$B85,BD$5,$B$1)</f>
        <v>0</v>
      </c>
      <c r="BE85" s="100">
        <f>_xll.EQNXTDZ($A$1,$B85,BE$5,$B$1)</f>
        <v>6.34</v>
      </c>
      <c r="BF85" s="100">
        <f>_xll.EQNXTDZ($A$1,$B85,BF$5,$B$1)</f>
        <v>0</v>
      </c>
      <c r="BG85" s="100">
        <f>_xll.EQNXTDZ($A$1,$B85,BG$5,$B$1)</f>
        <v>0</v>
      </c>
      <c r="BH85" s="100">
        <f>_xll.EQNXTDZ($A$1,$B85,BH$5,$B$1)</f>
        <v>0</v>
      </c>
      <c r="BI85" s="100">
        <f>_xll.EQNXTDZ($A$1,$B85,BI$5,$B$1)</f>
        <v>0</v>
      </c>
      <c r="BJ85" s="100">
        <f>_xll.EQNXTDZ($A$1,$B85,BJ$5,$B$1)</f>
        <v>0</v>
      </c>
      <c r="BK85" s="100">
        <f>_xll.EQNXTDZ($A$1,$B85,BK$5,$B$1)</f>
        <v>0</v>
      </c>
      <c r="BL85" s="100">
        <f>_xll.EQNXTDZ($A$1,$B85,BL$5,$B$1)</f>
        <v>0</v>
      </c>
      <c r="BM85" s="100">
        <f>_xll.EQNXTDZ($A$1,$B85,BM$5,$B$1)</f>
        <v>0</v>
      </c>
      <c r="BN85" s="100">
        <f>_xll.EQNXTDZ($A$1,$B85,BN$5,$B$1)</f>
        <v>0</v>
      </c>
      <c r="BO85" s="100">
        <f>_xll.EQNXTDZ($A$1,$B85,BO$5,$B$1)</f>
        <v>0</v>
      </c>
      <c r="BP85" s="100">
        <f>_xll.EQNXTDZ($A$1,$B85,BP$5,$B$1)</f>
        <v>0</v>
      </c>
      <c r="BQ85" s="100">
        <f>_xll.EQNXTDZ($A$1,$B85,BQ$5,$B$1)</f>
        <v>0</v>
      </c>
      <c r="BR85" s="100">
        <f>_xll.EQNXTDZ($A$1,$B85,BR$5,$B$1)</f>
        <v>0</v>
      </c>
      <c r="BS85" s="100">
        <f>_xll.EQNXTDZ($A$1,$B85,BS$5,$B$1)</f>
        <v>0</v>
      </c>
      <c r="BT85" s="100">
        <f>_xll.EQNXTDZ($A$1,$B85,BT$5,$B$1)</f>
        <v>0</v>
      </c>
      <c r="BU85" s="100">
        <f>_xll.EQNXTDZ($A$1,$B85,BU$5,$B$1)</f>
        <v>0</v>
      </c>
      <c r="BV85" s="100">
        <f>_xll.EQNXTDZ($A$1,$B85,BV$5,$B$1)</f>
        <v>0</v>
      </c>
    </row>
    <row r="86" spans="1:74" x14ac:dyDescent="0.25">
      <c r="A86" t="s">
        <v>173</v>
      </c>
      <c r="B86" t="s">
        <v>402</v>
      </c>
      <c r="C86" s="100">
        <f>_xll.EQNXTDZ($A$1,$B86,C$5,$B$1)</f>
        <v>4758.7</v>
      </c>
      <c r="D86" s="100">
        <f>_xll.EQNXTDZ($A$1,$B86,D$5,$B$1)</f>
        <v>0</v>
      </c>
      <c r="E86" s="100">
        <f>_xll.EQNXTDZ($A$1,$B86,E$5,$B$1)</f>
        <v>4881.84</v>
      </c>
      <c r="F86" s="100">
        <f>_xll.EQNXTDZ($A$1,$B86,F$5,$B$1)</f>
        <v>0</v>
      </c>
      <c r="G86" s="100">
        <f>_xll.EQNXTDZ($A$1,$B86,G$5,$B$1)</f>
        <v>5009.08</v>
      </c>
      <c r="H86" s="100">
        <f>_xll.EQNXTDZ($A$1,$B86,H$5,$B$1)</f>
        <v>0</v>
      </c>
      <c r="I86" s="100">
        <f>_xll.EQNXTDZ($A$1,$B86,I$5,$B$1)</f>
        <v>5206.9399999999996</v>
      </c>
      <c r="J86" s="100">
        <f>_xll.EQNXTDZ($A$1,$B86,J$5,$B$1)</f>
        <v>0</v>
      </c>
      <c r="K86" s="100">
        <f>_xll.EQNXTDZ($A$1,$B86,K$5,$B$1)</f>
        <v>5141.66</v>
      </c>
      <c r="L86" s="100">
        <f>_xll.EQNXTDZ($A$1,$B86,L$5,$B$1)</f>
        <v>0</v>
      </c>
      <c r="M86" s="100">
        <f>_xll.EQNXTDZ($A$1,$B86,M$5,$B$1)</f>
        <v>4949.55</v>
      </c>
      <c r="N86" s="100">
        <f>_xll.EQNXTDZ($A$1,$B86,N$5,$B$1)</f>
        <v>0</v>
      </c>
      <c r="O86" s="100">
        <f>_xll.EQNXTDZ($A$1,$B86,O$5,$B$1)</f>
        <v>5188.29</v>
      </c>
      <c r="P86" s="100">
        <f>_xll.EQNXTDZ($A$1,$B86,P$5,$B$1)</f>
        <v>0</v>
      </c>
      <c r="Q86" s="100">
        <f>_xll.EQNXTDZ($A$1,$B86,Q$5,$B$1)</f>
        <v>5571.97</v>
      </c>
      <c r="R86" s="100">
        <f>_xll.EQNXTDZ($A$1,$B86,R$5,$B$1)</f>
        <v>0</v>
      </c>
      <c r="S86" s="100">
        <f>_xll.EQNXTDZ($A$1,$B86,S$5,$B$1)</f>
        <v>5542.77</v>
      </c>
      <c r="T86" s="100">
        <f>_xll.EQNXTDZ($A$1,$B86,T$5,$B$1)</f>
        <v>0</v>
      </c>
      <c r="U86" s="100">
        <f>_xll.EQNXTDZ($A$1,$B86,U$5,$B$1)</f>
        <v>5923.8</v>
      </c>
      <c r="V86" s="100">
        <f>_xll.EQNXTDZ($A$1,$B86,V$5,$B$1)</f>
        <v>0</v>
      </c>
      <c r="W86" s="100">
        <f>_xll.EQNXTDZ($A$1,$B86,W$5,$B$1)</f>
        <v>6274.14</v>
      </c>
      <c r="X86" s="100">
        <f>_xll.EQNXTDZ($A$1,$B86,X$5,$B$1)</f>
        <v>0</v>
      </c>
      <c r="Y86" s="100">
        <f>_xll.EQNXTDZ($A$1,$B86,Y$5,$B$1)</f>
        <v>6956.44</v>
      </c>
      <c r="Z86" s="100">
        <f>_xll.EQNXTDZ($A$1,$B86,Z$5,$B$1)</f>
        <v>0</v>
      </c>
      <c r="AA86" s="100">
        <f>_xll.EQNXTDZ($A$1,$B86,AA$5,$B$1)</f>
        <v>7368.64</v>
      </c>
      <c r="AB86" s="100">
        <f>_xll.EQNXTDZ($A$1,$B86,AB$5,$B$1)</f>
        <v>0</v>
      </c>
      <c r="AC86" s="100">
        <f>_xll.EQNXTDZ($A$1,$B86,AC$5,$B$1)</f>
        <v>7525.12</v>
      </c>
      <c r="AD86" s="100">
        <f>_xll.EQNXTDZ($A$1,$B86,AD$5,$B$1)</f>
        <v>0</v>
      </c>
      <c r="AE86" s="100">
        <f>_xll.EQNXTDZ($A$1,$B86,AE$5,$B$1)</f>
        <v>7918.38</v>
      </c>
      <c r="AF86" s="100">
        <f>_xll.EQNXTDZ($A$1,$B86,AF$5,$B$1)</f>
        <v>0</v>
      </c>
      <c r="AG86" s="100">
        <f>_xll.EQNXTDZ($A$1,$B86,AG$5,$B$1)</f>
        <v>6398.19</v>
      </c>
      <c r="AH86" s="100">
        <f>_xll.EQNXTDZ($A$1,$B86,AH$5,$B$1)</f>
        <v>0</v>
      </c>
      <c r="AI86" s="100">
        <f>_xll.EQNXTDZ($A$1,$B86,AI$5,$B$1)</f>
        <v>5903.29</v>
      </c>
      <c r="AJ86" s="100">
        <f>_xll.EQNXTDZ($A$1,$B86,AJ$5,$B$1)</f>
        <v>0</v>
      </c>
      <c r="AK86" s="100">
        <f>_xll.EQNXTDZ($A$1,$B86,AK$5,$B$1)</f>
        <v>6083.64</v>
      </c>
      <c r="AL86" s="100">
        <f>_xll.EQNXTDZ($A$1,$B86,AL$5,$B$1)</f>
        <v>0</v>
      </c>
      <c r="AM86" s="100">
        <f>_xll.EQNXTDZ($A$1,$B86,AM$5,$B$1)</f>
        <v>6147.46</v>
      </c>
      <c r="AN86" s="100">
        <f>_xll.EQNXTDZ($A$1,$B86,AN$5,$B$1)</f>
        <v>0</v>
      </c>
      <c r="AO86" s="100">
        <f>_xll.EQNXTDZ($A$1,$B86,AO$5,$B$1)</f>
        <v>6635.34</v>
      </c>
      <c r="AP86" s="100">
        <f>_xll.EQNXTDZ($A$1,$B86,AP$5,$B$1)</f>
        <v>0</v>
      </c>
      <c r="AQ86" s="100">
        <f>_xll.EQNXTDZ($A$1,$B86,AQ$5,$B$1)</f>
        <v>7079.61</v>
      </c>
      <c r="AR86" s="100">
        <f>_xll.EQNXTDZ($A$1,$B86,AR$5,$B$1)</f>
        <v>0</v>
      </c>
      <c r="AS86" s="100">
        <f>_xll.EQNXTDZ($A$1,$B86,AS$5,$B$1)</f>
        <v>7898.6</v>
      </c>
      <c r="AT86" s="100">
        <f>_xll.EQNXTDZ($A$1,$B86,AT$5,$B$1)</f>
        <v>0</v>
      </c>
      <c r="AU86" s="100">
        <f>_xll.EQNXTDZ($A$1,$B86,AU$5,$B$1)</f>
        <v>8952.25</v>
      </c>
      <c r="AV86" s="100">
        <f>_xll.EQNXTDZ($A$1,$B86,AV$5,$B$1)</f>
        <v>0</v>
      </c>
      <c r="AW86" s="100">
        <f>_xll.EQNXTDZ($A$1,$B86,AW$5,$B$1)</f>
        <v>9547.49</v>
      </c>
      <c r="AX86" s="100">
        <f>_xll.EQNXTDZ($A$1,$B86,AX$5,$B$1)</f>
        <v>0</v>
      </c>
      <c r="AY86" s="100">
        <f>_xll.EQNXTDZ($A$1,$B86,AY$5,$B$1)</f>
        <v>10213.39</v>
      </c>
      <c r="AZ86" s="100">
        <f>_xll.EQNXTDZ($A$1,$B86,AZ$5,$B$1)</f>
        <v>0</v>
      </c>
      <c r="BA86" s="100">
        <f>_xll.EQNXTDZ($A$1,$B86,BA$5,$B$1)</f>
        <v>10762.6</v>
      </c>
      <c r="BB86" s="100">
        <f>_xll.EQNXTDZ($A$1,$B86,BB$5,$B$1)</f>
        <v>0</v>
      </c>
      <c r="BC86" s="100">
        <f>_xll.EQNXTDZ($A$1,$B86,BC$5,$B$1)</f>
        <v>11150.08</v>
      </c>
      <c r="BD86" s="100">
        <f>_xll.EQNXTDZ($A$1,$B86,BD$5,$B$1)</f>
        <v>0</v>
      </c>
      <c r="BE86" s="100">
        <f>_xll.EQNXTDZ($A$1,$B86,BE$5,$B$1)</f>
        <v>11749.71</v>
      </c>
      <c r="BF86" s="100">
        <f>_xll.EQNXTDZ($A$1,$B86,BF$5,$B$1)</f>
        <v>0</v>
      </c>
      <c r="BG86" s="100">
        <f>_xll.EQNXTDZ($A$1,$B86,BG$5,$B$1)</f>
        <v>0</v>
      </c>
      <c r="BH86" s="100">
        <f>_xll.EQNXTDZ($A$1,$B86,BH$5,$B$1)</f>
        <v>0</v>
      </c>
      <c r="BI86" s="100">
        <f>_xll.EQNXTDZ($A$1,$B86,BI$5,$B$1)</f>
        <v>0</v>
      </c>
      <c r="BJ86" s="100">
        <f>_xll.EQNXTDZ($A$1,$B86,BJ$5,$B$1)</f>
        <v>0</v>
      </c>
      <c r="BK86" s="100">
        <f>_xll.EQNXTDZ($A$1,$B86,BK$5,$B$1)</f>
        <v>0</v>
      </c>
      <c r="BL86" s="100">
        <f>_xll.EQNXTDZ($A$1,$B86,BL$5,$B$1)</f>
        <v>0</v>
      </c>
      <c r="BM86" s="100">
        <f>_xll.EQNXTDZ($A$1,$B86,BM$5,$B$1)</f>
        <v>0</v>
      </c>
      <c r="BN86" s="100">
        <f>_xll.EQNXTDZ($A$1,$B86,BN$5,$B$1)</f>
        <v>0</v>
      </c>
      <c r="BO86" s="100">
        <f>_xll.EQNXTDZ($A$1,$B86,BO$5,$B$1)</f>
        <v>0</v>
      </c>
      <c r="BP86" s="100">
        <f>_xll.EQNXTDZ($A$1,$B86,BP$5,$B$1)</f>
        <v>0</v>
      </c>
      <c r="BQ86" s="100">
        <f>_xll.EQNXTDZ($A$1,$B86,BQ$5,$B$1)</f>
        <v>0</v>
      </c>
      <c r="BR86" s="100">
        <f>_xll.EQNXTDZ($A$1,$B86,BR$5,$B$1)</f>
        <v>0</v>
      </c>
      <c r="BS86" s="100">
        <f>_xll.EQNXTDZ($A$1,$B86,BS$5,$B$1)</f>
        <v>0</v>
      </c>
      <c r="BT86" s="100">
        <f>_xll.EQNXTDZ($A$1,$B86,BT$5,$B$1)</f>
        <v>0</v>
      </c>
      <c r="BU86" s="100">
        <f>_xll.EQNXTDZ($A$1,$B86,BU$5,$B$1)</f>
        <v>0</v>
      </c>
      <c r="BV86" s="100">
        <f>_xll.EQNXTDZ($A$1,$B86,BV$5,$B$1)</f>
        <v>0</v>
      </c>
    </row>
    <row r="87" spans="1:74" x14ac:dyDescent="0.25">
      <c r="A87" t="s">
        <v>69</v>
      </c>
      <c r="B87" t="s">
        <v>403</v>
      </c>
      <c r="C87" s="100">
        <f>_xll.EQNXTDZ($A$1,$B87,C$5,$B$1)</f>
        <v>3481.28</v>
      </c>
      <c r="D87" s="100">
        <f>_xll.EQNXTDZ($A$1,$B87,D$5,$B$1)</f>
        <v>0</v>
      </c>
      <c r="E87" s="100">
        <f>_xll.EQNXTDZ($A$1,$B87,E$5,$B$1)</f>
        <v>3324.13</v>
      </c>
      <c r="F87" s="100">
        <f>_xll.EQNXTDZ($A$1,$B87,F$5,$B$1)</f>
        <v>0</v>
      </c>
      <c r="G87" s="100">
        <f>_xll.EQNXTDZ($A$1,$B87,G$5,$B$1)</f>
        <v>0</v>
      </c>
      <c r="H87" s="100">
        <f>_xll.EQNXTDZ($A$1,$B87,H$5,$B$1)</f>
        <v>0</v>
      </c>
      <c r="I87" s="100">
        <f>_xll.EQNXTDZ($A$1,$B87,I$5,$B$1)</f>
        <v>0</v>
      </c>
      <c r="J87" s="100">
        <f>_xll.EQNXTDZ($A$1,$B87,J$5,$B$1)</f>
        <v>0</v>
      </c>
      <c r="K87" s="100">
        <f>_xll.EQNXTDZ($A$1,$B87,K$5,$B$1)</f>
        <v>0</v>
      </c>
      <c r="L87" s="100">
        <f>_xll.EQNXTDZ($A$1,$B87,L$5,$B$1)</f>
        <v>0</v>
      </c>
      <c r="M87" s="100">
        <f>_xll.EQNXTDZ($A$1,$B87,M$5,$B$1)</f>
        <v>0</v>
      </c>
      <c r="N87" s="100">
        <f>_xll.EQNXTDZ($A$1,$B87,N$5,$B$1)</f>
        <v>0</v>
      </c>
      <c r="O87" s="100">
        <f>_xll.EQNXTDZ($A$1,$B87,O$5,$B$1)</f>
        <v>0</v>
      </c>
      <c r="P87" s="100">
        <f>_xll.EQNXTDZ($A$1,$B87,P$5,$B$1)</f>
        <v>0</v>
      </c>
      <c r="Q87" s="100">
        <f>_xll.EQNXTDZ($A$1,$B87,Q$5,$B$1)</f>
        <v>0</v>
      </c>
      <c r="R87" s="100">
        <f>_xll.EQNXTDZ($A$1,$B87,R$5,$B$1)</f>
        <v>0</v>
      </c>
      <c r="S87" s="100">
        <f>_xll.EQNXTDZ($A$1,$B87,S$5,$B$1)</f>
        <v>0</v>
      </c>
      <c r="T87" s="100">
        <f>_xll.EQNXTDZ($A$1,$B87,T$5,$B$1)</f>
        <v>0</v>
      </c>
      <c r="U87" s="100">
        <f>_xll.EQNXTDZ($A$1,$B87,U$5,$B$1)</f>
        <v>0</v>
      </c>
      <c r="V87" s="100">
        <f>_xll.EQNXTDZ($A$1,$B87,V$5,$B$1)</f>
        <v>0</v>
      </c>
      <c r="W87" s="100">
        <f>_xll.EQNXTDZ($A$1,$B87,W$5,$B$1)</f>
        <v>0</v>
      </c>
      <c r="X87" s="100">
        <f>_xll.EQNXTDZ($A$1,$B87,X$5,$B$1)</f>
        <v>0</v>
      </c>
      <c r="Y87" s="100">
        <f>_xll.EQNXTDZ($A$1,$B87,Y$5,$B$1)</f>
        <v>0</v>
      </c>
      <c r="Z87" s="100">
        <f>_xll.EQNXTDZ($A$1,$B87,Z$5,$B$1)</f>
        <v>0</v>
      </c>
      <c r="AA87" s="100">
        <f>_xll.EQNXTDZ($A$1,$B87,AA$5,$B$1)</f>
        <v>0</v>
      </c>
      <c r="AB87" s="100">
        <f>_xll.EQNXTDZ($A$1,$B87,AB$5,$B$1)</f>
        <v>0</v>
      </c>
      <c r="AC87" s="100">
        <f>_xll.EQNXTDZ($A$1,$B87,AC$5,$B$1)</f>
        <v>0</v>
      </c>
      <c r="AD87" s="100">
        <f>_xll.EQNXTDZ($A$1,$B87,AD$5,$B$1)</f>
        <v>0</v>
      </c>
      <c r="AE87" s="100">
        <f>_xll.EQNXTDZ($A$1,$B87,AE$5,$B$1)</f>
        <v>0</v>
      </c>
      <c r="AF87" s="100">
        <f>_xll.EQNXTDZ($A$1,$B87,AF$5,$B$1)</f>
        <v>0</v>
      </c>
      <c r="AG87" s="100">
        <f>_xll.EQNXTDZ($A$1,$B87,AG$5,$B$1)</f>
        <v>0</v>
      </c>
      <c r="AH87" s="100">
        <f>_xll.EQNXTDZ($A$1,$B87,AH$5,$B$1)</f>
        <v>0</v>
      </c>
      <c r="AI87" s="100">
        <f>_xll.EQNXTDZ($A$1,$B87,AI$5,$B$1)</f>
        <v>0</v>
      </c>
      <c r="AJ87" s="100">
        <f>_xll.EQNXTDZ($A$1,$B87,AJ$5,$B$1)</f>
        <v>0</v>
      </c>
      <c r="AK87" s="100">
        <f>_xll.EQNXTDZ($A$1,$B87,AK$5,$B$1)</f>
        <v>0</v>
      </c>
      <c r="AL87" s="100">
        <f>_xll.EQNXTDZ($A$1,$B87,AL$5,$B$1)</f>
        <v>0</v>
      </c>
      <c r="AM87" s="100">
        <f>_xll.EQNXTDZ($A$1,$B87,AM$5,$B$1)</f>
        <v>0</v>
      </c>
      <c r="AN87" s="100">
        <f>_xll.EQNXTDZ($A$1,$B87,AN$5,$B$1)</f>
        <v>0</v>
      </c>
      <c r="AO87" s="100">
        <f>_xll.EQNXTDZ($A$1,$B87,AO$5,$B$1)</f>
        <v>0</v>
      </c>
      <c r="AP87" s="100">
        <f>_xll.EQNXTDZ($A$1,$B87,AP$5,$B$1)</f>
        <v>0</v>
      </c>
      <c r="AQ87" s="100">
        <f>_xll.EQNXTDZ($A$1,$B87,AQ$5,$B$1)</f>
        <v>0</v>
      </c>
      <c r="AR87" s="100">
        <f>_xll.EQNXTDZ($A$1,$B87,AR$5,$B$1)</f>
        <v>0</v>
      </c>
      <c r="AS87" s="100">
        <f>_xll.EQNXTDZ($A$1,$B87,AS$5,$B$1)</f>
        <v>0</v>
      </c>
      <c r="AT87" s="100">
        <f>_xll.EQNXTDZ($A$1,$B87,AT$5,$B$1)</f>
        <v>0</v>
      </c>
      <c r="AU87" s="100">
        <f>_xll.EQNXTDZ($A$1,$B87,AU$5,$B$1)</f>
        <v>0</v>
      </c>
      <c r="AV87" s="100">
        <f>_xll.EQNXTDZ($A$1,$B87,AV$5,$B$1)</f>
        <v>0</v>
      </c>
      <c r="AW87" s="100">
        <f>_xll.EQNXTDZ($A$1,$B87,AW$5,$B$1)</f>
        <v>0</v>
      </c>
      <c r="AX87" s="100">
        <f>_xll.EQNXTDZ($A$1,$B87,AX$5,$B$1)</f>
        <v>0</v>
      </c>
      <c r="AY87" s="100">
        <f>_xll.EQNXTDZ($A$1,$B87,AY$5,$B$1)</f>
        <v>0</v>
      </c>
      <c r="AZ87" s="100">
        <f>_xll.EQNXTDZ($A$1,$B87,AZ$5,$B$1)</f>
        <v>0</v>
      </c>
      <c r="BA87" s="100">
        <f>_xll.EQNXTDZ($A$1,$B87,BA$5,$B$1)</f>
        <v>0</v>
      </c>
      <c r="BB87" s="100">
        <f>_xll.EQNXTDZ($A$1,$B87,BB$5,$B$1)</f>
        <v>0</v>
      </c>
      <c r="BC87" s="100">
        <f>_xll.EQNXTDZ($A$1,$B87,BC$5,$B$1)</f>
        <v>0</v>
      </c>
      <c r="BD87" s="100">
        <f>_xll.EQNXTDZ($A$1,$B87,BD$5,$B$1)</f>
        <v>0</v>
      </c>
      <c r="BE87" s="100">
        <f>_xll.EQNXTDZ($A$1,$B87,BE$5,$B$1)</f>
        <v>0</v>
      </c>
      <c r="BF87" s="100">
        <f>_xll.EQNXTDZ($A$1,$B87,BF$5,$B$1)</f>
        <v>0</v>
      </c>
      <c r="BG87" s="100">
        <f>_xll.EQNXTDZ($A$1,$B87,BG$5,$B$1)</f>
        <v>0</v>
      </c>
      <c r="BH87" s="100">
        <f>_xll.EQNXTDZ($A$1,$B87,BH$5,$B$1)</f>
        <v>0</v>
      </c>
      <c r="BI87" s="100">
        <f>_xll.EQNXTDZ($A$1,$B87,BI$5,$B$1)</f>
        <v>0</v>
      </c>
      <c r="BJ87" s="100">
        <f>_xll.EQNXTDZ($A$1,$B87,BJ$5,$B$1)</f>
        <v>0</v>
      </c>
      <c r="BK87" s="100">
        <f>_xll.EQNXTDZ($A$1,$B87,BK$5,$B$1)</f>
        <v>0</v>
      </c>
      <c r="BL87" s="100">
        <f>_xll.EQNXTDZ($A$1,$B87,BL$5,$B$1)</f>
        <v>0</v>
      </c>
      <c r="BM87" s="100">
        <f>_xll.EQNXTDZ($A$1,$B87,BM$5,$B$1)</f>
        <v>0</v>
      </c>
      <c r="BN87" s="100">
        <f>_xll.EQNXTDZ($A$1,$B87,BN$5,$B$1)</f>
        <v>0</v>
      </c>
      <c r="BO87" s="100">
        <f>_xll.EQNXTDZ($A$1,$B87,BO$5,$B$1)</f>
        <v>0</v>
      </c>
      <c r="BP87" s="100">
        <f>_xll.EQNXTDZ($A$1,$B87,BP$5,$B$1)</f>
        <v>0</v>
      </c>
      <c r="BQ87" s="100">
        <f>_xll.EQNXTDZ($A$1,$B87,BQ$5,$B$1)</f>
        <v>0</v>
      </c>
      <c r="BR87" s="100">
        <f>_xll.EQNXTDZ($A$1,$B87,BR$5,$B$1)</f>
        <v>0</v>
      </c>
      <c r="BS87" s="100">
        <f>_xll.EQNXTDZ($A$1,$B87,BS$5,$B$1)</f>
        <v>0</v>
      </c>
      <c r="BT87" s="100">
        <f>_xll.EQNXTDZ($A$1,$B87,BT$5,$B$1)</f>
        <v>0</v>
      </c>
      <c r="BU87" s="100">
        <f>_xll.EQNXTDZ($A$1,$B87,BU$5,$B$1)</f>
        <v>0</v>
      </c>
      <c r="BV87" s="100">
        <f>_xll.EQNXTDZ($A$1,$B87,BV$5,$B$1)</f>
        <v>0</v>
      </c>
    </row>
    <row r="88" spans="1:74" x14ac:dyDescent="0.25">
      <c r="A88" t="s">
        <v>48</v>
      </c>
      <c r="B88" t="s">
        <v>404</v>
      </c>
      <c r="C88" s="100">
        <f>_xll.EQNXTDZ($A$1,$B88,C$5,$B$1)</f>
        <v>0</v>
      </c>
      <c r="D88" s="100">
        <f>_xll.EQNXTDZ($A$1,$B88,D$5,$B$1)</f>
        <v>0</v>
      </c>
      <c r="E88" s="100">
        <f>_xll.EQNXTDZ($A$1,$B88,E$5,$B$1)</f>
        <v>327.68</v>
      </c>
      <c r="F88" s="100">
        <f>_xll.EQNXTDZ($A$1,$B88,F$5,$B$1)</f>
        <v>0</v>
      </c>
      <c r="G88" s="100">
        <f>_xll.EQNXTDZ($A$1,$B88,G$5,$B$1)</f>
        <v>788.16</v>
      </c>
      <c r="H88" s="100">
        <f>_xll.EQNXTDZ($A$1,$B88,H$5,$B$1)</f>
        <v>0</v>
      </c>
      <c r="I88" s="100">
        <f>_xll.EQNXTDZ($A$1,$B88,I$5,$B$1)</f>
        <v>620.11</v>
      </c>
      <c r="J88" s="100">
        <f>_xll.EQNXTDZ($A$1,$B88,J$5,$B$1)</f>
        <v>0</v>
      </c>
      <c r="K88" s="100">
        <f>_xll.EQNXTDZ($A$1,$B88,K$5,$B$1)</f>
        <v>808</v>
      </c>
      <c r="L88" s="100">
        <f>_xll.EQNXTDZ($A$1,$B88,L$5,$B$1)</f>
        <v>0</v>
      </c>
      <c r="M88" s="100">
        <f>_xll.EQNXTDZ($A$1,$B88,M$5,$B$1)</f>
        <v>371.07</v>
      </c>
      <c r="N88" s="100">
        <f>_xll.EQNXTDZ($A$1,$B88,N$5,$B$1)</f>
        <v>0</v>
      </c>
      <c r="O88" s="100">
        <f>_xll.EQNXTDZ($A$1,$B88,O$5,$B$1)</f>
        <v>671.33</v>
      </c>
      <c r="P88" s="100">
        <f>_xll.EQNXTDZ($A$1,$B88,P$5,$B$1)</f>
        <v>0</v>
      </c>
      <c r="Q88" s="100">
        <f>_xll.EQNXTDZ($A$1,$B88,Q$5,$B$1)</f>
        <v>0</v>
      </c>
      <c r="R88" s="100">
        <f>_xll.EQNXTDZ($A$1,$B88,R$5,$B$1)</f>
        <v>0</v>
      </c>
      <c r="S88" s="100">
        <f>_xll.EQNXTDZ($A$1,$B88,S$5,$B$1)</f>
        <v>15.14</v>
      </c>
      <c r="T88" s="100">
        <f>_xll.EQNXTDZ($A$1,$B88,T$5,$B$1)</f>
        <v>0</v>
      </c>
      <c r="U88" s="100">
        <f>_xll.EQNXTDZ($A$1,$B88,U$5,$B$1)</f>
        <v>0.04</v>
      </c>
      <c r="V88" s="100">
        <f>_xll.EQNXTDZ($A$1,$B88,V$5,$B$1)</f>
        <v>0</v>
      </c>
      <c r="W88" s="100">
        <f>_xll.EQNXTDZ($A$1,$B88,W$5,$B$1)</f>
        <v>0</v>
      </c>
      <c r="X88" s="100">
        <f>_xll.EQNXTDZ($A$1,$B88,X$5,$B$1)</f>
        <v>0</v>
      </c>
      <c r="Y88" s="100">
        <f>_xll.EQNXTDZ($A$1,$B88,Y$5,$B$1)</f>
        <v>0</v>
      </c>
      <c r="Z88" s="100">
        <f>_xll.EQNXTDZ($A$1,$B88,Z$5,$B$1)</f>
        <v>0</v>
      </c>
      <c r="AA88" s="100">
        <f>_xll.EQNXTDZ($A$1,$B88,AA$5,$B$1)</f>
        <v>0</v>
      </c>
      <c r="AB88" s="100">
        <f>_xll.EQNXTDZ($A$1,$B88,AB$5,$B$1)</f>
        <v>0</v>
      </c>
      <c r="AC88" s="100">
        <f>_xll.EQNXTDZ($A$1,$B88,AC$5,$B$1)</f>
        <v>0</v>
      </c>
      <c r="AD88" s="100">
        <f>_xll.EQNXTDZ($A$1,$B88,AD$5,$B$1)</f>
        <v>0</v>
      </c>
      <c r="AE88" s="100">
        <f>_xll.EQNXTDZ($A$1,$B88,AE$5,$B$1)</f>
        <v>0</v>
      </c>
      <c r="AF88" s="100">
        <f>_xll.EQNXTDZ($A$1,$B88,AF$5,$B$1)</f>
        <v>0</v>
      </c>
      <c r="AG88" s="100">
        <f>_xll.EQNXTDZ($A$1,$B88,AG$5,$B$1)</f>
        <v>0</v>
      </c>
      <c r="AH88" s="100">
        <f>_xll.EQNXTDZ($A$1,$B88,AH$5,$B$1)</f>
        <v>0</v>
      </c>
      <c r="AI88" s="100">
        <f>_xll.EQNXTDZ($A$1,$B88,AI$5,$B$1)</f>
        <v>0</v>
      </c>
      <c r="AJ88" s="100">
        <f>_xll.EQNXTDZ($A$1,$B88,AJ$5,$B$1)</f>
        <v>0</v>
      </c>
      <c r="AK88" s="100">
        <f>_xll.EQNXTDZ($A$1,$B88,AK$5,$B$1)</f>
        <v>0</v>
      </c>
      <c r="AL88" s="100">
        <f>_xll.EQNXTDZ($A$1,$B88,AL$5,$B$1)</f>
        <v>0</v>
      </c>
      <c r="AM88" s="100">
        <f>_xll.EQNXTDZ($A$1,$B88,AM$5,$B$1)</f>
        <v>0</v>
      </c>
      <c r="AN88" s="100">
        <f>_xll.EQNXTDZ($A$1,$B88,AN$5,$B$1)</f>
        <v>0</v>
      </c>
      <c r="AO88" s="100">
        <f>_xll.EQNXTDZ($A$1,$B88,AO$5,$B$1)</f>
        <v>0</v>
      </c>
      <c r="AP88" s="100">
        <f>_xll.EQNXTDZ($A$1,$B88,AP$5,$B$1)</f>
        <v>0</v>
      </c>
      <c r="AQ88" s="100">
        <f>_xll.EQNXTDZ($A$1,$B88,AQ$5,$B$1)</f>
        <v>0</v>
      </c>
      <c r="AR88" s="100">
        <f>_xll.EQNXTDZ($A$1,$B88,AR$5,$B$1)</f>
        <v>0</v>
      </c>
      <c r="AS88" s="100">
        <f>_xll.EQNXTDZ($A$1,$B88,AS$5,$B$1)</f>
        <v>0</v>
      </c>
      <c r="AT88" s="100">
        <f>_xll.EQNXTDZ($A$1,$B88,AT$5,$B$1)</f>
        <v>0</v>
      </c>
      <c r="AU88" s="100">
        <f>_xll.EQNXTDZ($A$1,$B88,AU$5,$B$1)</f>
        <v>0</v>
      </c>
      <c r="AV88" s="100">
        <f>_xll.EQNXTDZ($A$1,$B88,AV$5,$B$1)</f>
        <v>0</v>
      </c>
      <c r="AW88" s="100">
        <f>_xll.EQNXTDZ($A$1,$B88,AW$5,$B$1)</f>
        <v>0</v>
      </c>
      <c r="AX88" s="100">
        <f>_xll.EQNXTDZ($A$1,$B88,AX$5,$B$1)</f>
        <v>0</v>
      </c>
      <c r="AY88" s="100">
        <f>_xll.EQNXTDZ($A$1,$B88,AY$5,$B$1)</f>
        <v>0</v>
      </c>
      <c r="AZ88" s="100">
        <f>_xll.EQNXTDZ($A$1,$B88,AZ$5,$B$1)</f>
        <v>0</v>
      </c>
      <c r="BA88" s="100">
        <f>_xll.EQNXTDZ($A$1,$B88,BA$5,$B$1)</f>
        <v>0</v>
      </c>
      <c r="BB88" s="100">
        <f>_xll.EQNXTDZ($A$1,$B88,BB$5,$B$1)</f>
        <v>0</v>
      </c>
      <c r="BC88" s="100">
        <f>_xll.EQNXTDZ($A$1,$B88,BC$5,$B$1)</f>
        <v>0</v>
      </c>
      <c r="BD88" s="100">
        <f>_xll.EQNXTDZ($A$1,$B88,BD$5,$B$1)</f>
        <v>0</v>
      </c>
      <c r="BE88" s="100">
        <f>_xll.EQNXTDZ($A$1,$B88,BE$5,$B$1)</f>
        <v>0</v>
      </c>
      <c r="BF88" s="100">
        <f>_xll.EQNXTDZ($A$1,$B88,BF$5,$B$1)</f>
        <v>0</v>
      </c>
      <c r="BG88" s="100">
        <f>_xll.EQNXTDZ($A$1,$B88,BG$5,$B$1)</f>
        <v>0</v>
      </c>
      <c r="BH88" s="100">
        <f>_xll.EQNXTDZ($A$1,$B88,BH$5,$B$1)</f>
        <v>0</v>
      </c>
      <c r="BI88" s="100">
        <f>_xll.EQNXTDZ($A$1,$B88,BI$5,$B$1)</f>
        <v>0</v>
      </c>
      <c r="BJ88" s="100">
        <f>_xll.EQNXTDZ($A$1,$B88,BJ$5,$B$1)</f>
        <v>0</v>
      </c>
      <c r="BK88" s="100">
        <f>_xll.EQNXTDZ($A$1,$B88,BK$5,$B$1)</f>
        <v>0</v>
      </c>
      <c r="BL88" s="100">
        <f>_xll.EQNXTDZ($A$1,$B88,BL$5,$B$1)</f>
        <v>0</v>
      </c>
      <c r="BM88" s="100">
        <f>_xll.EQNXTDZ($A$1,$B88,BM$5,$B$1)</f>
        <v>0</v>
      </c>
      <c r="BN88" s="100">
        <f>_xll.EQNXTDZ($A$1,$B88,BN$5,$B$1)</f>
        <v>0</v>
      </c>
      <c r="BO88" s="100">
        <f>_xll.EQNXTDZ($A$1,$B88,BO$5,$B$1)</f>
        <v>0</v>
      </c>
      <c r="BP88" s="100">
        <f>_xll.EQNXTDZ($A$1,$B88,BP$5,$B$1)</f>
        <v>0</v>
      </c>
      <c r="BQ88" s="100">
        <f>_xll.EQNXTDZ($A$1,$B88,BQ$5,$B$1)</f>
        <v>0</v>
      </c>
      <c r="BR88" s="100">
        <f>_xll.EQNXTDZ($A$1,$B88,BR$5,$B$1)</f>
        <v>0</v>
      </c>
      <c r="BS88" s="100">
        <f>_xll.EQNXTDZ($A$1,$B88,BS$5,$B$1)</f>
        <v>0</v>
      </c>
      <c r="BT88" s="100">
        <f>_xll.EQNXTDZ($A$1,$B88,BT$5,$B$1)</f>
        <v>0</v>
      </c>
      <c r="BU88" s="100">
        <f>_xll.EQNXTDZ($A$1,$B88,BU$5,$B$1)</f>
        <v>0</v>
      </c>
      <c r="BV88" s="100">
        <f>_xll.EQNXTDZ($A$1,$B88,BV$5,$B$1)</f>
        <v>0</v>
      </c>
    </row>
    <row r="89" spans="1:74" x14ac:dyDescent="0.25">
      <c r="A89" t="s">
        <v>70</v>
      </c>
      <c r="B89" t="s">
        <v>405</v>
      </c>
      <c r="C89" s="100">
        <f>_xll.EQNXTDZ($A$1,$B89,C$5,$B$1)</f>
        <v>0</v>
      </c>
      <c r="D89" s="100">
        <f>_xll.EQNXTDZ($A$1,$B89,D$5,$B$1)</f>
        <v>0</v>
      </c>
      <c r="E89" s="100">
        <f>_xll.EQNXTDZ($A$1,$B89,E$5,$B$1)</f>
        <v>0</v>
      </c>
      <c r="F89" s="100">
        <f>_xll.EQNXTDZ($A$1,$B89,F$5,$B$1)</f>
        <v>0</v>
      </c>
      <c r="G89" s="100">
        <f>_xll.EQNXTDZ($A$1,$B89,G$5,$B$1)</f>
        <v>1827.53</v>
      </c>
      <c r="H89" s="100">
        <f>_xll.EQNXTDZ($A$1,$B89,H$5,$B$1)</f>
        <v>0</v>
      </c>
      <c r="I89" s="100">
        <f>_xll.EQNXTDZ($A$1,$B89,I$5,$B$1)</f>
        <v>2082.58</v>
      </c>
      <c r="J89" s="100">
        <f>_xll.EQNXTDZ($A$1,$B89,J$5,$B$1)</f>
        <v>0</v>
      </c>
      <c r="K89" s="100">
        <f>_xll.EQNXTDZ($A$1,$B89,K$5,$B$1)</f>
        <v>1855.38</v>
      </c>
      <c r="L89" s="100">
        <f>_xll.EQNXTDZ($A$1,$B89,L$5,$B$1)</f>
        <v>0</v>
      </c>
      <c r="M89" s="100">
        <f>_xll.EQNXTDZ($A$1,$B89,M$5,$B$1)</f>
        <v>1928.42</v>
      </c>
      <c r="N89" s="100">
        <f>_xll.EQNXTDZ($A$1,$B89,N$5,$B$1)</f>
        <v>0</v>
      </c>
      <c r="O89" s="100">
        <f>_xll.EQNXTDZ($A$1,$B89,O$5,$B$1)</f>
        <v>1987.66</v>
      </c>
      <c r="P89" s="100">
        <f>_xll.EQNXTDZ($A$1,$B89,P$5,$B$1)</f>
        <v>0</v>
      </c>
      <c r="Q89" s="100">
        <f>_xll.EQNXTDZ($A$1,$B89,Q$5,$B$1)</f>
        <v>2101.96</v>
      </c>
      <c r="R89" s="100">
        <f>_xll.EQNXTDZ($A$1,$B89,R$5,$B$1)</f>
        <v>0</v>
      </c>
      <c r="S89" s="100">
        <f>_xll.EQNXTDZ($A$1,$B89,S$5,$B$1)</f>
        <v>2015.06</v>
      </c>
      <c r="T89" s="100">
        <f>_xll.EQNXTDZ($A$1,$B89,T$5,$B$1)</f>
        <v>0</v>
      </c>
      <c r="U89" s="100">
        <f>_xll.EQNXTDZ($A$1,$B89,U$5,$B$1)</f>
        <v>2157.31</v>
      </c>
      <c r="V89" s="100">
        <f>_xll.EQNXTDZ($A$1,$B89,V$5,$B$1)</f>
        <v>0</v>
      </c>
      <c r="W89" s="100">
        <f>_xll.EQNXTDZ($A$1,$B89,W$5,$B$1)</f>
        <v>2130.0100000000002</v>
      </c>
      <c r="X89" s="100">
        <f>_xll.EQNXTDZ($A$1,$B89,X$5,$B$1)</f>
        <v>0</v>
      </c>
      <c r="Y89" s="100">
        <f>_xll.EQNXTDZ($A$1,$B89,Y$5,$B$1)</f>
        <v>2713.11</v>
      </c>
      <c r="Z89" s="100">
        <f>_xll.EQNXTDZ($A$1,$B89,Z$5,$B$1)</f>
        <v>0</v>
      </c>
      <c r="AA89" s="100">
        <f>_xll.EQNXTDZ($A$1,$B89,AA$5,$B$1)</f>
        <v>3027.8</v>
      </c>
      <c r="AB89" s="100">
        <f>_xll.EQNXTDZ($A$1,$B89,AB$5,$B$1)</f>
        <v>0</v>
      </c>
      <c r="AC89" s="100">
        <f>_xll.EQNXTDZ($A$1,$B89,AC$5,$B$1)</f>
        <v>1874.51</v>
      </c>
      <c r="AD89" s="100">
        <f>_xll.EQNXTDZ($A$1,$B89,AD$5,$B$1)</f>
        <v>0</v>
      </c>
      <c r="AE89" s="100">
        <f>_xll.EQNXTDZ($A$1,$B89,AE$5,$B$1)</f>
        <v>1735.57</v>
      </c>
      <c r="AF89" s="100">
        <f>_xll.EQNXTDZ($A$1,$B89,AF$5,$B$1)</f>
        <v>0</v>
      </c>
      <c r="AG89" s="100">
        <f>_xll.EQNXTDZ($A$1,$B89,AG$5,$B$1)</f>
        <v>1901.6</v>
      </c>
      <c r="AH89" s="100">
        <f>_xll.EQNXTDZ($A$1,$B89,AH$5,$B$1)</f>
        <v>0</v>
      </c>
      <c r="AI89" s="100">
        <f>_xll.EQNXTDZ($A$1,$B89,AI$5,$B$1)</f>
        <v>1544.19</v>
      </c>
      <c r="AJ89" s="100">
        <f>_xll.EQNXTDZ($A$1,$B89,AJ$5,$B$1)</f>
        <v>0</v>
      </c>
      <c r="AK89" s="100">
        <f>_xll.EQNXTDZ($A$1,$B89,AK$5,$B$1)</f>
        <v>1720.74</v>
      </c>
      <c r="AL89" s="100">
        <f>_xll.EQNXTDZ($A$1,$B89,AL$5,$B$1)</f>
        <v>0</v>
      </c>
      <c r="AM89" s="100">
        <f>_xll.EQNXTDZ($A$1,$B89,AM$5,$B$1)</f>
        <v>1775.39</v>
      </c>
      <c r="AN89" s="100">
        <f>_xll.EQNXTDZ($A$1,$B89,AN$5,$B$1)</f>
        <v>0</v>
      </c>
      <c r="AO89" s="100">
        <f>_xll.EQNXTDZ($A$1,$B89,AO$5,$B$1)</f>
        <v>1961.3</v>
      </c>
      <c r="AP89" s="100">
        <f>_xll.EQNXTDZ($A$1,$B89,AP$5,$B$1)</f>
        <v>0</v>
      </c>
      <c r="AQ89" s="100">
        <f>_xll.EQNXTDZ($A$1,$B89,AQ$5,$B$1)</f>
        <v>2550.56</v>
      </c>
      <c r="AR89" s="100">
        <f>_xll.EQNXTDZ($A$1,$B89,AR$5,$B$1)</f>
        <v>0</v>
      </c>
      <c r="AS89" s="100">
        <f>_xll.EQNXTDZ($A$1,$B89,AS$5,$B$1)</f>
        <v>2636.76</v>
      </c>
      <c r="AT89" s="100">
        <f>_xll.EQNXTDZ($A$1,$B89,AT$5,$B$1)</f>
        <v>0</v>
      </c>
      <c r="AU89" s="100">
        <f>_xll.EQNXTDZ($A$1,$B89,AU$5,$B$1)</f>
        <v>3113.9</v>
      </c>
      <c r="AV89" s="100">
        <f>_xll.EQNXTDZ($A$1,$B89,AV$5,$B$1)</f>
        <v>0</v>
      </c>
      <c r="AW89" s="100">
        <f>_xll.EQNXTDZ($A$1,$B89,AW$5,$B$1)</f>
        <v>3109.08</v>
      </c>
      <c r="AX89" s="100">
        <f>_xll.EQNXTDZ($A$1,$B89,AX$5,$B$1)</f>
        <v>0</v>
      </c>
      <c r="AY89" s="100">
        <f>_xll.EQNXTDZ($A$1,$B89,AY$5,$B$1)</f>
        <v>3279.61</v>
      </c>
      <c r="AZ89" s="100">
        <f>_xll.EQNXTDZ($A$1,$B89,AZ$5,$B$1)</f>
        <v>0</v>
      </c>
      <c r="BA89" s="100">
        <f>_xll.EQNXTDZ($A$1,$B89,BA$5,$B$1)</f>
        <v>3198.02</v>
      </c>
      <c r="BB89" s="100">
        <f>_xll.EQNXTDZ($A$1,$B89,BB$5,$B$1)</f>
        <v>0</v>
      </c>
      <c r="BC89" s="100">
        <f>_xll.EQNXTDZ($A$1,$B89,BC$5,$B$1)</f>
        <v>3480.63</v>
      </c>
      <c r="BD89" s="100">
        <f>_xll.EQNXTDZ($A$1,$B89,BD$5,$B$1)</f>
        <v>0</v>
      </c>
      <c r="BE89" s="100">
        <f>_xll.EQNXTDZ($A$1,$B89,BE$5,$B$1)</f>
        <v>3455.65</v>
      </c>
      <c r="BF89" s="100">
        <f>_xll.EQNXTDZ($A$1,$B89,BF$5,$B$1)</f>
        <v>0</v>
      </c>
      <c r="BG89" s="100">
        <f>_xll.EQNXTDZ($A$1,$B89,BG$5,$B$1)</f>
        <v>0</v>
      </c>
      <c r="BH89" s="100">
        <f>_xll.EQNXTDZ($A$1,$B89,BH$5,$B$1)</f>
        <v>0</v>
      </c>
      <c r="BI89" s="100">
        <f>_xll.EQNXTDZ($A$1,$B89,BI$5,$B$1)</f>
        <v>0</v>
      </c>
      <c r="BJ89" s="100">
        <f>_xll.EQNXTDZ($A$1,$B89,BJ$5,$B$1)</f>
        <v>0</v>
      </c>
      <c r="BK89" s="100">
        <f>_xll.EQNXTDZ($A$1,$B89,BK$5,$B$1)</f>
        <v>0</v>
      </c>
      <c r="BL89" s="100">
        <f>_xll.EQNXTDZ($A$1,$B89,BL$5,$B$1)</f>
        <v>0</v>
      </c>
      <c r="BM89" s="100">
        <f>_xll.EQNXTDZ($A$1,$B89,BM$5,$B$1)</f>
        <v>0</v>
      </c>
      <c r="BN89" s="100">
        <f>_xll.EQNXTDZ($A$1,$B89,BN$5,$B$1)</f>
        <v>0</v>
      </c>
      <c r="BO89" s="100">
        <f>_xll.EQNXTDZ($A$1,$B89,BO$5,$B$1)</f>
        <v>0</v>
      </c>
      <c r="BP89" s="100">
        <f>_xll.EQNXTDZ($A$1,$B89,BP$5,$B$1)</f>
        <v>0</v>
      </c>
      <c r="BQ89" s="100">
        <f>_xll.EQNXTDZ($A$1,$B89,BQ$5,$B$1)</f>
        <v>0</v>
      </c>
      <c r="BR89" s="100">
        <f>_xll.EQNXTDZ($A$1,$B89,BR$5,$B$1)</f>
        <v>0</v>
      </c>
      <c r="BS89" s="100">
        <f>_xll.EQNXTDZ($A$1,$B89,BS$5,$B$1)</f>
        <v>0</v>
      </c>
      <c r="BT89" s="100">
        <f>_xll.EQNXTDZ($A$1,$B89,BT$5,$B$1)</f>
        <v>0</v>
      </c>
      <c r="BU89" s="100">
        <f>_xll.EQNXTDZ($A$1,$B89,BU$5,$B$1)</f>
        <v>0</v>
      </c>
      <c r="BV89" s="100">
        <f>_xll.EQNXTDZ($A$1,$B89,BV$5,$B$1)</f>
        <v>0</v>
      </c>
    </row>
    <row r="90" spans="1:74" x14ac:dyDescent="0.25">
      <c r="A90" t="s">
        <v>368</v>
      </c>
      <c r="B90" t="s">
        <v>406</v>
      </c>
      <c r="C90" s="100">
        <f>_xll.EQNXTDZ($A$1,$B90,C$5,$B$1)</f>
        <v>0</v>
      </c>
      <c r="D90" s="100">
        <f>_xll.EQNXTDZ($A$1,$B90,D$5,$B$1)</f>
        <v>0</v>
      </c>
      <c r="E90" s="100">
        <f>_xll.EQNXTDZ($A$1,$B90,E$5,$B$1)</f>
        <v>0</v>
      </c>
      <c r="F90" s="100">
        <f>_xll.EQNXTDZ($A$1,$B90,F$5,$B$1)</f>
        <v>0</v>
      </c>
      <c r="G90" s="100">
        <f>_xll.EQNXTDZ($A$1,$B90,G$5,$B$1)</f>
        <v>0</v>
      </c>
      <c r="H90" s="100">
        <f>_xll.EQNXTDZ($A$1,$B90,H$5,$B$1)</f>
        <v>0</v>
      </c>
      <c r="I90" s="100">
        <f>_xll.EQNXTDZ($A$1,$B90,I$5,$B$1)</f>
        <v>0</v>
      </c>
      <c r="J90" s="100">
        <f>_xll.EQNXTDZ($A$1,$B90,J$5,$B$1)</f>
        <v>0</v>
      </c>
      <c r="K90" s="100">
        <f>_xll.EQNXTDZ($A$1,$B90,K$5,$B$1)</f>
        <v>0</v>
      </c>
      <c r="L90" s="100">
        <f>_xll.EQNXTDZ($A$1,$B90,L$5,$B$1)</f>
        <v>0</v>
      </c>
      <c r="M90" s="100">
        <f>_xll.EQNXTDZ($A$1,$B90,M$5,$B$1)</f>
        <v>0</v>
      </c>
      <c r="N90" s="100">
        <f>_xll.EQNXTDZ($A$1,$B90,N$5,$B$1)</f>
        <v>0</v>
      </c>
      <c r="O90" s="100">
        <f>_xll.EQNXTDZ($A$1,$B90,O$5,$B$1)</f>
        <v>0</v>
      </c>
      <c r="P90" s="100">
        <f>_xll.EQNXTDZ($A$1,$B90,P$5,$B$1)</f>
        <v>0</v>
      </c>
      <c r="Q90" s="100">
        <f>_xll.EQNXTDZ($A$1,$B90,Q$5,$B$1)</f>
        <v>0</v>
      </c>
      <c r="R90" s="100">
        <f>_xll.EQNXTDZ($A$1,$B90,R$5,$B$1)</f>
        <v>0</v>
      </c>
      <c r="S90" s="100">
        <f>_xll.EQNXTDZ($A$1,$B90,S$5,$B$1)</f>
        <v>0</v>
      </c>
      <c r="T90" s="100">
        <f>_xll.EQNXTDZ($A$1,$B90,T$5,$B$1)</f>
        <v>0</v>
      </c>
      <c r="U90" s="100">
        <f>_xll.EQNXTDZ($A$1,$B90,U$5,$B$1)</f>
        <v>0</v>
      </c>
      <c r="V90" s="100">
        <f>_xll.EQNXTDZ($A$1,$B90,V$5,$B$1)</f>
        <v>0</v>
      </c>
      <c r="W90" s="100">
        <f>_xll.EQNXTDZ($A$1,$B90,W$5,$B$1)</f>
        <v>0</v>
      </c>
      <c r="X90" s="100">
        <f>_xll.EQNXTDZ($A$1,$B90,X$5,$B$1)</f>
        <v>0</v>
      </c>
      <c r="Y90" s="100">
        <f>_xll.EQNXTDZ($A$1,$B90,Y$5,$B$1)</f>
        <v>0</v>
      </c>
      <c r="Z90" s="100">
        <f>_xll.EQNXTDZ($A$1,$B90,Z$5,$B$1)</f>
        <v>0</v>
      </c>
      <c r="AA90" s="100">
        <f>_xll.EQNXTDZ($A$1,$B90,AA$5,$B$1)</f>
        <v>0</v>
      </c>
      <c r="AB90" s="100">
        <f>_xll.EQNXTDZ($A$1,$B90,AB$5,$B$1)</f>
        <v>0</v>
      </c>
      <c r="AC90" s="100">
        <f>_xll.EQNXTDZ($A$1,$B90,AC$5,$B$1)</f>
        <v>0</v>
      </c>
      <c r="AD90" s="100">
        <f>_xll.EQNXTDZ($A$1,$B90,AD$5,$B$1)</f>
        <v>0</v>
      </c>
      <c r="AE90" s="100">
        <f>_xll.EQNXTDZ($A$1,$B90,AE$5,$B$1)</f>
        <v>0</v>
      </c>
      <c r="AF90" s="100">
        <f>_xll.EQNXTDZ($A$1,$B90,AF$5,$B$1)</f>
        <v>0</v>
      </c>
      <c r="AG90" s="100">
        <f>_xll.EQNXTDZ($A$1,$B90,AG$5,$B$1)</f>
        <v>0</v>
      </c>
      <c r="AH90" s="100">
        <f>_xll.EQNXTDZ($A$1,$B90,AH$5,$B$1)</f>
        <v>0</v>
      </c>
      <c r="AI90" s="100">
        <f>_xll.EQNXTDZ($A$1,$B90,AI$5,$B$1)</f>
        <v>0</v>
      </c>
      <c r="AJ90" s="100">
        <f>_xll.EQNXTDZ($A$1,$B90,AJ$5,$B$1)</f>
        <v>0</v>
      </c>
      <c r="AK90" s="100">
        <f>_xll.EQNXTDZ($A$1,$B90,AK$5,$B$1)</f>
        <v>0</v>
      </c>
      <c r="AL90" s="100">
        <f>_xll.EQNXTDZ($A$1,$B90,AL$5,$B$1)</f>
        <v>0</v>
      </c>
      <c r="AM90" s="100">
        <f>_xll.EQNXTDZ($A$1,$B90,AM$5,$B$1)</f>
        <v>0</v>
      </c>
      <c r="AN90" s="100">
        <f>_xll.EQNXTDZ($A$1,$B90,AN$5,$B$1)</f>
        <v>0</v>
      </c>
      <c r="AO90" s="100">
        <f>_xll.EQNXTDZ($A$1,$B90,AO$5,$B$1)</f>
        <v>0</v>
      </c>
      <c r="AP90" s="100">
        <f>_xll.EQNXTDZ($A$1,$B90,AP$5,$B$1)</f>
        <v>0</v>
      </c>
      <c r="AQ90" s="100">
        <f>_xll.EQNXTDZ($A$1,$B90,AQ$5,$B$1)</f>
        <v>0</v>
      </c>
      <c r="AR90" s="100">
        <f>_xll.EQNXTDZ($A$1,$B90,AR$5,$B$1)</f>
        <v>0</v>
      </c>
      <c r="AS90" s="100">
        <f>_xll.EQNXTDZ($A$1,$B90,AS$5,$B$1)</f>
        <v>0</v>
      </c>
      <c r="AT90" s="100">
        <f>_xll.EQNXTDZ($A$1,$B90,AT$5,$B$1)</f>
        <v>0</v>
      </c>
      <c r="AU90" s="100">
        <f>_xll.EQNXTDZ($A$1,$B90,AU$5,$B$1)</f>
        <v>0</v>
      </c>
      <c r="AV90" s="100">
        <f>_xll.EQNXTDZ($A$1,$B90,AV$5,$B$1)</f>
        <v>0</v>
      </c>
      <c r="AW90" s="100">
        <f>_xll.EQNXTDZ($A$1,$B90,AW$5,$B$1)</f>
        <v>0</v>
      </c>
      <c r="AX90" s="100">
        <f>_xll.EQNXTDZ($A$1,$B90,AX$5,$B$1)</f>
        <v>0</v>
      </c>
      <c r="AY90" s="100">
        <f>_xll.EQNXTDZ($A$1,$B90,AY$5,$B$1)</f>
        <v>0</v>
      </c>
      <c r="AZ90" s="100">
        <f>_xll.EQNXTDZ($A$1,$B90,AZ$5,$B$1)</f>
        <v>0</v>
      </c>
      <c r="BA90" s="100">
        <f>_xll.EQNXTDZ($A$1,$B90,BA$5,$B$1)</f>
        <v>0</v>
      </c>
      <c r="BB90" s="100">
        <f>_xll.EQNXTDZ($A$1,$B90,BB$5,$B$1)</f>
        <v>0</v>
      </c>
      <c r="BC90" s="100">
        <f>_xll.EQNXTDZ($A$1,$B90,BC$5,$B$1)</f>
        <v>0</v>
      </c>
      <c r="BD90" s="100">
        <f>_xll.EQNXTDZ($A$1,$B90,BD$5,$B$1)</f>
        <v>0</v>
      </c>
      <c r="BE90" s="100">
        <f>_xll.EQNXTDZ($A$1,$B90,BE$5,$B$1)</f>
        <v>0</v>
      </c>
      <c r="BF90" s="100">
        <f>_xll.EQNXTDZ($A$1,$B90,BF$5,$B$1)</f>
        <v>0</v>
      </c>
      <c r="BG90" s="100">
        <f>_xll.EQNXTDZ($A$1,$B90,BG$5,$B$1)</f>
        <v>0</v>
      </c>
      <c r="BH90" s="100">
        <f>_xll.EQNXTDZ($A$1,$B90,BH$5,$B$1)</f>
        <v>0</v>
      </c>
      <c r="BI90" s="100">
        <f>_xll.EQNXTDZ($A$1,$B90,BI$5,$B$1)</f>
        <v>0</v>
      </c>
      <c r="BJ90" s="100">
        <f>_xll.EQNXTDZ($A$1,$B90,BJ$5,$B$1)</f>
        <v>0</v>
      </c>
      <c r="BK90" s="100">
        <f>_xll.EQNXTDZ($A$1,$B90,BK$5,$B$1)</f>
        <v>0</v>
      </c>
      <c r="BL90" s="100">
        <f>_xll.EQNXTDZ($A$1,$B90,BL$5,$B$1)</f>
        <v>0</v>
      </c>
      <c r="BM90" s="100">
        <f>_xll.EQNXTDZ($A$1,$B90,BM$5,$B$1)</f>
        <v>0</v>
      </c>
      <c r="BN90" s="100">
        <f>_xll.EQNXTDZ($A$1,$B90,BN$5,$B$1)</f>
        <v>0</v>
      </c>
      <c r="BO90" s="100">
        <f>_xll.EQNXTDZ($A$1,$B90,BO$5,$B$1)</f>
        <v>0</v>
      </c>
      <c r="BP90" s="100">
        <f>_xll.EQNXTDZ($A$1,$B90,BP$5,$B$1)</f>
        <v>0</v>
      </c>
      <c r="BQ90" s="100">
        <f>_xll.EQNXTDZ($A$1,$B90,BQ$5,$B$1)</f>
        <v>0</v>
      </c>
      <c r="BR90" s="100">
        <f>_xll.EQNXTDZ($A$1,$B90,BR$5,$B$1)</f>
        <v>0</v>
      </c>
      <c r="BS90" s="100">
        <f>_xll.EQNXTDZ($A$1,$B90,BS$5,$B$1)</f>
        <v>0</v>
      </c>
      <c r="BT90" s="100">
        <f>_xll.EQNXTDZ($A$1,$B90,BT$5,$B$1)</f>
        <v>0</v>
      </c>
      <c r="BU90" s="100">
        <f>_xll.EQNXTDZ($A$1,$B90,BU$5,$B$1)</f>
        <v>0</v>
      </c>
      <c r="BV90" s="100">
        <f>_xll.EQNXTDZ($A$1,$B90,BV$5,$B$1)</f>
        <v>0</v>
      </c>
    </row>
    <row r="91" spans="1:74" x14ac:dyDescent="0.25">
      <c r="A91" t="s">
        <v>71</v>
      </c>
      <c r="B91" t="s">
        <v>407</v>
      </c>
      <c r="C91" s="100">
        <f>_xll.EQNXTDZ($A$1,$B91,C$5,$B$1)</f>
        <v>0</v>
      </c>
      <c r="D91" s="100">
        <f>_xll.EQNXTDZ($A$1,$B91,D$5,$B$1)</f>
        <v>0</v>
      </c>
      <c r="E91" s="100">
        <f>_xll.EQNXTDZ($A$1,$B91,E$5,$B$1)</f>
        <v>0</v>
      </c>
      <c r="F91" s="100">
        <f>_xll.EQNXTDZ($A$1,$B91,F$5,$B$1)</f>
        <v>0</v>
      </c>
      <c r="G91" s="100">
        <f>_xll.EQNXTDZ($A$1,$B91,G$5,$B$1)</f>
        <v>1341.73</v>
      </c>
      <c r="H91" s="100">
        <f>_xll.EQNXTDZ($A$1,$B91,H$5,$B$1)</f>
        <v>0</v>
      </c>
      <c r="I91" s="100">
        <f>_xll.EQNXTDZ($A$1,$B91,I$5,$B$1)</f>
        <v>1395.95</v>
      </c>
      <c r="J91" s="100">
        <f>_xll.EQNXTDZ($A$1,$B91,J$5,$B$1)</f>
        <v>0</v>
      </c>
      <c r="K91" s="100">
        <f>_xll.EQNXTDZ($A$1,$B91,K$5,$B$1)</f>
        <v>1370.31</v>
      </c>
      <c r="L91" s="100">
        <f>_xll.EQNXTDZ($A$1,$B91,L$5,$B$1)</f>
        <v>0</v>
      </c>
      <c r="M91" s="100">
        <f>_xll.EQNXTDZ($A$1,$B91,M$5,$B$1)</f>
        <v>1297.7</v>
      </c>
      <c r="N91" s="100">
        <f>_xll.EQNXTDZ($A$1,$B91,N$5,$B$1)</f>
        <v>0</v>
      </c>
      <c r="O91" s="100">
        <f>_xll.EQNXTDZ($A$1,$B91,O$5,$B$1)</f>
        <v>1181.06</v>
      </c>
      <c r="P91" s="100">
        <f>_xll.EQNXTDZ($A$1,$B91,P$5,$B$1)</f>
        <v>0</v>
      </c>
      <c r="Q91" s="100">
        <f>_xll.EQNXTDZ($A$1,$B91,Q$5,$B$1)</f>
        <v>1267.7</v>
      </c>
      <c r="R91" s="100">
        <f>_xll.EQNXTDZ($A$1,$B91,R$5,$B$1)</f>
        <v>0</v>
      </c>
      <c r="S91" s="100">
        <f>_xll.EQNXTDZ($A$1,$B91,S$5,$B$1)</f>
        <v>1117.82</v>
      </c>
      <c r="T91" s="100">
        <f>_xll.EQNXTDZ($A$1,$B91,T$5,$B$1)</f>
        <v>0</v>
      </c>
      <c r="U91" s="100">
        <f>_xll.EQNXTDZ($A$1,$B91,U$5,$B$1)</f>
        <v>1237.23</v>
      </c>
      <c r="V91" s="100">
        <f>_xll.EQNXTDZ($A$1,$B91,V$5,$B$1)</f>
        <v>0</v>
      </c>
      <c r="W91" s="100">
        <f>_xll.EQNXTDZ($A$1,$B91,W$5,$B$1)</f>
        <v>1655.94</v>
      </c>
      <c r="X91" s="100">
        <f>_xll.EQNXTDZ($A$1,$B91,X$5,$B$1)</f>
        <v>0</v>
      </c>
      <c r="Y91" s="100">
        <f>_xll.EQNXTDZ($A$1,$B91,Y$5,$B$1)</f>
        <v>2202.85</v>
      </c>
      <c r="Z91" s="100">
        <f>_xll.EQNXTDZ($A$1,$B91,Z$5,$B$1)</f>
        <v>0</v>
      </c>
      <c r="AA91" s="100">
        <f>_xll.EQNXTDZ($A$1,$B91,AA$5,$B$1)</f>
        <v>2201.9</v>
      </c>
      <c r="AB91" s="100">
        <f>_xll.EQNXTDZ($A$1,$B91,AB$5,$B$1)</f>
        <v>0</v>
      </c>
      <c r="AC91" s="100">
        <f>_xll.EQNXTDZ($A$1,$B91,AC$5,$B$1)</f>
        <v>2923.88</v>
      </c>
      <c r="AD91" s="100">
        <f>_xll.EQNXTDZ($A$1,$B91,AD$5,$B$1)</f>
        <v>0</v>
      </c>
      <c r="AE91" s="100">
        <f>_xll.EQNXTDZ($A$1,$B91,AE$5,$B$1)</f>
        <v>3038.12</v>
      </c>
      <c r="AF91" s="100">
        <f>_xll.EQNXTDZ($A$1,$B91,AF$5,$B$1)</f>
        <v>0</v>
      </c>
      <c r="AG91" s="100">
        <f>_xll.EQNXTDZ($A$1,$B91,AG$5,$B$1)</f>
        <v>2012.59</v>
      </c>
      <c r="AH91" s="100">
        <f>_xll.EQNXTDZ($A$1,$B91,AH$5,$B$1)</f>
        <v>0</v>
      </c>
      <c r="AI91" s="100">
        <f>_xll.EQNXTDZ($A$1,$B91,AI$5,$B$1)</f>
        <v>1921.48</v>
      </c>
      <c r="AJ91" s="100">
        <f>_xll.EQNXTDZ($A$1,$B91,AJ$5,$B$1)</f>
        <v>0</v>
      </c>
      <c r="AK91" s="100">
        <f>_xll.EQNXTDZ($A$1,$B91,AK$5,$B$1)</f>
        <v>1923.13</v>
      </c>
      <c r="AL91" s="100">
        <f>_xll.EQNXTDZ($A$1,$B91,AL$5,$B$1)</f>
        <v>0</v>
      </c>
      <c r="AM91" s="100">
        <f>_xll.EQNXTDZ($A$1,$B91,AM$5,$B$1)</f>
        <v>1745.53</v>
      </c>
      <c r="AN91" s="100">
        <f>_xll.EQNXTDZ($A$1,$B91,AN$5,$B$1)</f>
        <v>0</v>
      </c>
      <c r="AO91" s="100">
        <f>_xll.EQNXTDZ($A$1,$B91,AO$5,$B$1)</f>
        <v>1707.95</v>
      </c>
      <c r="AP91" s="100">
        <f>_xll.EQNXTDZ($A$1,$B91,AP$5,$B$1)</f>
        <v>0</v>
      </c>
      <c r="AQ91" s="100">
        <f>_xll.EQNXTDZ($A$1,$B91,AQ$5,$B$1)</f>
        <v>1452.85</v>
      </c>
      <c r="AR91" s="100">
        <f>_xll.EQNXTDZ($A$1,$B91,AR$5,$B$1)</f>
        <v>0</v>
      </c>
      <c r="AS91" s="100">
        <f>_xll.EQNXTDZ($A$1,$B91,AS$5,$B$1)</f>
        <v>1330.4</v>
      </c>
      <c r="AT91" s="100">
        <f>_xll.EQNXTDZ($A$1,$B91,AT$5,$B$1)</f>
        <v>0</v>
      </c>
      <c r="AU91" s="100">
        <f>_xll.EQNXTDZ($A$1,$B91,AU$5,$B$1)</f>
        <v>1407.69</v>
      </c>
      <c r="AV91" s="100">
        <f>_xll.EQNXTDZ($A$1,$B91,AV$5,$B$1)</f>
        <v>0</v>
      </c>
      <c r="AW91" s="100">
        <f>_xll.EQNXTDZ($A$1,$B91,AW$5,$B$1)</f>
        <v>1459.9</v>
      </c>
      <c r="AX91" s="100">
        <f>_xll.EQNXTDZ($A$1,$B91,AX$5,$B$1)</f>
        <v>0</v>
      </c>
      <c r="AY91" s="100">
        <f>_xll.EQNXTDZ($A$1,$B91,AY$5,$B$1)</f>
        <v>1591.85</v>
      </c>
      <c r="AZ91" s="100">
        <f>_xll.EQNXTDZ($A$1,$B91,AZ$5,$B$1)</f>
        <v>0</v>
      </c>
      <c r="BA91" s="100">
        <f>_xll.EQNXTDZ($A$1,$B91,BA$5,$B$1)</f>
        <v>1561.11</v>
      </c>
      <c r="BB91" s="100">
        <f>_xll.EQNXTDZ($A$1,$B91,BB$5,$B$1)</f>
        <v>0</v>
      </c>
      <c r="BC91" s="100">
        <f>_xll.EQNXTDZ($A$1,$B91,BC$5,$B$1)</f>
        <v>1565.34</v>
      </c>
      <c r="BD91" s="100">
        <f>_xll.EQNXTDZ($A$1,$B91,BD$5,$B$1)</f>
        <v>0</v>
      </c>
      <c r="BE91" s="100">
        <f>_xll.EQNXTDZ($A$1,$B91,BE$5,$B$1)</f>
        <v>1738.82</v>
      </c>
      <c r="BF91" s="100">
        <f>_xll.EQNXTDZ($A$1,$B91,BF$5,$B$1)</f>
        <v>0</v>
      </c>
      <c r="BG91" s="100">
        <f>_xll.EQNXTDZ($A$1,$B91,BG$5,$B$1)</f>
        <v>0</v>
      </c>
      <c r="BH91" s="100">
        <f>_xll.EQNXTDZ($A$1,$B91,BH$5,$B$1)</f>
        <v>0</v>
      </c>
      <c r="BI91" s="100">
        <f>_xll.EQNXTDZ($A$1,$B91,BI$5,$B$1)</f>
        <v>0</v>
      </c>
      <c r="BJ91" s="100">
        <f>_xll.EQNXTDZ($A$1,$B91,BJ$5,$B$1)</f>
        <v>0</v>
      </c>
      <c r="BK91" s="100">
        <f>_xll.EQNXTDZ($A$1,$B91,BK$5,$B$1)</f>
        <v>0</v>
      </c>
      <c r="BL91" s="100">
        <f>_xll.EQNXTDZ($A$1,$B91,BL$5,$B$1)</f>
        <v>0</v>
      </c>
      <c r="BM91" s="100">
        <f>_xll.EQNXTDZ($A$1,$B91,BM$5,$B$1)</f>
        <v>0</v>
      </c>
      <c r="BN91" s="100">
        <f>_xll.EQNXTDZ($A$1,$B91,BN$5,$B$1)</f>
        <v>0</v>
      </c>
      <c r="BO91" s="100">
        <f>_xll.EQNXTDZ($A$1,$B91,BO$5,$B$1)</f>
        <v>0</v>
      </c>
      <c r="BP91" s="100">
        <f>_xll.EQNXTDZ($A$1,$B91,BP$5,$B$1)</f>
        <v>0</v>
      </c>
      <c r="BQ91" s="100">
        <f>_xll.EQNXTDZ($A$1,$B91,BQ$5,$B$1)</f>
        <v>0</v>
      </c>
      <c r="BR91" s="100">
        <f>_xll.EQNXTDZ($A$1,$B91,BR$5,$B$1)</f>
        <v>0</v>
      </c>
      <c r="BS91" s="100">
        <f>_xll.EQNXTDZ($A$1,$B91,BS$5,$B$1)</f>
        <v>0</v>
      </c>
      <c r="BT91" s="100">
        <f>_xll.EQNXTDZ($A$1,$B91,BT$5,$B$1)</f>
        <v>0</v>
      </c>
      <c r="BU91" s="100">
        <f>_xll.EQNXTDZ($A$1,$B91,BU$5,$B$1)</f>
        <v>0</v>
      </c>
      <c r="BV91" s="100">
        <f>_xll.EQNXTDZ($A$1,$B91,BV$5,$B$1)</f>
        <v>0</v>
      </c>
    </row>
    <row r="92" spans="1:74" x14ac:dyDescent="0.25">
      <c r="A92" t="s">
        <v>369</v>
      </c>
      <c r="B92" t="s">
        <v>408</v>
      </c>
      <c r="C92" s="100">
        <f>_xll.EQNXTDZ($A$1,$B92,C$5,$B$1)</f>
        <v>172.3</v>
      </c>
      <c r="D92" s="100">
        <f>_xll.EQNXTDZ($A$1,$B92,D$5,$B$1)</f>
        <v>0</v>
      </c>
      <c r="E92" s="100">
        <f>_xll.EQNXTDZ($A$1,$B92,E$5,$B$1)</f>
        <v>241.36</v>
      </c>
      <c r="F92" s="100">
        <f>_xll.EQNXTDZ($A$1,$B92,F$5,$B$1)</f>
        <v>0</v>
      </c>
      <c r="G92" s="100">
        <f>_xll.EQNXTDZ($A$1,$B92,G$5,$B$1)</f>
        <v>167.44</v>
      </c>
      <c r="H92" s="100">
        <f>_xll.EQNXTDZ($A$1,$B92,H$5,$B$1)</f>
        <v>0</v>
      </c>
      <c r="I92" s="100">
        <f>_xll.EQNXTDZ($A$1,$B92,I$5,$B$1)</f>
        <v>251.05</v>
      </c>
      <c r="J92" s="100">
        <f>_xll.EQNXTDZ($A$1,$B92,J$5,$B$1)</f>
        <v>0</v>
      </c>
      <c r="K92" s="100">
        <f>_xll.EQNXTDZ($A$1,$B92,K$5,$B$1)</f>
        <v>178.78</v>
      </c>
      <c r="L92" s="100">
        <f>_xll.EQNXTDZ($A$1,$B92,L$5,$B$1)</f>
        <v>0</v>
      </c>
      <c r="M92" s="100">
        <f>_xll.EQNXTDZ($A$1,$B92,M$5,$B$1)</f>
        <v>370.53</v>
      </c>
      <c r="N92" s="100">
        <f>_xll.EQNXTDZ($A$1,$B92,N$5,$B$1)</f>
        <v>0</v>
      </c>
      <c r="O92" s="100">
        <f>_xll.EQNXTDZ($A$1,$B92,O$5,$B$1)</f>
        <v>232.05</v>
      </c>
      <c r="P92" s="100">
        <f>_xll.EQNXTDZ($A$1,$B92,P$5,$B$1)</f>
        <v>0</v>
      </c>
      <c r="Q92" s="100">
        <f>_xll.EQNXTDZ($A$1,$B92,Q$5,$B$1)</f>
        <v>378.4</v>
      </c>
      <c r="R92" s="100">
        <f>_xll.EQNXTDZ($A$1,$B92,R$5,$B$1)</f>
        <v>0</v>
      </c>
      <c r="S92" s="100">
        <f>_xll.EQNXTDZ($A$1,$B92,S$5,$B$1)</f>
        <v>311.85000000000002</v>
      </c>
      <c r="T92" s="100">
        <f>_xll.EQNXTDZ($A$1,$B92,T$5,$B$1)</f>
        <v>0</v>
      </c>
      <c r="U92" s="100">
        <f>_xll.EQNXTDZ($A$1,$B92,U$5,$B$1)</f>
        <v>395.56</v>
      </c>
      <c r="V92" s="100">
        <f>_xll.EQNXTDZ($A$1,$B92,V$5,$B$1)</f>
        <v>0</v>
      </c>
      <c r="W92" s="100">
        <f>_xll.EQNXTDZ($A$1,$B92,W$5,$B$1)</f>
        <v>288.16000000000003</v>
      </c>
      <c r="X92" s="100">
        <f>_xll.EQNXTDZ($A$1,$B92,X$5,$B$1)</f>
        <v>0</v>
      </c>
      <c r="Y92" s="100">
        <f>_xll.EQNXTDZ($A$1,$B92,Y$5,$B$1)</f>
        <v>314.52</v>
      </c>
      <c r="Z92" s="100">
        <f>_xll.EQNXTDZ($A$1,$B92,Z$5,$B$1)</f>
        <v>0</v>
      </c>
      <c r="AA92" s="100">
        <f>_xll.EQNXTDZ($A$1,$B92,AA$5,$B$1)</f>
        <v>312.37</v>
      </c>
      <c r="AB92" s="100">
        <f>_xll.EQNXTDZ($A$1,$B92,AB$5,$B$1)</f>
        <v>0</v>
      </c>
      <c r="AC92" s="100">
        <f>_xll.EQNXTDZ($A$1,$B92,AC$5,$B$1)</f>
        <v>233.38</v>
      </c>
      <c r="AD92" s="100">
        <f>_xll.EQNXTDZ($A$1,$B92,AD$5,$B$1)</f>
        <v>0</v>
      </c>
      <c r="AE92" s="100">
        <f>_xll.EQNXTDZ($A$1,$B92,AE$5,$B$1)</f>
        <v>256.26</v>
      </c>
      <c r="AF92" s="100">
        <f>_xll.EQNXTDZ($A$1,$B92,AF$5,$B$1)</f>
        <v>0</v>
      </c>
      <c r="AG92" s="100">
        <f>_xll.EQNXTDZ($A$1,$B92,AG$5,$B$1)</f>
        <v>210.94</v>
      </c>
      <c r="AH92" s="100">
        <f>_xll.EQNXTDZ($A$1,$B92,AH$5,$B$1)</f>
        <v>0</v>
      </c>
      <c r="AI92" s="100">
        <f>_xll.EQNXTDZ($A$1,$B92,AI$5,$B$1)</f>
        <v>289.89</v>
      </c>
      <c r="AJ92" s="100">
        <f>_xll.EQNXTDZ($A$1,$B92,AJ$5,$B$1)</f>
        <v>0</v>
      </c>
      <c r="AK92" s="100">
        <f>_xll.EQNXTDZ($A$1,$B92,AK$5,$B$1)</f>
        <v>290.05</v>
      </c>
      <c r="AL92" s="100">
        <f>_xll.EQNXTDZ($A$1,$B92,AL$5,$B$1)</f>
        <v>0</v>
      </c>
      <c r="AM92" s="100">
        <f>_xll.EQNXTDZ($A$1,$B92,AM$5,$B$1)</f>
        <v>283.05</v>
      </c>
      <c r="AN92" s="100">
        <f>_xll.EQNXTDZ($A$1,$B92,AN$5,$B$1)</f>
        <v>0</v>
      </c>
      <c r="AO92" s="100">
        <f>_xll.EQNXTDZ($A$1,$B92,AO$5,$B$1)</f>
        <v>334.54</v>
      </c>
      <c r="AP92" s="100">
        <f>_xll.EQNXTDZ($A$1,$B92,AP$5,$B$1)</f>
        <v>0</v>
      </c>
      <c r="AQ92" s="100">
        <f>_xll.EQNXTDZ($A$1,$B92,AQ$5,$B$1)</f>
        <v>345.57</v>
      </c>
      <c r="AR92" s="100">
        <f>_xll.EQNXTDZ($A$1,$B92,AR$5,$B$1)</f>
        <v>0</v>
      </c>
      <c r="AS92" s="100">
        <f>_xll.EQNXTDZ($A$1,$B92,AS$5,$B$1)</f>
        <v>383.18</v>
      </c>
      <c r="AT92" s="100">
        <f>_xll.EQNXTDZ($A$1,$B92,AT$5,$B$1)</f>
        <v>0</v>
      </c>
      <c r="AU92" s="100">
        <f>_xll.EQNXTDZ($A$1,$B92,AU$5,$B$1)</f>
        <v>423.98</v>
      </c>
      <c r="AV92" s="100">
        <f>_xll.EQNXTDZ($A$1,$B92,AV$5,$B$1)</f>
        <v>0</v>
      </c>
      <c r="AW92" s="100">
        <f>_xll.EQNXTDZ($A$1,$B92,AW$5,$B$1)</f>
        <v>445.18</v>
      </c>
      <c r="AX92" s="100">
        <f>_xll.EQNXTDZ($A$1,$B92,AX$5,$B$1)</f>
        <v>0</v>
      </c>
      <c r="AY92" s="100">
        <f>_xll.EQNXTDZ($A$1,$B92,AY$5,$B$1)</f>
        <v>462.8</v>
      </c>
      <c r="AZ92" s="100">
        <f>_xll.EQNXTDZ($A$1,$B92,AZ$5,$B$1)</f>
        <v>0</v>
      </c>
      <c r="BA92" s="100">
        <f>_xll.EQNXTDZ($A$1,$B92,BA$5,$B$1)</f>
        <v>514.83000000000004</v>
      </c>
      <c r="BB92" s="100">
        <f>_xll.EQNXTDZ($A$1,$B92,BB$5,$B$1)</f>
        <v>0</v>
      </c>
      <c r="BC92" s="100">
        <f>_xll.EQNXTDZ($A$1,$B92,BC$5,$B$1)</f>
        <v>498.28</v>
      </c>
      <c r="BD92" s="100">
        <f>_xll.EQNXTDZ($A$1,$B92,BD$5,$B$1)</f>
        <v>0</v>
      </c>
      <c r="BE92" s="100">
        <f>_xll.EQNXTDZ($A$1,$B92,BE$5,$B$1)</f>
        <v>538.98</v>
      </c>
      <c r="BF92" s="100">
        <f>_xll.EQNXTDZ($A$1,$B92,BF$5,$B$1)</f>
        <v>0</v>
      </c>
      <c r="BG92" s="100">
        <f>_xll.EQNXTDZ($A$1,$B92,BG$5,$B$1)</f>
        <v>0</v>
      </c>
      <c r="BH92" s="100">
        <f>_xll.EQNXTDZ($A$1,$B92,BH$5,$B$1)</f>
        <v>0</v>
      </c>
      <c r="BI92" s="100">
        <f>_xll.EQNXTDZ($A$1,$B92,BI$5,$B$1)</f>
        <v>0</v>
      </c>
      <c r="BJ92" s="100">
        <f>_xll.EQNXTDZ($A$1,$B92,BJ$5,$B$1)</f>
        <v>0</v>
      </c>
      <c r="BK92" s="100">
        <f>_xll.EQNXTDZ($A$1,$B92,BK$5,$B$1)</f>
        <v>0</v>
      </c>
      <c r="BL92" s="100">
        <f>_xll.EQNXTDZ($A$1,$B92,BL$5,$B$1)</f>
        <v>0</v>
      </c>
      <c r="BM92" s="100">
        <f>_xll.EQNXTDZ($A$1,$B92,BM$5,$B$1)</f>
        <v>0</v>
      </c>
      <c r="BN92" s="100">
        <f>_xll.EQNXTDZ($A$1,$B92,BN$5,$B$1)</f>
        <v>0</v>
      </c>
      <c r="BO92" s="100">
        <f>_xll.EQNXTDZ($A$1,$B92,BO$5,$B$1)</f>
        <v>0</v>
      </c>
      <c r="BP92" s="100">
        <f>_xll.EQNXTDZ($A$1,$B92,BP$5,$B$1)</f>
        <v>0</v>
      </c>
      <c r="BQ92" s="100">
        <f>_xll.EQNXTDZ($A$1,$B92,BQ$5,$B$1)</f>
        <v>0</v>
      </c>
      <c r="BR92" s="100">
        <f>_xll.EQNXTDZ($A$1,$B92,BR$5,$B$1)</f>
        <v>0</v>
      </c>
      <c r="BS92" s="100">
        <f>_xll.EQNXTDZ($A$1,$B92,BS$5,$B$1)</f>
        <v>0</v>
      </c>
      <c r="BT92" s="100">
        <f>_xll.EQNXTDZ($A$1,$B92,BT$5,$B$1)</f>
        <v>0</v>
      </c>
      <c r="BU92" s="100">
        <f>_xll.EQNXTDZ($A$1,$B92,BU$5,$B$1)</f>
        <v>0</v>
      </c>
      <c r="BV92" s="100">
        <f>_xll.EQNXTDZ($A$1,$B92,BV$5,$B$1)</f>
        <v>0</v>
      </c>
    </row>
    <row r="93" spans="1:74" x14ac:dyDescent="0.25">
      <c r="A93" t="s">
        <v>164</v>
      </c>
      <c r="B93" t="s">
        <v>409</v>
      </c>
      <c r="C93" s="100">
        <f>_xll.EQNXTDZ($A$1,$B93,C$5,$B$1)</f>
        <v>3653.58</v>
      </c>
      <c r="D93" s="100">
        <f>_xll.EQNXTDZ($A$1,$B93,D$5,$B$1)</f>
        <v>0</v>
      </c>
      <c r="E93" s="100">
        <f>_xll.EQNXTDZ($A$1,$B93,E$5,$B$1)</f>
        <v>3893.17</v>
      </c>
      <c r="F93" s="100">
        <f>_xll.EQNXTDZ($A$1,$B93,F$5,$B$1)</f>
        <v>0</v>
      </c>
      <c r="G93" s="100">
        <f>_xll.EQNXTDZ($A$1,$B93,G$5,$B$1)</f>
        <v>4124.8599999999997</v>
      </c>
      <c r="H93" s="100">
        <f>_xll.EQNXTDZ($A$1,$B93,H$5,$B$1)</f>
        <v>0</v>
      </c>
      <c r="I93" s="100">
        <f>_xll.EQNXTDZ($A$1,$B93,I$5,$B$1)</f>
        <v>4349.6899999999996</v>
      </c>
      <c r="J93" s="100">
        <f>_xll.EQNXTDZ($A$1,$B93,J$5,$B$1)</f>
        <v>0</v>
      </c>
      <c r="K93" s="100">
        <f>_xll.EQNXTDZ($A$1,$B93,K$5,$B$1)</f>
        <v>4212.47</v>
      </c>
      <c r="L93" s="100">
        <f>_xll.EQNXTDZ($A$1,$B93,L$5,$B$1)</f>
        <v>0</v>
      </c>
      <c r="M93" s="100">
        <f>_xll.EQNXTDZ($A$1,$B93,M$5,$B$1)</f>
        <v>3967.72</v>
      </c>
      <c r="N93" s="100">
        <f>_xll.EQNXTDZ($A$1,$B93,N$5,$B$1)</f>
        <v>0</v>
      </c>
      <c r="O93" s="100">
        <f>_xll.EQNXTDZ($A$1,$B93,O$5,$B$1)</f>
        <v>4072.1</v>
      </c>
      <c r="P93" s="100">
        <f>_xll.EQNXTDZ($A$1,$B93,P$5,$B$1)</f>
        <v>0</v>
      </c>
      <c r="Q93" s="100">
        <f>_xll.EQNXTDZ($A$1,$B93,Q$5,$B$1)</f>
        <v>3748.06</v>
      </c>
      <c r="R93" s="100">
        <f>_xll.EQNXTDZ($A$1,$B93,R$5,$B$1)</f>
        <v>0</v>
      </c>
      <c r="S93" s="100">
        <f>_xll.EQNXTDZ($A$1,$B93,S$5,$B$1)</f>
        <v>3459.87</v>
      </c>
      <c r="T93" s="100">
        <f>_xll.EQNXTDZ($A$1,$B93,T$5,$B$1)</f>
        <v>0</v>
      </c>
      <c r="U93" s="100">
        <f>_xll.EQNXTDZ($A$1,$B93,U$5,$B$1)</f>
        <v>3790.14</v>
      </c>
      <c r="V93" s="100">
        <f>_xll.EQNXTDZ($A$1,$B93,V$5,$B$1)</f>
        <v>0</v>
      </c>
      <c r="W93" s="100">
        <f>_xll.EQNXTDZ($A$1,$B93,W$5,$B$1)</f>
        <v>4074.11</v>
      </c>
      <c r="X93" s="100">
        <f>_xll.EQNXTDZ($A$1,$B93,X$5,$B$1)</f>
        <v>0</v>
      </c>
      <c r="Y93" s="100">
        <f>_xll.EQNXTDZ($A$1,$B93,Y$5,$B$1)</f>
        <v>5230.4799999999996</v>
      </c>
      <c r="Z93" s="100">
        <f>_xll.EQNXTDZ($A$1,$B93,Z$5,$B$1)</f>
        <v>0</v>
      </c>
      <c r="AA93" s="100">
        <f>_xll.EQNXTDZ($A$1,$B93,AA$5,$B$1)</f>
        <v>5542.07</v>
      </c>
      <c r="AB93" s="100">
        <f>_xll.EQNXTDZ($A$1,$B93,AB$5,$B$1)</f>
        <v>0</v>
      </c>
      <c r="AC93" s="100">
        <f>_xll.EQNXTDZ($A$1,$B93,AC$5,$B$1)</f>
        <v>5031.7700000000004</v>
      </c>
      <c r="AD93" s="100">
        <f>_xll.EQNXTDZ($A$1,$B93,AD$5,$B$1)</f>
        <v>0</v>
      </c>
      <c r="AE93" s="100">
        <f>_xll.EQNXTDZ($A$1,$B93,AE$5,$B$1)</f>
        <v>5029.95</v>
      </c>
      <c r="AF93" s="100">
        <f>_xll.EQNXTDZ($A$1,$B93,AF$5,$B$1)</f>
        <v>0</v>
      </c>
      <c r="AG93" s="100">
        <f>_xll.EQNXTDZ($A$1,$B93,AG$5,$B$1)</f>
        <v>4125.13</v>
      </c>
      <c r="AH93" s="100">
        <f>_xll.EQNXTDZ($A$1,$B93,AH$5,$B$1)</f>
        <v>0</v>
      </c>
      <c r="AI93" s="100">
        <f>_xll.EQNXTDZ($A$1,$B93,AI$5,$B$1)</f>
        <v>3755.56</v>
      </c>
      <c r="AJ93" s="100">
        <f>_xll.EQNXTDZ($A$1,$B93,AJ$5,$B$1)</f>
        <v>0</v>
      </c>
      <c r="AK93" s="100">
        <f>_xll.EQNXTDZ($A$1,$B93,AK$5,$B$1)</f>
        <v>3933.92</v>
      </c>
      <c r="AL93" s="100">
        <f>_xll.EQNXTDZ($A$1,$B93,AL$5,$B$1)</f>
        <v>0</v>
      </c>
      <c r="AM93" s="100">
        <f>_xll.EQNXTDZ($A$1,$B93,AM$5,$B$1)</f>
        <v>3803.97</v>
      </c>
      <c r="AN93" s="100">
        <f>_xll.EQNXTDZ($A$1,$B93,AN$5,$B$1)</f>
        <v>0</v>
      </c>
      <c r="AO93" s="100">
        <f>_xll.EQNXTDZ($A$1,$B93,AO$5,$B$1)</f>
        <v>4003.79</v>
      </c>
      <c r="AP93" s="100">
        <f>_xll.EQNXTDZ($A$1,$B93,AP$5,$B$1)</f>
        <v>0</v>
      </c>
      <c r="AQ93" s="100">
        <f>_xll.EQNXTDZ($A$1,$B93,AQ$5,$B$1)</f>
        <v>4348.9799999999996</v>
      </c>
      <c r="AR93" s="100">
        <f>_xll.EQNXTDZ($A$1,$B93,AR$5,$B$1)</f>
        <v>0</v>
      </c>
      <c r="AS93" s="100">
        <f>_xll.EQNXTDZ($A$1,$B93,AS$5,$B$1)</f>
        <v>4350.34</v>
      </c>
      <c r="AT93" s="100">
        <f>_xll.EQNXTDZ($A$1,$B93,AT$5,$B$1)</f>
        <v>0</v>
      </c>
      <c r="AU93" s="100">
        <f>_xll.EQNXTDZ($A$1,$B93,AU$5,$B$1)</f>
        <v>4945.57</v>
      </c>
      <c r="AV93" s="100">
        <f>_xll.EQNXTDZ($A$1,$B93,AV$5,$B$1)</f>
        <v>0</v>
      </c>
      <c r="AW93" s="100">
        <f>_xll.EQNXTDZ($A$1,$B93,AW$5,$B$1)</f>
        <v>5014.16</v>
      </c>
      <c r="AX93" s="100">
        <f>_xll.EQNXTDZ($A$1,$B93,AX$5,$B$1)</f>
        <v>0</v>
      </c>
      <c r="AY93" s="100">
        <f>_xll.EQNXTDZ($A$1,$B93,AY$5,$B$1)</f>
        <v>5334.26</v>
      </c>
      <c r="AZ93" s="100">
        <f>_xll.EQNXTDZ($A$1,$B93,AZ$5,$B$1)</f>
        <v>0</v>
      </c>
      <c r="BA93" s="100">
        <f>_xll.EQNXTDZ($A$1,$B93,BA$5,$B$1)</f>
        <v>5273.96</v>
      </c>
      <c r="BB93" s="100">
        <f>_xll.EQNXTDZ($A$1,$B93,BB$5,$B$1)</f>
        <v>0</v>
      </c>
      <c r="BC93" s="100">
        <f>_xll.EQNXTDZ($A$1,$B93,BC$5,$B$1)</f>
        <v>5544.25</v>
      </c>
      <c r="BD93" s="100">
        <f>_xll.EQNXTDZ($A$1,$B93,BD$5,$B$1)</f>
        <v>0</v>
      </c>
      <c r="BE93" s="100">
        <f>_xll.EQNXTDZ($A$1,$B93,BE$5,$B$1)</f>
        <v>5733.45</v>
      </c>
      <c r="BF93" s="100">
        <f>_xll.EQNXTDZ($A$1,$B93,BF$5,$B$1)</f>
        <v>0</v>
      </c>
      <c r="BG93" s="100">
        <f>_xll.EQNXTDZ($A$1,$B93,BG$5,$B$1)</f>
        <v>0</v>
      </c>
      <c r="BH93" s="100">
        <f>_xll.EQNXTDZ($A$1,$B93,BH$5,$B$1)</f>
        <v>0</v>
      </c>
      <c r="BI93" s="100">
        <f>_xll.EQNXTDZ($A$1,$B93,BI$5,$B$1)</f>
        <v>0</v>
      </c>
      <c r="BJ93" s="100">
        <f>_xll.EQNXTDZ($A$1,$B93,BJ$5,$B$1)</f>
        <v>0</v>
      </c>
      <c r="BK93" s="100">
        <f>_xll.EQNXTDZ($A$1,$B93,BK$5,$B$1)</f>
        <v>0</v>
      </c>
      <c r="BL93" s="100">
        <f>_xll.EQNXTDZ($A$1,$B93,BL$5,$B$1)</f>
        <v>0</v>
      </c>
      <c r="BM93" s="100">
        <f>_xll.EQNXTDZ($A$1,$B93,BM$5,$B$1)</f>
        <v>0</v>
      </c>
      <c r="BN93" s="100">
        <f>_xll.EQNXTDZ($A$1,$B93,BN$5,$B$1)</f>
        <v>0</v>
      </c>
      <c r="BO93" s="100">
        <f>_xll.EQNXTDZ($A$1,$B93,BO$5,$B$1)</f>
        <v>0</v>
      </c>
      <c r="BP93" s="100">
        <f>_xll.EQNXTDZ($A$1,$B93,BP$5,$B$1)</f>
        <v>0</v>
      </c>
      <c r="BQ93" s="100">
        <f>_xll.EQNXTDZ($A$1,$B93,BQ$5,$B$1)</f>
        <v>0</v>
      </c>
      <c r="BR93" s="100">
        <f>_xll.EQNXTDZ($A$1,$B93,BR$5,$B$1)</f>
        <v>0</v>
      </c>
      <c r="BS93" s="100">
        <f>_xll.EQNXTDZ($A$1,$B93,BS$5,$B$1)</f>
        <v>0</v>
      </c>
      <c r="BT93" s="100">
        <f>_xll.EQNXTDZ($A$1,$B93,BT$5,$B$1)</f>
        <v>0</v>
      </c>
      <c r="BU93" s="100">
        <f>_xll.EQNXTDZ($A$1,$B93,BU$5,$B$1)</f>
        <v>0</v>
      </c>
      <c r="BV93" s="100">
        <f>_xll.EQNXTDZ($A$1,$B93,BV$5,$B$1)</f>
        <v>0</v>
      </c>
    </row>
    <row r="94" spans="1:74" x14ac:dyDescent="0.25">
      <c r="A94" t="s">
        <v>370</v>
      </c>
      <c r="B94" t="s">
        <v>410</v>
      </c>
      <c r="C94" s="100">
        <f>_xll.EQNXTDZ($A$1,$B94,C$5,$B$1)</f>
        <v>1105.1199999999999</v>
      </c>
      <c r="D94" s="100">
        <f>_xll.EQNXTDZ($A$1,$B94,D$5,$B$1)</f>
        <v>0</v>
      </c>
      <c r="E94" s="100">
        <f>_xll.EQNXTDZ($A$1,$B94,E$5,$B$1)</f>
        <v>988.66999999999905</v>
      </c>
      <c r="F94" s="100">
        <f>_xll.EQNXTDZ($A$1,$B94,F$5,$B$1)</f>
        <v>0</v>
      </c>
      <c r="G94" s="100">
        <f>_xll.EQNXTDZ($A$1,$B94,G$5,$B$1)</f>
        <v>884.22000000000105</v>
      </c>
      <c r="H94" s="100">
        <f>_xll.EQNXTDZ($A$1,$B94,H$5,$B$1)</f>
        <v>0</v>
      </c>
      <c r="I94" s="100">
        <f>_xll.EQNXTDZ($A$1,$B94,I$5,$B$1)</f>
        <v>857.25</v>
      </c>
      <c r="J94" s="100">
        <f>_xll.EQNXTDZ($A$1,$B94,J$5,$B$1)</f>
        <v>0</v>
      </c>
      <c r="K94" s="100">
        <f>_xll.EQNXTDZ($A$1,$B94,K$5,$B$1)</f>
        <v>929.19</v>
      </c>
      <c r="L94" s="100">
        <f>_xll.EQNXTDZ($A$1,$B94,L$5,$B$1)</f>
        <v>0</v>
      </c>
      <c r="M94" s="100">
        <f>_xll.EQNXTDZ($A$1,$B94,M$5,$B$1)</f>
        <v>981.83</v>
      </c>
      <c r="N94" s="100">
        <f>_xll.EQNXTDZ($A$1,$B94,N$5,$B$1)</f>
        <v>0</v>
      </c>
      <c r="O94" s="100">
        <f>_xll.EQNXTDZ($A$1,$B94,O$5,$B$1)</f>
        <v>1116.19</v>
      </c>
      <c r="P94" s="100">
        <f>_xll.EQNXTDZ($A$1,$B94,P$5,$B$1)</f>
        <v>0</v>
      </c>
      <c r="Q94" s="100">
        <f>_xll.EQNXTDZ($A$1,$B94,Q$5,$B$1)</f>
        <v>1823.91</v>
      </c>
      <c r="R94" s="100">
        <f>_xll.EQNXTDZ($A$1,$B94,R$5,$B$1)</f>
        <v>0</v>
      </c>
      <c r="S94" s="100">
        <f>_xll.EQNXTDZ($A$1,$B94,S$5,$B$1)</f>
        <v>2082.9</v>
      </c>
      <c r="T94" s="100">
        <f>_xll.EQNXTDZ($A$1,$B94,T$5,$B$1)</f>
        <v>0</v>
      </c>
      <c r="U94" s="100">
        <f>_xll.EQNXTDZ($A$1,$B94,U$5,$B$1)</f>
        <v>2133.66</v>
      </c>
      <c r="V94" s="100">
        <f>_xll.EQNXTDZ($A$1,$B94,V$5,$B$1)</f>
        <v>0</v>
      </c>
      <c r="W94" s="100">
        <f>_xll.EQNXTDZ($A$1,$B94,W$5,$B$1)</f>
        <v>2200.0300000000002</v>
      </c>
      <c r="X94" s="100">
        <f>_xll.EQNXTDZ($A$1,$B94,X$5,$B$1)</f>
        <v>0</v>
      </c>
      <c r="Y94" s="100">
        <f>_xll.EQNXTDZ($A$1,$B94,Y$5,$B$1)</f>
        <v>1725.96</v>
      </c>
      <c r="Z94" s="100">
        <f>_xll.EQNXTDZ($A$1,$B94,Z$5,$B$1)</f>
        <v>0</v>
      </c>
      <c r="AA94" s="100">
        <f>_xll.EQNXTDZ($A$1,$B94,AA$5,$B$1)</f>
        <v>1826.57</v>
      </c>
      <c r="AB94" s="100">
        <f>_xll.EQNXTDZ($A$1,$B94,AB$5,$B$1)</f>
        <v>0</v>
      </c>
      <c r="AC94" s="100">
        <f>_xll.EQNXTDZ($A$1,$B94,AC$5,$B$1)</f>
        <v>2493.35</v>
      </c>
      <c r="AD94" s="100">
        <f>_xll.EQNXTDZ($A$1,$B94,AD$5,$B$1)</f>
        <v>0</v>
      </c>
      <c r="AE94" s="100">
        <f>_xll.EQNXTDZ($A$1,$B94,AE$5,$B$1)</f>
        <v>2888.43</v>
      </c>
      <c r="AF94" s="100">
        <f>_xll.EQNXTDZ($A$1,$B94,AF$5,$B$1)</f>
        <v>0</v>
      </c>
      <c r="AG94" s="100">
        <f>_xll.EQNXTDZ($A$1,$B94,AG$5,$B$1)</f>
        <v>2273.06</v>
      </c>
      <c r="AH94" s="100">
        <f>_xll.EQNXTDZ($A$1,$B94,AH$5,$B$1)</f>
        <v>0</v>
      </c>
      <c r="AI94" s="100">
        <f>_xll.EQNXTDZ($A$1,$B94,AI$5,$B$1)</f>
        <v>2147.73</v>
      </c>
      <c r="AJ94" s="100">
        <f>_xll.EQNXTDZ($A$1,$B94,AJ$5,$B$1)</f>
        <v>0</v>
      </c>
      <c r="AK94" s="100">
        <f>_xll.EQNXTDZ($A$1,$B94,AK$5,$B$1)</f>
        <v>2149.7199999999998</v>
      </c>
      <c r="AL94" s="100">
        <f>_xll.EQNXTDZ($A$1,$B94,AL$5,$B$1)</f>
        <v>0</v>
      </c>
      <c r="AM94" s="100">
        <f>_xll.EQNXTDZ($A$1,$B94,AM$5,$B$1)</f>
        <v>2343.4899999999998</v>
      </c>
      <c r="AN94" s="100">
        <f>_xll.EQNXTDZ($A$1,$B94,AN$5,$B$1)</f>
        <v>0</v>
      </c>
      <c r="AO94" s="100">
        <f>_xll.EQNXTDZ($A$1,$B94,AO$5,$B$1)</f>
        <v>2631.55</v>
      </c>
      <c r="AP94" s="100">
        <f>_xll.EQNXTDZ($A$1,$B94,AP$5,$B$1)</f>
        <v>0</v>
      </c>
      <c r="AQ94" s="100">
        <f>_xll.EQNXTDZ($A$1,$B94,AQ$5,$B$1)</f>
        <v>2730.63</v>
      </c>
      <c r="AR94" s="100">
        <f>_xll.EQNXTDZ($A$1,$B94,AR$5,$B$1)</f>
        <v>0</v>
      </c>
      <c r="AS94" s="100">
        <f>_xll.EQNXTDZ($A$1,$B94,AS$5,$B$1)</f>
        <v>3548.26</v>
      </c>
      <c r="AT94" s="100">
        <f>_xll.EQNXTDZ($A$1,$B94,AT$5,$B$1)</f>
        <v>0</v>
      </c>
      <c r="AU94" s="100">
        <f>_xll.EQNXTDZ($A$1,$B94,AU$5,$B$1)</f>
        <v>4006.68</v>
      </c>
      <c r="AV94" s="100">
        <f>_xll.EQNXTDZ($A$1,$B94,AV$5,$B$1)</f>
        <v>0</v>
      </c>
      <c r="AW94" s="100">
        <f>_xll.EQNXTDZ($A$1,$B94,AW$5,$B$1)</f>
        <v>4533.33</v>
      </c>
      <c r="AX94" s="100">
        <f>_xll.EQNXTDZ($A$1,$B94,AX$5,$B$1)</f>
        <v>0</v>
      </c>
      <c r="AY94" s="100">
        <f>_xll.EQNXTDZ($A$1,$B94,AY$5,$B$1)</f>
        <v>4879.13</v>
      </c>
      <c r="AZ94" s="100">
        <f>_xll.EQNXTDZ($A$1,$B94,AZ$5,$B$1)</f>
        <v>0</v>
      </c>
      <c r="BA94" s="100">
        <f>_xll.EQNXTDZ($A$1,$B94,BA$5,$B$1)</f>
        <v>5488.64</v>
      </c>
      <c r="BB94" s="100">
        <f>_xll.EQNXTDZ($A$1,$B94,BB$5,$B$1)</f>
        <v>0</v>
      </c>
      <c r="BC94" s="100">
        <f>_xll.EQNXTDZ($A$1,$B94,BC$5,$B$1)</f>
        <v>5605.83</v>
      </c>
      <c r="BD94" s="100">
        <f>_xll.EQNXTDZ($A$1,$B94,BD$5,$B$1)</f>
        <v>0</v>
      </c>
      <c r="BE94" s="100">
        <f>_xll.EQNXTDZ($A$1,$B94,BE$5,$B$1)</f>
        <v>6016.26</v>
      </c>
      <c r="BF94" s="100">
        <f>_xll.EQNXTDZ($A$1,$B94,BF$5,$B$1)</f>
        <v>0</v>
      </c>
      <c r="BG94" s="100">
        <f>_xll.EQNXTDZ($A$1,$B94,BG$5,$B$1)</f>
        <v>0</v>
      </c>
      <c r="BH94" s="100">
        <f>_xll.EQNXTDZ($A$1,$B94,BH$5,$B$1)</f>
        <v>0</v>
      </c>
      <c r="BI94" s="100">
        <f>_xll.EQNXTDZ($A$1,$B94,BI$5,$B$1)</f>
        <v>0</v>
      </c>
      <c r="BJ94" s="100">
        <f>_xll.EQNXTDZ($A$1,$B94,BJ$5,$B$1)</f>
        <v>0</v>
      </c>
      <c r="BK94" s="100">
        <f>_xll.EQNXTDZ($A$1,$B94,BK$5,$B$1)</f>
        <v>0</v>
      </c>
      <c r="BL94" s="100">
        <f>_xll.EQNXTDZ($A$1,$B94,BL$5,$B$1)</f>
        <v>0</v>
      </c>
      <c r="BM94" s="100">
        <f>_xll.EQNXTDZ($A$1,$B94,BM$5,$B$1)</f>
        <v>0</v>
      </c>
      <c r="BN94" s="100">
        <f>_xll.EQNXTDZ($A$1,$B94,BN$5,$B$1)</f>
        <v>0</v>
      </c>
      <c r="BO94" s="100">
        <f>_xll.EQNXTDZ($A$1,$B94,BO$5,$B$1)</f>
        <v>0</v>
      </c>
      <c r="BP94" s="100">
        <f>_xll.EQNXTDZ($A$1,$B94,BP$5,$B$1)</f>
        <v>0</v>
      </c>
      <c r="BQ94" s="100">
        <f>_xll.EQNXTDZ($A$1,$B94,BQ$5,$B$1)</f>
        <v>0</v>
      </c>
      <c r="BR94" s="100">
        <f>_xll.EQNXTDZ($A$1,$B94,BR$5,$B$1)</f>
        <v>0</v>
      </c>
      <c r="BS94" s="100">
        <f>_xll.EQNXTDZ($A$1,$B94,BS$5,$B$1)</f>
        <v>0</v>
      </c>
      <c r="BT94" s="100">
        <f>_xll.EQNXTDZ($A$1,$B94,BT$5,$B$1)</f>
        <v>0</v>
      </c>
      <c r="BU94" s="100">
        <f>_xll.EQNXTDZ($A$1,$B94,BU$5,$B$1)</f>
        <v>0</v>
      </c>
      <c r="BV94" s="100">
        <f>_xll.EQNXTDZ($A$1,$B94,BV$5,$B$1)</f>
        <v>0</v>
      </c>
    </row>
    <row r="95" spans="1:74" x14ac:dyDescent="0.25">
      <c r="A95" t="s">
        <v>79</v>
      </c>
      <c r="B95" t="s">
        <v>411</v>
      </c>
      <c r="C95" s="100">
        <f>_xll.EQNXTDZ($A$1,$B95,C$5,$B$1)</f>
        <v>0</v>
      </c>
      <c r="D95" s="100">
        <f>_xll.EQNXTDZ($A$1,$B95,D$5,$B$1)</f>
        <v>0</v>
      </c>
      <c r="E95" s="100">
        <f>_xll.EQNXTDZ($A$1,$B95,E$5,$B$1)</f>
        <v>0</v>
      </c>
      <c r="F95" s="100">
        <f>_xll.EQNXTDZ($A$1,$B95,F$5,$B$1)</f>
        <v>0</v>
      </c>
      <c r="G95" s="100">
        <f>_xll.EQNXTDZ($A$1,$B95,G$5,$B$1)</f>
        <v>0</v>
      </c>
      <c r="H95" s="100">
        <f>_xll.EQNXTDZ($A$1,$B95,H$5,$B$1)</f>
        <v>0</v>
      </c>
      <c r="I95" s="100">
        <f>_xll.EQNXTDZ($A$1,$B95,I$5,$B$1)</f>
        <v>0</v>
      </c>
      <c r="J95" s="100">
        <f>_xll.EQNXTDZ($A$1,$B95,J$5,$B$1)</f>
        <v>0</v>
      </c>
      <c r="K95" s="100">
        <f>_xll.EQNXTDZ($A$1,$B95,K$5,$B$1)</f>
        <v>0</v>
      </c>
      <c r="L95" s="100">
        <f>_xll.EQNXTDZ($A$1,$B95,L$5,$B$1)</f>
        <v>0</v>
      </c>
      <c r="M95" s="100">
        <f>_xll.EQNXTDZ($A$1,$B95,M$5,$B$1)</f>
        <v>0</v>
      </c>
      <c r="N95" s="100">
        <f>_xll.EQNXTDZ($A$1,$B95,N$5,$B$1)</f>
        <v>0</v>
      </c>
      <c r="O95" s="100">
        <f>_xll.EQNXTDZ($A$1,$B95,O$5,$B$1)</f>
        <v>0</v>
      </c>
      <c r="P95" s="100">
        <f>_xll.EQNXTDZ($A$1,$B95,P$5,$B$1)</f>
        <v>0</v>
      </c>
      <c r="Q95" s="100">
        <f>_xll.EQNXTDZ($A$1,$B95,Q$5,$B$1)</f>
        <v>0</v>
      </c>
      <c r="R95" s="100">
        <f>_xll.EQNXTDZ($A$1,$B95,R$5,$B$1)</f>
        <v>0</v>
      </c>
      <c r="S95" s="100">
        <f>_xll.EQNXTDZ($A$1,$B95,S$5,$B$1)</f>
        <v>0</v>
      </c>
      <c r="T95" s="100">
        <f>_xll.EQNXTDZ($A$1,$B95,T$5,$B$1)</f>
        <v>0</v>
      </c>
      <c r="U95" s="100">
        <f>_xll.EQNXTDZ($A$1,$B95,U$5,$B$1)</f>
        <v>0</v>
      </c>
      <c r="V95" s="100">
        <f>_xll.EQNXTDZ($A$1,$B95,V$5,$B$1)</f>
        <v>0</v>
      </c>
      <c r="W95" s="100">
        <f>_xll.EQNXTDZ($A$1,$B95,W$5,$B$1)</f>
        <v>0</v>
      </c>
      <c r="X95" s="100">
        <f>_xll.EQNXTDZ($A$1,$B95,X$5,$B$1)</f>
        <v>0</v>
      </c>
      <c r="Y95" s="100">
        <f>_xll.EQNXTDZ($A$1,$B95,Y$5,$B$1)</f>
        <v>0</v>
      </c>
      <c r="Z95" s="100">
        <f>_xll.EQNXTDZ($A$1,$B95,Z$5,$B$1)</f>
        <v>0</v>
      </c>
      <c r="AA95" s="100">
        <f>_xll.EQNXTDZ($A$1,$B95,AA$5,$B$1)</f>
        <v>0</v>
      </c>
      <c r="AB95" s="100">
        <f>_xll.EQNXTDZ($A$1,$B95,AB$5,$B$1)</f>
        <v>0</v>
      </c>
      <c r="AC95" s="100">
        <f>_xll.EQNXTDZ($A$1,$B95,AC$5,$B$1)</f>
        <v>0</v>
      </c>
      <c r="AD95" s="100">
        <f>_xll.EQNXTDZ($A$1,$B95,AD$5,$B$1)</f>
        <v>0</v>
      </c>
      <c r="AE95" s="100">
        <f>_xll.EQNXTDZ($A$1,$B95,AE$5,$B$1)</f>
        <v>0</v>
      </c>
      <c r="AF95" s="100">
        <f>_xll.EQNXTDZ($A$1,$B95,AF$5,$B$1)</f>
        <v>0</v>
      </c>
      <c r="AG95" s="100">
        <f>_xll.EQNXTDZ($A$1,$B95,AG$5,$B$1)</f>
        <v>0</v>
      </c>
      <c r="AH95" s="100">
        <f>_xll.EQNXTDZ($A$1,$B95,AH$5,$B$1)</f>
        <v>0</v>
      </c>
      <c r="AI95" s="100">
        <f>_xll.EQNXTDZ($A$1,$B95,AI$5,$B$1)</f>
        <v>0</v>
      </c>
      <c r="AJ95" s="100">
        <f>_xll.EQNXTDZ($A$1,$B95,AJ$5,$B$1)</f>
        <v>0</v>
      </c>
      <c r="AK95" s="100">
        <f>_xll.EQNXTDZ($A$1,$B95,AK$5,$B$1)</f>
        <v>0</v>
      </c>
      <c r="AL95" s="100">
        <f>_xll.EQNXTDZ($A$1,$B95,AL$5,$B$1)</f>
        <v>0</v>
      </c>
      <c r="AM95" s="100">
        <f>_xll.EQNXTDZ($A$1,$B95,AM$5,$B$1)</f>
        <v>0</v>
      </c>
      <c r="AN95" s="100">
        <f>_xll.EQNXTDZ($A$1,$B95,AN$5,$B$1)</f>
        <v>0</v>
      </c>
      <c r="AO95" s="100">
        <f>_xll.EQNXTDZ($A$1,$B95,AO$5,$B$1)</f>
        <v>0</v>
      </c>
      <c r="AP95" s="100">
        <f>_xll.EQNXTDZ($A$1,$B95,AP$5,$B$1)</f>
        <v>0</v>
      </c>
      <c r="AQ95" s="100">
        <f>_xll.EQNXTDZ($A$1,$B95,AQ$5,$B$1)</f>
        <v>0</v>
      </c>
      <c r="AR95" s="100">
        <f>_xll.EQNXTDZ($A$1,$B95,AR$5,$B$1)</f>
        <v>0</v>
      </c>
      <c r="AS95" s="100">
        <f>_xll.EQNXTDZ($A$1,$B95,AS$5,$B$1)</f>
        <v>0</v>
      </c>
      <c r="AT95" s="100">
        <f>_xll.EQNXTDZ($A$1,$B95,AT$5,$B$1)</f>
        <v>0</v>
      </c>
      <c r="AU95" s="100">
        <f>_xll.EQNXTDZ($A$1,$B95,AU$5,$B$1)</f>
        <v>0</v>
      </c>
      <c r="AV95" s="100">
        <f>_xll.EQNXTDZ($A$1,$B95,AV$5,$B$1)</f>
        <v>0</v>
      </c>
      <c r="AW95" s="100">
        <f>_xll.EQNXTDZ($A$1,$B95,AW$5,$B$1)</f>
        <v>0</v>
      </c>
      <c r="AX95" s="100">
        <f>_xll.EQNXTDZ($A$1,$B95,AX$5,$B$1)</f>
        <v>0</v>
      </c>
      <c r="AY95" s="100">
        <f>_xll.EQNXTDZ($A$1,$B95,AY$5,$B$1)</f>
        <v>0</v>
      </c>
      <c r="AZ95" s="100">
        <f>_xll.EQNXTDZ($A$1,$B95,AZ$5,$B$1)</f>
        <v>0</v>
      </c>
      <c r="BA95" s="100">
        <f>_xll.EQNXTDZ($A$1,$B95,BA$5,$B$1)</f>
        <v>0</v>
      </c>
      <c r="BB95" s="100">
        <f>_xll.EQNXTDZ($A$1,$B95,BB$5,$B$1)</f>
        <v>0</v>
      </c>
      <c r="BC95" s="100">
        <f>_xll.EQNXTDZ($A$1,$B95,BC$5,$B$1)</f>
        <v>0</v>
      </c>
      <c r="BD95" s="100">
        <f>_xll.EQNXTDZ($A$1,$B95,BD$5,$B$1)</f>
        <v>0</v>
      </c>
      <c r="BE95" s="100">
        <f>_xll.EQNXTDZ($A$1,$B95,BE$5,$B$1)</f>
        <v>0</v>
      </c>
      <c r="BF95" s="100">
        <f>_xll.EQNXTDZ($A$1,$B95,BF$5,$B$1)</f>
        <v>0</v>
      </c>
      <c r="BG95" s="100">
        <f>_xll.EQNXTDZ($A$1,$B95,BG$5,$B$1)</f>
        <v>0</v>
      </c>
      <c r="BH95" s="100">
        <f>_xll.EQNXTDZ($A$1,$B95,BH$5,$B$1)</f>
        <v>0</v>
      </c>
      <c r="BI95" s="100">
        <f>_xll.EQNXTDZ($A$1,$B95,BI$5,$B$1)</f>
        <v>0</v>
      </c>
      <c r="BJ95" s="100">
        <f>_xll.EQNXTDZ($A$1,$B95,BJ$5,$B$1)</f>
        <v>0</v>
      </c>
      <c r="BK95" s="100">
        <f>_xll.EQNXTDZ($A$1,$B95,BK$5,$B$1)</f>
        <v>0</v>
      </c>
      <c r="BL95" s="100">
        <f>_xll.EQNXTDZ($A$1,$B95,BL$5,$B$1)</f>
        <v>0</v>
      </c>
      <c r="BM95" s="100">
        <f>_xll.EQNXTDZ($A$1,$B95,BM$5,$B$1)</f>
        <v>0</v>
      </c>
      <c r="BN95" s="100">
        <f>_xll.EQNXTDZ($A$1,$B95,BN$5,$B$1)</f>
        <v>0</v>
      </c>
      <c r="BO95" s="100">
        <f>_xll.EQNXTDZ($A$1,$B95,BO$5,$B$1)</f>
        <v>0</v>
      </c>
      <c r="BP95" s="100">
        <f>_xll.EQNXTDZ($A$1,$B95,BP$5,$B$1)</f>
        <v>0</v>
      </c>
      <c r="BQ95" s="100">
        <f>_xll.EQNXTDZ($A$1,$B95,BQ$5,$B$1)</f>
        <v>0</v>
      </c>
      <c r="BR95" s="100">
        <f>_xll.EQNXTDZ($A$1,$B95,BR$5,$B$1)</f>
        <v>0</v>
      </c>
      <c r="BS95" s="100">
        <f>_xll.EQNXTDZ($A$1,$B95,BS$5,$B$1)</f>
        <v>0</v>
      </c>
      <c r="BT95" s="100">
        <f>_xll.EQNXTDZ($A$1,$B95,BT$5,$B$1)</f>
        <v>0</v>
      </c>
      <c r="BU95" s="100">
        <f>_xll.EQNXTDZ($A$1,$B95,BU$5,$B$1)</f>
        <v>0</v>
      </c>
      <c r="BV95" s="100">
        <f>_xll.EQNXTDZ($A$1,$B95,BV$5,$B$1)</f>
        <v>0</v>
      </c>
    </row>
    <row r="96" spans="1:74" x14ac:dyDescent="0.25">
      <c r="A96" t="s">
        <v>78</v>
      </c>
      <c r="B96" t="s">
        <v>412</v>
      </c>
      <c r="C96" s="100">
        <f>_xll.EQNXTDZ($A$1,$B96,C$5,$B$1)</f>
        <v>14.6</v>
      </c>
      <c r="D96" s="100">
        <f>_xll.EQNXTDZ($A$1,$B96,D$5,$B$1)</f>
        <v>0</v>
      </c>
      <c r="E96" s="100">
        <f>_xll.EQNXTDZ($A$1,$B96,E$5,$B$1)</f>
        <v>14.99</v>
      </c>
      <c r="F96" s="100">
        <f>_xll.EQNXTDZ($A$1,$B96,F$5,$B$1)</f>
        <v>0</v>
      </c>
      <c r="G96" s="100">
        <f>_xll.EQNXTDZ($A$1,$B96,G$5,$B$1)</f>
        <v>13.23</v>
      </c>
      <c r="H96" s="100">
        <f>_xll.EQNXTDZ($A$1,$B96,H$5,$B$1)</f>
        <v>0</v>
      </c>
      <c r="I96" s="100">
        <f>_xll.EQNXTDZ($A$1,$B96,I$5,$B$1)</f>
        <v>27.93</v>
      </c>
      <c r="J96" s="100">
        <f>_xll.EQNXTDZ($A$1,$B96,J$5,$B$1)</f>
        <v>0</v>
      </c>
      <c r="K96" s="100">
        <f>_xll.EQNXTDZ($A$1,$B96,K$5,$B$1)</f>
        <v>9.94</v>
      </c>
      <c r="L96" s="100">
        <f>_xll.EQNXTDZ($A$1,$B96,L$5,$B$1)</f>
        <v>0</v>
      </c>
      <c r="M96" s="100">
        <f>_xll.EQNXTDZ($A$1,$B96,M$5,$B$1)</f>
        <v>15.23</v>
      </c>
      <c r="N96" s="100">
        <f>_xll.EQNXTDZ($A$1,$B96,N$5,$B$1)</f>
        <v>0</v>
      </c>
      <c r="O96" s="100">
        <f>_xll.EQNXTDZ($A$1,$B96,O$5,$B$1)</f>
        <v>19.16</v>
      </c>
      <c r="P96" s="100">
        <f>_xll.EQNXTDZ($A$1,$B96,P$5,$B$1)</f>
        <v>0</v>
      </c>
      <c r="Q96" s="100">
        <f>_xll.EQNXTDZ($A$1,$B96,Q$5,$B$1)</f>
        <v>48.96</v>
      </c>
      <c r="R96" s="100">
        <f>_xll.EQNXTDZ($A$1,$B96,R$5,$B$1)</f>
        <v>0</v>
      </c>
      <c r="S96" s="100">
        <f>_xll.EQNXTDZ($A$1,$B96,S$5,$B$1)</f>
        <v>53.77</v>
      </c>
      <c r="T96" s="100">
        <f>_xll.EQNXTDZ($A$1,$B96,T$5,$B$1)</f>
        <v>0</v>
      </c>
      <c r="U96" s="100">
        <f>_xll.EQNXTDZ($A$1,$B96,U$5,$B$1)</f>
        <v>78.36</v>
      </c>
      <c r="V96" s="100">
        <f>_xll.EQNXTDZ($A$1,$B96,V$5,$B$1)</f>
        <v>0</v>
      </c>
      <c r="W96" s="100">
        <f>_xll.EQNXTDZ($A$1,$B96,W$5,$B$1)</f>
        <v>126.22</v>
      </c>
      <c r="X96" s="100">
        <f>_xll.EQNXTDZ($A$1,$B96,X$5,$B$1)</f>
        <v>0</v>
      </c>
      <c r="Y96" s="100">
        <f>_xll.EQNXTDZ($A$1,$B96,Y$5,$B$1)</f>
        <v>117.3</v>
      </c>
      <c r="Z96" s="100">
        <f>_xll.EQNXTDZ($A$1,$B96,Z$5,$B$1)</f>
        <v>0</v>
      </c>
      <c r="AA96" s="100">
        <f>_xll.EQNXTDZ($A$1,$B96,AA$5,$B$1)</f>
        <v>115.05</v>
      </c>
      <c r="AB96" s="100">
        <f>_xll.EQNXTDZ($A$1,$B96,AB$5,$B$1)</f>
        <v>0</v>
      </c>
      <c r="AC96" s="100">
        <f>_xll.EQNXTDZ($A$1,$B96,AC$5,$B$1)</f>
        <v>114.96</v>
      </c>
      <c r="AD96" s="100">
        <f>_xll.EQNXTDZ($A$1,$B96,AD$5,$B$1)</f>
        <v>0</v>
      </c>
      <c r="AE96" s="100">
        <f>_xll.EQNXTDZ($A$1,$B96,AE$5,$B$1)</f>
        <v>96.81</v>
      </c>
      <c r="AF96" s="100">
        <f>_xll.EQNXTDZ($A$1,$B96,AF$5,$B$1)</f>
        <v>0</v>
      </c>
      <c r="AG96" s="100">
        <f>_xll.EQNXTDZ($A$1,$B96,AG$5,$B$1)</f>
        <v>110.34</v>
      </c>
      <c r="AH96" s="100">
        <f>_xll.EQNXTDZ($A$1,$B96,AH$5,$B$1)</f>
        <v>0</v>
      </c>
      <c r="AI96" s="100">
        <f>_xll.EQNXTDZ($A$1,$B96,AI$5,$B$1)</f>
        <v>120.78</v>
      </c>
      <c r="AJ96" s="100">
        <f>_xll.EQNXTDZ($A$1,$B96,AJ$5,$B$1)</f>
        <v>0</v>
      </c>
      <c r="AK96" s="100">
        <f>_xll.EQNXTDZ($A$1,$B96,AK$5,$B$1)</f>
        <v>117.21</v>
      </c>
      <c r="AL96" s="100">
        <f>_xll.EQNXTDZ($A$1,$B96,AL$5,$B$1)</f>
        <v>0</v>
      </c>
      <c r="AM96" s="100">
        <f>_xll.EQNXTDZ($A$1,$B96,AM$5,$B$1)</f>
        <v>101.56</v>
      </c>
      <c r="AN96" s="100">
        <f>_xll.EQNXTDZ($A$1,$B96,AN$5,$B$1)</f>
        <v>0</v>
      </c>
      <c r="AO96" s="100">
        <f>_xll.EQNXTDZ($A$1,$B96,AO$5,$B$1)</f>
        <v>93.86</v>
      </c>
      <c r="AP96" s="100">
        <f>_xll.EQNXTDZ($A$1,$B96,AP$5,$B$1)</f>
        <v>0</v>
      </c>
      <c r="AQ96" s="100">
        <f>_xll.EQNXTDZ($A$1,$B96,AQ$5,$B$1)</f>
        <v>96.85</v>
      </c>
      <c r="AR96" s="100">
        <f>_xll.EQNXTDZ($A$1,$B96,AR$5,$B$1)</f>
        <v>0</v>
      </c>
      <c r="AS96" s="100">
        <f>_xll.EQNXTDZ($A$1,$B96,AS$5,$B$1)</f>
        <v>89.84</v>
      </c>
      <c r="AT96" s="100">
        <f>_xll.EQNXTDZ($A$1,$B96,AT$5,$B$1)</f>
        <v>0</v>
      </c>
      <c r="AU96" s="100">
        <f>_xll.EQNXTDZ($A$1,$B96,AU$5,$B$1)</f>
        <v>86.69</v>
      </c>
      <c r="AV96" s="100">
        <f>_xll.EQNXTDZ($A$1,$B96,AV$5,$B$1)</f>
        <v>0</v>
      </c>
      <c r="AW96" s="100">
        <f>_xll.EQNXTDZ($A$1,$B96,AW$5,$B$1)</f>
        <v>102.7</v>
      </c>
      <c r="AX96" s="100">
        <f>_xll.EQNXTDZ($A$1,$B96,AX$5,$B$1)</f>
        <v>0</v>
      </c>
      <c r="AY96" s="100">
        <f>_xll.EQNXTDZ($A$1,$B96,AY$5,$B$1)</f>
        <v>107.67</v>
      </c>
      <c r="AZ96" s="100">
        <f>_xll.EQNXTDZ($A$1,$B96,AZ$5,$B$1)</f>
        <v>0</v>
      </c>
      <c r="BA96" s="100">
        <f>_xll.EQNXTDZ($A$1,$B96,BA$5,$B$1)</f>
        <v>98.49</v>
      </c>
      <c r="BB96" s="100">
        <f>_xll.EQNXTDZ($A$1,$B96,BB$5,$B$1)</f>
        <v>0</v>
      </c>
      <c r="BC96" s="100">
        <f>_xll.EQNXTDZ($A$1,$B96,BC$5,$B$1)</f>
        <v>75.73</v>
      </c>
      <c r="BD96" s="100">
        <f>_xll.EQNXTDZ($A$1,$B96,BD$5,$B$1)</f>
        <v>0</v>
      </c>
      <c r="BE96" s="100">
        <f>_xll.EQNXTDZ($A$1,$B96,BE$5,$B$1)</f>
        <v>56.46</v>
      </c>
      <c r="BF96" s="100">
        <f>_xll.EQNXTDZ($A$1,$B96,BF$5,$B$1)</f>
        <v>0</v>
      </c>
      <c r="BG96" s="100">
        <f>_xll.EQNXTDZ($A$1,$B96,BG$5,$B$1)</f>
        <v>0</v>
      </c>
      <c r="BH96" s="100">
        <f>_xll.EQNXTDZ($A$1,$B96,BH$5,$B$1)</f>
        <v>0</v>
      </c>
      <c r="BI96" s="100">
        <f>_xll.EQNXTDZ($A$1,$B96,BI$5,$B$1)</f>
        <v>0</v>
      </c>
      <c r="BJ96" s="100">
        <f>_xll.EQNXTDZ($A$1,$B96,BJ$5,$B$1)</f>
        <v>0</v>
      </c>
      <c r="BK96" s="100">
        <f>_xll.EQNXTDZ($A$1,$B96,BK$5,$B$1)</f>
        <v>0</v>
      </c>
      <c r="BL96" s="100">
        <f>_xll.EQNXTDZ($A$1,$B96,BL$5,$B$1)</f>
        <v>0</v>
      </c>
      <c r="BM96" s="100">
        <f>_xll.EQNXTDZ($A$1,$B96,BM$5,$B$1)</f>
        <v>0</v>
      </c>
      <c r="BN96" s="100">
        <f>_xll.EQNXTDZ($A$1,$B96,BN$5,$B$1)</f>
        <v>0</v>
      </c>
      <c r="BO96" s="100">
        <f>_xll.EQNXTDZ($A$1,$B96,BO$5,$B$1)</f>
        <v>0</v>
      </c>
      <c r="BP96" s="100">
        <f>_xll.EQNXTDZ($A$1,$B96,BP$5,$B$1)</f>
        <v>0</v>
      </c>
      <c r="BQ96" s="100">
        <f>_xll.EQNXTDZ($A$1,$B96,BQ$5,$B$1)</f>
        <v>0</v>
      </c>
      <c r="BR96" s="100">
        <f>_xll.EQNXTDZ($A$1,$B96,BR$5,$B$1)</f>
        <v>0</v>
      </c>
      <c r="BS96" s="100">
        <f>_xll.EQNXTDZ($A$1,$B96,BS$5,$B$1)</f>
        <v>0</v>
      </c>
      <c r="BT96" s="100">
        <f>_xll.EQNXTDZ($A$1,$B96,BT$5,$B$1)</f>
        <v>0</v>
      </c>
      <c r="BU96" s="100">
        <f>_xll.EQNXTDZ($A$1,$B96,BU$5,$B$1)</f>
        <v>0</v>
      </c>
      <c r="BV96" s="100">
        <f>_xll.EQNXTDZ($A$1,$B96,BV$5,$B$1)</f>
        <v>0</v>
      </c>
    </row>
    <row r="97" spans="1:74" x14ac:dyDescent="0.25">
      <c r="A97" t="s">
        <v>174</v>
      </c>
      <c r="B97" t="s">
        <v>413</v>
      </c>
      <c r="C97" s="100">
        <f>_xll.EQNXTDZ($A$1,$B97,C$5,$B$1)</f>
        <v>2643.34</v>
      </c>
      <c r="D97" s="100">
        <f>_xll.EQNXTDZ($A$1,$B97,D$5,$B$1)</f>
        <v>0</v>
      </c>
      <c r="E97" s="100">
        <f>_xll.EQNXTDZ($A$1,$B97,E$5,$B$1)</f>
        <v>2611.2399999999998</v>
      </c>
      <c r="F97" s="100">
        <f>_xll.EQNXTDZ($A$1,$B97,F$5,$B$1)</f>
        <v>0</v>
      </c>
      <c r="G97" s="100">
        <f>_xll.EQNXTDZ($A$1,$B97,G$5,$B$1)</f>
        <v>2667.49</v>
      </c>
      <c r="H97" s="100">
        <f>_xll.EQNXTDZ($A$1,$B97,H$5,$B$1)</f>
        <v>0</v>
      </c>
      <c r="I97" s="100">
        <f>_xll.EQNXTDZ($A$1,$B97,I$5,$B$1)</f>
        <v>2699.84</v>
      </c>
      <c r="J97" s="100">
        <f>_xll.EQNXTDZ($A$1,$B97,J$5,$B$1)</f>
        <v>0</v>
      </c>
      <c r="K97" s="100">
        <f>_xll.EQNXTDZ($A$1,$B97,K$5,$B$1)</f>
        <v>2805.94</v>
      </c>
      <c r="L97" s="100">
        <f>_xll.EQNXTDZ($A$1,$B97,L$5,$B$1)</f>
        <v>0</v>
      </c>
      <c r="M97" s="100">
        <f>_xll.EQNXTDZ($A$1,$B97,M$5,$B$1)</f>
        <v>2853.93</v>
      </c>
      <c r="N97" s="100">
        <f>_xll.EQNXTDZ($A$1,$B97,N$5,$B$1)</f>
        <v>0</v>
      </c>
      <c r="O97" s="100">
        <f>_xll.EQNXTDZ($A$1,$B97,O$5,$B$1)</f>
        <v>2959.97</v>
      </c>
      <c r="P97" s="100">
        <f>_xll.EQNXTDZ($A$1,$B97,P$5,$B$1)</f>
        <v>0</v>
      </c>
      <c r="Q97" s="100">
        <f>_xll.EQNXTDZ($A$1,$B97,Q$5,$B$1)</f>
        <v>3660.77</v>
      </c>
      <c r="R97" s="100">
        <f>_xll.EQNXTDZ($A$1,$B97,R$5,$B$1)</f>
        <v>0</v>
      </c>
      <c r="S97" s="100">
        <f>_xll.EQNXTDZ($A$1,$B97,S$5,$B$1)</f>
        <v>3816.83</v>
      </c>
      <c r="T97" s="100">
        <f>_xll.EQNXTDZ($A$1,$B97,T$5,$B$1)</f>
        <v>0</v>
      </c>
      <c r="U97" s="100">
        <f>_xll.EQNXTDZ($A$1,$B97,U$5,$B$1)</f>
        <v>3938.77</v>
      </c>
      <c r="V97" s="100">
        <f>_xll.EQNXTDZ($A$1,$B97,V$5,$B$1)</f>
        <v>0</v>
      </c>
      <c r="W97" s="100">
        <f>_xll.EQNXTDZ($A$1,$B97,W$5,$B$1)</f>
        <v>4006.88</v>
      </c>
      <c r="X97" s="100">
        <f>_xll.EQNXTDZ($A$1,$B97,X$5,$B$1)</f>
        <v>0</v>
      </c>
      <c r="Y97" s="100">
        <f>_xll.EQNXTDZ($A$1,$B97,Y$5,$B$1)</f>
        <v>3657.57</v>
      </c>
      <c r="Z97" s="100">
        <f>_xll.EQNXTDZ($A$1,$B97,Z$5,$B$1)</f>
        <v>0</v>
      </c>
      <c r="AA97" s="100">
        <f>_xll.EQNXTDZ($A$1,$B97,AA$5,$B$1)</f>
        <v>3760.74</v>
      </c>
      <c r="AB97" s="100">
        <f>_xll.EQNXTDZ($A$1,$B97,AB$5,$B$1)</f>
        <v>0</v>
      </c>
      <c r="AC97" s="100">
        <f>_xll.EQNXTDZ($A$1,$B97,AC$5,$B$1)</f>
        <v>4045.13</v>
      </c>
      <c r="AD97" s="100">
        <f>_xll.EQNXTDZ($A$1,$B97,AD$5,$B$1)</f>
        <v>0</v>
      </c>
      <c r="AE97" s="100">
        <f>_xll.EQNXTDZ($A$1,$B97,AE$5,$B$1)</f>
        <v>4181.49</v>
      </c>
      <c r="AF97" s="100">
        <f>_xll.EQNXTDZ($A$1,$B97,AF$5,$B$1)</f>
        <v>0</v>
      </c>
      <c r="AG97" s="100">
        <f>_xll.EQNXTDZ($A$1,$B97,AG$5,$B$1)</f>
        <v>3575.7</v>
      </c>
      <c r="AH97" s="100">
        <f>_xll.EQNXTDZ($A$1,$B97,AH$5,$B$1)</f>
        <v>0</v>
      </c>
      <c r="AI97" s="100">
        <f>_xll.EQNXTDZ($A$1,$B97,AI$5,$B$1)</f>
        <v>3598.86</v>
      </c>
      <c r="AJ97" s="100">
        <f>_xll.EQNXTDZ($A$1,$B97,AJ$5,$B$1)</f>
        <v>0</v>
      </c>
      <c r="AK97" s="100">
        <f>_xll.EQNXTDZ($A$1,$B97,AK$5,$B$1)</f>
        <v>3656.58</v>
      </c>
      <c r="AL97" s="100">
        <f>_xll.EQNXTDZ($A$1,$B97,AL$5,$B$1)</f>
        <v>0</v>
      </c>
      <c r="AM97" s="100">
        <f>_xll.EQNXTDZ($A$1,$B97,AM$5,$B$1)</f>
        <v>3766.55</v>
      </c>
      <c r="AN97" s="100">
        <f>_xll.EQNXTDZ($A$1,$B97,AN$5,$B$1)</f>
        <v>0</v>
      </c>
      <c r="AO97" s="100">
        <f>_xll.EQNXTDZ($A$1,$B97,AO$5,$B$1)</f>
        <v>4068.95</v>
      </c>
      <c r="AP97" s="100">
        <f>_xll.EQNXTDZ($A$1,$B97,AP$5,$B$1)</f>
        <v>0</v>
      </c>
      <c r="AQ97" s="100">
        <f>_xll.EQNXTDZ($A$1,$B97,AQ$5,$B$1)</f>
        <v>4195.8999999999996</v>
      </c>
      <c r="AR97" s="100">
        <f>_xll.EQNXTDZ($A$1,$B97,AR$5,$B$1)</f>
        <v>0</v>
      </c>
      <c r="AS97" s="100">
        <f>_xll.EQNXTDZ($A$1,$B97,AS$5,$B$1)</f>
        <v>4967.8900000000003</v>
      </c>
      <c r="AT97" s="100">
        <f>_xll.EQNXTDZ($A$1,$B97,AT$5,$B$1)</f>
        <v>0</v>
      </c>
      <c r="AU97" s="100">
        <f>_xll.EQNXTDZ($A$1,$B97,AU$5,$B$1)</f>
        <v>5389.8</v>
      </c>
      <c r="AV97" s="100">
        <f>_xll.EQNXTDZ($A$1,$B97,AV$5,$B$1)</f>
        <v>0</v>
      </c>
      <c r="AW97" s="100">
        <f>_xll.EQNXTDZ($A$1,$B97,AW$5,$B$1)</f>
        <v>5987.03</v>
      </c>
      <c r="AX97" s="100">
        <f>_xll.EQNXTDZ($A$1,$B97,AX$5,$B$1)</f>
        <v>0</v>
      </c>
      <c r="AY97" s="100">
        <f>_xll.EQNXTDZ($A$1,$B97,AY$5,$B$1)</f>
        <v>6369.18</v>
      </c>
      <c r="AZ97" s="100">
        <f>_xll.EQNXTDZ($A$1,$B97,AZ$5,$B$1)</f>
        <v>0</v>
      </c>
      <c r="BA97" s="100">
        <f>_xll.EQNXTDZ($A$1,$B97,BA$5,$B$1)</f>
        <v>7117.37</v>
      </c>
      <c r="BB97" s="100">
        <f>_xll.EQNXTDZ($A$1,$B97,BB$5,$B$1)</f>
        <v>0</v>
      </c>
      <c r="BC97" s="100">
        <f>_xll.EQNXTDZ($A$1,$B97,BC$5,$B$1)</f>
        <v>7255.43</v>
      </c>
      <c r="BD97" s="100">
        <f>_xll.EQNXTDZ($A$1,$B97,BD$5,$B$1)</f>
        <v>0</v>
      </c>
      <c r="BE97" s="100">
        <f>_xll.EQNXTDZ($A$1,$B97,BE$5,$B$1)</f>
        <v>7905.03</v>
      </c>
      <c r="BF97" s="100">
        <f>_xll.EQNXTDZ($A$1,$B97,BF$5,$B$1)</f>
        <v>0</v>
      </c>
      <c r="BG97" s="100">
        <f>_xll.EQNXTDZ($A$1,$B97,BG$5,$B$1)</f>
        <v>0</v>
      </c>
      <c r="BH97" s="100">
        <f>_xll.EQNXTDZ($A$1,$B97,BH$5,$B$1)</f>
        <v>0</v>
      </c>
      <c r="BI97" s="100">
        <f>_xll.EQNXTDZ($A$1,$B97,BI$5,$B$1)</f>
        <v>0</v>
      </c>
      <c r="BJ97" s="100">
        <f>_xll.EQNXTDZ($A$1,$B97,BJ$5,$B$1)</f>
        <v>0</v>
      </c>
      <c r="BK97" s="100">
        <f>_xll.EQNXTDZ($A$1,$B97,BK$5,$B$1)</f>
        <v>0</v>
      </c>
      <c r="BL97" s="100">
        <f>_xll.EQNXTDZ($A$1,$B97,BL$5,$B$1)</f>
        <v>0</v>
      </c>
      <c r="BM97" s="100">
        <f>_xll.EQNXTDZ($A$1,$B97,BM$5,$B$1)</f>
        <v>0</v>
      </c>
      <c r="BN97" s="100">
        <f>_xll.EQNXTDZ($A$1,$B97,BN$5,$B$1)</f>
        <v>0</v>
      </c>
      <c r="BO97" s="100">
        <f>_xll.EQNXTDZ($A$1,$B97,BO$5,$B$1)</f>
        <v>0</v>
      </c>
      <c r="BP97" s="100">
        <f>_xll.EQNXTDZ($A$1,$B97,BP$5,$B$1)</f>
        <v>0</v>
      </c>
      <c r="BQ97" s="100">
        <f>_xll.EQNXTDZ($A$1,$B97,BQ$5,$B$1)</f>
        <v>0</v>
      </c>
      <c r="BR97" s="100">
        <f>_xll.EQNXTDZ($A$1,$B97,BR$5,$B$1)</f>
        <v>0</v>
      </c>
      <c r="BS97" s="100">
        <f>_xll.EQNXTDZ($A$1,$B97,BS$5,$B$1)</f>
        <v>0</v>
      </c>
      <c r="BT97" s="100">
        <f>_xll.EQNXTDZ($A$1,$B97,BT$5,$B$1)</f>
        <v>0</v>
      </c>
      <c r="BU97" s="100">
        <f>_xll.EQNXTDZ($A$1,$B97,BU$5,$B$1)</f>
        <v>0</v>
      </c>
      <c r="BV97" s="100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A3" sqref="AA3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100002</v>
      </c>
      <c r="B1" t="s">
        <v>222</v>
      </c>
      <c r="C1">
        <v>200112</v>
      </c>
      <c r="D1">
        <v>200212</v>
      </c>
      <c r="E1">
        <v>200312</v>
      </c>
      <c r="F1">
        <v>200412</v>
      </c>
      <c r="G1">
        <v>200512</v>
      </c>
      <c r="H1">
        <v>200612</v>
      </c>
      <c r="I1">
        <v>200712</v>
      </c>
      <c r="J1">
        <v>200812</v>
      </c>
      <c r="K1">
        <v>200912</v>
      </c>
      <c r="L1">
        <v>201012</v>
      </c>
      <c r="M1">
        <v>201112</v>
      </c>
      <c r="N1">
        <v>201212</v>
      </c>
      <c r="O1">
        <v>201312</v>
      </c>
      <c r="P1">
        <v>201412</v>
      </c>
      <c r="Q1">
        <v>201512</v>
      </c>
      <c r="R1">
        <v>201612</v>
      </c>
      <c r="S1">
        <v>201712</v>
      </c>
      <c r="T1">
        <v>201812</v>
      </c>
      <c r="U1">
        <v>201912</v>
      </c>
      <c r="V1">
        <v>202012</v>
      </c>
      <c r="W1">
        <v>202112</v>
      </c>
      <c r="X1">
        <v>202212</v>
      </c>
      <c r="Y1">
        <v>202312</v>
      </c>
      <c r="Z1">
        <v>202412</v>
      </c>
      <c r="AA1">
        <v>202512</v>
      </c>
      <c r="AB1">
        <v>202612</v>
      </c>
      <c r="AC1">
        <v>202712</v>
      </c>
      <c r="AD1">
        <v>202812</v>
      </c>
      <c r="AE1">
        <v>202912</v>
      </c>
      <c r="AF1">
        <v>203012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ABB India Ltd.</v>
      </c>
    </row>
    <row r="5" spans="1:32" x14ac:dyDescent="0.25">
      <c r="A5" t="s">
        <v>113</v>
      </c>
      <c r="B5" t="s">
        <v>130</v>
      </c>
      <c r="C5">
        <f>_xll.EQNXTDZ($A$1,$B5,C$1,$B$1)</f>
        <v>200112</v>
      </c>
      <c r="D5">
        <f>_xll.EQNXTDZ($A$1,$B5,D$1,$B$1)</f>
        <v>200212</v>
      </c>
      <c r="E5">
        <f>_xll.EQNXTDZ($A$1,$B5,E$1,$B$1)</f>
        <v>200312</v>
      </c>
      <c r="F5">
        <f>_xll.EQNXTDZ($A$1,$B5,F$1,$B$1)</f>
        <v>200412</v>
      </c>
      <c r="G5">
        <f>_xll.EQNXTDZ($A$1,$B5,G$1,$B$1)</f>
        <v>200512</v>
      </c>
      <c r="H5">
        <f>_xll.EQNXTDZ($A$1,$B5,H$1,$B$1)</f>
        <v>200612</v>
      </c>
      <c r="I5">
        <f>_xll.EQNXTDZ($A$1,$B5,I$1,$B$1)</f>
        <v>200712</v>
      </c>
      <c r="J5">
        <f>_xll.EQNXTDZ($A$1,$B5,J$1,$B$1)</f>
        <v>200812</v>
      </c>
      <c r="K5">
        <f>_xll.EQNXTDZ($A$1,$B5,K$1,$B$1)</f>
        <v>200912</v>
      </c>
      <c r="L5">
        <f>_xll.EQNXTDZ($A$1,$B5,L$1,$B$1)</f>
        <v>201012</v>
      </c>
      <c r="M5">
        <f>_xll.EQNXTDZ($A$1,$B5,M$1,$B$1)</f>
        <v>201112</v>
      </c>
      <c r="N5">
        <f>_xll.EQNXTDZ($A$1,$B5,N$1,$B$1)</f>
        <v>201212</v>
      </c>
      <c r="O5">
        <f>_xll.EQNXTDZ($A$1,$B5,O$1,$B$1)</f>
        <v>201312</v>
      </c>
      <c r="P5">
        <f>_xll.EQNXTDZ($A$1,$B5,P$1,$B$1)</f>
        <v>201412</v>
      </c>
      <c r="Q5">
        <f>_xll.EQNXTDZ($A$1,$B5,Q$1,$B$1)</f>
        <v>201512</v>
      </c>
      <c r="R5">
        <f>_xll.EQNXTDZ($A$1,$B5,R$1,$B$1)</f>
        <v>201612</v>
      </c>
      <c r="S5">
        <f>_xll.EQNXTDZ($A$1,$B5,S$1,$B$1)</f>
        <v>201712</v>
      </c>
      <c r="T5">
        <f>_xll.EQNXTDZ($A$1,$B5,T$1,$B$1)</f>
        <v>201812</v>
      </c>
      <c r="U5">
        <f>_xll.EQNXTDZ($A$1,$B5,U$1,$B$1)</f>
        <v>201912</v>
      </c>
      <c r="V5">
        <f>_xll.EQNXTDZ($A$1,$B5,V$1,$B$1)</f>
        <v>202012</v>
      </c>
      <c r="W5">
        <f>_xll.EQNXTDZ($A$1,$B5,W$1,$B$1)</f>
        <v>202112</v>
      </c>
      <c r="X5">
        <f>_xll.EQNXTDZ($A$1,$B5,X$1,$B$1)</f>
        <v>202212</v>
      </c>
      <c r="Y5">
        <f>_xll.EQNXTDZ($A$1,$B5,Y$1,$B$1)</f>
        <v>202312</v>
      </c>
      <c r="Z5">
        <f>_xll.EQNXTDZ($A$1,$B5,Z$1,$B$1)</f>
        <v>202412</v>
      </c>
      <c r="AA5">
        <f>_xll.EQNXTDZ($A$1,$B5,AA$1,$B$1)</f>
        <v>202512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1041.5989999999999</v>
      </c>
      <c r="D6" s="100">
        <f>_xll.EQNXTDZ($A$1,$B6,D$1,$B$1)</f>
        <v>1175.7575999999999</v>
      </c>
      <c r="E6" s="100">
        <f>_xll.EQNXTDZ($A$1,$B6,E$1,$B$1)</f>
        <v>1576.73</v>
      </c>
      <c r="F6" s="100">
        <f>_xll.EQNXTDZ($A$1,$B6,F$1,$B$1)</f>
        <v>2445.7977000000001</v>
      </c>
      <c r="G6" s="100">
        <f>_xll.EQNXTDZ($A$1,$B6,G$1,$B$1)</f>
        <v>3199.9328</v>
      </c>
      <c r="H6" s="100">
        <f>_xll.EQNXTDZ($A$1,$B6,H$1,$B$1)</f>
        <v>4604.5614999999998</v>
      </c>
      <c r="I6" s="100">
        <f>_xll.EQNXTDZ($A$1,$B6,I$1,$B$1)</f>
        <v>6383.2682000000004</v>
      </c>
      <c r="J6" s="100">
        <f>_xll.EQNXTDZ($A$1,$B6,J$1,$B$1)</f>
        <v>7340.2390999999998</v>
      </c>
      <c r="K6" s="100">
        <f>_xll.EQNXTDZ($A$1,$B6,K$1,$B$1)</f>
        <v>6494.5709999999999</v>
      </c>
      <c r="L6" s="100">
        <f>_xll.EQNXTDZ($A$1,$B6,L$1,$B$1)</f>
        <v>6609.3153000000002</v>
      </c>
      <c r="M6" s="100">
        <f>_xll.EQNXTDZ($A$1,$B6,M$1,$B$1)</f>
        <v>7451.79</v>
      </c>
      <c r="N6" s="100">
        <f>_xll.EQNXTDZ($A$1,$B6,N$1,$B$1)</f>
        <v>7610.48</v>
      </c>
      <c r="O6" s="100">
        <f>_xll.EQNXTDZ($A$1,$B6,O$1,$B$1)</f>
        <v>8196.77</v>
      </c>
      <c r="P6" s="100">
        <f>_xll.EQNXTDZ($A$1,$B6,P$1,$B$1)</f>
        <v>8156.91</v>
      </c>
      <c r="Q6" s="100">
        <f>_xll.EQNXTDZ($A$1,$B6,Q$1,$B$1)</f>
        <v>8670.7000000000007</v>
      </c>
      <c r="R6" s="100">
        <f>_xll.EQNXTDZ($A$1,$B6,R$1,$B$1)</f>
        <v>9183.52</v>
      </c>
      <c r="S6" s="100">
        <f>_xll.EQNXTDZ($A$1,$B6,S$1,$B$1)</f>
        <v>6287.49</v>
      </c>
      <c r="T6" s="100">
        <f>_xll.EQNXTDZ($A$1,$B6,T$1,$B$1)</f>
        <v>6690.12</v>
      </c>
      <c r="U6" s="100">
        <f>_xll.EQNXTDZ($A$1,$B6,U$1,$B$1)</f>
        <v>7315.06</v>
      </c>
      <c r="V6" s="100">
        <f>_xll.EQNXTDZ($A$1,$B6,V$1,$B$1)</f>
        <v>5820.95</v>
      </c>
      <c r="W6" s="100">
        <f>_xll.EQNXTDZ($A$1,$B6,W$1,$B$1)</f>
        <v>6934</v>
      </c>
      <c r="X6" s="100">
        <f>_xll.EQNXTDZ($A$1,$B6,X$1,$B$1)</f>
        <v>8567.5300000000007</v>
      </c>
      <c r="Y6" s="100">
        <f>_xll.EQNXTDZ($A$1,$B6,Y$1,$B$1)</f>
        <v>10555.11</v>
      </c>
      <c r="Z6" s="100">
        <f>_xll.EQNXTDZ($A$1,$B6,Z$1,$B$1)</f>
        <v>12279.78</v>
      </c>
      <c r="AA6" s="100">
        <f>_xll.EQNXTDZ($A$1,$B6,AA$1,$B$1)</f>
        <v>13280.31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108.59</v>
      </c>
      <c r="Z8" s="100">
        <f>_xll.EQNXTDZ($A$1,$B8,Z$1,$B$1)</f>
        <v>91.47</v>
      </c>
      <c r="AA8" s="100">
        <f>_xll.EQNXTDZ($A$1,$B8,AA$1,$B$1)</f>
        <v>77.58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108.3725</v>
      </c>
      <c r="F9" s="100">
        <f>_xll.EQNXTDZ($A$1,$B9,F$1,$B$1)</f>
        <v>185.57509999999999</v>
      </c>
      <c r="G9" s="100">
        <f>_xll.EQNXTDZ($A$1,$B9,G$1,$B$1)</f>
        <v>236.8802</v>
      </c>
      <c r="H9" s="100">
        <f>_xll.EQNXTDZ($A$1,$B9,H$1,$B$1)</f>
        <v>330.55220000000003</v>
      </c>
      <c r="I9" s="100">
        <f>_xll.EQNXTDZ($A$1,$B9,I$1,$B$1)</f>
        <v>452.95679999999999</v>
      </c>
      <c r="J9" s="100">
        <f>_xll.EQNXTDZ($A$1,$B9,J$1,$B$1)</f>
        <v>503.20760000000001</v>
      </c>
      <c r="K9" s="100">
        <f>_xll.EQNXTDZ($A$1,$B9,K$1,$B$1)</f>
        <v>257.36959999999999</v>
      </c>
      <c r="L9" s="100">
        <f>_xll.EQNXTDZ($A$1,$B9,L$1,$B$1)</f>
        <v>322.20350000000002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474.78</v>
      </c>
      <c r="P9" s="100">
        <f>_xll.EQNXTDZ($A$1,$B9,P$1,$B$1)</f>
        <v>423.64</v>
      </c>
      <c r="Q9" s="100">
        <f>_xll.EQNXTDZ($A$1,$B9,Q$1,$B$1)</f>
        <v>530.42999999999995</v>
      </c>
      <c r="R9" s="100">
        <f>_xll.EQNXTDZ($A$1,$B9,R$1,$B$1)</f>
        <v>541.30999999999995</v>
      </c>
      <c r="S9" s="100">
        <f>_xll.EQNXTDZ($A$1,$B9,S$1,$B$1)</f>
        <v>193.76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1041.5989999999999</v>
      </c>
      <c r="D10" s="100">
        <f>_xll.EQNXTDZ($A$1,$B10,D$1,$B$1)</f>
        <v>1175.7575999999999</v>
      </c>
      <c r="E10" s="100">
        <f>_xll.EQNXTDZ($A$1,$B10,E$1,$B$1)</f>
        <v>1468.3575000000001</v>
      </c>
      <c r="F10" s="100">
        <f>_xll.EQNXTDZ($A$1,$B10,F$1,$B$1)</f>
        <v>2260.2226000000001</v>
      </c>
      <c r="G10" s="100">
        <f>_xll.EQNXTDZ($A$1,$B10,G$1,$B$1)</f>
        <v>2963.0526</v>
      </c>
      <c r="H10" s="100">
        <f>_xll.EQNXTDZ($A$1,$B10,H$1,$B$1)</f>
        <v>4274.0092999999997</v>
      </c>
      <c r="I10" s="100">
        <f>_xll.EQNXTDZ($A$1,$B10,I$1,$B$1)</f>
        <v>5930.3113999999996</v>
      </c>
      <c r="J10" s="100">
        <f>_xll.EQNXTDZ($A$1,$B10,J$1,$B$1)</f>
        <v>6837.0315000000001</v>
      </c>
      <c r="K10" s="100">
        <f>_xll.EQNXTDZ($A$1,$B10,K$1,$B$1)</f>
        <v>6237.2013999999999</v>
      </c>
      <c r="L10" s="100">
        <f>_xll.EQNXTDZ($A$1,$B10,L$1,$B$1)</f>
        <v>6287.1117999999997</v>
      </c>
      <c r="M10" s="100">
        <f>_xll.EQNXTDZ($A$1,$B10,M$1,$B$1)</f>
        <v>7451.79</v>
      </c>
      <c r="N10" s="100">
        <f>_xll.EQNXTDZ($A$1,$B10,N$1,$B$1)</f>
        <v>7610.48</v>
      </c>
      <c r="O10" s="100">
        <f>_xll.EQNXTDZ($A$1,$B10,O$1,$B$1)</f>
        <v>7721.99</v>
      </c>
      <c r="P10" s="100">
        <f>_xll.EQNXTDZ($A$1,$B10,P$1,$B$1)</f>
        <v>7733.27</v>
      </c>
      <c r="Q10" s="100">
        <f>_xll.EQNXTDZ($A$1,$B10,Q$1,$B$1)</f>
        <v>8140.27</v>
      </c>
      <c r="R10" s="100">
        <f>_xll.EQNXTDZ($A$1,$B10,R$1,$B$1)</f>
        <v>8642.2099999999991</v>
      </c>
      <c r="S10" s="100">
        <f>_xll.EQNXTDZ($A$1,$B10,S$1,$B$1)</f>
        <v>6093.73</v>
      </c>
      <c r="T10" s="100">
        <f>_xll.EQNXTDZ($A$1,$B10,T$1,$B$1)</f>
        <v>6690.12</v>
      </c>
      <c r="U10" s="100">
        <f>_xll.EQNXTDZ($A$1,$B10,U$1,$B$1)</f>
        <v>7315.06</v>
      </c>
      <c r="V10" s="100">
        <f>_xll.EQNXTDZ($A$1,$B10,V$1,$B$1)</f>
        <v>5820.95</v>
      </c>
      <c r="W10" s="100">
        <f>_xll.EQNXTDZ($A$1,$B10,W$1,$B$1)</f>
        <v>6934</v>
      </c>
      <c r="X10" s="100">
        <f>_xll.EQNXTDZ($A$1,$B10,X$1,$B$1)</f>
        <v>8567.5300000000007</v>
      </c>
      <c r="Y10" s="100">
        <f>_xll.EQNXTDZ($A$1,$B10,Y$1,$B$1)</f>
        <v>10446.52</v>
      </c>
      <c r="Z10" s="100">
        <f>_xll.EQNXTDZ($A$1,$B10,Z$1,$B$1)</f>
        <v>12188.31</v>
      </c>
      <c r="AA10" s="100">
        <f>_xll.EQNXTDZ($A$1,$B10,AA$1,$B$1)</f>
        <v>13202.73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0.91390000000000005</v>
      </c>
      <c r="D11" s="100">
        <f>_xll.EQNXTDZ($A$1,$B11,D$1,$B$1)</f>
        <v>5.4547999999999996</v>
      </c>
      <c r="E11" s="100">
        <f>_xll.EQNXTDZ($A$1,$B11,E$1,$B$1)</f>
        <v>9.3256999999999994</v>
      </c>
      <c r="F11" s="100">
        <f>_xll.EQNXTDZ($A$1,$B11,F$1,$B$1)</f>
        <v>-23.581299999999999</v>
      </c>
      <c r="G11" s="100">
        <f>_xll.EQNXTDZ($A$1,$B11,G$1,$B$1)</f>
        <v>-7.7979000000000003</v>
      </c>
      <c r="H11" s="100">
        <f>_xll.EQNXTDZ($A$1,$B11,H$1,$B$1)</f>
        <v>-53.016599999999997</v>
      </c>
      <c r="I11" s="100">
        <f>_xll.EQNXTDZ($A$1,$B11,I$1,$B$1)</f>
        <v>-52.072800000000001</v>
      </c>
      <c r="J11" s="100">
        <f>_xll.EQNXTDZ($A$1,$B11,J$1,$B$1)</f>
        <v>-73.786900000000003</v>
      </c>
      <c r="K11" s="100">
        <f>_xll.EQNXTDZ($A$1,$B11,K$1,$B$1)</f>
        <v>-43.482999999999997</v>
      </c>
      <c r="L11" s="100">
        <f>_xll.EQNXTDZ($A$1,$B11,L$1,$B$1)</f>
        <v>-9.9293999999999993</v>
      </c>
      <c r="M11" s="100">
        <f>_xll.EQNXTDZ($A$1,$B11,M$1,$B$1)</f>
        <v>-85.01</v>
      </c>
      <c r="N11" s="100">
        <f>_xll.EQNXTDZ($A$1,$B11,N$1,$B$1)</f>
        <v>-0.06</v>
      </c>
      <c r="O11" s="100">
        <f>_xll.EQNXTDZ($A$1,$B11,O$1,$B$1)</f>
        <v>-12.98</v>
      </c>
      <c r="P11" s="100">
        <f>_xll.EQNXTDZ($A$1,$B11,P$1,$B$1)</f>
        <v>43.98</v>
      </c>
      <c r="Q11" s="100">
        <f>_xll.EQNXTDZ($A$1,$B11,Q$1,$B$1)</f>
        <v>-48.56</v>
      </c>
      <c r="R11" s="100">
        <f>_xll.EQNXTDZ($A$1,$B11,R$1,$B$1)</f>
        <v>66.64</v>
      </c>
      <c r="S11" s="100">
        <f>_xll.EQNXTDZ($A$1,$B11,S$1,$B$1)</f>
        <v>-42.51</v>
      </c>
      <c r="T11" s="100">
        <f>_xll.EQNXTDZ($A$1,$B11,T$1,$B$1)</f>
        <v>-50.38</v>
      </c>
      <c r="U11" s="100">
        <f>_xll.EQNXTDZ($A$1,$B11,U$1,$B$1)</f>
        <v>-26.73</v>
      </c>
      <c r="V11" s="100">
        <f>_xll.EQNXTDZ($A$1,$B11,V$1,$B$1)</f>
        <v>21.28</v>
      </c>
      <c r="W11" s="100">
        <f>_xll.EQNXTDZ($A$1,$B11,W$1,$B$1)</f>
        <v>-33.36</v>
      </c>
      <c r="X11" s="100">
        <f>_xll.EQNXTDZ($A$1,$B11,X$1,$B$1)</f>
        <v>-101.53</v>
      </c>
      <c r="Y11" s="100">
        <f>_xll.EQNXTDZ($A$1,$B11,Y$1,$B$1)</f>
        <v>-26.69</v>
      </c>
      <c r="Z11" s="100">
        <f>_xll.EQNXTDZ($A$1,$B11,Z$1,$B$1)</f>
        <v>-165.98</v>
      </c>
      <c r="AA11" s="100">
        <f>_xll.EQNXTDZ($A$1,$B11,AA$1,$B$1)</f>
        <v>-130.88999999999999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419.00080000000003</v>
      </c>
      <c r="D12" s="100">
        <f>_xll.EQNXTDZ($A$1,$B12,D$1,$B$1)</f>
        <v>467.21120000000002</v>
      </c>
      <c r="E12" s="100">
        <f>_xll.EQNXTDZ($A$1,$B12,E$1,$B$1)</f>
        <v>527.91409999999996</v>
      </c>
      <c r="F12" s="100">
        <f>_xll.EQNXTDZ($A$1,$B12,F$1,$B$1)</f>
        <v>719.47760000000005</v>
      </c>
      <c r="G12" s="100">
        <f>_xll.EQNXTDZ($A$1,$B12,G$1,$B$1)</f>
        <v>875.91279999999995</v>
      </c>
      <c r="H12" s="100">
        <f>_xll.EQNXTDZ($A$1,$B12,H$1,$B$1)</f>
        <v>1265.4949999999999</v>
      </c>
      <c r="I12" s="100">
        <f>_xll.EQNXTDZ($A$1,$B12,I$1,$B$1)</f>
        <v>1577.0844999999999</v>
      </c>
      <c r="J12" s="100">
        <f>_xll.EQNXTDZ($A$1,$B12,J$1,$B$1)</f>
        <v>2083.5010000000002</v>
      </c>
      <c r="K12" s="100">
        <f>_xll.EQNXTDZ($A$1,$B12,K$1,$B$1)</f>
        <v>1866.2478000000001</v>
      </c>
      <c r="L12" s="100">
        <f>_xll.EQNXTDZ($A$1,$B12,L$1,$B$1)</f>
        <v>2587.0709000000002</v>
      </c>
      <c r="M12" s="100">
        <f>_xll.EQNXTDZ($A$1,$B12,M$1,$B$1)</f>
        <v>5047.26</v>
      </c>
      <c r="N12" s="100">
        <f>_xll.EQNXTDZ($A$1,$B12,N$1,$B$1)</f>
        <v>4980.25</v>
      </c>
      <c r="O12" s="100">
        <f>_xll.EQNXTDZ($A$1,$B12,O$1,$B$1)</f>
        <v>4943.26</v>
      </c>
      <c r="P12" s="100">
        <f>_xll.EQNXTDZ($A$1,$B12,P$1,$B$1)</f>
        <v>4793.07</v>
      </c>
      <c r="Q12" s="100">
        <f>_xll.EQNXTDZ($A$1,$B12,Q$1,$B$1)</f>
        <v>4882.1499999999996</v>
      </c>
      <c r="R12" s="100">
        <f>_xll.EQNXTDZ($A$1,$B12,R$1,$B$1)</f>
        <v>5038.88</v>
      </c>
      <c r="S12" s="100">
        <f>_xll.EQNXTDZ($A$1,$B12,S$1,$B$1)</f>
        <v>3833.22</v>
      </c>
      <c r="T12" s="100">
        <f>_xll.EQNXTDZ($A$1,$B12,T$1,$B$1)</f>
        <v>4337.7299999999996</v>
      </c>
      <c r="U12" s="100">
        <f>_xll.EQNXTDZ($A$1,$B12,U$1,$B$1)</f>
        <v>4665.99</v>
      </c>
      <c r="V12" s="100">
        <f>_xll.EQNXTDZ($A$1,$B12,V$1,$B$1)</f>
        <v>3684.6</v>
      </c>
      <c r="W12" s="100">
        <f>_xll.EQNXTDZ($A$1,$B12,W$1,$B$1)</f>
        <v>4448.71</v>
      </c>
      <c r="X12" s="100">
        <f>_xll.EQNXTDZ($A$1,$B12,X$1,$B$1)</f>
        <v>5402.71</v>
      </c>
      <c r="Y12" s="100">
        <f>_xll.EQNXTDZ($A$1,$B12,Y$1,$B$1)</f>
        <v>6355.25</v>
      </c>
      <c r="Z12" s="100">
        <f>_xll.EQNXTDZ($A$1,$B12,Z$1,$B$1)</f>
        <v>6914.6</v>
      </c>
      <c r="AA12" s="100">
        <f>_xll.EQNXTDZ($A$1,$B12,AA$1,$B$1)</f>
        <v>7755.65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9.3437999999999999</v>
      </c>
      <c r="D13" s="100">
        <f>_xll.EQNXTDZ($A$1,$B13,D$1,$B$1)</f>
        <v>9.5228000000000002</v>
      </c>
      <c r="E13" s="100">
        <f>_xll.EQNXTDZ($A$1,$B13,E$1,$B$1)</f>
        <v>9.1403999999999996</v>
      </c>
      <c r="F13" s="100">
        <f>_xll.EQNXTDZ($A$1,$B13,F$1,$B$1)</f>
        <v>12.178000000000001</v>
      </c>
      <c r="G13" s="100">
        <f>_xll.EQNXTDZ($A$1,$B13,G$1,$B$1)</f>
        <v>14.908799999999999</v>
      </c>
      <c r="H13" s="100">
        <f>_xll.EQNXTDZ($A$1,$B13,H$1,$B$1)</f>
        <v>19.006799999999998</v>
      </c>
      <c r="I13" s="100">
        <f>_xll.EQNXTDZ($A$1,$B13,I$1,$B$1)</f>
        <v>22.333300000000001</v>
      </c>
      <c r="J13" s="100">
        <f>_xll.EQNXTDZ($A$1,$B13,J$1,$B$1)</f>
        <v>27.4312</v>
      </c>
      <c r="K13" s="100">
        <f>_xll.EQNXTDZ($A$1,$B13,K$1,$B$1)</f>
        <v>27.1616</v>
      </c>
      <c r="L13" s="100">
        <f>_xll.EQNXTDZ($A$1,$B13,L$1,$B$1)</f>
        <v>30.468</v>
      </c>
      <c r="M13" s="100">
        <f>_xll.EQNXTDZ($A$1,$B13,M$1,$B$1)</f>
        <v>46.25</v>
      </c>
      <c r="N13" s="100">
        <f>_xll.EQNXTDZ($A$1,$B13,N$1,$B$1)</f>
        <v>51.2</v>
      </c>
      <c r="O13" s="100">
        <f>_xll.EQNXTDZ($A$1,$B13,O$1,$B$1)</f>
        <v>56.55</v>
      </c>
      <c r="P13" s="100">
        <f>_xll.EQNXTDZ($A$1,$B13,P$1,$B$1)</f>
        <v>57.93</v>
      </c>
      <c r="Q13" s="100">
        <f>_xll.EQNXTDZ($A$1,$B13,Q$1,$B$1)</f>
        <v>58.2</v>
      </c>
      <c r="R13" s="100">
        <f>_xll.EQNXTDZ($A$1,$B13,R$1,$B$1)</f>
        <v>64.36</v>
      </c>
      <c r="S13" s="100">
        <f>_xll.EQNXTDZ($A$1,$B13,S$1,$B$1)</f>
        <v>21.16</v>
      </c>
      <c r="T13" s="100">
        <f>_xll.EQNXTDZ($A$1,$B13,T$1,$B$1)</f>
        <v>21.87</v>
      </c>
      <c r="U13" s="100">
        <f>_xll.EQNXTDZ($A$1,$B13,U$1,$B$1)</f>
        <v>22.44</v>
      </c>
      <c r="V13" s="100">
        <f>_xll.EQNXTDZ($A$1,$B13,V$1,$B$1)</f>
        <v>32.1</v>
      </c>
      <c r="W13" s="100">
        <f>_xll.EQNXTDZ($A$1,$B13,W$1,$B$1)</f>
        <v>20.059999999999999</v>
      </c>
      <c r="X13" s="100">
        <f>_xll.EQNXTDZ($A$1,$B13,X$1,$B$1)</f>
        <v>22.57</v>
      </c>
      <c r="Y13" s="100">
        <f>_xll.EQNXTDZ($A$1,$B13,Y$1,$B$1)</f>
        <v>25.13</v>
      </c>
      <c r="Z13" s="100">
        <f>_xll.EQNXTDZ($A$1,$B13,Z$1,$B$1)</f>
        <v>28.24</v>
      </c>
      <c r="AA13" s="100">
        <f>_xll.EQNXTDZ($A$1,$B13,AA$1,$B$1)</f>
        <v>28.8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112.5039</v>
      </c>
      <c r="D14" s="100">
        <f>_xll.EQNXTDZ($A$1,$B14,D$1,$B$1)</f>
        <v>120.0603</v>
      </c>
      <c r="E14" s="100">
        <f>_xll.EQNXTDZ($A$1,$B14,E$1,$B$1)</f>
        <v>115.2921</v>
      </c>
      <c r="F14" s="100">
        <f>_xll.EQNXTDZ($A$1,$B14,F$1,$B$1)</f>
        <v>135.0213</v>
      </c>
      <c r="G14" s="100">
        <f>_xll.EQNXTDZ($A$1,$B14,G$1,$B$1)</f>
        <v>176.864</v>
      </c>
      <c r="H14" s="100">
        <f>_xll.EQNXTDZ($A$1,$B14,H$1,$B$1)</f>
        <v>238.53270000000001</v>
      </c>
      <c r="I14" s="100">
        <f>_xll.EQNXTDZ($A$1,$B14,I$1,$B$1)</f>
        <v>303.53649999999999</v>
      </c>
      <c r="J14" s="100">
        <f>_xll.EQNXTDZ($A$1,$B14,J$1,$B$1)</f>
        <v>400.38240000000002</v>
      </c>
      <c r="K14" s="100">
        <f>_xll.EQNXTDZ($A$1,$B14,K$1,$B$1)</f>
        <v>386.7226</v>
      </c>
      <c r="L14" s="100">
        <f>_xll.EQNXTDZ($A$1,$B14,L$1,$B$1)</f>
        <v>488.29849999999999</v>
      </c>
      <c r="M14" s="100">
        <f>_xll.EQNXTDZ($A$1,$B14,M$1,$B$1)</f>
        <v>587.21</v>
      </c>
      <c r="N14" s="100">
        <f>_xll.EQNXTDZ($A$1,$B14,N$1,$B$1)</f>
        <v>623.96</v>
      </c>
      <c r="O14" s="100">
        <f>_xll.EQNXTDZ($A$1,$B14,O$1,$B$1)</f>
        <v>677.06</v>
      </c>
      <c r="P14" s="100">
        <f>_xll.EQNXTDZ($A$1,$B14,P$1,$B$1)</f>
        <v>705.2</v>
      </c>
      <c r="Q14" s="100">
        <f>_xll.EQNXTDZ($A$1,$B14,Q$1,$B$1)</f>
        <v>749.87</v>
      </c>
      <c r="R14" s="100">
        <f>_xll.EQNXTDZ($A$1,$B14,R$1,$B$1)</f>
        <v>750.26</v>
      </c>
      <c r="S14" s="100">
        <f>_xll.EQNXTDZ($A$1,$B14,S$1,$B$1)</f>
        <v>518.67999999999995</v>
      </c>
      <c r="T14" s="100">
        <f>_xll.EQNXTDZ($A$1,$B14,T$1,$B$1)</f>
        <v>529.5</v>
      </c>
      <c r="U14" s="100">
        <f>_xll.EQNXTDZ($A$1,$B14,U$1,$B$1)</f>
        <v>579.62</v>
      </c>
      <c r="V14" s="100">
        <f>_xll.EQNXTDZ($A$1,$B14,V$1,$B$1)</f>
        <v>568.01</v>
      </c>
      <c r="W14" s="100">
        <f>_xll.EQNXTDZ($A$1,$B14,W$1,$B$1)</f>
        <v>588.24</v>
      </c>
      <c r="X14" s="100">
        <f>_xll.EQNXTDZ($A$1,$B14,X$1,$B$1)</f>
        <v>635.29</v>
      </c>
      <c r="Y14" s="100">
        <f>_xll.EQNXTDZ($A$1,$B14,Y$1,$B$1)</f>
        <v>715.15</v>
      </c>
      <c r="Z14" s="100">
        <f>_xll.EQNXTDZ($A$1,$B14,Z$1,$B$1)</f>
        <v>821.93</v>
      </c>
      <c r="AA14" s="100">
        <f>_xll.EQNXTDZ($A$1,$B14,AA$1,$B$1)</f>
        <v>974.81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279.5401</v>
      </c>
      <c r="D15" s="100">
        <f>_xll.EQNXTDZ($A$1,$B15,D$1,$B$1)</f>
        <v>320.92750000000001</v>
      </c>
      <c r="E15" s="100">
        <f>_xll.EQNXTDZ($A$1,$B15,E$1,$B$1)</f>
        <v>514.54650000000004</v>
      </c>
      <c r="F15" s="100">
        <f>_xll.EQNXTDZ($A$1,$B15,F$1,$B$1)</f>
        <v>1003.1039</v>
      </c>
      <c r="G15" s="100">
        <f>_xll.EQNXTDZ($A$1,$B15,G$1,$B$1)</f>
        <v>1316.8397</v>
      </c>
      <c r="H15" s="100">
        <f>_xll.EQNXTDZ($A$1,$B15,H$1,$B$1)</f>
        <v>2004.3239000000001</v>
      </c>
      <c r="I15" s="100">
        <f>_xll.EQNXTDZ($A$1,$B15,I$1,$B$1)</f>
        <v>2902.9148</v>
      </c>
      <c r="J15" s="100">
        <f>_xll.EQNXTDZ($A$1,$B15,J$1,$B$1)</f>
        <v>3117.4153999999999</v>
      </c>
      <c r="K15" s="100">
        <f>_xll.EQNXTDZ($A$1,$B15,K$1,$B$1)</f>
        <v>2868.2676999999999</v>
      </c>
      <c r="L15" s="100">
        <f>_xll.EQNXTDZ($A$1,$B15,L$1,$B$1)</f>
        <v>2439.0965000000001</v>
      </c>
      <c r="M15" s="100">
        <f>_xll.EQNXTDZ($A$1,$B15,M$1,$B$1)</f>
        <v>686.92</v>
      </c>
      <c r="N15" s="100">
        <f>_xll.EQNXTDZ($A$1,$B15,N$1,$B$1)</f>
        <v>749.97</v>
      </c>
      <c r="O15" s="100">
        <f>_xll.EQNXTDZ($A$1,$B15,O$1,$B$1)</f>
        <v>742.35</v>
      </c>
      <c r="P15" s="100">
        <f>_xll.EQNXTDZ($A$1,$B15,P$1,$B$1)</f>
        <v>703.42</v>
      </c>
      <c r="Q15" s="100">
        <f>_xll.EQNXTDZ($A$1,$B15,Q$1,$B$1)</f>
        <v>797.5</v>
      </c>
      <c r="R15" s="100">
        <f>_xll.EQNXTDZ($A$1,$B15,R$1,$B$1)</f>
        <v>908.91</v>
      </c>
      <c r="S15" s="100">
        <f>_xll.EQNXTDZ($A$1,$B15,S$1,$B$1)</f>
        <v>514.19000000000005</v>
      </c>
      <c r="T15" s="100">
        <f>_xll.EQNXTDZ($A$1,$B15,T$1,$B$1)</f>
        <v>452.12</v>
      </c>
      <c r="U15" s="100">
        <f>_xll.EQNXTDZ($A$1,$B15,U$1,$B$1)</f>
        <v>486.19</v>
      </c>
      <c r="V15" s="100">
        <f>_xll.EQNXTDZ($A$1,$B15,V$1,$B$1)</f>
        <v>388.96</v>
      </c>
      <c r="W15" s="100">
        <f>_xll.EQNXTDZ($A$1,$B15,W$1,$B$1)</f>
        <v>479.79</v>
      </c>
      <c r="X15" s="100">
        <f>_xll.EQNXTDZ($A$1,$B15,X$1,$B$1)</f>
        <v>577.69000000000005</v>
      </c>
      <c r="Y15" s="100">
        <f>_xll.EQNXTDZ($A$1,$B15,Y$1,$B$1)</f>
        <v>680.95</v>
      </c>
      <c r="Z15" s="100">
        <f>_xll.EQNXTDZ($A$1,$B15,Z$1,$B$1)</f>
        <v>812.64</v>
      </c>
      <c r="AA15" s="100">
        <f>_xll.EQNXTDZ($A$1,$B15,AA$1,$B$1)</f>
        <v>950.16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63.090499999999999</v>
      </c>
      <c r="D17" s="100">
        <f>_xll.EQNXTDZ($A$1,$B17,D$1,$B$1)</f>
        <v>62.202500000000001</v>
      </c>
      <c r="E17" s="100">
        <f>_xll.EQNXTDZ($A$1,$B17,E$1,$B$1)</f>
        <v>66.774699999999996</v>
      </c>
      <c r="F17" s="100">
        <f>_xll.EQNXTDZ($A$1,$B17,F$1,$B$1)</f>
        <v>68.8673</v>
      </c>
      <c r="G17" s="100">
        <f>_xll.EQNXTDZ($A$1,$B17,G$1,$B$1)</f>
        <v>89.462299999999999</v>
      </c>
      <c r="H17" s="100">
        <f>_xll.EQNXTDZ($A$1,$B17,H$1,$B$1)</f>
        <v>149.5943</v>
      </c>
      <c r="I17" s="100">
        <f>_xll.EQNXTDZ($A$1,$B17,I$1,$B$1)</f>
        <v>199.04839999999999</v>
      </c>
      <c r="J17" s="100">
        <f>_xll.EQNXTDZ($A$1,$B17,J$1,$B$1)</f>
        <v>268.43779999999998</v>
      </c>
      <c r="K17" s="100">
        <f>_xll.EQNXTDZ($A$1,$B17,K$1,$B$1)</f>
        <v>262.83449999999999</v>
      </c>
      <c r="L17" s="100">
        <f>_xll.EQNXTDZ($A$1,$B17,L$1,$B$1)</f>
        <v>253.2996</v>
      </c>
      <c r="M17" s="100">
        <f>_xll.EQNXTDZ($A$1,$B17,M$1,$B$1)</f>
        <v>470.66</v>
      </c>
      <c r="N17" s="100">
        <f>_xll.EQNXTDZ($A$1,$B17,N$1,$B$1)</f>
        <v>455.29</v>
      </c>
      <c r="O17" s="100">
        <f>_xll.EQNXTDZ($A$1,$B17,O$1,$B$1)</f>
        <v>465.32</v>
      </c>
      <c r="P17" s="100">
        <f>_xll.EQNXTDZ($A$1,$B17,P$1,$B$1)</f>
        <v>633.23</v>
      </c>
      <c r="Q17" s="100">
        <f>_xll.EQNXTDZ($A$1,$B17,Q$1,$B$1)</f>
        <v>635.6</v>
      </c>
      <c r="R17" s="100">
        <f>_xll.EQNXTDZ($A$1,$B17,R$1,$B$1)</f>
        <v>745.37</v>
      </c>
      <c r="S17" s="100">
        <f>_xll.EQNXTDZ($A$1,$B17,S$1,$B$1)</f>
        <v>593.16</v>
      </c>
      <c r="T17" s="100">
        <f>_xll.EQNXTDZ($A$1,$B17,T$1,$B$1)</f>
        <v>664.6</v>
      </c>
      <c r="U17" s="100">
        <f>_xll.EQNXTDZ($A$1,$B17,U$1,$B$1)</f>
        <v>758.71</v>
      </c>
      <c r="V17" s="100">
        <f>_xll.EQNXTDZ($A$1,$B17,V$1,$B$1)</f>
        <v>586.82000000000005</v>
      </c>
      <c r="W17" s="100">
        <f>_xll.EQNXTDZ($A$1,$B17,W$1,$B$1)</f>
        <v>681.19</v>
      </c>
      <c r="X17" s="100">
        <f>_xll.EQNXTDZ($A$1,$B17,X$1,$B$1)</f>
        <v>781.81</v>
      </c>
      <c r="Y17" s="100">
        <f>_xll.EQNXTDZ($A$1,$B17,Y$1,$B$1)</f>
        <v>883.54</v>
      </c>
      <c r="Z17" s="100">
        <f>_xll.EQNXTDZ($A$1,$B17,Z$1,$B$1)</f>
        <v>1085.28</v>
      </c>
      <c r="AA17" s="100">
        <f>_xll.EQNXTDZ($A$1,$B17,AA$1,$B$1)</f>
        <v>1313.84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14.4992</v>
      </c>
      <c r="D18" s="100">
        <f>_xll.EQNXTDZ($A$1,$B18,D$1,$B$1)</f>
        <v>16.627700000000001</v>
      </c>
      <c r="E18" s="100">
        <f>_xll.EQNXTDZ($A$1,$B18,E$1,$B$1)</f>
        <v>24.886700000000001</v>
      </c>
      <c r="F18" s="100">
        <f>_xll.EQNXTDZ($A$1,$B18,F$1,$B$1)</f>
        <v>42.8444</v>
      </c>
      <c r="G18" s="100">
        <f>_xll.EQNXTDZ($A$1,$B18,G$1,$B$1)</f>
        <v>50.421700000000001</v>
      </c>
      <c r="H18" s="100">
        <f>_xll.EQNXTDZ($A$1,$B18,H$1,$B$1)</f>
        <v>63.714700000000001</v>
      </c>
      <c r="I18" s="100">
        <f>_xll.EQNXTDZ($A$1,$B18,I$1,$B$1)</f>
        <v>74.658600000000007</v>
      </c>
      <c r="J18" s="100">
        <f>_xll.EQNXTDZ($A$1,$B18,J$1,$B$1)</f>
        <v>65.507199999999997</v>
      </c>
      <c r="K18" s="100">
        <f>_xll.EQNXTDZ($A$1,$B18,K$1,$B$1)</f>
        <v>64.94</v>
      </c>
      <c r="L18" s="100">
        <f>_xll.EQNXTDZ($A$1,$B18,L$1,$B$1)</f>
        <v>76.396000000000001</v>
      </c>
      <c r="M18" s="100">
        <f>_xll.EQNXTDZ($A$1,$B18,M$1,$B$1)</f>
        <v>82.19</v>
      </c>
      <c r="N18" s="100">
        <f>_xll.EQNXTDZ($A$1,$B18,N$1,$B$1)</f>
        <v>104.64</v>
      </c>
      <c r="O18" s="100">
        <f>_xll.EQNXTDZ($A$1,$B18,O$1,$B$1)</f>
        <v>101.92</v>
      </c>
      <c r="P18" s="100">
        <f>_xll.EQNXTDZ($A$1,$B18,P$1,$B$1)</f>
        <v>103.46</v>
      </c>
      <c r="Q18" s="100">
        <f>_xll.EQNXTDZ($A$1,$B18,Q$1,$B$1)</f>
        <v>127.04</v>
      </c>
      <c r="R18" s="100">
        <f>_xll.EQNXTDZ($A$1,$B18,R$1,$B$1)</f>
        <v>140.54</v>
      </c>
      <c r="S18" s="100">
        <f>_xll.EQNXTDZ($A$1,$B18,S$1,$B$1)</f>
        <v>87.23</v>
      </c>
      <c r="T18" s="100">
        <f>_xll.EQNXTDZ($A$1,$B18,T$1,$B$1)</f>
        <v>123.6</v>
      </c>
      <c r="U18" s="100">
        <f>_xll.EQNXTDZ($A$1,$B18,U$1,$B$1)</f>
        <v>173.41</v>
      </c>
      <c r="V18" s="100">
        <f>_xll.EQNXTDZ($A$1,$B18,V$1,$B$1)</f>
        <v>95.21</v>
      </c>
      <c r="W18" s="100">
        <f>_xll.EQNXTDZ($A$1,$B18,W$1,$B$1)</f>
        <v>117.05</v>
      </c>
      <c r="X18" s="100">
        <f>_xll.EQNXTDZ($A$1,$B18,X$1,$B$1)</f>
        <v>171.86</v>
      </c>
      <c r="Y18" s="100">
        <f>_xll.EQNXTDZ($A$1,$B18,Y$1,$B$1)</f>
        <v>173.67</v>
      </c>
      <c r="Z18" s="100">
        <f>_xll.EQNXTDZ($A$1,$B18,Z$1,$B$1)</f>
        <v>223.62</v>
      </c>
      <c r="AA18" s="100">
        <f>_xll.EQNXTDZ($A$1,$B18,AA$1,$B$1)</f>
        <v>179.36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41.736699999999999</v>
      </c>
      <c r="D19" s="100">
        <f>_xll.EQNXTDZ($A$1,$B19,D$1,$B$1)</f>
        <v>54.433599999999998</v>
      </c>
      <c r="E19" s="100">
        <f>_xll.EQNXTDZ($A$1,$B19,E$1,$B$1)</f>
        <v>58.566400000000002</v>
      </c>
      <c r="F19" s="100">
        <f>_xll.EQNXTDZ($A$1,$B19,F$1,$B$1)</f>
        <v>83.948499999999996</v>
      </c>
      <c r="G19" s="100">
        <f>_xll.EQNXTDZ($A$1,$B19,G$1,$B$1)</f>
        <v>121.5091</v>
      </c>
      <c r="H19" s="100">
        <f>_xll.EQNXTDZ($A$1,$B19,H$1,$B$1)</f>
        <v>105.0291</v>
      </c>
      <c r="I19" s="100">
        <f>_xll.EQNXTDZ($A$1,$B19,I$1,$B$1)</f>
        <v>163.0677</v>
      </c>
      <c r="J19" s="100">
        <f>_xll.EQNXTDZ($A$1,$B19,J$1,$B$1)</f>
        <v>163.6532</v>
      </c>
      <c r="K19" s="100">
        <f>_xll.EQNXTDZ($A$1,$B19,K$1,$B$1)</f>
        <v>258.37670000000003</v>
      </c>
      <c r="L19" s="100">
        <f>_xll.EQNXTDZ($A$1,$B19,L$1,$B$1)</f>
        <v>321.05829999999997</v>
      </c>
      <c r="M19" s="100">
        <f>_xll.EQNXTDZ($A$1,$B19,M$1,$B$1)</f>
        <v>263.52</v>
      </c>
      <c r="N19" s="100">
        <f>_xll.EQNXTDZ($A$1,$B19,N$1,$B$1)</f>
        <v>289.88</v>
      </c>
      <c r="O19" s="100">
        <f>_xll.EQNXTDZ($A$1,$B19,O$1,$B$1)</f>
        <v>263.67</v>
      </c>
      <c r="P19" s="100">
        <f>_xll.EQNXTDZ($A$1,$B19,P$1,$B$1)</f>
        <v>121.23</v>
      </c>
      <c r="Q19" s="100">
        <f>_xll.EQNXTDZ($A$1,$B19,Q$1,$B$1)</f>
        <v>217.19</v>
      </c>
      <c r="R19" s="100">
        <f>_xll.EQNXTDZ($A$1,$B19,R$1,$B$1)</f>
        <v>217.01</v>
      </c>
      <c r="S19" s="100">
        <f>_xll.EQNXTDZ($A$1,$B19,S$1,$B$1)</f>
        <v>158.80000000000001</v>
      </c>
      <c r="T19" s="100">
        <f>_xll.EQNXTDZ($A$1,$B19,T$1,$B$1)</f>
        <v>146.97</v>
      </c>
      <c r="U19" s="100">
        <f>_xll.EQNXTDZ($A$1,$B19,U$1,$B$1)</f>
        <v>146.34</v>
      </c>
      <c r="V19" s="100">
        <f>_xll.EQNXTDZ($A$1,$B19,V$1,$B$1)</f>
        <v>178.4</v>
      </c>
      <c r="W19" s="100">
        <f>_xll.EQNXTDZ($A$1,$B19,W$1,$B$1)</f>
        <v>116.86</v>
      </c>
      <c r="X19" s="100">
        <f>_xll.EQNXTDZ($A$1,$B19,X$1,$B$1)</f>
        <v>167.03</v>
      </c>
      <c r="Y19" s="100">
        <f>_xll.EQNXTDZ($A$1,$B19,Y$1,$B$1)</f>
        <v>149.74</v>
      </c>
      <c r="Z19" s="100">
        <f>_xll.EQNXTDZ($A$1,$B19,Z$1,$B$1)</f>
        <v>171.52</v>
      </c>
      <c r="AA19" s="100">
        <f>_xll.EQNXTDZ($A$1,$B19,AA$1,$B$1)</f>
        <v>120.9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4.3945999999999996</v>
      </c>
      <c r="K20" s="100">
        <f>_xll.EQNXTDZ($A$1,$B20,K$1,$B$1)</f>
        <v>1.5472999999999999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940.62890000000004</v>
      </c>
      <c r="D21" s="100">
        <f>_xll.EQNXTDZ($A$1,$B21,D$1,$B$1)</f>
        <v>1056.4404</v>
      </c>
      <c r="E21" s="100">
        <f>_xll.EQNXTDZ($A$1,$B21,E$1,$B$1)</f>
        <v>1326.4466</v>
      </c>
      <c r="F21" s="100">
        <f>_xll.EQNXTDZ($A$1,$B21,F$1,$B$1)</f>
        <v>2041.8597</v>
      </c>
      <c r="G21" s="100">
        <f>_xll.EQNXTDZ($A$1,$B21,G$1,$B$1)</f>
        <v>2638.1205</v>
      </c>
      <c r="H21" s="100">
        <f>_xll.EQNXTDZ($A$1,$B21,H$1,$B$1)</f>
        <v>3792.6799000000001</v>
      </c>
      <c r="I21" s="100">
        <f>_xll.EQNXTDZ($A$1,$B21,I$1,$B$1)</f>
        <v>5190.5709999999999</v>
      </c>
      <c r="J21" s="100">
        <f>_xll.EQNXTDZ($A$1,$B21,J$1,$B$1)</f>
        <v>6048.1467000000002</v>
      </c>
      <c r="K21" s="100">
        <f>_xll.EQNXTDZ($A$1,$B21,K$1,$B$1)</f>
        <v>5689.5205999999998</v>
      </c>
      <c r="L21" s="100">
        <f>_xll.EQNXTDZ($A$1,$B21,L$1,$B$1)</f>
        <v>6185.7583999999997</v>
      </c>
      <c r="M21" s="100">
        <f>_xll.EQNXTDZ($A$1,$B21,M$1,$B$1)</f>
        <v>7099</v>
      </c>
      <c r="N21" s="100">
        <f>_xll.EQNXTDZ($A$1,$B21,N$1,$B$1)</f>
        <v>7255.13</v>
      </c>
      <c r="O21" s="100">
        <f>_xll.EQNXTDZ($A$1,$B21,O$1,$B$1)</f>
        <v>7237.15</v>
      </c>
      <c r="P21" s="100">
        <f>_xll.EQNXTDZ($A$1,$B21,P$1,$B$1)</f>
        <v>7161.52</v>
      </c>
      <c r="Q21" s="100">
        <f>_xll.EQNXTDZ($A$1,$B21,Q$1,$B$1)</f>
        <v>7418.99</v>
      </c>
      <c r="R21" s="100">
        <f>_xll.EQNXTDZ($A$1,$B21,R$1,$B$1)</f>
        <v>7931.97</v>
      </c>
      <c r="S21" s="100">
        <f>_xll.EQNXTDZ($A$1,$B21,S$1,$B$1)</f>
        <v>5683.93</v>
      </c>
      <c r="T21" s="100">
        <f>_xll.EQNXTDZ($A$1,$B21,T$1,$B$1)</f>
        <v>6226.01</v>
      </c>
      <c r="U21" s="100">
        <f>_xll.EQNXTDZ($A$1,$B21,U$1,$B$1)</f>
        <v>6805.97</v>
      </c>
      <c r="V21" s="100">
        <f>_xll.EQNXTDZ($A$1,$B21,V$1,$B$1)</f>
        <v>5555.38</v>
      </c>
      <c r="W21" s="100">
        <f>_xll.EQNXTDZ($A$1,$B21,W$1,$B$1)</f>
        <v>6418.54</v>
      </c>
      <c r="X21" s="100">
        <f>_xll.EQNXTDZ($A$1,$B21,X$1,$B$1)</f>
        <v>7657.43</v>
      </c>
      <c r="Y21" s="100">
        <f>_xll.EQNXTDZ($A$1,$B21,Y$1,$B$1)</f>
        <v>8956.74</v>
      </c>
      <c r="Z21" s="100">
        <f>_xll.EQNXTDZ($A$1,$B21,Z$1,$B$1)</f>
        <v>9891.85</v>
      </c>
      <c r="AA21" s="100">
        <f>_xll.EQNXTDZ($A$1,$B21,AA$1,$B$1)</f>
        <v>11192.63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100.9701</v>
      </c>
      <c r="D22" s="100">
        <f>_xll.EQNXTDZ($A$1,$B22,D$1,$B$1)</f>
        <v>119.3172</v>
      </c>
      <c r="E22" s="100">
        <f>_xll.EQNXTDZ($A$1,$B22,E$1,$B$1)</f>
        <v>141.9109</v>
      </c>
      <c r="F22" s="100">
        <f>_xll.EQNXTDZ($A$1,$B22,F$1,$B$1)</f>
        <v>218.3629</v>
      </c>
      <c r="G22" s="100">
        <f>_xll.EQNXTDZ($A$1,$B22,G$1,$B$1)</f>
        <v>324.93209999999999</v>
      </c>
      <c r="H22" s="100">
        <f>_xll.EQNXTDZ($A$1,$B22,H$1,$B$1)</f>
        <v>481.32940000000002</v>
      </c>
      <c r="I22" s="100">
        <f>_xll.EQNXTDZ($A$1,$B22,I$1,$B$1)</f>
        <v>739.74040000000002</v>
      </c>
      <c r="J22" s="100">
        <f>_xll.EQNXTDZ($A$1,$B22,J$1,$B$1)</f>
        <v>788.88480000000004</v>
      </c>
      <c r="K22" s="100">
        <f>_xll.EQNXTDZ($A$1,$B22,K$1,$B$1)</f>
        <v>547.68079999999998</v>
      </c>
      <c r="L22" s="100">
        <f>_xll.EQNXTDZ($A$1,$B22,L$1,$B$1)</f>
        <v>101.35339999999999</v>
      </c>
      <c r="M22" s="100">
        <f>_xll.EQNXTDZ($A$1,$B22,M$1,$B$1)</f>
        <v>352.79</v>
      </c>
      <c r="N22" s="100">
        <f>_xll.EQNXTDZ($A$1,$B22,N$1,$B$1)</f>
        <v>355.349999999999</v>
      </c>
      <c r="O22" s="100">
        <f>_xll.EQNXTDZ($A$1,$B22,O$1,$B$1)</f>
        <v>484.84</v>
      </c>
      <c r="P22" s="100">
        <f>_xll.EQNXTDZ($A$1,$B22,P$1,$B$1)</f>
        <v>571.75</v>
      </c>
      <c r="Q22" s="100">
        <f>_xll.EQNXTDZ($A$1,$B22,Q$1,$B$1)</f>
        <v>721.280000000001</v>
      </c>
      <c r="R22" s="100">
        <f>_xll.EQNXTDZ($A$1,$B22,R$1,$B$1)</f>
        <v>710.23999999999899</v>
      </c>
      <c r="S22" s="100">
        <f>_xll.EQNXTDZ($A$1,$B22,S$1,$B$1)</f>
        <v>409.79999999999899</v>
      </c>
      <c r="T22" s="100">
        <f>_xll.EQNXTDZ($A$1,$B22,T$1,$B$1)</f>
        <v>464.11</v>
      </c>
      <c r="U22" s="100">
        <f>_xll.EQNXTDZ($A$1,$B22,U$1,$B$1)</f>
        <v>509.09</v>
      </c>
      <c r="V22" s="100">
        <f>_xll.EQNXTDZ($A$1,$B22,V$1,$B$1)</f>
        <v>265.57</v>
      </c>
      <c r="W22" s="100">
        <f>_xll.EQNXTDZ($A$1,$B22,W$1,$B$1)</f>
        <v>515.46</v>
      </c>
      <c r="X22" s="100">
        <f>_xll.EQNXTDZ($A$1,$B22,X$1,$B$1)</f>
        <v>910.1</v>
      </c>
      <c r="Y22" s="100">
        <f>_xll.EQNXTDZ($A$1,$B22,Y$1,$B$1)</f>
        <v>1489.78</v>
      </c>
      <c r="Z22" s="100">
        <f>_xll.EQNXTDZ($A$1,$B22,Z$1,$B$1)</f>
        <v>2296.46</v>
      </c>
      <c r="AA22" s="100">
        <f>_xll.EQNXTDZ($A$1,$B22,AA$1,$B$1)</f>
        <v>2010.1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14.5845</v>
      </c>
      <c r="D23" s="100">
        <f>_xll.EQNXTDZ($A$1,$B23,D$1,$B$1)</f>
        <v>27.8675</v>
      </c>
      <c r="E23" s="100">
        <f>_xll.EQNXTDZ($A$1,$B23,E$1,$B$1)</f>
        <v>34.699399999999997</v>
      </c>
      <c r="F23" s="100">
        <f>_xll.EQNXTDZ($A$1,$B23,F$1,$B$1)</f>
        <v>45.520299999999999</v>
      </c>
      <c r="G23" s="100">
        <f>_xll.EQNXTDZ($A$1,$B23,G$1,$B$1)</f>
        <v>51.085700000000003</v>
      </c>
      <c r="H23" s="100">
        <f>_xll.EQNXTDZ($A$1,$B23,H$1,$B$1)</f>
        <v>78.439899999999994</v>
      </c>
      <c r="I23" s="100">
        <f>_xll.EQNXTDZ($A$1,$B23,I$1,$B$1)</f>
        <v>71.045400000000001</v>
      </c>
      <c r="J23" s="100">
        <f>_xll.EQNXTDZ($A$1,$B23,J$1,$B$1)</f>
        <v>130.41919999999999</v>
      </c>
      <c r="K23" s="100">
        <f>_xll.EQNXTDZ($A$1,$B23,K$1,$B$1)</f>
        <v>72.569599999999994</v>
      </c>
      <c r="L23" s="100">
        <f>_xll.EQNXTDZ($A$1,$B23,L$1,$B$1)</f>
        <v>85.523600000000002</v>
      </c>
      <c r="M23" s="100">
        <f>_xll.EQNXTDZ($A$1,$B23,M$1,$B$1)</f>
        <v>41.15</v>
      </c>
      <c r="N23" s="100">
        <f>_xll.EQNXTDZ($A$1,$B23,N$1,$B$1)</f>
        <v>7.26</v>
      </c>
      <c r="O23" s="100">
        <f>_xll.EQNXTDZ($A$1,$B23,O$1,$B$1)</f>
        <v>6.99</v>
      </c>
      <c r="P23" s="100">
        <f>_xll.EQNXTDZ($A$1,$B23,P$1,$B$1)</f>
        <v>18.309999999999999</v>
      </c>
      <c r="Q23" s="100">
        <f>_xll.EQNXTDZ($A$1,$B23,Q$1,$B$1)</f>
        <v>13.78</v>
      </c>
      <c r="R23" s="100">
        <f>_xll.EQNXTDZ($A$1,$B23,R$1,$B$1)</f>
        <v>121.57</v>
      </c>
      <c r="S23" s="100">
        <f>_xll.EQNXTDZ($A$1,$B23,S$1,$B$1)</f>
        <v>87.34</v>
      </c>
      <c r="T23" s="100">
        <f>_xll.EQNXTDZ($A$1,$B23,T$1,$B$1)</f>
        <v>84.01</v>
      </c>
      <c r="U23" s="100">
        <f>_xll.EQNXTDZ($A$1,$B23,U$1,$B$1)</f>
        <v>123.2</v>
      </c>
      <c r="V23" s="100">
        <f>_xll.EQNXTDZ($A$1,$B23,V$1,$B$1)</f>
        <v>124.99</v>
      </c>
      <c r="W23" s="100">
        <f>_xll.EQNXTDZ($A$1,$B23,W$1,$B$1)</f>
        <v>208.86</v>
      </c>
      <c r="X23" s="100">
        <f>_xll.EQNXTDZ($A$1,$B23,X$1,$B$1)</f>
        <v>233.53</v>
      </c>
      <c r="Y23" s="100">
        <f>_xll.EQNXTDZ($A$1,$B23,Y$1,$B$1)</f>
        <v>301.69</v>
      </c>
      <c r="Z23" s="100">
        <f>_xll.EQNXTDZ($A$1,$B23,Z$1,$B$1)</f>
        <v>362.17</v>
      </c>
      <c r="AA23" s="100">
        <f>_xll.EQNXTDZ($A$1,$B23,AA$1,$B$1)</f>
        <v>385.26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115.55459999999999</v>
      </c>
      <c r="D24" s="100">
        <f>_xll.EQNXTDZ($A$1,$B24,D$1,$B$1)</f>
        <v>147.18469999999999</v>
      </c>
      <c r="E24" s="100">
        <f>_xll.EQNXTDZ($A$1,$B24,E$1,$B$1)</f>
        <v>176.6103</v>
      </c>
      <c r="F24" s="100">
        <f>_xll.EQNXTDZ($A$1,$B24,F$1,$B$1)</f>
        <v>263.88319999999999</v>
      </c>
      <c r="G24" s="100">
        <f>_xll.EQNXTDZ($A$1,$B24,G$1,$B$1)</f>
        <v>376.01780000000002</v>
      </c>
      <c r="H24" s="100">
        <f>_xll.EQNXTDZ($A$1,$B24,H$1,$B$1)</f>
        <v>559.76930000000004</v>
      </c>
      <c r="I24" s="100">
        <f>_xll.EQNXTDZ($A$1,$B24,I$1,$B$1)</f>
        <v>810.78579999999999</v>
      </c>
      <c r="J24" s="100">
        <f>_xll.EQNXTDZ($A$1,$B24,J$1,$B$1)</f>
        <v>919.30399999999997</v>
      </c>
      <c r="K24" s="100">
        <f>_xll.EQNXTDZ($A$1,$B24,K$1,$B$1)</f>
        <v>620.25040000000001</v>
      </c>
      <c r="L24" s="100">
        <f>_xll.EQNXTDZ($A$1,$B24,L$1,$B$1)</f>
        <v>186.87700000000001</v>
      </c>
      <c r="M24" s="100">
        <f>_xll.EQNXTDZ($A$1,$B24,M$1,$B$1)</f>
        <v>393.94</v>
      </c>
      <c r="N24" s="100">
        <f>_xll.EQNXTDZ($A$1,$B24,N$1,$B$1)</f>
        <v>362.61</v>
      </c>
      <c r="O24" s="100">
        <f>_xll.EQNXTDZ($A$1,$B24,O$1,$B$1)</f>
        <v>491.83</v>
      </c>
      <c r="P24" s="100">
        <f>_xll.EQNXTDZ($A$1,$B24,P$1,$B$1)</f>
        <v>590.05999999999995</v>
      </c>
      <c r="Q24" s="100">
        <f>_xll.EQNXTDZ($A$1,$B24,Q$1,$B$1)</f>
        <v>735.06</v>
      </c>
      <c r="R24" s="100">
        <f>_xll.EQNXTDZ($A$1,$B24,R$1,$B$1)</f>
        <v>831.81</v>
      </c>
      <c r="S24" s="100">
        <f>_xll.EQNXTDZ($A$1,$B24,S$1,$B$1)</f>
        <v>497.14</v>
      </c>
      <c r="T24" s="100">
        <f>_xll.EQNXTDZ($A$1,$B24,T$1,$B$1)</f>
        <v>548.12</v>
      </c>
      <c r="U24" s="100">
        <f>_xll.EQNXTDZ($A$1,$B24,U$1,$B$1)</f>
        <v>632.29</v>
      </c>
      <c r="V24" s="100">
        <f>_xll.EQNXTDZ($A$1,$B24,V$1,$B$1)</f>
        <v>390.56</v>
      </c>
      <c r="W24" s="100">
        <f>_xll.EQNXTDZ($A$1,$B24,W$1,$B$1)</f>
        <v>724.32</v>
      </c>
      <c r="X24" s="100">
        <f>_xll.EQNXTDZ($A$1,$B24,X$1,$B$1)</f>
        <v>1143.6300000000001</v>
      </c>
      <c r="Y24" s="100">
        <f>_xll.EQNXTDZ($A$1,$B24,Y$1,$B$1)</f>
        <v>1791.47</v>
      </c>
      <c r="Z24" s="100">
        <f>_xll.EQNXTDZ($A$1,$B24,Z$1,$B$1)</f>
        <v>2658.63</v>
      </c>
      <c r="AA24" s="100">
        <f>_xll.EQNXTDZ($A$1,$B24,AA$1,$B$1)</f>
        <v>2395.36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12.227399999999999</v>
      </c>
      <c r="D25" s="100">
        <f>_xll.EQNXTDZ($A$1,$B25,D$1,$B$1)</f>
        <v>5.8941999999999997</v>
      </c>
      <c r="E25" s="100">
        <f>_xll.EQNXTDZ($A$1,$B25,E$1,$B$1)</f>
        <v>5.2826000000000004</v>
      </c>
      <c r="F25" s="100">
        <f>_xll.EQNXTDZ($A$1,$B25,F$1,$B$1)</f>
        <v>7.0034999999999998</v>
      </c>
      <c r="G25" s="100">
        <f>_xll.EQNXTDZ($A$1,$B25,G$1,$B$1)</f>
        <v>13.4001</v>
      </c>
      <c r="H25" s="100">
        <f>_xll.EQNXTDZ($A$1,$B25,H$1,$B$1)</f>
        <v>10.095599999999999</v>
      </c>
      <c r="I25" s="100">
        <f>_xll.EQNXTDZ($A$1,$B25,I$1,$B$1)</f>
        <v>21.923200000000001</v>
      </c>
      <c r="J25" s="100">
        <f>_xll.EQNXTDZ($A$1,$B25,J$1,$B$1)</f>
        <v>49.3795</v>
      </c>
      <c r="K25" s="100">
        <f>_xll.EQNXTDZ($A$1,$B25,K$1,$B$1)</f>
        <v>44.345199999999998</v>
      </c>
      <c r="L25" s="100">
        <f>_xll.EQNXTDZ($A$1,$B25,L$1,$B$1)</f>
        <v>34.985900000000001</v>
      </c>
      <c r="M25" s="100">
        <f>_xll.EQNXTDZ($A$1,$B25,M$1,$B$1)</f>
        <v>46.4</v>
      </c>
      <c r="N25" s="100">
        <f>_xll.EQNXTDZ($A$1,$B25,N$1,$B$1)</f>
        <v>57.01</v>
      </c>
      <c r="O25" s="100">
        <f>_xll.EQNXTDZ($A$1,$B25,O$1,$B$1)</f>
        <v>116.05</v>
      </c>
      <c r="P25" s="100">
        <f>_xll.EQNXTDZ($A$1,$B25,P$1,$B$1)</f>
        <v>122.04</v>
      </c>
      <c r="Q25" s="100">
        <f>_xll.EQNXTDZ($A$1,$B25,Q$1,$B$1)</f>
        <v>106.23</v>
      </c>
      <c r="R25" s="100">
        <f>_xll.EQNXTDZ($A$1,$B25,R$1,$B$1)</f>
        <v>107.59</v>
      </c>
      <c r="S25" s="100">
        <f>_xll.EQNXTDZ($A$1,$B25,S$1,$B$1)</f>
        <v>62.08</v>
      </c>
      <c r="T25" s="100">
        <f>_xll.EQNXTDZ($A$1,$B25,T$1,$B$1)</f>
        <v>60.22</v>
      </c>
      <c r="U25" s="100">
        <f>_xll.EQNXTDZ($A$1,$B25,U$1,$B$1)</f>
        <v>28.19</v>
      </c>
      <c r="V25" s="100">
        <f>_xll.EQNXTDZ($A$1,$B25,V$1,$B$1)</f>
        <v>24.62</v>
      </c>
      <c r="W25" s="100">
        <f>_xll.EQNXTDZ($A$1,$B25,W$1,$B$1)</f>
        <v>18.690000000000001</v>
      </c>
      <c r="X25" s="100">
        <f>_xll.EQNXTDZ($A$1,$B25,X$1,$B$1)</f>
        <v>15.4</v>
      </c>
      <c r="Y25" s="100">
        <f>_xll.EQNXTDZ($A$1,$B25,Y$1,$B$1)</f>
        <v>12.66</v>
      </c>
      <c r="Z25" s="100">
        <f>_xll.EQNXTDZ($A$1,$B25,Z$1,$B$1)</f>
        <v>16.45</v>
      </c>
      <c r="AA25" s="100">
        <f>_xll.EQNXTDZ($A$1,$B25,AA$1,$B$1)</f>
        <v>19.89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103.3272</v>
      </c>
      <c r="D26" s="100">
        <f>_xll.EQNXTDZ($A$1,$B26,D$1,$B$1)</f>
        <v>141.29050000000001</v>
      </c>
      <c r="E26" s="100">
        <f>_xll.EQNXTDZ($A$1,$B26,E$1,$B$1)</f>
        <v>171.32769999999999</v>
      </c>
      <c r="F26" s="100">
        <f>_xll.EQNXTDZ($A$1,$B26,F$1,$B$1)</f>
        <v>256.87970000000001</v>
      </c>
      <c r="G26" s="100">
        <f>_xll.EQNXTDZ($A$1,$B26,G$1,$B$1)</f>
        <v>362.61770000000001</v>
      </c>
      <c r="H26" s="100">
        <f>_xll.EQNXTDZ($A$1,$B26,H$1,$B$1)</f>
        <v>549.67370000000005</v>
      </c>
      <c r="I26" s="100">
        <f>_xll.EQNXTDZ($A$1,$B26,I$1,$B$1)</f>
        <v>788.86260000000004</v>
      </c>
      <c r="J26" s="100">
        <f>_xll.EQNXTDZ($A$1,$B26,J$1,$B$1)</f>
        <v>869.92449999999997</v>
      </c>
      <c r="K26" s="100">
        <f>_xll.EQNXTDZ($A$1,$B26,K$1,$B$1)</f>
        <v>575.90520000000004</v>
      </c>
      <c r="L26" s="100">
        <f>_xll.EQNXTDZ($A$1,$B26,L$1,$B$1)</f>
        <v>151.89109999999999</v>
      </c>
      <c r="M26" s="100">
        <f>_xll.EQNXTDZ($A$1,$B26,M$1,$B$1)</f>
        <v>347.54</v>
      </c>
      <c r="N26" s="100">
        <f>_xll.EQNXTDZ($A$1,$B26,N$1,$B$1)</f>
        <v>305.60000000000002</v>
      </c>
      <c r="O26" s="100">
        <f>_xll.EQNXTDZ($A$1,$B26,O$1,$B$1)</f>
        <v>375.78</v>
      </c>
      <c r="P26" s="100">
        <f>_xll.EQNXTDZ($A$1,$B26,P$1,$B$1)</f>
        <v>468.02</v>
      </c>
      <c r="Q26" s="100">
        <f>_xll.EQNXTDZ($A$1,$B26,Q$1,$B$1)</f>
        <v>628.83000000000004</v>
      </c>
      <c r="R26" s="100">
        <f>_xll.EQNXTDZ($A$1,$B26,R$1,$B$1)</f>
        <v>724.22</v>
      </c>
      <c r="S26" s="100">
        <f>_xll.EQNXTDZ($A$1,$B26,S$1,$B$1)</f>
        <v>435.06</v>
      </c>
      <c r="T26" s="100">
        <f>_xll.EQNXTDZ($A$1,$B26,T$1,$B$1)</f>
        <v>487.9</v>
      </c>
      <c r="U26" s="100">
        <f>_xll.EQNXTDZ($A$1,$B26,U$1,$B$1)</f>
        <v>604.1</v>
      </c>
      <c r="V26" s="100">
        <f>_xll.EQNXTDZ($A$1,$B26,V$1,$B$1)</f>
        <v>365.94</v>
      </c>
      <c r="W26" s="100">
        <f>_xll.EQNXTDZ($A$1,$B26,W$1,$B$1)</f>
        <v>705.63</v>
      </c>
      <c r="X26" s="100">
        <f>_xll.EQNXTDZ($A$1,$B26,X$1,$B$1)</f>
        <v>1128.23</v>
      </c>
      <c r="Y26" s="100">
        <f>_xll.EQNXTDZ($A$1,$B26,Y$1,$B$1)</f>
        <v>1778.81</v>
      </c>
      <c r="Z26" s="100">
        <f>_xll.EQNXTDZ($A$1,$B26,Z$1,$B$1)</f>
        <v>2642.18</v>
      </c>
      <c r="AA26" s="100">
        <f>_xll.EQNXTDZ($A$1,$B26,AA$1,$B$1)</f>
        <v>2375.4699999999998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18.2483</v>
      </c>
      <c r="D27" s="100">
        <f>_xll.EQNXTDZ($A$1,$B27,D$1,$B$1)</f>
        <v>18.322299999999998</v>
      </c>
      <c r="E27" s="100">
        <f>_xll.EQNXTDZ($A$1,$B27,E$1,$B$1)</f>
        <v>18.434999999999999</v>
      </c>
      <c r="F27" s="100">
        <f>_xll.EQNXTDZ($A$1,$B27,F$1,$B$1)</f>
        <v>20.3597</v>
      </c>
      <c r="G27" s="100">
        <f>_xll.EQNXTDZ($A$1,$B27,G$1,$B$1)</f>
        <v>23.140699999999999</v>
      </c>
      <c r="H27" s="100">
        <f>_xll.EQNXTDZ($A$1,$B27,H$1,$B$1)</f>
        <v>26.467500000000001</v>
      </c>
      <c r="I27" s="100">
        <f>_xll.EQNXTDZ($A$1,$B27,I$1,$B$1)</f>
        <v>32.405700000000003</v>
      </c>
      <c r="J27" s="100">
        <f>_xll.EQNXTDZ($A$1,$B27,J$1,$B$1)</f>
        <v>36.680500000000002</v>
      </c>
      <c r="K27" s="100">
        <f>_xll.EQNXTDZ($A$1,$B27,K$1,$B$1)</f>
        <v>48.505800000000001</v>
      </c>
      <c r="L27" s="100">
        <f>_xll.EQNXTDZ($A$1,$B27,L$1,$B$1)</f>
        <v>51.660800000000002</v>
      </c>
      <c r="M27" s="100">
        <f>_xll.EQNXTDZ($A$1,$B27,M$1,$B$1)</f>
        <v>79.55</v>
      </c>
      <c r="N27" s="100">
        <f>_xll.EQNXTDZ($A$1,$B27,N$1,$B$1)</f>
        <v>94.17</v>
      </c>
      <c r="O27" s="100">
        <f>_xll.EQNXTDZ($A$1,$B27,O$1,$B$1)</f>
        <v>103.31</v>
      </c>
      <c r="P27" s="100">
        <f>_xll.EQNXTDZ($A$1,$B27,P$1,$B$1)</f>
        <v>112.81</v>
      </c>
      <c r="Q27" s="100">
        <f>_xll.EQNXTDZ($A$1,$B27,Q$1,$B$1)</f>
        <v>154.24</v>
      </c>
      <c r="R27" s="100">
        <f>_xll.EQNXTDZ($A$1,$B27,R$1,$B$1)</f>
        <v>150.94999999999999</v>
      </c>
      <c r="S27" s="100">
        <f>_xll.EQNXTDZ($A$1,$B27,S$1,$B$1)</f>
        <v>101.23</v>
      </c>
      <c r="T27" s="100">
        <f>_xll.EQNXTDZ($A$1,$B27,T$1,$B$1)</f>
        <v>92.76</v>
      </c>
      <c r="U27" s="100">
        <f>_xll.EQNXTDZ($A$1,$B27,U$1,$B$1)</f>
        <v>90.4</v>
      </c>
      <c r="V27" s="100">
        <f>_xll.EQNXTDZ($A$1,$B27,V$1,$B$1)</f>
        <v>120.36</v>
      </c>
      <c r="W27" s="100">
        <f>_xll.EQNXTDZ($A$1,$B27,W$1,$B$1)</f>
        <v>102.7</v>
      </c>
      <c r="X27" s="100">
        <f>_xll.EQNXTDZ($A$1,$B27,X$1,$B$1)</f>
        <v>104.7</v>
      </c>
      <c r="Y27" s="100">
        <f>_xll.EQNXTDZ($A$1,$B27,Y$1,$B$1)</f>
        <v>119.92</v>
      </c>
      <c r="Z27" s="100">
        <f>_xll.EQNXTDZ($A$1,$B27,Z$1,$B$1)</f>
        <v>128.91999999999999</v>
      </c>
      <c r="AA27" s="100">
        <f>_xll.EQNXTDZ($A$1,$B27,AA$1,$B$1)</f>
        <v>145.53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15.825900000000001</v>
      </c>
      <c r="E29" s="100">
        <f>_xll.EQNXTDZ($A$1,$B29,E$1,$B$1)</f>
        <v>23.300799999999999</v>
      </c>
      <c r="F29" s="100">
        <f>_xll.EQNXTDZ($A$1,$B29,F$1,$B$1)</f>
        <v>3.7991000000000001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-69.7</v>
      </c>
      <c r="V29" s="100">
        <f>_xll.EQNXTDZ($A$1,$B29,V$1,$B$1)</f>
        <v>58.79</v>
      </c>
      <c r="W29" s="100">
        <f>_xll.EQNXTDZ($A$1,$B29,W$1,$B$1)</f>
        <v>121.34</v>
      </c>
      <c r="X29" s="100">
        <f>_xll.EQNXTDZ($A$1,$B29,X$1,$B$1)</f>
        <v>339.26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19.753</v>
      </c>
      <c r="D30" s="100">
        <f>_xll.EQNXTDZ($A$1,$B30,D$1,$B$1)</f>
        <v>41.62</v>
      </c>
      <c r="E30" s="100">
        <f>_xll.EQNXTDZ($A$1,$B30,E$1,$B$1)</f>
        <v>52</v>
      </c>
      <c r="F30" s="100">
        <f>_xll.EQNXTDZ($A$1,$B30,F$1,$B$1)</f>
        <v>86</v>
      </c>
      <c r="G30" s="100">
        <f>_xll.EQNXTDZ($A$1,$B30,G$1,$B$1)</f>
        <v>120.8</v>
      </c>
      <c r="H30" s="100">
        <f>_xll.EQNXTDZ($A$1,$B30,H$1,$B$1)</f>
        <v>182.9</v>
      </c>
      <c r="I30" s="100">
        <f>_xll.EQNXTDZ($A$1,$B30,I$1,$B$1)</f>
        <v>264.78789999999998</v>
      </c>
      <c r="J30" s="100">
        <f>_xll.EQNXTDZ($A$1,$B30,J$1,$B$1)</f>
        <v>285.83100000000002</v>
      </c>
      <c r="K30" s="100">
        <f>_xll.EQNXTDZ($A$1,$B30,K$1,$B$1)</f>
        <v>172.7603</v>
      </c>
      <c r="L30" s="100">
        <f>_xll.EQNXTDZ($A$1,$B30,L$1,$B$1)</f>
        <v>37</v>
      </c>
      <c r="M30" s="100">
        <f>_xll.EQNXTDZ($A$1,$B30,M$1,$B$1)</f>
        <v>83.28</v>
      </c>
      <c r="N30" s="100">
        <f>_xll.EQNXTDZ($A$1,$B30,N$1,$B$1)</f>
        <v>70.489999999999995</v>
      </c>
      <c r="O30" s="100">
        <f>_xll.EQNXTDZ($A$1,$B30,O$1,$B$1)</f>
        <v>95.58</v>
      </c>
      <c r="P30" s="100">
        <f>_xll.EQNXTDZ($A$1,$B30,P$1,$B$1)</f>
        <v>126.7</v>
      </c>
      <c r="Q30" s="100">
        <f>_xll.EQNXTDZ($A$1,$B30,Q$1,$B$1)</f>
        <v>174.71</v>
      </c>
      <c r="R30" s="100">
        <f>_xll.EQNXTDZ($A$1,$B30,R$1,$B$1)</f>
        <v>198.8</v>
      </c>
      <c r="S30" s="100">
        <f>_xll.EQNXTDZ($A$1,$B30,S$1,$B$1)</f>
        <v>108.35</v>
      </c>
      <c r="T30" s="100">
        <f>_xll.EQNXTDZ($A$1,$B30,T$1,$B$1)</f>
        <v>140.94999999999999</v>
      </c>
      <c r="U30" s="100">
        <f>_xll.EQNXTDZ($A$1,$B30,U$1,$B$1)</f>
        <v>141.77000000000001</v>
      </c>
      <c r="V30" s="100">
        <f>_xll.EQNXTDZ($A$1,$B30,V$1,$B$1)</f>
        <v>73.930000000000007</v>
      </c>
      <c r="W30" s="100">
        <f>_xll.EQNXTDZ($A$1,$B30,W$1,$B$1)</f>
        <v>191.78</v>
      </c>
      <c r="X30" s="100">
        <f>_xll.EQNXTDZ($A$1,$B30,X$1,$B$1)</f>
        <v>337.18</v>
      </c>
      <c r="Y30" s="100">
        <f>_xll.EQNXTDZ($A$1,$B30,Y$1,$B$1)</f>
        <v>410.71</v>
      </c>
      <c r="Z30" s="100">
        <f>_xll.EQNXTDZ($A$1,$B30,Z$1,$B$1)</f>
        <v>638.65</v>
      </c>
      <c r="AA30" s="100">
        <f>_xll.EQNXTDZ($A$1,$B30,AA$1,$B$1)</f>
        <v>560.54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2.42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65.325900000000004</v>
      </c>
      <c r="D35" s="100">
        <f>_xll.EQNXTDZ($A$1,$B35,D$1,$B$1)</f>
        <v>97.174099999999996</v>
      </c>
      <c r="E35" s="100">
        <f>_xll.EQNXTDZ($A$1,$B35,E$1,$B$1)</f>
        <v>124.1935</v>
      </c>
      <c r="F35" s="100">
        <f>_xll.EQNXTDZ($A$1,$B35,F$1,$B$1)</f>
        <v>154.31909999999999</v>
      </c>
      <c r="G35" s="100">
        <f>_xll.EQNXTDZ($A$1,$B35,G$1,$B$1)</f>
        <v>218.67699999999999</v>
      </c>
      <c r="H35" s="100">
        <f>_xll.EQNXTDZ($A$1,$B35,H$1,$B$1)</f>
        <v>340.30619999999999</v>
      </c>
      <c r="I35" s="100">
        <f>_xll.EQNXTDZ($A$1,$B35,I$1,$B$1)</f>
        <v>491.66899999999998</v>
      </c>
      <c r="J35" s="100">
        <f>_xll.EQNXTDZ($A$1,$B35,J$1,$B$1)</f>
        <v>547.41300000000001</v>
      </c>
      <c r="K35" s="100">
        <f>_xll.EQNXTDZ($A$1,$B35,K$1,$B$1)</f>
        <v>354.63909999999998</v>
      </c>
      <c r="L35" s="100">
        <f>_xll.EQNXTDZ($A$1,$B35,L$1,$B$1)</f>
        <v>63.2303</v>
      </c>
      <c r="M35" s="100">
        <f>_xll.EQNXTDZ($A$1,$B35,M$1,$B$1)</f>
        <v>184.71</v>
      </c>
      <c r="N35" s="100">
        <f>_xll.EQNXTDZ($A$1,$B35,N$1,$B$1)</f>
        <v>140.94</v>
      </c>
      <c r="O35" s="100">
        <f>_xll.EQNXTDZ($A$1,$B35,O$1,$B$1)</f>
        <v>176.89</v>
      </c>
      <c r="P35" s="100">
        <f>_xll.EQNXTDZ($A$1,$B35,P$1,$B$1)</f>
        <v>228.51</v>
      </c>
      <c r="Q35" s="100">
        <f>_xll.EQNXTDZ($A$1,$B35,Q$1,$B$1)</f>
        <v>299.88</v>
      </c>
      <c r="R35" s="100">
        <f>_xll.EQNXTDZ($A$1,$B35,R$1,$B$1)</f>
        <v>374.47</v>
      </c>
      <c r="S35" s="100">
        <f>_xll.EQNXTDZ($A$1,$B35,S$1,$B$1)</f>
        <v>225.48</v>
      </c>
      <c r="T35" s="100">
        <f>_xll.EQNXTDZ($A$1,$B35,T$1,$B$1)</f>
        <v>254.19</v>
      </c>
      <c r="U35" s="100">
        <f>_xll.EQNXTDZ($A$1,$B35,U$1,$B$1)</f>
        <v>302.23</v>
      </c>
      <c r="V35" s="100">
        <f>_xll.EQNXTDZ($A$1,$B35,V$1,$B$1)</f>
        <v>230.44</v>
      </c>
      <c r="W35" s="100">
        <f>_xll.EQNXTDZ($A$1,$B35,W$1,$B$1)</f>
        <v>532.49</v>
      </c>
      <c r="X35" s="100">
        <f>_xll.EQNXTDZ($A$1,$B35,X$1,$B$1)</f>
        <v>1025.6099999999999</v>
      </c>
      <c r="Y35" s="100">
        <f>_xll.EQNXTDZ($A$1,$B35,Y$1,$B$1)</f>
        <v>1248.18</v>
      </c>
      <c r="Z35" s="100">
        <f>_xll.EQNXTDZ($A$1,$B35,Z$1,$B$1)</f>
        <v>1871.64</v>
      </c>
      <c r="AA35" s="100">
        <f>_xll.EQNXTDZ($A$1,$B35,AA$1,$B$1)</f>
        <v>1668.26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194.47</v>
      </c>
      <c r="T36" s="100">
        <f>_xll.EQNXTDZ($A$1,$B36,T$1,$B$1)</f>
        <v>256.7</v>
      </c>
      <c r="U36" s="100">
        <f>_xll.EQNXTDZ($A$1,$B36,U$1,$B$1)</f>
        <v>1.17</v>
      </c>
      <c r="V36" s="100">
        <f>_xll.EQNXTDZ($A$1,$B36,V$1,$B$1)</f>
        <v>-11.22</v>
      </c>
      <c r="W36" s="100">
        <f>_xll.EQNXTDZ($A$1,$B36,W$1,$B$1)</f>
        <v>-12.78</v>
      </c>
      <c r="X36" s="100">
        <f>_xll.EQNXTDZ($A$1,$B36,X$1,$B$1)</f>
        <v>-9.3800000000000008</v>
      </c>
      <c r="Y36" s="100">
        <f>_xll.EQNXTDZ($A$1,$B36,Y$1,$B$1)</f>
        <v>-6.13</v>
      </c>
      <c r="Z36" s="100">
        <f>_xll.EQNXTDZ($A$1,$B36,Z$1,$B$1)</f>
        <v>-2.97</v>
      </c>
      <c r="AA36" s="100">
        <f>_xll.EQNXTDZ($A$1,$B36,AA$1,$B$1)</f>
        <v>-1.1399999999999999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200112</v>
      </c>
      <c r="D40">
        <f>_xll.EQNXTDZ($A$1,$B40,D$1,$B$1)</f>
        <v>200212</v>
      </c>
      <c r="E40">
        <f>_xll.EQNXTDZ($A$1,$B40,E$1,$B$1)</f>
        <v>200312</v>
      </c>
      <c r="F40">
        <f>_xll.EQNXTDZ($A$1,$B40,F$1,$B$1)</f>
        <v>200412</v>
      </c>
      <c r="G40">
        <f>_xll.EQNXTDZ($A$1,$B40,G$1,$B$1)</f>
        <v>200512</v>
      </c>
      <c r="H40">
        <f>_xll.EQNXTDZ($A$1,$B40,H$1,$B$1)</f>
        <v>200612</v>
      </c>
      <c r="I40">
        <f>_xll.EQNXTDZ($A$1,$B40,I$1,$B$1)</f>
        <v>200712</v>
      </c>
      <c r="J40">
        <f>_xll.EQNXTDZ($A$1,$B40,J$1,$B$1)</f>
        <v>200812</v>
      </c>
      <c r="K40">
        <f>_xll.EQNXTDZ($A$1,$B40,K$1,$B$1)</f>
        <v>200912</v>
      </c>
      <c r="L40">
        <f>_xll.EQNXTDZ($A$1,$B40,L$1,$B$1)</f>
        <v>201012</v>
      </c>
      <c r="M40">
        <f>_xll.EQNXTDZ($A$1,$B40,M$1,$B$1)</f>
        <v>201112</v>
      </c>
      <c r="N40">
        <f>_xll.EQNXTDZ($A$1,$B40,N$1,$B$1)</f>
        <v>201212</v>
      </c>
      <c r="O40">
        <f>_xll.EQNXTDZ($A$1,$B40,O$1,$B$1)</f>
        <v>201312</v>
      </c>
      <c r="P40">
        <f>_xll.EQNXTDZ($A$1,$B40,P$1,$B$1)</f>
        <v>201412</v>
      </c>
      <c r="Q40">
        <f>_xll.EQNXTDZ($A$1,$B40,Q$1,$B$1)</f>
        <v>201512</v>
      </c>
      <c r="R40">
        <f>_xll.EQNXTDZ($A$1,$B40,R$1,$B$1)</f>
        <v>201612</v>
      </c>
      <c r="S40">
        <f>_xll.EQNXTDZ($A$1,$B40,S$1,$B$1)</f>
        <v>201712</v>
      </c>
      <c r="T40">
        <f>_xll.EQNXTDZ($A$1,$B40,T$1,$B$1)</f>
        <v>201812</v>
      </c>
      <c r="U40">
        <f>_xll.EQNXTDZ($A$1,$B40,U$1,$B$1)</f>
        <v>201912</v>
      </c>
      <c r="V40">
        <f>_xll.EQNXTDZ($A$1,$B40,V$1,$B$1)</f>
        <v>202012</v>
      </c>
      <c r="W40">
        <f>_xll.EQNXTDZ($A$1,$B40,W$1,$B$1)</f>
        <v>202112</v>
      </c>
      <c r="X40">
        <f>_xll.EQNXTDZ($A$1,$B40,X$1,$B$1)</f>
        <v>202212</v>
      </c>
      <c r="Y40">
        <f>_xll.EQNXTDZ($A$1,$B40,Y$1,$B$1)</f>
        <v>202312</v>
      </c>
      <c r="Z40">
        <f>_xll.EQNXTDZ($A$1,$B40,Z$1,$B$1)</f>
        <v>202412</v>
      </c>
      <c r="AA40">
        <f>_xll.EQNXTDZ($A$1,$B40,AA$1,$B$1)</f>
        <v>202512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49.881700000000002</v>
      </c>
      <c r="D41" s="55">
        <f>_xll.EQNXTDZ($A$1,$B41,D$1,$B$1)</f>
        <v>42.381700000000002</v>
      </c>
      <c r="E41" s="55">
        <f>_xll.EQNXTDZ($A$1,$B41,E$1,$B$1)</f>
        <v>42.381700000000002</v>
      </c>
      <c r="F41" s="55">
        <f>_xll.EQNXTDZ($A$1,$B41,F$1,$B$1)</f>
        <v>42.381700000000002</v>
      </c>
      <c r="G41" s="55">
        <f>_xll.EQNXTDZ($A$1,$B41,G$1,$B$1)</f>
        <v>42.381700000000002</v>
      </c>
      <c r="H41" s="55">
        <f>_xll.EQNXTDZ($A$1,$B41,H$1,$B$1)</f>
        <v>42.381700000000002</v>
      </c>
      <c r="I41" s="55">
        <f>_xll.EQNXTDZ($A$1,$B41,I$1,$B$1)</f>
        <v>42.381700000000002</v>
      </c>
      <c r="J41" s="55">
        <f>_xll.EQNXTDZ($A$1,$B41,J$1,$B$1)</f>
        <v>42.381700000000002</v>
      </c>
      <c r="K41" s="55">
        <f>_xll.EQNXTDZ($A$1,$B41,K$1,$B$1)</f>
        <v>42.381700000000002</v>
      </c>
      <c r="L41" s="55">
        <f>_xll.EQNXTDZ($A$1,$B41,L$1,$B$1)</f>
        <v>42.381700000000002</v>
      </c>
      <c r="M41" s="55">
        <f>_xll.EQNXTDZ($A$1,$B41,M$1,$B$1)</f>
        <v>44.23</v>
      </c>
      <c r="N41" s="55">
        <f>_xll.EQNXTDZ($A$1,$B41,N$1,$B$1)</f>
        <v>42.38</v>
      </c>
      <c r="O41" s="55">
        <f>_xll.EQNXTDZ($A$1,$B41,O$1,$B$1)</f>
        <v>42.38</v>
      </c>
      <c r="P41" s="55">
        <f>_xll.EQNXTDZ($A$1,$B41,P$1,$B$1)</f>
        <v>42.38</v>
      </c>
      <c r="Q41" s="55">
        <f>_xll.EQNXTDZ($A$1,$B41,Q$1,$B$1)</f>
        <v>42.38</v>
      </c>
      <c r="R41" s="55">
        <f>_xll.EQNXTDZ($A$1,$B41,R$1,$B$1)</f>
        <v>42.38</v>
      </c>
      <c r="S41" s="55">
        <f>_xll.EQNXTDZ($A$1,$B41,S$1,$B$1)</f>
        <v>42.38</v>
      </c>
      <c r="T41" s="55">
        <f>_xll.EQNXTDZ($A$1,$B41,T$1,$B$1)</f>
        <v>42.38</v>
      </c>
      <c r="U41" s="55">
        <f>_xll.EQNXTDZ($A$1,$B41,U$1,$B$1)</f>
        <v>42.38</v>
      </c>
      <c r="V41" s="55">
        <f>_xll.EQNXTDZ($A$1,$B41,V$1,$B$1)</f>
        <v>42.38</v>
      </c>
      <c r="W41" s="55">
        <f>_xll.EQNXTDZ($A$1,$B41,W$1,$B$1)</f>
        <v>42.38</v>
      </c>
      <c r="X41" s="55">
        <f>_xll.EQNXTDZ($A$1,$B41,X$1,$B$1)</f>
        <v>42.38</v>
      </c>
      <c r="Y41" s="55">
        <f>_xll.EQNXTDZ($A$1,$B41,Y$1,$B$1)</f>
        <v>42.38</v>
      </c>
      <c r="Z41" s="55">
        <f>_xll.EQNXTDZ($A$1,$B41,Z$1,$B$1)</f>
        <v>42.38</v>
      </c>
      <c r="AA41" s="55">
        <f>_xll.EQNXTDZ($A$1,$B41,AA$1,$B$1)</f>
        <v>42.38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0.03</v>
      </c>
      <c r="S42" s="55">
        <f>_xll.EQNXTDZ($A$1,$B42,S$1,$B$1)</f>
        <v>7.0000000000000007E-2</v>
      </c>
      <c r="T42" s="55">
        <f>_xll.EQNXTDZ($A$1,$B42,T$1,$B$1)</f>
        <v>7.0000000000000007E-2</v>
      </c>
      <c r="U42" s="55">
        <f>_xll.EQNXTDZ($A$1,$B42,U$1,$B$1)</f>
        <v>7.0000000000000007E-2</v>
      </c>
      <c r="V42" s="55">
        <f>_xll.EQNXTDZ($A$1,$B42,V$1,$B$1)</f>
        <v>7.0000000000000007E-2</v>
      </c>
      <c r="W42" s="55">
        <f>_xll.EQNXTDZ($A$1,$B42,W$1,$B$1)</f>
        <v>7.0000000000000007E-2</v>
      </c>
      <c r="X42" s="55">
        <f>_xll.EQNXTDZ($A$1,$B42,X$1,$B$1)</f>
        <v>7.0000000000000007E-2</v>
      </c>
      <c r="Y42" s="55">
        <f>_xll.EQNXTDZ($A$1,$B42,Y$1,$B$1)</f>
        <v>7.0000000000000007E-2</v>
      </c>
      <c r="Z42" s="55">
        <f>_xll.EQNXTDZ($A$1,$B42,Z$1,$B$1)</f>
        <v>7.0000000000000007E-2</v>
      </c>
      <c r="AA42" s="55">
        <f>_xll.EQNXTDZ($A$1,$B42,AA$1,$B$1)</f>
        <v>7.0000000000000007E-2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397.86579999999998</v>
      </c>
      <c r="D43" s="55">
        <f>_xll.EQNXTDZ($A$1,$B43,D$1,$B$1)</f>
        <v>469.79020000000003</v>
      </c>
      <c r="E43" s="55">
        <f>_xll.EQNXTDZ($A$1,$B43,E$1,$B$1)</f>
        <v>561.77179999999998</v>
      </c>
      <c r="F43" s="55">
        <f>_xll.EQNXTDZ($A$1,$B43,F$1,$B$1)</f>
        <v>682.28</v>
      </c>
      <c r="G43" s="55">
        <f>_xll.EQNXTDZ($A$1,$B43,G$1,$B$1)</f>
        <v>861.74620000000004</v>
      </c>
      <c r="H43" s="55">
        <f>_xll.EQNXTDZ($A$1,$B43,H$1,$B$1)</f>
        <v>1153.4601</v>
      </c>
      <c r="I43" s="55">
        <f>_xll.EQNXTDZ($A$1,$B43,I$1,$B$1)</f>
        <v>1583.9626000000001</v>
      </c>
      <c r="J43" s="55">
        <f>_xll.EQNXTDZ($A$1,$B43,J$1,$B$1)</f>
        <v>2076.5715</v>
      </c>
      <c r="K43" s="55">
        <f>_xll.EQNXTDZ($A$1,$B43,K$1,$B$1)</f>
        <v>2381.3515000000002</v>
      </c>
      <c r="L43" s="55">
        <f>_xll.EQNXTDZ($A$1,$B43,L$1,$B$1)</f>
        <v>2381.3218999999999</v>
      </c>
      <c r="M43" s="55">
        <f>_xll.EQNXTDZ($A$1,$B43,M$1,$B$1)</f>
        <v>2492.1999999999998</v>
      </c>
      <c r="N43" s="55">
        <f>_xll.EQNXTDZ($A$1,$B43,N$1,$B$1)</f>
        <v>2559.2600000000002</v>
      </c>
      <c r="O43" s="55">
        <f>_xll.EQNXTDZ($A$1,$B43,O$1,$B$1)</f>
        <v>2635.18</v>
      </c>
      <c r="P43" s="55">
        <f>_xll.EQNXTDZ($A$1,$B43,P$1,$B$1)</f>
        <v>2769.6</v>
      </c>
      <c r="Q43" s="55">
        <f>_xll.EQNXTDZ($A$1,$B43,Q$1,$B$1)</f>
        <v>2966.17</v>
      </c>
      <c r="R43" s="55">
        <f>_xll.EQNXTDZ($A$1,$B43,R$1,$B$1)</f>
        <v>3244.29</v>
      </c>
      <c r="S43" s="55">
        <f>_xll.EQNXTDZ($A$1,$B43,S$1,$B$1)</f>
        <v>3564.44</v>
      </c>
      <c r="T43" s="55">
        <f>_xll.EQNXTDZ($A$1,$B43,T$1,$B$1)</f>
        <v>3964.87</v>
      </c>
      <c r="U43" s="55">
        <f>_xll.EQNXTDZ($A$1,$B43,U$1,$B$1)</f>
        <v>3477.66</v>
      </c>
      <c r="V43" s="55">
        <f>_xll.EQNXTDZ($A$1,$B43,V$1,$B$1)</f>
        <v>3563.93</v>
      </c>
      <c r="W43" s="55">
        <f>_xll.EQNXTDZ($A$1,$B43,W$1,$B$1)</f>
        <v>4002.74</v>
      </c>
      <c r="X43" s="55">
        <f>_xll.EQNXTDZ($A$1,$B43,X$1,$B$1)</f>
        <v>4896.96</v>
      </c>
      <c r="Y43" s="55">
        <f>_xll.EQNXTDZ($A$1,$B43,Y$1,$B$1)</f>
        <v>5902.15</v>
      </c>
      <c r="Z43" s="55">
        <f>_xll.EQNXTDZ($A$1,$B43,Z$1,$B$1)</f>
        <v>7032.95</v>
      </c>
      <c r="AA43" s="55">
        <f>_xll.EQNXTDZ($A$1,$B43,AA$1,$B$1)</f>
        <v>7793.54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447.7475</v>
      </c>
      <c r="D44" s="55">
        <f>_xll.EQNXTDZ($A$1,$B44,D$1,$B$1)</f>
        <v>512.17190000000005</v>
      </c>
      <c r="E44" s="55">
        <f>_xll.EQNXTDZ($A$1,$B44,E$1,$B$1)</f>
        <v>604.15350000000001</v>
      </c>
      <c r="F44" s="55">
        <f>_xll.EQNXTDZ($A$1,$B44,F$1,$B$1)</f>
        <v>724.6617</v>
      </c>
      <c r="G44" s="55">
        <f>_xll.EQNXTDZ($A$1,$B44,G$1,$B$1)</f>
        <v>904.12789999999995</v>
      </c>
      <c r="H44" s="55">
        <f>_xll.EQNXTDZ($A$1,$B44,H$1,$B$1)</f>
        <v>1195.8417999999999</v>
      </c>
      <c r="I44" s="55">
        <f>_xll.EQNXTDZ($A$1,$B44,I$1,$B$1)</f>
        <v>1626.3443</v>
      </c>
      <c r="J44" s="55">
        <f>_xll.EQNXTDZ($A$1,$B44,J$1,$B$1)</f>
        <v>2118.9531999999999</v>
      </c>
      <c r="K44" s="55">
        <f>_xll.EQNXTDZ($A$1,$B44,K$1,$B$1)</f>
        <v>2423.7332000000001</v>
      </c>
      <c r="L44" s="55">
        <f>_xll.EQNXTDZ($A$1,$B44,L$1,$B$1)</f>
        <v>2423.7035999999998</v>
      </c>
      <c r="M44" s="55">
        <f>_xll.EQNXTDZ($A$1,$B44,M$1,$B$1)</f>
        <v>2536.4299999999998</v>
      </c>
      <c r="N44" s="55">
        <f>_xll.EQNXTDZ($A$1,$B44,N$1,$B$1)</f>
        <v>2601.64</v>
      </c>
      <c r="O44" s="55">
        <f>_xll.EQNXTDZ($A$1,$B44,O$1,$B$1)</f>
        <v>2677.56</v>
      </c>
      <c r="P44" s="55">
        <f>_xll.EQNXTDZ($A$1,$B44,P$1,$B$1)</f>
        <v>2811.98</v>
      </c>
      <c r="Q44" s="55">
        <f>_xll.EQNXTDZ($A$1,$B44,Q$1,$B$1)</f>
        <v>3008.55</v>
      </c>
      <c r="R44" s="55">
        <f>_xll.EQNXTDZ($A$1,$B44,R$1,$B$1)</f>
        <v>3286.7</v>
      </c>
      <c r="S44" s="55">
        <f>_xll.EQNXTDZ($A$1,$B44,S$1,$B$1)</f>
        <v>3606.89</v>
      </c>
      <c r="T44" s="55">
        <f>_xll.EQNXTDZ($A$1,$B44,T$1,$B$1)</f>
        <v>4007.32</v>
      </c>
      <c r="U44" s="55">
        <f>_xll.EQNXTDZ($A$1,$B44,U$1,$B$1)</f>
        <v>3520.11</v>
      </c>
      <c r="V44" s="55">
        <f>_xll.EQNXTDZ($A$1,$B44,V$1,$B$1)</f>
        <v>3606.38</v>
      </c>
      <c r="W44" s="55">
        <f>_xll.EQNXTDZ($A$1,$B44,W$1,$B$1)</f>
        <v>4045.19</v>
      </c>
      <c r="X44" s="55">
        <f>_xll.EQNXTDZ($A$1,$B44,X$1,$B$1)</f>
        <v>4939.41</v>
      </c>
      <c r="Y44" s="55">
        <f>_xll.EQNXTDZ($A$1,$B44,Y$1,$B$1)</f>
        <v>5944.6</v>
      </c>
      <c r="Z44" s="55">
        <f>_xll.EQNXTDZ($A$1,$B44,Z$1,$B$1)</f>
        <v>7075.4</v>
      </c>
      <c r="AA44" s="55">
        <f>_xll.EQNXTDZ($A$1,$B44,AA$1,$B$1)</f>
        <v>7835.99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3.2881999999999998</v>
      </c>
      <c r="D47" s="55">
        <f>_xll.EQNXTDZ($A$1,$B47,D$1,$B$1)</f>
        <v>4.4596999999999998</v>
      </c>
      <c r="E47" s="55">
        <f>_xll.EQNXTDZ($A$1,$B47,E$1,$B$1)</f>
        <v>2.9632000000000001</v>
      </c>
      <c r="F47" s="55">
        <f>_xll.EQNXTDZ($A$1,$B47,F$1,$B$1)</f>
        <v>1.4312</v>
      </c>
      <c r="G47" s="55">
        <f>_xll.EQNXTDZ($A$1,$B47,G$1,$B$1)</f>
        <v>2.6957</v>
      </c>
      <c r="H47" s="55">
        <f>_xll.EQNXTDZ($A$1,$B47,H$1,$B$1)</f>
        <v>1.5457000000000001</v>
      </c>
      <c r="I47" s="55">
        <f>_xll.EQNXTDZ($A$1,$B47,I$1,$B$1)</f>
        <v>0.56599999999999995</v>
      </c>
      <c r="J47" s="55">
        <f>_xll.EQNXTDZ($A$1,$B47,J$1,$B$1)</f>
        <v>2.0199999999999999E-2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4.1399999999999997</v>
      </c>
      <c r="T47" s="55">
        <f>_xll.EQNXTDZ($A$1,$B47,T$1,$B$1)</f>
        <v>2.0299999999999998</v>
      </c>
      <c r="U47" s="55">
        <f>_xll.EQNXTDZ($A$1,$B47,U$1,$B$1)</f>
        <v>7.06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7.5084999999999997</v>
      </c>
      <c r="D48" s="55">
        <f>_xll.EQNXTDZ($A$1,$B48,D$1,$B$1)</f>
        <v>7.9100999999999999</v>
      </c>
      <c r="E48" s="55">
        <f>_xll.EQNXTDZ($A$1,$B48,E$1,$B$1)</f>
        <v>7.1409000000000002</v>
      </c>
      <c r="F48" s="55">
        <f>_xll.EQNXTDZ($A$1,$B48,F$1,$B$1)</f>
        <v>6.2E-2</v>
      </c>
      <c r="G48" s="55">
        <f>_xll.EQNXTDZ($A$1,$B48,G$1,$B$1)</f>
        <v>3.1E-2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600</v>
      </c>
      <c r="R48" s="55">
        <f>_xll.EQNXTDZ($A$1,$B48,R$1,$B$1)</f>
        <v>600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13.9071</v>
      </c>
      <c r="D49" s="55">
        <f>_xll.EQNXTDZ($A$1,$B49,D$1,$B$1)</f>
        <v>15.027100000000001</v>
      </c>
      <c r="E49" s="55">
        <f>_xll.EQNXTDZ($A$1,$B49,E$1,$B$1)</f>
        <v>14.6271</v>
      </c>
      <c r="F49" s="55">
        <f>_xll.EQNXTDZ($A$1,$B49,F$1,$B$1)</f>
        <v>13.2271</v>
      </c>
      <c r="G49" s="55">
        <f>_xll.EQNXTDZ($A$1,$B49,G$1,$B$1)</f>
        <v>8.4270999999999994</v>
      </c>
      <c r="H49" s="55">
        <f>_xll.EQNXTDZ($A$1,$B49,H$1,$B$1)</f>
        <v>16.527100000000001</v>
      </c>
      <c r="I49" s="55">
        <f>_xll.EQNXTDZ($A$1,$B49,I$1,$B$1)</f>
        <v>12.8034</v>
      </c>
      <c r="J49" s="55">
        <f>_xll.EQNXTDZ($A$1,$B49,J$1,$B$1)</f>
        <v>3.8033999999999999</v>
      </c>
      <c r="K49" s="55">
        <f>_xll.EQNXTDZ($A$1,$B49,K$1,$B$1)</f>
        <v>-9.6600000000000005E-2</v>
      </c>
      <c r="L49" s="55">
        <f>_xll.EQNXTDZ($A$1,$B49,L$1,$B$1)</f>
        <v>-4.5965999999999996</v>
      </c>
      <c r="M49" s="55">
        <f>_xll.EQNXTDZ($A$1,$B49,M$1,$B$1)</f>
        <v>-22.51</v>
      </c>
      <c r="N49" s="55">
        <f>_xll.EQNXTDZ($A$1,$B49,N$1,$B$1)</f>
        <v>-14.99</v>
      </c>
      <c r="O49" s="55">
        <f>_xll.EQNXTDZ($A$1,$B49,O$1,$B$1)</f>
        <v>-27.93</v>
      </c>
      <c r="P49" s="55">
        <f>_xll.EQNXTDZ($A$1,$B49,P$1,$B$1)</f>
        <v>-15.23</v>
      </c>
      <c r="Q49" s="55">
        <f>_xll.EQNXTDZ($A$1,$B49,Q$1,$B$1)</f>
        <v>-48.96</v>
      </c>
      <c r="R49" s="55">
        <f>_xll.EQNXTDZ($A$1,$B49,R$1,$B$1)</f>
        <v>-130.38</v>
      </c>
      <c r="S49" s="55">
        <f>_xll.EQNXTDZ($A$1,$B49,S$1,$B$1)</f>
        <v>-117.3</v>
      </c>
      <c r="T49" s="55">
        <f>_xll.EQNXTDZ($A$1,$B49,T$1,$B$1)</f>
        <v>-114.96</v>
      </c>
      <c r="U49" s="55">
        <f>_xll.EQNXTDZ($A$1,$B49,U$1,$B$1)</f>
        <v>-110.34</v>
      </c>
      <c r="V49" s="55">
        <f>_xll.EQNXTDZ($A$1,$B49,V$1,$B$1)</f>
        <v>-117.21</v>
      </c>
      <c r="W49" s="55">
        <f>_xll.EQNXTDZ($A$1,$B49,W$1,$B$1)</f>
        <v>-93.86</v>
      </c>
      <c r="X49" s="55">
        <f>_xll.EQNXTDZ($A$1,$B49,X$1,$B$1)</f>
        <v>-89.84</v>
      </c>
      <c r="Y49" s="55">
        <f>_xll.EQNXTDZ($A$1,$B49,Y$1,$B$1)</f>
        <v>-102.7</v>
      </c>
      <c r="Z49" s="55">
        <f>_xll.EQNXTDZ($A$1,$B49,Z$1,$B$1)</f>
        <v>-98.49</v>
      </c>
      <c r="AA49" s="55">
        <f>_xll.EQNXTDZ($A$1,$B49,AA$1,$B$1)</f>
        <v>-56.46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3.3</v>
      </c>
      <c r="N50" s="55">
        <f>_xll.EQNXTDZ($A$1,$B50,N$1,$B$1)</f>
        <v>3.89</v>
      </c>
      <c r="O50" s="55">
        <f>_xll.EQNXTDZ($A$1,$B50,O$1,$B$1)</f>
        <v>4.17</v>
      </c>
      <c r="P50" s="55">
        <f>_xll.EQNXTDZ($A$1,$B50,P$1,$B$1)</f>
        <v>4.51</v>
      </c>
      <c r="Q50" s="55">
        <f>_xll.EQNXTDZ($A$1,$B50,Q$1,$B$1)</f>
        <v>4.3</v>
      </c>
      <c r="R50" s="55">
        <f>_xll.EQNXTDZ($A$1,$B50,R$1,$B$1)</f>
        <v>3.91</v>
      </c>
      <c r="S50" s="55">
        <f>_xll.EQNXTDZ($A$1,$B50,S$1,$B$1)</f>
        <v>3.86</v>
      </c>
      <c r="T50" s="55">
        <f>_xll.EQNXTDZ($A$1,$B50,T$1,$B$1)</f>
        <v>3.49</v>
      </c>
      <c r="U50" s="55">
        <f>_xll.EQNXTDZ($A$1,$B50,U$1,$B$1)</f>
        <v>3.56</v>
      </c>
      <c r="V50" s="55">
        <f>_xll.EQNXTDZ($A$1,$B50,V$1,$B$1)</f>
        <v>50.2</v>
      </c>
      <c r="W50" s="55">
        <f>_xll.EQNXTDZ($A$1,$B50,W$1,$B$1)</f>
        <v>23.76</v>
      </c>
      <c r="X50" s="55">
        <f>_xll.EQNXTDZ($A$1,$B50,X$1,$B$1)</f>
        <v>28.48</v>
      </c>
      <c r="Y50" s="55">
        <f>_xll.EQNXTDZ($A$1,$B50,Y$1,$B$1)</f>
        <v>36.799999999999997</v>
      </c>
      <c r="Z50" s="55">
        <f>_xll.EQNXTDZ($A$1,$B50,Z$1,$B$1)</f>
        <v>36.840000000000003</v>
      </c>
      <c r="AA50" s="55">
        <f>_xll.EQNXTDZ($A$1,$B50,AA$1,$B$1)</f>
        <v>64.69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5.71</v>
      </c>
      <c r="N52" s="55">
        <f>_xll.EQNXTDZ($A$1,$B52,N$1,$B$1)</f>
        <v>5.71</v>
      </c>
      <c r="O52" s="55">
        <f>_xll.EQNXTDZ($A$1,$B52,O$1,$B$1)</f>
        <v>1792.53</v>
      </c>
      <c r="P52" s="55">
        <f>_xll.EQNXTDZ($A$1,$B52,P$1,$B$1)</f>
        <v>1825.69</v>
      </c>
      <c r="Q52" s="55">
        <f>_xll.EQNXTDZ($A$1,$B52,Q$1,$B$1)</f>
        <v>2010.71</v>
      </c>
      <c r="R52" s="55">
        <f>_xll.EQNXTDZ($A$1,$B52,R$1,$B$1)</f>
        <v>52.08</v>
      </c>
      <c r="S52" s="55">
        <f>_xll.EQNXTDZ($A$1,$B52,S$1,$B$1)</f>
        <v>42.68</v>
      </c>
      <c r="T52" s="55">
        <f>_xll.EQNXTDZ($A$1,$B52,T$1,$B$1)</f>
        <v>32.29</v>
      </c>
      <c r="U52" s="55">
        <f>_xll.EQNXTDZ($A$1,$B52,U$1,$B$1)</f>
        <v>44.97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5.63</v>
      </c>
      <c r="Z52" s="55">
        <f>_xll.EQNXTDZ($A$1,$B52,Z$1,$B$1)</f>
        <v>5.13</v>
      </c>
      <c r="AA52" s="55">
        <f>_xll.EQNXTDZ($A$1,$B52,AA$1,$B$1)</f>
        <v>4.3499999999999996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24.703800000000001</v>
      </c>
      <c r="D53" s="55">
        <f>_xll.EQNXTDZ($A$1,$B53,D$1,$B$1)</f>
        <v>27.396899999999999</v>
      </c>
      <c r="E53" s="55">
        <f>_xll.EQNXTDZ($A$1,$B53,E$1,$B$1)</f>
        <v>24.731200000000001</v>
      </c>
      <c r="F53" s="55">
        <f>_xll.EQNXTDZ($A$1,$B53,F$1,$B$1)</f>
        <v>14.7203</v>
      </c>
      <c r="G53" s="55">
        <f>_xll.EQNXTDZ($A$1,$B53,G$1,$B$1)</f>
        <v>11.1538</v>
      </c>
      <c r="H53" s="55">
        <f>_xll.EQNXTDZ($A$1,$B53,H$1,$B$1)</f>
        <v>18.072800000000001</v>
      </c>
      <c r="I53" s="55">
        <f>_xll.EQNXTDZ($A$1,$B53,I$1,$B$1)</f>
        <v>13.369400000000001</v>
      </c>
      <c r="J53" s="55">
        <f>_xll.EQNXTDZ($A$1,$B53,J$1,$B$1)</f>
        <v>3.8235999999999999</v>
      </c>
      <c r="K53" s="55">
        <f>_xll.EQNXTDZ($A$1,$B53,K$1,$B$1)</f>
        <v>-9.6600000000000005E-2</v>
      </c>
      <c r="L53" s="55">
        <f>_xll.EQNXTDZ($A$1,$B53,L$1,$B$1)</f>
        <v>-4.5965999999999996</v>
      </c>
      <c r="M53" s="55">
        <f>_xll.EQNXTDZ($A$1,$B53,M$1,$B$1)</f>
        <v>-13.5</v>
      </c>
      <c r="N53" s="55">
        <f>_xll.EQNXTDZ($A$1,$B53,N$1,$B$1)</f>
        <v>-5.39</v>
      </c>
      <c r="O53" s="55">
        <f>_xll.EQNXTDZ($A$1,$B53,O$1,$B$1)</f>
        <v>1768.77</v>
      </c>
      <c r="P53" s="55">
        <f>_xll.EQNXTDZ($A$1,$B53,P$1,$B$1)</f>
        <v>1814.97</v>
      </c>
      <c r="Q53" s="55">
        <f>_xll.EQNXTDZ($A$1,$B53,Q$1,$B$1)</f>
        <v>2566.0500000000002</v>
      </c>
      <c r="R53" s="55">
        <f>_xll.EQNXTDZ($A$1,$B53,R$1,$B$1)</f>
        <v>525.61</v>
      </c>
      <c r="S53" s="55">
        <f>_xll.EQNXTDZ($A$1,$B53,S$1,$B$1)</f>
        <v>-66.62</v>
      </c>
      <c r="T53" s="55">
        <f>_xll.EQNXTDZ($A$1,$B53,T$1,$B$1)</f>
        <v>-77.150000000000006</v>
      </c>
      <c r="U53" s="55">
        <f>_xll.EQNXTDZ($A$1,$B53,U$1,$B$1)</f>
        <v>-54.75</v>
      </c>
      <c r="V53" s="55">
        <f>_xll.EQNXTDZ($A$1,$B53,V$1,$B$1)</f>
        <v>-67.010000000000005</v>
      </c>
      <c r="W53" s="55">
        <f>_xll.EQNXTDZ($A$1,$B53,W$1,$B$1)</f>
        <v>-70.099999999999994</v>
      </c>
      <c r="X53" s="55">
        <f>_xll.EQNXTDZ($A$1,$B53,X$1,$B$1)</f>
        <v>-61.36</v>
      </c>
      <c r="Y53" s="55">
        <f>_xll.EQNXTDZ($A$1,$B53,Y$1,$B$1)</f>
        <v>-60.27</v>
      </c>
      <c r="Z53" s="55">
        <f>_xll.EQNXTDZ($A$1,$B53,Z$1,$B$1)</f>
        <v>-56.52</v>
      </c>
      <c r="AA53" s="55">
        <f>_xll.EQNXTDZ($A$1,$B53,AA$1,$B$1)</f>
        <v>12.58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408.36430000000001</v>
      </c>
      <c r="D54" s="55">
        <f>_xll.EQNXTDZ($A$1,$B54,D$1,$B$1)</f>
        <v>510.79559999999998</v>
      </c>
      <c r="E54" s="55">
        <f>_xll.EQNXTDZ($A$1,$B54,E$1,$B$1)</f>
        <v>631.15660000000003</v>
      </c>
      <c r="F54" s="55">
        <f>_xll.EQNXTDZ($A$1,$B54,F$1,$B$1)</f>
        <v>780.70730000000003</v>
      </c>
      <c r="G54" s="55">
        <f>_xll.EQNXTDZ($A$1,$B54,G$1,$B$1)</f>
        <v>1103.8329000000001</v>
      </c>
      <c r="H54" s="55">
        <f>_xll.EQNXTDZ($A$1,$B54,H$1,$B$1)</f>
        <v>1573.2615000000001</v>
      </c>
      <c r="I54" s="55">
        <f>_xll.EQNXTDZ($A$1,$B54,I$1,$B$1)</f>
        <v>2172.3982000000001</v>
      </c>
      <c r="J54" s="55">
        <f>_xll.EQNXTDZ($A$1,$B54,J$1,$B$1)</f>
        <v>2376.8620000000001</v>
      </c>
      <c r="K54" s="55">
        <f>_xll.EQNXTDZ($A$1,$B54,K$1,$B$1)</f>
        <v>2061.6291999999999</v>
      </c>
      <c r="L54" s="55">
        <f>_xll.EQNXTDZ($A$1,$B54,L$1,$B$1)</f>
        <v>2146.0524</v>
      </c>
      <c r="M54" s="55">
        <f>_xll.EQNXTDZ($A$1,$B54,M$1,$B$1)</f>
        <v>1986.56</v>
      </c>
      <c r="N54" s="55">
        <f>_xll.EQNXTDZ($A$1,$B54,N$1,$B$1)</f>
        <v>1929.26</v>
      </c>
      <c r="O54" s="55">
        <f>_xll.EQNXTDZ($A$1,$B54,O$1,$B$1)</f>
        <v>2082.58</v>
      </c>
      <c r="P54" s="55">
        <f>_xll.EQNXTDZ($A$1,$B54,P$1,$B$1)</f>
        <v>1928.42</v>
      </c>
      <c r="Q54" s="55">
        <f>_xll.EQNXTDZ($A$1,$B54,Q$1,$B$1)</f>
        <v>2101.96</v>
      </c>
      <c r="R54" s="55">
        <f>_xll.EQNXTDZ($A$1,$B54,R$1,$B$1)</f>
        <v>2157.3000000000002</v>
      </c>
      <c r="S54" s="55">
        <f>_xll.EQNXTDZ($A$1,$B54,S$1,$B$1)</f>
        <v>2713.11</v>
      </c>
      <c r="T54" s="55">
        <f>_xll.EQNXTDZ($A$1,$B54,T$1,$B$1)</f>
        <v>1874.51</v>
      </c>
      <c r="U54" s="55">
        <f>_xll.EQNXTDZ($A$1,$B54,U$1,$B$1)</f>
        <v>1901.6</v>
      </c>
      <c r="V54" s="55">
        <f>_xll.EQNXTDZ($A$1,$B54,V$1,$B$1)</f>
        <v>1720.74</v>
      </c>
      <c r="W54" s="55">
        <f>_xll.EQNXTDZ($A$1,$B54,W$1,$B$1)</f>
        <v>2233.67</v>
      </c>
      <c r="X54" s="55">
        <f>_xll.EQNXTDZ($A$1,$B54,X$1,$B$1)</f>
        <v>2636.76</v>
      </c>
      <c r="Y54" s="55">
        <f>_xll.EQNXTDZ($A$1,$B54,Y$1,$B$1)</f>
        <v>3109.08</v>
      </c>
      <c r="Z54" s="55">
        <f>_xll.EQNXTDZ($A$1,$B54,Z$1,$B$1)</f>
        <v>3198.02</v>
      </c>
      <c r="AA54" s="55">
        <f>_xll.EQNXTDZ($A$1,$B54,AA$1,$B$1)</f>
        <v>3455.65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36.823500000000003</v>
      </c>
      <c r="D55" s="55">
        <f>_xll.EQNXTDZ($A$1,$B55,D$1,$B$1)</f>
        <v>49.653100000000002</v>
      </c>
      <c r="E55" s="55">
        <f>_xll.EQNXTDZ($A$1,$B55,E$1,$B$1)</f>
        <v>115.8288</v>
      </c>
      <c r="F55" s="55">
        <f>_xll.EQNXTDZ($A$1,$B55,F$1,$B$1)</f>
        <v>147.22069999999999</v>
      </c>
      <c r="G55" s="55">
        <f>_xll.EQNXTDZ($A$1,$B55,G$1,$B$1)</f>
        <v>269.0412</v>
      </c>
      <c r="H55" s="55">
        <f>_xll.EQNXTDZ($A$1,$B55,H$1,$B$1)</f>
        <v>363.07</v>
      </c>
      <c r="I55" s="55">
        <f>_xll.EQNXTDZ($A$1,$B55,I$1,$B$1)</f>
        <v>661.23249999999996</v>
      </c>
      <c r="J55" s="55">
        <f>_xll.EQNXTDZ($A$1,$B55,J$1,$B$1)</f>
        <v>785.03039999999999</v>
      </c>
      <c r="K55" s="55">
        <f>_xll.EQNXTDZ($A$1,$B55,K$1,$B$1)</f>
        <v>925.30340000000001</v>
      </c>
      <c r="L55" s="55">
        <f>_xll.EQNXTDZ($A$1,$B55,L$1,$B$1)</f>
        <v>1016.9953</v>
      </c>
      <c r="M55" s="55">
        <f>_xll.EQNXTDZ($A$1,$B55,M$1,$B$1)</f>
        <v>1559</v>
      </c>
      <c r="N55" s="55">
        <f>_xll.EQNXTDZ($A$1,$B55,N$1,$B$1)</f>
        <v>1394.87</v>
      </c>
      <c r="O55" s="55">
        <f>_xll.EQNXTDZ($A$1,$B55,O$1,$B$1)</f>
        <v>1395.95</v>
      </c>
      <c r="P55" s="55">
        <f>_xll.EQNXTDZ($A$1,$B55,P$1,$B$1)</f>
        <v>1297.7</v>
      </c>
      <c r="Q55" s="55">
        <f>_xll.EQNXTDZ($A$1,$B55,Q$1,$B$1)</f>
        <v>1267.7</v>
      </c>
      <c r="R55" s="55">
        <f>_xll.EQNXTDZ($A$1,$B55,R$1,$B$1)</f>
        <v>1328.67</v>
      </c>
      <c r="S55" s="55">
        <f>_xll.EQNXTDZ($A$1,$B55,S$1,$B$1)</f>
        <v>2202.85</v>
      </c>
      <c r="T55" s="55">
        <f>_xll.EQNXTDZ($A$1,$B55,T$1,$B$1)</f>
        <v>801.14</v>
      </c>
      <c r="U55" s="55">
        <f>_xll.EQNXTDZ($A$1,$B55,U$1,$B$1)</f>
        <v>1710.39</v>
      </c>
      <c r="V55" s="55">
        <f>_xll.EQNXTDZ($A$1,$B55,V$1,$B$1)</f>
        <v>1873.46</v>
      </c>
      <c r="W55" s="55">
        <f>_xll.EQNXTDZ($A$1,$B55,W$1,$B$1)</f>
        <v>1351.14</v>
      </c>
      <c r="X55" s="55">
        <f>_xll.EQNXTDZ($A$1,$B55,X$1,$B$1)</f>
        <v>1288.22</v>
      </c>
      <c r="Y55" s="55">
        <f>_xll.EQNXTDZ($A$1,$B55,Y$1,$B$1)</f>
        <v>1417.56</v>
      </c>
      <c r="Z55" s="55">
        <f>_xll.EQNXTDZ($A$1,$B55,Z$1,$B$1)</f>
        <v>1504.77</v>
      </c>
      <c r="AA55" s="55">
        <f>_xll.EQNXTDZ($A$1,$B55,AA$1,$B$1)</f>
        <v>1685.2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327.68</v>
      </c>
      <c r="O56" s="55">
        <f>_xll.EQNXTDZ($A$1,$B56,O$1,$B$1)</f>
        <v>620.11</v>
      </c>
      <c r="P56" s="55">
        <f>_xll.EQNXTDZ($A$1,$B56,P$1,$B$1)</f>
        <v>371.07</v>
      </c>
      <c r="Q56" s="55">
        <f>_xll.EQNXTDZ($A$1,$B56,Q$1,$B$1)</f>
        <v>0</v>
      </c>
      <c r="R56" s="55">
        <f>_xll.EQNXTDZ($A$1,$B56,R$1,$B$1)</f>
        <v>0.04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27.058700000000002</v>
      </c>
      <c r="D57" s="55">
        <f>_xll.EQNXTDZ($A$1,$B57,D$1,$B$1)</f>
        <v>30.3687</v>
      </c>
      <c r="E57" s="55">
        <f>_xll.EQNXTDZ($A$1,$B57,E$1,$B$1)</f>
        <v>34.247100000000003</v>
      </c>
      <c r="F57" s="55">
        <f>_xll.EQNXTDZ($A$1,$B57,F$1,$B$1)</f>
        <v>40.973700000000001</v>
      </c>
      <c r="G57" s="55">
        <f>_xll.EQNXTDZ($A$1,$B57,G$1,$B$1)</f>
        <v>51.198900000000002</v>
      </c>
      <c r="H57" s="55">
        <f>_xll.EQNXTDZ($A$1,$B57,H$1,$B$1)</f>
        <v>55.574800000000003</v>
      </c>
      <c r="I57" s="55">
        <f>_xll.EQNXTDZ($A$1,$B57,I$1,$B$1)</f>
        <v>165.6807</v>
      </c>
      <c r="J57" s="55">
        <f>_xll.EQNXTDZ($A$1,$B57,J$1,$B$1)</f>
        <v>159.62819999999999</v>
      </c>
      <c r="K57" s="55">
        <f>_xll.EQNXTDZ($A$1,$B57,K$1,$B$1)</f>
        <v>145.04390000000001</v>
      </c>
      <c r="L57" s="55">
        <f>_xll.EQNXTDZ($A$1,$B57,L$1,$B$1)</f>
        <v>184.64340000000001</v>
      </c>
      <c r="M57" s="55">
        <f>_xll.EQNXTDZ($A$1,$B57,M$1,$B$1)</f>
        <v>227.95</v>
      </c>
      <c r="N57" s="55">
        <f>_xll.EQNXTDZ($A$1,$B57,N$1,$B$1)</f>
        <v>241.36</v>
      </c>
      <c r="O57" s="55">
        <f>_xll.EQNXTDZ($A$1,$B57,O$1,$B$1)</f>
        <v>2025.47</v>
      </c>
      <c r="P57" s="55">
        <f>_xll.EQNXTDZ($A$1,$B57,P$1,$B$1)</f>
        <v>370.53</v>
      </c>
      <c r="Q57" s="55">
        <f>_xll.EQNXTDZ($A$1,$B57,Q$1,$B$1)</f>
        <v>378.4</v>
      </c>
      <c r="R57" s="55">
        <f>_xll.EQNXTDZ($A$1,$B57,R$1,$B$1)</f>
        <v>302.5</v>
      </c>
      <c r="S57" s="55">
        <f>_xll.EQNXTDZ($A$1,$B57,S$1,$B$1)</f>
        <v>314.52</v>
      </c>
      <c r="T57" s="55">
        <f>_xll.EQNXTDZ($A$1,$B57,T$1,$B$1)</f>
        <v>233.38</v>
      </c>
      <c r="U57" s="55">
        <f>_xll.EQNXTDZ($A$1,$B57,U$1,$B$1)</f>
        <v>241.5</v>
      </c>
      <c r="V57" s="55">
        <f>_xll.EQNXTDZ($A$1,$B57,V$1,$B$1)</f>
        <v>339.72</v>
      </c>
      <c r="W57" s="55">
        <f>_xll.EQNXTDZ($A$1,$B57,W$1,$B$1)</f>
        <v>369.53</v>
      </c>
      <c r="X57" s="55">
        <f>_xll.EQNXTDZ($A$1,$B57,X$1,$B$1)</f>
        <v>425.36</v>
      </c>
      <c r="Y57" s="55">
        <f>_xll.EQNXTDZ($A$1,$B57,Y$1,$B$1)</f>
        <v>487.52</v>
      </c>
      <c r="Z57" s="55">
        <f>_xll.EQNXTDZ($A$1,$B57,Z$1,$B$1)</f>
        <v>571.16999999999996</v>
      </c>
      <c r="AA57" s="55">
        <f>_xll.EQNXTDZ($A$1,$B57,AA$1,$B$1)</f>
        <v>592.6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2122.7399999999998</v>
      </c>
      <c r="U58" s="55">
        <f>_xll.EQNXTDZ($A$1,$B58,U$1,$B$1)</f>
        <v>271.64</v>
      </c>
      <c r="V58" s="55">
        <f>_xll.EQNXTDZ($A$1,$B58,V$1,$B$1)</f>
        <v>0</v>
      </c>
      <c r="W58" s="55">
        <f>_xll.EQNXTDZ($A$1,$B58,W$1,$B$1)</f>
        <v>49.45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472.24650000000003</v>
      </c>
      <c r="D59" s="55">
        <f>_xll.EQNXTDZ($A$1,$B59,D$1,$B$1)</f>
        <v>590.81740000000002</v>
      </c>
      <c r="E59" s="55">
        <f>_xll.EQNXTDZ($A$1,$B59,E$1,$B$1)</f>
        <v>781.23249999999996</v>
      </c>
      <c r="F59" s="55">
        <f>_xll.EQNXTDZ($A$1,$B59,F$1,$B$1)</f>
        <v>968.90170000000001</v>
      </c>
      <c r="G59" s="55">
        <f>_xll.EQNXTDZ($A$1,$B59,G$1,$B$1)</f>
        <v>1424.0730000000001</v>
      </c>
      <c r="H59" s="55">
        <f>_xll.EQNXTDZ($A$1,$B59,H$1,$B$1)</f>
        <v>1991.9063000000001</v>
      </c>
      <c r="I59" s="55">
        <f>_xll.EQNXTDZ($A$1,$B59,I$1,$B$1)</f>
        <v>2999.3114</v>
      </c>
      <c r="J59" s="55">
        <f>_xll.EQNXTDZ($A$1,$B59,J$1,$B$1)</f>
        <v>3321.5205999999998</v>
      </c>
      <c r="K59" s="55">
        <f>_xll.EQNXTDZ($A$1,$B59,K$1,$B$1)</f>
        <v>3131.9765000000002</v>
      </c>
      <c r="L59" s="55">
        <f>_xll.EQNXTDZ($A$1,$B59,L$1,$B$1)</f>
        <v>3347.6911</v>
      </c>
      <c r="M59" s="55">
        <f>_xll.EQNXTDZ($A$1,$B59,M$1,$B$1)</f>
        <v>3773.51</v>
      </c>
      <c r="N59" s="55">
        <f>_xll.EQNXTDZ($A$1,$B59,N$1,$B$1)</f>
        <v>3893.17</v>
      </c>
      <c r="O59" s="55">
        <f>_xll.EQNXTDZ($A$1,$B59,O$1,$B$1)</f>
        <v>6124.11</v>
      </c>
      <c r="P59" s="55">
        <f>_xll.EQNXTDZ($A$1,$B59,P$1,$B$1)</f>
        <v>3967.72</v>
      </c>
      <c r="Q59" s="55">
        <f>_xll.EQNXTDZ($A$1,$B59,Q$1,$B$1)</f>
        <v>3748.06</v>
      </c>
      <c r="R59" s="55">
        <f>_xll.EQNXTDZ($A$1,$B59,R$1,$B$1)</f>
        <v>3788.51</v>
      </c>
      <c r="S59" s="55">
        <f>_xll.EQNXTDZ($A$1,$B59,S$1,$B$1)</f>
        <v>5230.4799999999996</v>
      </c>
      <c r="T59" s="55">
        <f>_xll.EQNXTDZ($A$1,$B59,T$1,$B$1)</f>
        <v>2909.03</v>
      </c>
      <c r="U59" s="55">
        <f>_xll.EQNXTDZ($A$1,$B59,U$1,$B$1)</f>
        <v>3853.49</v>
      </c>
      <c r="V59" s="55">
        <f>_xll.EQNXTDZ($A$1,$B59,V$1,$B$1)</f>
        <v>3933.92</v>
      </c>
      <c r="W59" s="55">
        <f>_xll.EQNXTDZ($A$1,$B59,W$1,$B$1)</f>
        <v>3954.34</v>
      </c>
      <c r="X59" s="55">
        <f>_xll.EQNXTDZ($A$1,$B59,X$1,$B$1)</f>
        <v>4350.34</v>
      </c>
      <c r="Y59" s="55">
        <f>_xll.EQNXTDZ($A$1,$B59,Y$1,$B$1)</f>
        <v>5014.16</v>
      </c>
      <c r="Z59" s="55">
        <f>_xll.EQNXTDZ($A$1,$B59,Z$1,$B$1)</f>
        <v>5273.96</v>
      </c>
      <c r="AA59" s="55">
        <f>_xll.EQNXTDZ($A$1,$B59,AA$1,$B$1)</f>
        <v>5733.45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944.69780000000003</v>
      </c>
      <c r="D60" s="55">
        <f>_xll.EQNXTDZ($A$1,$B60,D$1,$B$1)</f>
        <v>1130.3861999999999</v>
      </c>
      <c r="E60" s="55">
        <f>_xll.EQNXTDZ($A$1,$B60,E$1,$B$1)</f>
        <v>1410.1171999999999</v>
      </c>
      <c r="F60" s="55">
        <f>_xll.EQNXTDZ($A$1,$B60,F$1,$B$1)</f>
        <v>1708.2837</v>
      </c>
      <c r="G60" s="55">
        <f>_xll.EQNXTDZ($A$1,$B60,G$1,$B$1)</f>
        <v>2339.3546999999999</v>
      </c>
      <c r="H60" s="55">
        <f>_xll.EQNXTDZ($A$1,$B60,H$1,$B$1)</f>
        <v>3205.8209000000002</v>
      </c>
      <c r="I60" s="55">
        <f>_xll.EQNXTDZ($A$1,$B60,I$1,$B$1)</f>
        <v>4639.0250999999998</v>
      </c>
      <c r="J60" s="55">
        <f>_xll.EQNXTDZ($A$1,$B60,J$1,$B$1)</f>
        <v>5444.2974000000004</v>
      </c>
      <c r="K60" s="55">
        <f>_xll.EQNXTDZ($A$1,$B60,K$1,$B$1)</f>
        <v>5555.6130999999996</v>
      </c>
      <c r="L60" s="55">
        <f>_xll.EQNXTDZ($A$1,$B60,L$1,$B$1)</f>
        <v>5766.7981</v>
      </c>
      <c r="M60" s="55">
        <f>_xll.EQNXTDZ($A$1,$B60,M$1,$B$1)</f>
        <v>6296.44</v>
      </c>
      <c r="N60" s="55">
        <f>_xll.EQNXTDZ($A$1,$B60,N$1,$B$1)</f>
        <v>6489.42</v>
      </c>
      <c r="O60" s="55">
        <f>_xll.EQNXTDZ($A$1,$B60,O$1,$B$1)</f>
        <v>10570.44</v>
      </c>
      <c r="P60" s="55">
        <f>_xll.EQNXTDZ($A$1,$B60,P$1,$B$1)</f>
        <v>8594.67</v>
      </c>
      <c r="Q60" s="55">
        <f>_xll.EQNXTDZ($A$1,$B60,Q$1,$B$1)</f>
        <v>9322.66</v>
      </c>
      <c r="R60" s="55">
        <f>_xll.EQNXTDZ($A$1,$B60,R$1,$B$1)</f>
        <v>7600.82</v>
      </c>
      <c r="S60" s="55">
        <f>_xll.EQNXTDZ($A$1,$B60,S$1,$B$1)</f>
        <v>8770.75</v>
      </c>
      <c r="T60" s="55">
        <f>_xll.EQNXTDZ($A$1,$B60,T$1,$B$1)</f>
        <v>8961.94</v>
      </c>
      <c r="U60" s="55">
        <f>_xll.EQNXTDZ($A$1,$B60,U$1,$B$1)</f>
        <v>7590.49</v>
      </c>
      <c r="V60" s="55">
        <f>_xll.EQNXTDZ($A$1,$B60,V$1,$B$1)</f>
        <v>7473.29</v>
      </c>
      <c r="W60" s="55">
        <f>_xll.EQNXTDZ($A$1,$B60,W$1,$B$1)</f>
        <v>7978.88</v>
      </c>
      <c r="X60" s="55">
        <f>_xll.EQNXTDZ($A$1,$B60,X$1,$B$1)</f>
        <v>9228.39</v>
      </c>
      <c r="Y60" s="55">
        <f>_xll.EQNXTDZ($A$1,$B60,Y$1,$B$1)</f>
        <v>10898.49</v>
      </c>
      <c r="Z60" s="55">
        <f>_xll.EQNXTDZ($A$1,$B60,Z$1,$B$1)</f>
        <v>12292.84</v>
      </c>
      <c r="AA60" s="55">
        <f>_xll.EQNXTDZ($A$1,$B60,AA$1,$B$1)</f>
        <v>13582.02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296.26299999999998</v>
      </c>
      <c r="D62" s="55">
        <f>_xll.EQNXTDZ($A$1,$B62,D$1,$B$1)</f>
        <v>286.67619999999999</v>
      </c>
      <c r="E62" s="55">
        <f>_xll.EQNXTDZ($A$1,$B62,E$1,$B$1)</f>
        <v>313.65539999999999</v>
      </c>
      <c r="F62" s="55">
        <f>_xll.EQNXTDZ($A$1,$B62,F$1,$B$1)</f>
        <v>358.02879999999999</v>
      </c>
      <c r="G62" s="55">
        <f>_xll.EQNXTDZ($A$1,$B62,G$1,$B$1)</f>
        <v>414.16359999999997</v>
      </c>
      <c r="H62" s="55">
        <f>_xll.EQNXTDZ($A$1,$B62,H$1,$B$1)</f>
        <v>514.51670000000001</v>
      </c>
      <c r="I62" s="55">
        <f>_xll.EQNXTDZ($A$1,$B62,I$1,$B$1)</f>
        <v>576.91250000000002</v>
      </c>
      <c r="J62" s="55">
        <f>_xll.EQNXTDZ($A$1,$B62,J$1,$B$1)</f>
        <v>766.4819</v>
      </c>
      <c r="K62" s="55">
        <f>_xll.EQNXTDZ($A$1,$B62,K$1,$B$1)</f>
        <v>879.2636</v>
      </c>
      <c r="L62" s="55">
        <f>_xll.EQNXTDZ($A$1,$B62,L$1,$B$1)</f>
        <v>997.84379999999999</v>
      </c>
      <c r="M62" s="55">
        <f>_xll.EQNXTDZ($A$1,$B62,M$1,$B$1)</f>
        <v>1488.6</v>
      </c>
      <c r="N62" s="55">
        <f>_xll.EQNXTDZ($A$1,$B62,N$1,$B$1)</f>
        <v>1612.31</v>
      </c>
      <c r="O62" s="55">
        <f>_xll.EQNXTDZ($A$1,$B62,O$1,$B$1)</f>
        <v>1862.73</v>
      </c>
      <c r="P62" s="55">
        <f>_xll.EQNXTDZ($A$1,$B62,P$1,$B$1)</f>
        <v>1971.84</v>
      </c>
      <c r="Q62" s="55">
        <f>_xll.EQNXTDZ($A$1,$B62,Q$1,$B$1)</f>
        <v>2026.71</v>
      </c>
      <c r="R62" s="55">
        <f>_xll.EQNXTDZ($A$1,$B62,R$1,$B$1)</f>
        <v>1405.86</v>
      </c>
      <c r="S62" s="55">
        <f>_xll.EQNXTDZ($A$1,$B62,S$1,$B$1)</f>
        <v>1525.1</v>
      </c>
      <c r="T62" s="55">
        <f>_xll.EQNXTDZ($A$1,$B62,T$1,$B$1)</f>
        <v>1141.93</v>
      </c>
      <c r="U62" s="55">
        <f>_xll.EQNXTDZ($A$1,$B62,U$1,$B$1)</f>
        <v>1021.11</v>
      </c>
      <c r="V62" s="55">
        <f>_xll.EQNXTDZ($A$1,$B62,V$1,$B$1)</f>
        <v>1129.6300000000001</v>
      </c>
      <c r="W62" s="55">
        <f>_xll.EQNXTDZ($A$1,$B62,W$1,$B$1)</f>
        <v>1207.8399999999999</v>
      </c>
      <c r="X62" s="55">
        <f>_xll.EQNXTDZ($A$1,$B62,X$1,$B$1)</f>
        <v>1375.92</v>
      </c>
      <c r="Y62" s="55">
        <f>_xll.EQNXTDZ($A$1,$B62,Y$1,$B$1)</f>
        <v>1577.03</v>
      </c>
      <c r="Z62" s="55">
        <f>_xll.EQNXTDZ($A$1,$B62,Z$1,$B$1)</f>
        <v>1720.71</v>
      </c>
      <c r="AA62" s="55">
        <f>_xll.EQNXTDZ($A$1,$B62,AA$1,$B$1)</f>
        <v>1970.43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140.04169999999999</v>
      </c>
      <c r="D63" s="55">
        <f>_xll.EQNXTDZ($A$1,$B63,D$1,$B$1)</f>
        <v>142.82470000000001</v>
      </c>
      <c r="E63" s="55">
        <f>_xll.EQNXTDZ($A$1,$B63,E$1,$B$1)</f>
        <v>153.9211</v>
      </c>
      <c r="F63" s="55">
        <f>_xll.EQNXTDZ($A$1,$B63,F$1,$B$1)</f>
        <v>168.0241</v>
      </c>
      <c r="G63" s="55">
        <f>_xll.EQNXTDZ($A$1,$B63,G$1,$B$1)</f>
        <v>187.5025</v>
      </c>
      <c r="H63" s="55">
        <f>_xll.EQNXTDZ($A$1,$B63,H$1,$B$1)</f>
        <v>207.34460000000001</v>
      </c>
      <c r="I63" s="55">
        <f>_xll.EQNXTDZ($A$1,$B63,I$1,$B$1)</f>
        <v>224.98269999999999</v>
      </c>
      <c r="J63" s="55">
        <f>_xll.EQNXTDZ($A$1,$B63,J$1,$B$1)</f>
        <v>220.64940000000001</v>
      </c>
      <c r="K63" s="55">
        <f>_xll.EQNXTDZ($A$1,$B63,K$1,$B$1)</f>
        <v>206.13399999999999</v>
      </c>
      <c r="L63" s="55">
        <f>_xll.EQNXTDZ($A$1,$B63,L$1,$B$1)</f>
        <v>231.75960000000001</v>
      </c>
      <c r="M63" s="55">
        <f>_xll.EQNXTDZ($A$1,$B63,M$1,$B$1)</f>
        <v>293.72000000000003</v>
      </c>
      <c r="N63" s="55">
        <f>_xll.EQNXTDZ($A$1,$B63,N$1,$B$1)</f>
        <v>378.52</v>
      </c>
      <c r="O63" s="55">
        <f>_xll.EQNXTDZ($A$1,$B63,O$1,$B$1)</f>
        <v>471.22</v>
      </c>
      <c r="P63" s="55">
        <f>_xll.EQNXTDZ($A$1,$B63,P$1,$B$1)</f>
        <v>572.29999999999995</v>
      </c>
      <c r="Q63" s="55">
        <f>_xll.EQNXTDZ($A$1,$B63,Q$1,$B$1)</f>
        <v>728.29</v>
      </c>
      <c r="R63" s="55">
        <f>_xll.EQNXTDZ($A$1,$B63,R$1,$B$1)</f>
        <v>150.94999999999999</v>
      </c>
      <c r="S63" s="55">
        <f>_xll.EQNXTDZ($A$1,$B63,S$1,$B$1)</f>
        <v>306.44</v>
      </c>
      <c r="T63" s="55">
        <f>_xll.EQNXTDZ($A$1,$B63,T$1,$B$1)</f>
        <v>248.79</v>
      </c>
      <c r="U63" s="55">
        <f>_xll.EQNXTDZ($A$1,$B63,U$1,$B$1)</f>
        <v>279.42</v>
      </c>
      <c r="V63" s="55">
        <f>_xll.EQNXTDZ($A$1,$B63,V$1,$B$1)</f>
        <v>346.9</v>
      </c>
      <c r="W63" s="55">
        <f>_xll.EQNXTDZ($A$1,$B63,W$1,$B$1)</f>
        <v>390.86</v>
      </c>
      <c r="X63" s="55">
        <f>_xll.EQNXTDZ($A$1,$B63,X$1,$B$1)</f>
        <v>476.75</v>
      </c>
      <c r="Y63" s="55">
        <f>_xll.EQNXTDZ($A$1,$B63,Y$1,$B$1)</f>
        <v>583.08000000000004</v>
      </c>
      <c r="Z63" s="55">
        <f>_xll.EQNXTDZ($A$1,$B63,Z$1,$B$1)</f>
        <v>658.86</v>
      </c>
      <c r="AA63" s="55">
        <f>_xll.EQNXTDZ($A$1,$B63,AA$1,$B$1)</f>
        <v>775.69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156.22130000000001</v>
      </c>
      <c r="D65" s="55">
        <f>_xll.EQNXTDZ($A$1,$B65,D$1,$B$1)</f>
        <v>143.85149999999999</v>
      </c>
      <c r="E65" s="55">
        <f>_xll.EQNXTDZ($A$1,$B65,E$1,$B$1)</f>
        <v>159.73429999999999</v>
      </c>
      <c r="F65" s="55">
        <f>_xll.EQNXTDZ($A$1,$B65,F$1,$B$1)</f>
        <v>190.00470000000001</v>
      </c>
      <c r="G65" s="55">
        <f>_xll.EQNXTDZ($A$1,$B65,G$1,$B$1)</f>
        <v>226.6611</v>
      </c>
      <c r="H65" s="55">
        <f>_xll.EQNXTDZ($A$1,$B65,H$1,$B$1)</f>
        <v>307.1721</v>
      </c>
      <c r="I65" s="55">
        <f>_xll.EQNXTDZ($A$1,$B65,I$1,$B$1)</f>
        <v>351.9298</v>
      </c>
      <c r="J65" s="55">
        <f>_xll.EQNXTDZ($A$1,$B65,J$1,$B$1)</f>
        <v>545.83249999999998</v>
      </c>
      <c r="K65" s="55">
        <f>_xll.EQNXTDZ($A$1,$B65,K$1,$B$1)</f>
        <v>673.12959999999998</v>
      </c>
      <c r="L65" s="55">
        <f>_xll.EQNXTDZ($A$1,$B65,L$1,$B$1)</f>
        <v>766.08420000000001</v>
      </c>
      <c r="M65" s="55">
        <f>_xll.EQNXTDZ($A$1,$B65,M$1,$B$1)</f>
        <v>1194.8800000000001</v>
      </c>
      <c r="N65" s="55">
        <f>_xll.EQNXTDZ($A$1,$B65,N$1,$B$1)</f>
        <v>1233.79</v>
      </c>
      <c r="O65" s="55">
        <f>_xll.EQNXTDZ($A$1,$B65,O$1,$B$1)</f>
        <v>1391.51</v>
      </c>
      <c r="P65" s="55">
        <f>_xll.EQNXTDZ($A$1,$B65,P$1,$B$1)</f>
        <v>1399.54</v>
      </c>
      <c r="Q65" s="55">
        <f>_xll.EQNXTDZ($A$1,$B65,Q$1,$B$1)</f>
        <v>1298.42</v>
      </c>
      <c r="R65" s="55">
        <f>_xll.EQNXTDZ($A$1,$B65,R$1,$B$1)</f>
        <v>1254.9100000000001</v>
      </c>
      <c r="S65" s="55">
        <f>_xll.EQNXTDZ($A$1,$B65,S$1,$B$1)</f>
        <v>1218.6600000000001</v>
      </c>
      <c r="T65" s="55">
        <f>_xll.EQNXTDZ($A$1,$B65,T$1,$B$1)</f>
        <v>893.14</v>
      </c>
      <c r="U65" s="55">
        <f>_xll.EQNXTDZ($A$1,$B65,U$1,$B$1)</f>
        <v>741.69</v>
      </c>
      <c r="V65" s="55">
        <f>_xll.EQNXTDZ($A$1,$B65,V$1,$B$1)</f>
        <v>782.73</v>
      </c>
      <c r="W65" s="55">
        <f>_xll.EQNXTDZ($A$1,$B65,W$1,$B$1)</f>
        <v>816.98</v>
      </c>
      <c r="X65" s="55">
        <f>_xll.EQNXTDZ($A$1,$B65,X$1,$B$1)</f>
        <v>899.17</v>
      </c>
      <c r="Y65" s="55">
        <f>_xll.EQNXTDZ($A$1,$B65,Y$1,$B$1)</f>
        <v>993.95</v>
      </c>
      <c r="Z65" s="55">
        <f>_xll.EQNXTDZ($A$1,$B65,Z$1,$B$1)</f>
        <v>1061.8499999999999</v>
      </c>
      <c r="AA65" s="55">
        <f>_xll.EQNXTDZ($A$1,$B65,AA$1,$B$1)</f>
        <v>1194.74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1.1624000000000001</v>
      </c>
      <c r="D67" s="55">
        <f>_xll.EQNXTDZ($A$1,$B67,D$1,$B$1)</f>
        <v>4.1353</v>
      </c>
      <c r="E67" s="55">
        <f>_xll.EQNXTDZ($A$1,$B67,E$1,$B$1)</f>
        <v>10.274699999999999</v>
      </c>
      <c r="F67" s="55">
        <f>_xll.EQNXTDZ($A$1,$B67,F$1,$B$1)</f>
        <v>4.9295999999999998</v>
      </c>
      <c r="G67" s="55">
        <f>_xll.EQNXTDZ($A$1,$B67,G$1,$B$1)</f>
        <v>38.423900000000003</v>
      </c>
      <c r="H67" s="55">
        <f>_xll.EQNXTDZ($A$1,$B67,H$1,$B$1)</f>
        <v>24.621700000000001</v>
      </c>
      <c r="I67" s="55">
        <f>_xll.EQNXTDZ($A$1,$B67,I$1,$B$1)</f>
        <v>105.9418</v>
      </c>
      <c r="J67" s="55">
        <f>_xll.EQNXTDZ($A$1,$B67,J$1,$B$1)</f>
        <v>137.5145</v>
      </c>
      <c r="K67" s="55">
        <f>_xll.EQNXTDZ($A$1,$B67,K$1,$B$1)</f>
        <v>116.3391</v>
      </c>
      <c r="L67" s="55">
        <f>_xll.EQNXTDZ($A$1,$B67,L$1,$B$1)</f>
        <v>57.6965</v>
      </c>
      <c r="M67" s="55">
        <f>_xll.EQNXTDZ($A$1,$B67,M$1,$B$1)</f>
        <v>74.430000000000007</v>
      </c>
      <c r="N67" s="55">
        <f>_xll.EQNXTDZ($A$1,$B67,N$1,$B$1)</f>
        <v>117.01</v>
      </c>
      <c r="O67" s="55">
        <f>_xll.EQNXTDZ($A$1,$B67,O$1,$B$1)</f>
        <v>47.49</v>
      </c>
      <c r="P67" s="55">
        <f>_xll.EQNXTDZ($A$1,$B67,P$1,$B$1)</f>
        <v>31.93</v>
      </c>
      <c r="Q67" s="55">
        <f>_xll.EQNXTDZ($A$1,$B67,Q$1,$B$1)</f>
        <v>44.28</v>
      </c>
      <c r="R67" s="55">
        <f>_xll.EQNXTDZ($A$1,$B67,R$1,$B$1)</f>
        <v>67.78</v>
      </c>
      <c r="S67" s="55">
        <f>_xll.EQNXTDZ($A$1,$B67,S$1,$B$1)</f>
        <v>116.48</v>
      </c>
      <c r="T67" s="55">
        <f>_xll.EQNXTDZ($A$1,$B67,T$1,$B$1)</f>
        <v>83.06</v>
      </c>
      <c r="U67" s="55">
        <f>_xll.EQNXTDZ($A$1,$B67,U$1,$B$1)</f>
        <v>59.48</v>
      </c>
      <c r="V67" s="55">
        <f>_xll.EQNXTDZ($A$1,$B67,V$1,$B$1)</f>
        <v>74.86</v>
      </c>
      <c r="W67" s="55">
        <f>_xll.EQNXTDZ($A$1,$B67,W$1,$B$1)</f>
        <v>76.930000000000007</v>
      </c>
      <c r="X67" s="55">
        <f>_xll.EQNXTDZ($A$1,$B67,X$1,$B$1)</f>
        <v>69.25</v>
      </c>
      <c r="Y67" s="55">
        <f>_xll.EQNXTDZ($A$1,$B67,Y$1,$B$1)</f>
        <v>59.92</v>
      </c>
      <c r="Z67" s="55">
        <f>_xll.EQNXTDZ($A$1,$B67,Z$1,$B$1)</f>
        <v>94.77</v>
      </c>
      <c r="AA67" s="55">
        <f>_xll.EQNXTDZ($A$1,$B67,AA$1,$B$1)</f>
        <v>116.44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12.777799999999999</v>
      </c>
      <c r="D71" s="55">
        <f>_xll.EQNXTDZ($A$1,$B71,D$1,$B$1)</f>
        <v>27.575199999999999</v>
      </c>
      <c r="E71" s="55">
        <f>_xll.EQNXTDZ($A$1,$B71,E$1,$B$1)</f>
        <v>58.588099999999997</v>
      </c>
      <c r="F71" s="55">
        <f>_xll.EQNXTDZ($A$1,$B71,F$1,$B$1)</f>
        <v>106.9669</v>
      </c>
      <c r="G71" s="55">
        <f>_xll.EQNXTDZ($A$1,$B71,G$1,$B$1)</f>
        <v>87.150300000000001</v>
      </c>
      <c r="H71" s="55">
        <f>_xll.EQNXTDZ($A$1,$B71,H$1,$B$1)</f>
        <v>77.354600000000005</v>
      </c>
      <c r="I71" s="55">
        <f>_xll.EQNXTDZ($A$1,$B71,I$1,$B$1)</f>
        <v>70.454599999999999</v>
      </c>
      <c r="J71" s="55">
        <f>_xll.EQNXTDZ($A$1,$B71,J$1,$B$1)</f>
        <v>61.124400000000001</v>
      </c>
      <c r="K71" s="55">
        <f>_xll.EQNXTDZ($A$1,$B71,K$1,$B$1)</f>
        <v>16.879200000000001</v>
      </c>
      <c r="L71" s="55">
        <f>_xll.EQNXTDZ($A$1,$B71,L$1,$B$1)</f>
        <v>16.7958</v>
      </c>
      <c r="M71" s="55">
        <f>_xll.EQNXTDZ($A$1,$B71,M$1,$B$1)</f>
        <v>16.64</v>
      </c>
      <c r="N71" s="55">
        <f>_xll.EQNXTDZ($A$1,$B71,N$1,$B$1)</f>
        <v>16.559999999999999</v>
      </c>
      <c r="O71" s="55">
        <f>_xll.EQNXTDZ($A$1,$B71,O$1,$B$1)</f>
        <v>16.47</v>
      </c>
      <c r="P71" s="55">
        <f>_xll.EQNXTDZ($A$1,$B71,P$1,$B$1)</f>
        <v>16.39</v>
      </c>
      <c r="Q71" s="55">
        <f>_xll.EQNXTDZ($A$1,$B71,Q$1,$B$1)</f>
        <v>16.309999999999999</v>
      </c>
      <c r="R71" s="55">
        <f>_xll.EQNXTDZ($A$1,$B71,R$1,$B$1)</f>
        <v>16.23</v>
      </c>
      <c r="S71" s="55">
        <f>_xll.EQNXTDZ($A$1,$B71,S$1,$B$1)</f>
        <v>0.17</v>
      </c>
      <c r="T71" s="55">
        <f>_xll.EQNXTDZ($A$1,$B71,T$1,$B$1)</f>
        <v>0.09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1.56</v>
      </c>
      <c r="Z71" s="55">
        <f>_xll.EQNXTDZ($A$1,$B71,Z$1,$B$1)</f>
        <v>1.56</v>
      </c>
      <c r="AA71" s="55">
        <f>_xll.EQNXTDZ($A$1,$B71,AA$1,$B$1)</f>
        <v>1.56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85.18</v>
      </c>
      <c r="N72" s="55">
        <f>_xll.EQNXTDZ($A$1,$B72,N$1,$B$1)</f>
        <v>135.44999999999999</v>
      </c>
      <c r="O72" s="55">
        <f>_xll.EQNXTDZ($A$1,$B72,O$1,$B$1)</f>
        <v>1998.6</v>
      </c>
      <c r="P72" s="55">
        <f>_xll.EQNXTDZ($A$1,$B72,P$1,$B$1)</f>
        <v>2018.8</v>
      </c>
      <c r="Q72" s="55">
        <f>_xll.EQNXTDZ($A$1,$B72,Q$1,$B$1)</f>
        <v>2189.9499999999998</v>
      </c>
      <c r="R72" s="55">
        <f>_xll.EQNXTDZ($A$1,$B72,R$1,$B$1)</f>
        <v>222.5</v>
      </c>
      <c r="S72" s="55">
        <f>_xll.EQNXTDZ($A$1,$B72,S$1,$B$1)</f>
        <v>326.52</v>
      </c>
      <c r="T72" s="55">
        <f>_xll.EQNXTDZ($A$1,$B72,T$1,$B$1)</f>
        <v>458.18</v>
      </c>
      <c r="U72" s="55">
        <f>_xll.EQNXTDZ($A$1,$B72,U$1,$B$1)</f>
        <v>379.95</v>
      </c>
      <c r="V72" s="55">
        <f>_xll.EQNXTDZ($A$1,$B72,V$1,$B$1)</f>
        <v>531.17999999999995</v>
      </c>
      <c r="W72" s="55">
        <f>_xll.EQNXTDZ($A$1,$B72,W$1,$B$1)</f>
        <v>449.63</v>
      </c>
      <c r="X72" s="55">
        <f>_xll.EQNXTDZ($A$1,$B72,X$1,$B$1)</f>
        <v>361.37</v>
      </c>
      <c r="Y72" s="55">
        <f>_xll.EQNXTDZ($A$1,$B72,Y$1,$B$1)</f>
        <v>295.57</v>
      </c>
      <c r="Z72" s="55">
        <f>_xll.EQNXTDZ($A$1,$B72,Z$1,$B$1)</f>
        <v>372.06</v>
      </c>
      <c r="AA72" s="55">
        <f>_xll.EQNXTDZ($A$1,$B72,AA$1,$B$1)</f>
        <v>519.57000000000005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88.26</v>
      </c>
      <c r="N73" s="55">
        <f>_xll.EQNXTDZ($A$1,$B73,N$1,$B$1)</f>
        <v>104.77</v>
      </c>
      <c r="O73" s="55">
        <f>_xll.EQNXTDZ($A$1,$B73,O$1,$B$1)</f>
        <v>135.01</v>
      </c>
      <c r="P73" s="55">
        <f>_xll.EQNXTDZ($A$1,$B73,P$1,$B$1)</f>
        <v>178.46</v>
      </c>
      <c r="Q73" s="55">
        <f>_xll.EQNXTDZ($A$1,$B73,Q$1,$B$1)</f>
        <v>201.73</v>
      </c>
      <c r="R73" s="55">
        <f>_xll.EQNXTDZ($A$1,$B73,R$1,$B$1)</f>
        <v>174.45</v>
      </c>
      <c r="S73" s="55">
        <f>_xll.EQNXTDZ($A$1,$B73,S$1,$B$1)</f>
        <v>176.16</v>
      </c>
      <c r="T73" s="55">
        <f>_xll.EQNXTDZ($A$1,$B73,T$1,$B$1)</f>
        <v>2.35</v>
      </c>
      <c r="U73" s="55">
        <f>_xll.EQNXTDZ($A$1,$B73,U$1,$B$1)</f>
        <v>11.18</v>
      </c>
      <c r="V73" s="55">
        <f>_xll.EQNXTDZ($A$1,$B73,V$1,$B$1)</f>
        <v>0.88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170.16149999999999</v>
      </c>
      <c r="D74" s="55">
        <f>_xll.EQNXTDZ($A$1,$B74,D$1,$B$1)</f>
        <v>175.56200000000001</v>
      </c>
      <c r="E74" s="55">
        <f>_xll.EQNXTDZ($A$1,$B74,E$1,$B$1)</f>
        <v>228.59710000000001</v>
      </c>
      <c r="F74" s="55">
        <f>_xll.EQNXTDZ($A$1,$B74,F$1,$B$1)</f>
        <v>301.90120000000002</v>
      </c>
      <c r="G74" s="55">
        <f>_xll.EQNXTDZ($A$1,$B74,G$1,$B$1)</f>
        <v>352.2353</v>
      </c>
      <c r="H74" s="55">
        <f>_xll.EQNXTDZ($A$1,$B74,H$1,$B$1)</f>
        <v>409.14839999999998</v>
      </c>
      <c r="I74" s="55">
        <f>_xll.EQNXTDZ($A$1,$B74,I$1,$B$1)</f>
        <v>528.32619999999997</v>
      </c>
      <c r="J74" s="55">
        <f>_xll.EQNXTDZ($A$1,$B74,J$1,$B$1)</f>
        <v>744.47140000000002</v>
      </c>
      <c r="K74" s="55">
        <f>_xll.EQNXTDZ($A$1,$B74,K$1,$B$1)</f>
        <v>806.34789999999998</v>
      </c>
      <c r="L74" s="55">
        <f>_xll.EQNXTDZ($A$1,$B74,L$1,$B$1)</f>
        <v>840.57650000000001</v>
      </c>
      <c r="M74" s="55">
        <f>_xll.EQNXTDZ($A$1,$B74,M$1,$B$1)</f>
        <v>1459.39</v>
      </c>
      <c r="N74" s="55">
        <f>_xll.EQNXTDZ($A$1,$B74,N$1,$B$1)</f>
        <v>1607.58</v>
      </c>
      <c r="O74" s="55">
        <f>_xll.EQNXTDZ($A$1,$B74,O$1,$B$1)</f>
        <v>3589.08</v>
      </c>
      <c r="P74" s="55">
        <f>_xll.EQNXTDZ($A$1,$B74,P$1,$B$1)</f>
        <v>3645.12</v>
      </c>
      <c r="Q74" s="55">
        <f>_xll.EQNXTDZ($A$1,$B74,Q$1,$B$1)</f>
        <v>3750.69</v>
      </c>
      <c r="R74" s="55">
        <f>_xll.EQNXTDZ($A$1,$B74,R$1,$B$1)</f>
        <v>1735.87</v>
      </c>
      <c r="S74" s="55">
        <f>_xll.EQNXTDZ($A$1,$B74,S$1,$B$1)</f>
        <v>1837.99</v>
      </c>
      <c r="T74" s="55">
        <f>_xll.EQNXTDZ($A$1,$B74,T$1,$B$1)</f>
        <v>1436.82</v>
      </c>
      <c r="U74" s="55">
        <f>_xll.EQNXTDZ($A$1,$B74,U$1,$B$1)</f>
        <v>1192.3</v>
      </c>
      <c r="V74" s="55">
        <f>_xll.EQNXTDZ($A$1,$B74,V$1,$B$1)</f>
        <v>1389.65</v>
      </c>
      <c r="W74" s="55">
        <f>_xll.EQNXTDZ($A$1,$B74,W$1,$B$1)</f>
        <v>1343.54</v>
      </c>
      <c r="X74" s="55">
        <f>_xll.EQNXTDZ($A$1,$B74,X$1,$B$1)</f>
        <v>1329.79</v>
      </c>
      <c r="Y74" s="55">
        <f>_xll.EQNXTDZ($A$1,$B74,Y$1,$B$1)</f>
        <v>1351</v>
      </c>
      <c r="Z74" s="55">
        <f>_xll.EQNXTDZ($A$1,$B74,Z$1,$B$1)</f>
        <v>1530.24</v>
      </c>
      <c r="AA74" s="55">
        <f>_xll.EQNXTDZ($A$1,$B74,AA$1,$B$1)</f>
        <v>1832.31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0.08</v>
      </c>
      <c r="N75" s="55">
        <f>_xll.EQNXTDZ($A$1,$B75,N$1,$B$1)</f>
        <v>0.08</v>
      </c>
      <c r="O75" s="55">
        <f>_xll.EQNXTDZ($A$1,$B75,O$1,$B$1)</f>
        <v>0.08</v>
      </c>
      <c r="P75" s="55">
        <f>_xll.EQNXTDZ($A$1,$B75,P$1,$B$1)</f>
        <v>0.08</v>
      </c>
      <c r="Q75" s="55">
        <f>_xll.EQNXTDZ($A$1,$B75,Q$1,$B$1)</f>
        <v>0.08</v>
      </c>
      <c r="R75" s="55">
        <f>_xll.EQNXTDZ($A$1,$B75,R$1,$B$1)</f>
        <v>0.08</v>
      </c>
      <c r="S75" s="55">
        <f>_xll.EQNXTDZ($A$1,$B75,S$1,$B$1)</f>
        <v>270.45</v>
      </c>
      <c r="T75" s="55">
        <f>_xll.EQNXTDZ($A$1,$B75,T$1,$B$1)</f>
        <v>0.08</v>
      </c>
      <c r="U75" s="55">
        <f>_xll.EQNXTDZ($A$1,$B75,U$1,$B$1)</f>
        <v>0.08</v>
      </c>
      <c r="V75" s="55">
        <f>_xll.EQNXTDZ($A$1,$B75,V$1,$B$1)</f>
        <v>0.08</v>
      </c>
      <c r="W75" s="55">
        <f>_xll.EQNXTDZ($A$1,$B75,W$1,$B$1)</f>
        <v>0</v>
      </c>
      <c r="X75" s="55">
        <f>_xll.EQNXTDZ($A$1,$B75,X$1,$B$1)</f>
        <v>493.15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120.44580000000001</v>
      </c>
      <c r="D76" s="55">
        <f>_xll.EQNXTDZ($A$1,$B76,D$1,$B$1)</f>
        <v>111.79900000000001</v>
      </c>
      <c r="E76" s="55">
        <f>_xll.EQNXTDZ($A$1,$B76,E$1,$B$1)</f>
        <v>123.5099</v>
      </c>
      <c r="F76" s="55">
        <f>_xll.EQNXTDZ($A$1,$B76,F$1,$B$1)</f>
        <v>168.28550000000001</v>
      </c>
      <c r="G76" s="55">
        <f>_xll.EQNXTDZ($A$1,$B76,G$1,$B$1)</f>
        <v>201.58029999999999</v>
      </c>
      <c r="H76" s="55">
        <f>_xll.EQNXTDZ($A$1,$B76,H$1,$B$1)</f>
        <v>354.6995</v>
      </c>
      <c r="I76" s="55">
        <f>_xll.EQNXTDZ($A$1,$B76,I$1,$B$1)</f>
        <v>488.71019999999999</v>
      </c>
      <c r="J76" s="55">
        <f>_xll.EQNXTDZ($A$1,$B76,J$1,$B$1)</f>
        <v>642.65340000000003</v>
      </c>
      <c r="K76" s="55">
        <f>_xll.EQNXTDZ($A$1,$B76,K$1,$B$1)</f>
        <v>729.40610000000004</v>
      </c>
      <c r="L76" s="55">
        <f>_xll.EQNXTDZ($A$1,$B76,L$1,$B$1)</f>
        <v>697.85260000000005</v>
      </c>
      <c r="M76" s="55">
        <f>_xll.EQNXTDZ($A$1,$B76,M$1,$B$1)</f>
        <v>939.15</v>
      </c>
      <c r="N76" s="55">
        <f>_xll.EQNXTDZ($A$1,$B76,N$1,$B$1)</f>
        <v>933.37</v>
      </c>
      <c r="O76" s="55">
        <f>_xll.EQNXTDZ($A$1,$B76,O$1,$B$1)</f>
        <v>988.85</v>
      </c>
      <c r="P76" s="55">
        <f>_xll.EQNXTDZ($A$1,$B76,P$1,$B$1)</f>
        <v>893.82</v>
      </c>
      <c r="Q76" s="55">
        <f>_xll.EQNXTDZ($A$1,$B76,Q$1,$B$1)</f>
        <v>939.57</v>
      </c>
      <c r="R76" s="55">
        <f>_xll.EQNXTDZ($A$1,$B76,R$1,$B$1)</f>
        <v>940.25</v>
      </c>
      <c r="S76" s="55">
        <f>_xll.EQNXTDZ($A$1,$B76,S$1,$B$1)</f>
        <v>1153.55</v>
      </c>
      <c r="T76" s="55">
        <f>_xll.EQNXTDZ($A$1,$B76,T$1,$B$1)</f>
        <v>927.85</v>
      </c>
      <c r="U76" s="55">
        <f>_xll.EQNXTDZ($A$1,$B76,U$1,$B$1)</f>
        <v>861.73</v>
      </c>
      <c r="V76" s="55">
        <f>_xll.EQNXTDZ($A$1,$B76,V$1,$B$1)</f>
        <v>840.83</v>
      </c>
      <c r="W76" s="55">
        <f>_xll.EQNXTDZ($A$1,$B76,W$1,$B$1)</f>
        <v>1009.09</v>
      </c>
      <c r="X76" s="55">
        <f>_xll.EQNXTDZ($A$1,$B76,X$1,$B$1)</f>
        <v>1420.66</v>
      </c>
      <c r="Y76" s="55">
        <f>_xll.EQNXTDZ($A$1,$B76,Y$1,$B$1)</f>
        <v>1560.76</v>
      </c>
      <c r="Z76" s="55">
        <f>_xll.EQNXTDZ($A$1,$B76,Z$1,$B$1)</f>
        <v>1777.99</v>
      </c>
      <c r="AA76" s="55">
        <f>_xll.EQNXTDZ($A$1,$B76,AA$1,$B$1)</f>
        <v>2052.98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420.75599999999997</v>
      </c>
      <c r="D77" s="55">
        <f>_xll.EQNXTDZ($A$1,$B77,D$1,$B$1)</f>
        <v>469.58049999999997</v>
      </c>
      <c r="E77" s="55">
        <f>_xll.EQNXTDZ($A$1,$B77,E$1,$B$1)</f>
        <v>535.76620000000003</v>
      </c>
      <c r="F77" s="55">
        <f>_xll.EQNXTDZ($A$1,$B77,F$1,$B$1)</f>
        <v>626.33219999999994</v>
      </c>
      <c r="G77" s="55">
        <f>_xll.EQNXTDZ($A$1,$B77,G$1,$B$1)</f>
        <v>1029.2565999999999</v>
      </c>
      <c r="H77" s="55">
        <f>_xll.EQNXTDZ($A$1,$B77,H$1,$B$1)</f>
        <v>1570.2677000000001</v>
      </c>
      <c r="I77" s="55">
        <f>_xll.EQNXTDZ($A$1,$B77,I$1,$B$1)</f>
        <v>2423.5625</v>
      </c>
      <c r="J77" s="55">
        <f>_xll.EQNXTDZ($A$1,$B77,J$1,$B$1)</f>
        <v>2975.8869</v>
      </c>
      <c r="K77" s="55">
        <f>_xll.EQNXTDZ($A$1,$B77,K$1,$B$1)</f>
        <v>2857.7298000000001</v>
      </c>
      <c r="L77" s="55">
        <f>_xll.EQNXTDZ($A$1,$B77,L$1,$B$1)</f>
        <v>2925.9657000000002</v>
      </c>
      <c r="M77" s="55">
        <f>_xll.EQNXTDZ($A$1,$B77,M$1,$B$1)</f>
        <v>3093.56</v>
      </c>
      <c r="N77" s="55">
        <f>_xll.EQNXTDZ($A$1,$B77,N$1,$B$1)</f>
        <v>3280.82</v>
      </c>
      <c r="O77" s="55">
        <f>_xll.EQNXTDZ($A$1,$B77,O$1,$B$1)</f>
        <v>3235.72</v>
      </c>
      <c r="P77" s="55">
        <f>_xll.EQNXTDZ($A$1,$B77,P$1,$B$1)</f>
        <v>3157.52</v>
      </c>
      <c r="Q77" s="55">
        <f>_xll.EQNXTDZ($A$1,$B77,Q$1,$B$1)</f>
        <v>3390.93</v>
      </c>
      <c r="R77" s="55">
        <f>_xll.EQNXTDZ($A$1,$B77,R$1,$B$1)</f>
        <v>2970.72</v>
      </c>
      <c r="S77" s="55">
        <f>_xll.EQNXTDZ($A$1,$B77,S$1,$B$1)</f>
        <v>2764.1</v>
      </c>
      <c r="T77" s="55">
        <f>_xll.EQNXTDZ($A$1,$B77,T$1,$B$1)</f>
        <v>1686.89</v>
      </c>
      <c r="U77" s="55">
        <f>_xll.EQNXTDZ($A$1,$B77,U$1,$B$1)</f>
        <v>1947.54</v>
      </c>
      <c r="V77" s="55">
        <f>_xll.EQNXTDZ($A$1,$B77,V$1,$B$1)</f>
        <v>1694.96</v>
      </c>
      <c r="W77" s="55">
        <f>_xll.EQNXTDZ($A$1,$B77,W$1,$B$1)</f>
        <v>1883.84</v>
      </c>
      <c r="X77" s="55">
        <f>_xll.EQNXTDZ($A$1,$B77,X$1,$B$1)</f>
        <v>2092.9899999999998</v>
      </c>
      <c r="Y77" s="55">
        <f>_xll.EQNXTDZ($A$1,$B77,Y$1,$B$1)</f>
        <v>2544.3000000000002</v>
      </c>
      <c r="Z77" s="55">
        <f>_xll.EQNXTDZ($A$1,$B77,Z$1,$B$1)</f>
        <v>2983.66</v>
      </c>
      <c r="AA77" s="55">
        <f>_xll.EQNXTDZ($A$1,$B77,AA$1,$B$1)</f>
        <v>3176.33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142.5155</v>
      </c>
      <c r="D78" s="55">
        <f>_xll.EQNXTDZ($A$1,$B78,D$1,$B$1)</f>
        <v>280.66210000000001</v>
      </c>
      <c r="E78" s="55">
        <f>_xll.EQNXTDZ($A$1,$B78,E$1,$B$1)</f>
        <v>353.03160000000003</v>
      </c>
      <c r="F78" s="55">
        <f>_xll.EQNXTDZ($A$1,$B78,F$1,$B$1)</f>
        <v>416.7509</v>
      </c>
      <c r="G78" s="55">
        <f>_xll.EQNXTDZ($A$1,$B78,G$1,$B$1)</f>
        <v>400.96539999999999</v>
      </c>
      <c r="H78" s="55">
        <f>_xll.EQNXTDZ($A$1,$B78,H$1,$B$1)</f>
        <v>546.44240000000002</v>
      </c>
      <c r="I78" s="55">
        <f>_xll.EQNXTDZ($A$1,$B78,I$1,$B$1)</f>
        <v>642.86360000000002</v>
      </c>
      <c r="J78" s="55">
        <f>_xll.EQNXTDZ($A$1,$B78,J$1,$B$1)</f>
        <v>348.23129999999998</v>
      </c>
      <c r="K78" s="55">
        <f>_xll.EQNXTDZ($A$1,$B78,K$1,$B$1)</f>
        <v>524.14049999999997</v>
      </c>
      <c r="L78" s="55">
        <f>_xll.EQNXTDZ($A$1,$B78,L$1,$B$1)</f>
        <v>587.125</v>
      </c>
      <c r="M78" s="55">
        <f>_xll.EQNXTDZ($A$1,$B78,M$1,$B$1)</f>
        <v>259.95</v>
      </c>
      <c r="N78" s="55">
        <f>_xll.EQNXTDZ($A$1,$B78,N$1,$B$1)</f>
        <v>86.84</v>
      </c>
      <c r="O78" s="55">
        <f>_xll.EQNXTDZ($A$1,$B78,O$1,$B$1)</f>
        <v>316.58</v>
      </c>
      <c r="P78" s="55">
        <f>_xll.EQNXTDZ($A$1,$B78,P$1,$B$1)</f>
        <v>225.96</v>
      </c>
      <c r="Q78" s="55">
        <f>_xll.EQNXTDZ($A$1,$B78,Q$1,$B$1)</f>
        <v>573.59</v>
      </c>
      <c r="R78" s="55">
        <f>_xll.EQNXTDZ($A$1,$B78,R$1,$B$1)</f>
        <v>1189.1600000000001</v>
      </c>
      <c r="S78" s="55">
        <f>_xll.EQNXTDZ($A$1,$B78,S$1,$B$1)</f>
        <v>1491.66</v>
      </c>
      <c r="T78" s="55">
        <f>_xll.EQNXTDZ($A$1,$B78,T$1,$B$1)</f>
        <v>1475.07</v>
      </c>
      <c r="U78" s="55">
        <f>_xll.EQNXTDZ($A$1,$B78,U$1,$B$1)</f>
        <v>1597.57</v>
      </c>
      <c r="V78" s="55">
        <f>_xll.EQNXTDZ($A$1,$B78,V$1,$B$1)</f>
        <v>2206.5700000000002</v>
      </c>
      <c r="W78" s="55">
        <f>_xll.EQNXTDZ($A$1,$B78,W$1,$B$1)</f>
        <v>2712.19</v>
      </c>
      <c r="X78" s="55">
        <f>_xll.EQNXTDZ($A$1,$B78,X$1,$B$1)</f>
        <v>3149.08</v>
      </c>
      <c r="Y78" s="55">
        <f>_xll.EQNXTDZ($A$1,$B78,Y$1,$B$1)</f>
        <v>4816.17</v>
      </c>
      <c r="Z78" s="55">
        <f>_xll.EQNXTDZ($A$1,$B78,Z$1,$B$1)</f>
        <v>5507.82</v>
      </c>
      <c r="AA78" s="55">
        <f>_xll.EQNXTDZ($A$1,$B78,AA$1,$B$1)</f>
        <v>5834.87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1.2212000000000001</v>
      </c>
      <c r="D79" s="55">
        <f>_xll.EQNXTDZ($A$1,$B79,D$1,$B$1)</f>
        <v>2.5272999999999999</v>
      </c>
      <c r="E79" s="55">
        <f>_xll.EQNXTDZ($A$1,$B79,E$1,$B$1)</f>
        <v>6.4143999999999997</v>
      </c>
      <c r="F79" s="55">
        <f>_xll.EQNXTDZ($A$1,$B79,F$1,$B$1)</f>
        <v>5.2042000000000002</v>
      </c>
      <c r="G79" s="55">
        <f>_xll.EQNXTDZ($A$1,$B79,G$1,$B$1)</f>
        <v>12.7082</v>
      </c>
      <c r="H79" s="55">
        <f>_xll.EQNXTDZ($A$1,$B79,H$1,$B$1)</f>
        <v>13.587899999999999</v>
      </c>
      <c r="I79" s="55">
        <f>_xll.EQNXTDZ($A$1,$B79,I$1,$B$1)</f>
        <v>15.153600000000001</v>
      </c>
      <c r="J79" s="55">
        <f>_xll.EQNXTDZ($A$1,$B79,J$1,$B$1)</f>
        <v>1.7264999999999999</v>
      </c>
      <c r="K79" s="55">
        <f>_xll.EQNXTDZ($A$1,$B79,K$1,$B$1)</f>
        <v>0.63539999999999996</v>
      </c>
      <c r="L79" s="55">
        <f>_xll.EQNXTDZ($A$1,$B79,L$1,$B$1)</f>
        <v>0.70499999999999996</v>
      </c>
      <c r="M79" s="55">
        <f>_xll.EQNXTDZ($A$1,$B79,M$1,$B$1)</f>
        <v>80.3</v>
      </c>
      <c r="N79" s="55">
        <f>_xll.EQNXTDZ($A$1,$B79,N$1,$B$1)</f>
        <v>145.32</v>
      </c>
      <c r="O79" s="55">
        <f>_xll.EQNXTDZ($A$1,$B79,O$1,$B$1)</f>
        <v>182.61</v>
      </c>
      <c r="P79" s="55">
        <f>_xll.EQNXTDZ($A$1,$B79,P$1,$B$1)</f>
        <v>164.55</v>
      </c>
      <c r="Q79" s="55">
        <f>_xll.EQNXTDZ($A$1,$B79,Q$1,$B$1)</f>
        <v>169.23</v>
      </c>
      <c r="R79" s="55">
        <f>_xll.EQNXTDZ($A$1,$B79,R$1,$B$1)</f>
        <v>184.52</v>
      </c>
      <c r="S79" s="55">
        <f>_xll.EQNXTDZ($A$1,$B79,S$1,$B$1)</f>
        <v>256.49</v>
      </c>
      <c r="T79" s="55">
        <f>_xll.EQNXTDZ($A$1,$B79,T$1,$B$1)</f>
        <v>113.3</v>
      </c>
      <c r="U79" s="55">
        <f>_xll.EQNXTDZ($A$1,$B79,U$1,$B$1)</f>
        <v>645.30999999999995</v>
      </c>
      <c r="V79" s="55">
        <f>_xll.EQNXTDZ($A$1,$B79,V$1,$B$1)</f>
        <v>1016.56</v>
      </c>
      <c r="W79" s="55">
        <f>_xll.EQNXTDZ($A$1,$B79,W$1,$B$1)</f>
        <v>679.16</v>
      </c>
      <c r="X79" s="55">
        <f>_xll.EQNXTDZ($A$1,$B79,X$1,$B$1)</f>
        <v>328.26</v>
      </c>
      <c r="Y79" s="55">
        <f>_xll.EQNXTDZ($A$1,$B79,Y$1,$B$1)</f>
        <v>206.06</v>
      </c>
      <c r="Z79" s="55">
        <f>_xll.EQNXTDZ($A$1,$B79,Z$1,$B$1)</f>
        <v>118.51</v>
      </c>
      <c r="AA79" s="55">
        <f>_xll.EQNXTDZ($A$1,$B79,AA$1,$B$1)</f>
        <v>344.55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89.597800000000007</v>
      </c>
      <c r="D80" s="55">
        <f>_xll.EQNXTDZ($A$1,$B80,D$1,$B$1)</f>
        <v>90.255300000000005</v>
      </c>
      <c r="E80" s="55">
        <f>_xll.EQNXTDZ($A$1,$B80,E$1,$B$1)</f>
        <v>162.798</v>
      </c>
      <c r="F80" s="55">
        <f>_xll.EQNXTDZ($A$1,$B80,F$1,$B$1)</f>
        <v>189.80969999999999</v>
      </c>
      <c r="G80" s="55">
        <f>_xll.EQNXTDZ($A$1,$B80,G$1,$B$1)</f>
        <v>342.60890000000001</v>
      </c>
      <c r="H80" s="55">
        <f>_xll.EQNXTDZ($A$1,$B80,H$1,$B$1)</f>
        <v>311.67500000000001</v>
      </c>
      <c r="I80" s="55">
        <f>_xll.EQNXTDZ($A$1,$B80,I$1,$B$1)</f>
        <v>540.40899999999999</v>
      </c>
      <c r="J80" s="55">
        <f>_xll.EQNXTDZ($A$1,$B80,J$1,$B$1)</f>
        <v>731.3279</v>
      </c>
      <c r="K80" s="55">
        <f>_xll.EQNXTDZ($A$1,$B80,K$1,$B$1)</f>
        <v>637.35339999999997</v>
      </c>
      <c r="L80" s="55">
        <f>_xll.EQNXTDZ($A$1,$B80,L$1,$B$1)</f>
        <v>714.57330000000002</v>
      </c>
      <c r="M80" s="55">
        <f>_xll.EQNXTDZ($A$1,$B80,M$1,$B$1)</f>
        <v>464.01</v>
      </c>
      <c r="N80" s="55">
        <f>_xll.EQNXTDZ($A$1,$B80,N$1,$B$1)</f>
        <v>435.41</v>
      </c>
      <c r="O80" s="55">
        <f>_xll.EQNXTDZ($A$1,$B80,O$1,$B$1)</f>
        <v>2257.52</v>
      </c>
      <c r="P80" s="55">
        <f>_xll.EQNXTDZ($A$1,$B80,P$1,$B$1)</f>
        <v>507.62</v>
      </c>
      <c r="Q80" s="55">
        <f>_xll.EQNXTDZ($A$1,$B80,Q$1,$B$1)</f>
        <v>498.57</v>
      </c>
      <c r="R80" s="55">
        <f>_xll.EQNXTDZ($A$1,$B80,R$1,$B$1)</f>
        <v>580.22</v>
      </c>
      <c r="S80" s="55">
        <f>_xll.EQNXTDZ($A$1,$B80,S$1,$B$1)</f>
        <v>996.51</v>
      </c>
      <c r="T80" s="55">
        <f>_xll.EQNXTDZ($A$1,$B80,T$1,$B$1)</f>
        <v>519.71</v>
      </c>
      <c r="U80" s="55">
        <f>_xll.EQNXTDZ($A$1,$B80,U$1,$B$1)</f>
        <v>923.39</v>
      </c>
      <c r="V80" s="55">
        <f>_xll.EQNXTDZ($A$1,$B80,V$1,$B$1)</f>
        <v>324.64</v>
      </c>
      <c r="W80" s="55">
        <f>_xll.EQNXTDZ($A$1,$B80,W$1,$B$1)</f>
        <v>290.91000000000003</v>
      </c>
      <c r="X80" s="55">
        <f>_xll.EQNXTDZ($A$1,$B80,X$1,$B$1)</f>
        <v>414.46</v>
      </c>
      <c r="Y80" s="55">
        <f>_xll.EQNXTDZ($A$1,$B80,Y$1,$B$1)</f>
        <v>420.2</v>
      </c>
      <c r="Z80" s="55">
        <f>_xll.EQNXTDZ($A$1,$B80,Z$1,$B$1)</f>
        <v>374.62</v>
      </c>
      <c r="AA80" s="55">
        <f>_xll.EQNXTDZ($A$1,$B80,AA$1,$B$1)</f>
        <v>340.98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2802.22</v>
      </c>
      <c r="U81" s="55">
        <f>_xll.EQNXTDZ($A$1,$B81,U$1,$B$1)</f>
        <v>422.57</v>
      </c>
      <c r="V81" s="55">
        <f>_xll.EQNXTDZ($A$1,$B81,V$1,$B$1)</f>
        <v>0</v>
      </c>
      <c r="W81" s="55">
        <f>_xll.EQNXTDZ($A$1,$B81,W$1,$B$1)</f>
        <v>60.15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774.53629999999998</v>
      </c>
      <c r="D82" s="55">
        <f>_xll.EQNXTDZ($A$1,$B82,D$1,$B$1)</f>
        <v>954.82420000000002</v>
      </c>
      <c r="E82" s="55">
        <f>_xll.EQNXTDZ($A$1,$B82,E$1,$B$1)</f>
        <v>1181.5201</v>
      </c>
      <c r="F82" s="55">
        <f>_xll.EQNXTDZ($A$1,$B82,F$1,$B$1)</f>
        <v>1406.3824999999999</v>
      </c>
      <c r="G82" s="55">
        <f>_xll.EQNXTDZ($A$1,$B82,G$1,$B$1)</f>
        <v>1987.1194</v>
      </c>
      <c r="H82" s="55">
        <f>_xll.EQNXTDZ($A$1,$B82,H$1,$B$1)</f>
        <v>2796.6725000000001</v>
      </c>
      <c r="I82" s="55">
        <f>_xll.EQNXTDZ($A$1,$B82,I$1,$B$1)</f>
        <v>4110.6989000000003</v>
      </c>
      <c r="J82" s="55">
        <f>_xll.EQNXTDZ($A$1,$B82,J$1,$B$1)</f>
        <v>4699.826</v>
      </c>
      <c r="K82" s="55">
        <f>_xll.EQNXTDZ($A$1,$B82,K$1,$B$1)</f>
        <v>4749.2651999999998</v>
      </c>
      <c r="L82" s="55">
        <f>_xll.EQNXTDZ($A$1,$B82,L$1,$B$1)</f>
        <v>4926.2215999999999</v>
      </c>
      <c r="M82" s="55">
        <f>_xll.EQNXTDZ($A$1,$B82,M$1,$B$1)</f>
        <v>4837.05</v>
      </c>
      <c r="N82" s="55">
        <f>_xll.EQNXTDZ($A$1,$B82,N$1,$B$1)</f>
        <v>4881.84</v>
      </c>
      <c r="O82" s="55">
        <f>_xll.EQNXTDZ($A$1,$B82,O$1,$B$1)</f>
        <v>6981.36</v>
      </c>
      <c r="P82" s="55">
        <f>_xll.EQNXTDZ($A$1,$B82,P$1,$B$1)</f>
        <v>4949.55</v>
      </c>
      <c r="Q82" s="55">
        <f>_xll.EQNXTDZ($A$1,$B82,Q$1,$B$1)</f>
        <v>5571.97</v>
      </c>
      <c r="R82" s="55">
        <f>_xll.EQNXTDZ($A$1,$B82,R$1,$B$1)</f>
        <v>5864.95</v>
      </c>
      <c r="S82" s="55">
        <f>_xll.EQNXTDZ($A$1,$B82,S$1,$B$1)</f>
        <v>6932.76</v>
      </c>
      <c r="T82" s="55">
        <f>_xll.EQNXTDZ($A$1,$B82,T$1,$B$1)</f>
        <v>4722.8999999999996</v>
      </c>
      <c r="U82" s="55">
        <f>_xll.EQNXTDZ($A$1,$B82,U$1,$B$1)</f>
        <v>5975.62</v>
      </c>
      <c r="V82" s="55">
        <f>_xll.EQNXTDZ($A$1,$B82,V$1,$B$1)</f>
        <v>6083.64</v>
      </c>
      <c r="W82" s="55">
        <f>_xll.EQNXTDZ($A$1,$B82,W$1,$B$1)</f>
        <v>6575.19</v>
      </c>
      <c r="X82" s="55">
        <f>_xll.EQNXTDZ($A$1,$B82,X$1,$B$1)</f>
        <v>7898.6</v>
      </c>
      <c r="Y82" s="55">
        <f>_xll.EQNXTDZ($A$1,$B82,Y$1,$B$1)</f>
        <v>9547.49</v>
      </c>
      <c r="Z82" s="55">
        <f>_xll.EQNXTDZ($A$1,$B82,Z$1,$B$1)</f>
        <v>10762.6</v>
      </c>
      <c r="AA82" s="55">
        <f>_xll.EQNXTDZ($A$1,$B82,AA$1,$B$1)</f>
        <v>11749.71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944.69780000000003</v>
      </c>
      <c r="D84" s="55">
        <f>_xll.EQNXTDZ($A$1,$B84,D$1,$B$1)</f>
        <v>1130.3861999999999</v>
      </c>
      <c r="E84" s="55">
        <f>_xll.EQNXTDZ($A$1,$B84,E$1,$B$1)</f>
        <v>1410.1171999999999</v>
      </c>
      <c r="F84" s="55">
        <f>_xll.EQNXTDZ($A$1,$B84,F$1,$B$1)</f>
        <v>1708.2837</v>
      </c>
      <c r="G84" s="55">
        <f>_xll.EQNXTDZ($A$1,$B84,G$1,$B$1)</f>
        <v>2339.3546999999999</v>
      </c>
      <c r="H84" s="55">
        <f>_xll.EQNXTDZ($A$1,$B84,H$1,$B$1)</f>
        <v>3205.8209000000002</v>
      </c>
      <c r="I84" s="55">
        <f>_xll.EQNXTDZ($A$1,$B84,I$1,$B$1)</f>
        <v>4639.0250999999998</v>
      </c>
      <c r="J84" s="55">
        <f>_xll.EQNXTDZ($A$1,$B84,J$1,$B$1)</f>
        <v>5444.2974000000004</v>
      </c>
      <c r="K84" s="55">
        <f>_xll.EQNXTDZ($A$1,$B84,K$1,$B$1)</f>
        <v>5555.6130999999996</v>
      </c>
      <c r="L84" s="55">
        <f>_xll.EQNXTDZ($A$1,$B84,L$1,$B$1)</f>
        <v>5766.7981</v>
      </c>
      <c r="M84" s="55">
        <f>_xll.EQNXTDZ($A$1,$B84,M$1,$B$1)</f>
        <v>6296.44</v>
      </c>
      <c r="N84" s="55">
        <f>_xll.EQNXTDZ($A$1,$B84,N$1,$B$1)</f>
        <v>6489.42</v>
      </c>
      <c r="O84" s="55">
        <f>_xll.EQNXTDZ($A$1,$B84,O$1,$B$1)</f>
        <v>10570.44</v>
      </c>
      <c r="P84" s="55">
        <f>_xll.EQNXTDZ($A$1,$B84,P$1,$B$1)</f>
        <v>8594.67</v>
      </c>
      <c r="Q84" s="55">
        <f>_xll.EQNXTDZ($A$1,$B84,Q$1,$B$1)</f>
        <v>9322.66</v>
      </c>
      <c r="R84" s="55">
        <f>_xll.EQNXTDZ($A$1,$B84,R$1,$B$1)</f>
        <v>7600.82</v>
      </c>
      <c r="S84" s="55">
        <f>_xll.EQNXTDZ($A$1,$B84,S$1,$B$1)</f>
        <v>8770.75</v>
      </c>
      <c r="T84" s="55">
        <f>_xll.EQNXTDZ($A$1,$B84,T$1,$B$1)</f>
        <v>8961.94</v>
      </c>
      <c r="U84" s="55">
        <f>_xll.EQNXTDZ($A$1,$B84,U$1,$B$1)</f>
        <v>7590.49</v>
      </c>
      <c r="V84" s="55">
        <f>_xll.EQNXTDZ($A$1,$B84,V$1,$B$1)</f>
        <v>7473.29</v>
      </c>
      <c r="W84" s="55">
        <f>_xll.EQNXTDZ($A$1,$B84,W$1,$B$1)</f>
        <v>7978.88</v>
      </c>
      <c r="X84" s="55">
        <f>_xll.EQNXTDZ($A$1,$B84,X$1,$B$1)</f>
        <v>9228.39</v>
      </c>
      <c r="Y84" s="55">
        <f>_xll.EQNXTDZ($A$1,$B84,Y$1,$B$1)</f>
        <v>10898.49</v>
      </c>
      <c r="Z84" s="55">
        <f>_xll.EQNXTDZ($A$1,$B84,Z$1,$B$1)</f>
        <v>12292.84</v>
      </c>
      <c r="AA84" s="55">
        <f>_xll.EQNXTDZ($A$1,$B84,AA$1,$B$1)</f>
        <v>13582.02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52.095199999999998</v>
      </c>
      <c r="D85" s="55">
        <f>_xll.EQNXTDZ($A$1,$B85,D$1,$B$1)</f>
        <v>63.305199999999999</v>
      </c>
      <c r="E85" s="55">
        <f>_xll.EQNXTDZ($A$1,$B85,E$1,$B$1)</f>
        <v>72.165999999999997</v>
      </c>
      <c r="F85" s="55">
        <f>_xll.EQNXTDZ($A$1,$B85,F$1,$B$1)</f>
        <v>86.980400000000003</v>
      </c>
      <c r="G85" s="55">
        <f>_xll.EQNXTDZ($A$1,$B85,G$1,$B$1)</f>
        <v>72.210800000000006</v>
      </c>
      <c r="H85" s="55">
        <f>_xll.EQNXTDZ($A$1,$B85,H$1,$B$1)</f>
        <v>68.098799999999997</v>
      </c>
      <c r="I85" s="55">
        <f>_xll.EQNXTDZ($A$1,$B85,I$1,$B$1)</f>
        <v>58.861400000000003</v>
      </c>
      <c r="J85" s="55">
        <f>_xll.EQNXTDZ($A$1,$B85,J$1,$B$1)</f>
        <v>139.06790000000001</v>
      </c>
      <c r="K85" s="55">
        <f>_xll.EQNXTDZ($A$1,$B85,K$1,$B$1)</f>
        <v>181.57470000000001</v>
      </c>
      <c r="L85" s="55">
        <f>_xll.EQNXTDZ($A$1,$B85,L$1,$B$1)</f>
        <v>306.74</v>
      </c>
      <c r="M85" s="55">
        <f>_xll.EQNXTDZ($A$1,$B85,M$1,$B$1)</f>
        <v>452.24</v>
      </c>
      <c r="N85" s="55">
        <f>_xll.EQNXTDZ($A$1,$B85,N$1,$B$1)</f>
        <v>629.67999999999995</v>
      </c>
      <c r="O85" s="55">
        <f>_xll.EQNXTDZ($A$1,$B85,O$1,$B$1)</f>
        <v>620.52</v>
      </c>
      <c r="P85" s="55">
        <f>_xll.EQNXTDZ($A$1,$B85,P$1,$B$1)</f>
        <v>729.31</v>
      </c>
      <c r="Q85" s="55">
        <f>_xll.EQNXTDZ($A$1,$B85,Q$1,$B$1)</f>
        <v>633.84</v>
      </c>
      <c r="R85" s="55">
        <f>_xll.EQNXTDZ($A$1,$B85,R$1,$B$1)</f>
        <v>650.79999999999995</v>
      </c>
      <c r="S85" s="55">
        <f>_xll.EQNXTDZ($A$1,$B85,S$1,$B$1)</f>
        <v>826.69</v>
      </c>
      <c r="T85" s="55">
        <f>_xll.EQNXTDZ($A$1,$B85,T$1,$B$1)</f>
        <v>744.27</v>
      </c>
      <c r="U85" s="55">
        <f>_xll.EQNXTDZ($A$1,$B85,U$1,$B$1)</f>
        <v>581.04999999999995</v>
      </c>
      <c r="V85" s="55">
        <f>_xll.EQNXTDZ($A$1,$B85,V$1,$B$1)</f>
        <v>563.98</v>
      </c>
      <c r="W85" s="55">
        <f>_xll.EQNXTDZ($A$1,$B85,W$1,$B$1)</f>
        <v>606.80999999999995</v>
      </c>
      <c r="X85" s="55">
        <f>_xll.EQNXTDZ($A$1,$B85,X$1,$B$1)</f>
        <v>549.48</v>
      </c>
      <c r="Y85" s="55">
        <f>_xll.EQNXTDZ($A$1,$B85,Y$1,$B$1)</f>
        <v>577.25</v>
      </c>
      <c r="Z85" s="55">
        <f>_xll.EQNXTDZ($A$1,$B85,Z$1,$B$1)</f>
        <v>630.65</v>
      </c>
      <c r="AA85" s="55">
        <f>_xll.EQNXTDZ($A$1,$B85,AA$1,$B$1)</f>
        <v>570.53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5.5458999999999996</v>
      </c>
      <c r="M86" s="55">
        <f>_xll.EQNXTDZ($A$1,$B86,M$1,$B$1)</f>
        <v>78.069999999999993</v>
      </c>
      <c r="N86" s="55">
        <f>_xll.EQNXTDZ($A$1,$B86,N$1,$B$1)</f>
        <v>78.069999999999993</v>
      </c>
      <c r="O86" s="55">
        <f>_xll.EQNXTDZ($A$1,$B86,O$1,$B$1)</f>
        <v>51.97</v>
      </c>
      <c r="P86" s="55">
        <f>_xll.EQNXTDZ($A$1,$B86,P$1,$B$1)</f>
        <v>51.97</v>
      </c>
      <c r="Q86" s="55">
        <f>_xll.EQNXTDZ($A$1,$B86,Q$1,$B$1)</f>
        <v>46.42</v>
      </c>
      <c r="R86" s="55">
        <f>_xll.EQNXTDZ($A$1,$B86,R$1,$B$1)</f>
        <v>46.42</v>
      </c>
      <c r="S86" s="55">
        <f>_xll.EQNXTDZ($A$1,$B86,S$1,$B$1)</f>
        <v>46.42</v>
      </c>
      <c r="T86" s="55">
        <f>_xll.EQNXTDZ($A$1,$B86,T$1,$B$1)</f>
        <v>14.62</v>
      </c>
      <c r="U86" s="55">
        <f>_xll.EQNXTDZ($A$1,$B86,U$1,$B$1)</f>
        <v>14.62</v>
      </c>
      <c r="V86" s="55">
        <f>_xll.EQNXTDZ($A$1,$B86,V$1,$B$1)</f>
        <v>14.62</v>
      </c>
      <c r="W86" s="55">
        <f>_xll.EQNXTDZ($A$1,$B86,W$1,$B$1)</f>
        <v>14.62</v>
      </c>
      <c r="X86" s="55">
        <f>_xll.EQNXTDZ($A$1,$B86,X$1,$B$1)</f>
        <v>14.62</v>
      </c>
      <c r="Y86" s="55">
        <f>_xll.EQNXTDZ($A$1,$B86,Y$1,$B$1)</f>
        <v>14.62</v>
      </c>
      <c r="Z86" s="55">
        <f>_xll.EQNXTDZ($A$1,$B86,Z$1,$B$1)</f>
        <v>14.62</v>
      </c>
      <c r="AA86" s="55">
        <f>_xll.EQNXTDZ($A$1,$B86,AA$1,$B$1)</f>
        <v>14.62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600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4.21</v>
      </c>
      <c r="T90" s="55">
        <f>_xll.EQNXTDZ($A$1,$B90,T$1,$B$1)</f>
        <v>4.8899999999999997</v>
      </c>
      <c r="U90" s="55">
        <f>_xll.EQNXTDZ($A$1,$B90,U$1,$B$1)</f>
        <v>6.48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5.8403</v>
      </c>
      <c r="M91" s="55">
        <f>_xll.EQNXTDZ($A$1,$B91,M$1,$B$1)</f>
        <v>78.36</v>
      </c>
      <c r="N91" s="55">
        <f>_xll.EQNXTDZ($A$1,$B91,N$1,$B$1)</f>
        <v>78.36</v>
      </c>
      <c r="O91" s="55">
        <f>_xll.EQNXTDZ($A$1,$B91,O$1,$B$1)</f>
        <v>52.26</v>
      </c>
      <c r="P91" s="55">
        <f>_xll.EQNXTDZ($A$1,$B91,P$1,$B$1)</f>
        <v>52.26</v>
      </c>
      <c r="Q91" s="55">
        <f>_xll.EQNXTDZ($A$1,$B91,Q$1,$B$1)</f>
        <v>52.26</v>
      </c>
      <c r="R91" s="55">
        <f>_xll.EQNXTDZ($A$1,$B91,R$1,$B$1)</f>
        <v>46.42</v>
      </c>
      <c r="S91" s="55">
        <f>_xll.EQNXTDZ($A$1,$B91,S$1,$B$1)</f>
        <v>46.42</v>
      </c>
      <c r="T91" s="55">
        <f>_xll.EQNXTDZ($A$1,$B91,T$1,$B$1)</f>
        <v>14.62</v>
      </c>
      <c r="U91" s="55">
        <f>_xll.EQNXTDZ($A$1,$B91,U$1,$B$1)</f>
        <v>14.62</v>
      </c>
      <c r="V91" s="55">
        <f>_xll.EQNXTDZ($A$1,$B91,V$1,$B$1)</f>
        <v>14.62</v>
      </c>
      <c r="W91" s="55">
        <f>_xll.EQNXTDZ($A$1,$B91,W$1,$B$1)</f>
        <v>14.62</v>
      </c>
      <c r="X91" s="55">
        <f>_xll.EQNXTDZ($A$1,$B91,X$1,$B$1)</f>
        <v>14.62</v>
      </c>
      <c r="Y91" s="55">
        <f>_xll.EQNXTDZ($A$1,$B91,Y$1,$B$1)</f>
        <v>14.62</v>
      </c>
      <c r="Z91" s="55">
        <f>_xll.EQNXTDZ($A$1,$B91,Z$1,$B$1)</f>
        <v>14.62</v>
      </c>
      <c r="AA91" s="55">
        <f>_xll.EQNXTDZ($A$1,$B91,AA$1,$B$1)</f>
        <v>14.62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0.2944</v>
      </c>
      <c r="M92" s="55">
        <f>_xll.EQNXTDZ($A$1,$B92,M$1,$B$1)</f>
        <v>0.28999999999999998</v>
      </c>
      <c r="N92" s="55">
        <f>_xll.EQNXTDZ($A$1,$B92,N$1,$B$1)</f>
        <v>0.28999999999999998</v>
      </c>
      <c r="O92" s="55">
        <f>_xll.EQNXTDZ($A$1,$B92,O$1,$B$1)</f>
        <v>0.28999999999999998</v>
      </c>
      <c r="P92" s="55">
        <f>_xll.EQNXTDZ($A$1,$B92,P$1,$B$1)</f>
        <v>0.28999999999999998</v>
      </c>
      <c r="Q92" s="55">
        <f>_xll.EQNXTDZ($A$1,$B92,Q$1,$B$1)</f>
        <v>5.84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34.460999999999999</v>
      </c>
      <c r="D93" s="55">
        <f>_xll.EQNXTDZ($A$1,$B93,D$1,$B$1)</f>
        <v>46.511400000000002</v>
      </c>
      <c r="E93" s="55">
        <f>_xll.EQNXTDZ($A$1,$B93,E$1,$B$1)</f>
        <v>54.788800000000002</v>
      </c>
      <c r="F93" s="55">
        <f>_xll.EQNXTDZ($A$1,$B93,F$1,$B$1)</f>
        <v>57.848999999999997</v>
      </c>
      <c r="G93" s="55">
        <f>_xll.EQNXTDZ($A$1,$B93,G$1,$B$1)</f>
        <v>67.594800000000006</v>
      </c>
      <c r="H93" s="55">
        <f>_xll.EQNXTDZ($A$1,$B93,H$1,$B$1)</f>
        <v>67.150199999999998</v>
      </c>
      <c r="I93" s="55">
        <f>_xll.EQNXTDZ($A$1,$B93,I$1,$B$1)</f>
        <v>58.789499999999997</v>
      </c>
      <c r="J93" s="55">
        <f>_xll.EQNXTDZ($A$1,$B93,J$1,$B$1)</f>
        <v>139.06790000000001</v>
      </c>
      <c r="K93" s="55">
        <f>_xll.EQNXTDZ($A$1,$B93,K$1,$B$1)</f>
        <v>181.57470000000001</v>
      </c>
      <c r="L93" s="55">
        <f>_xll.EQNXTDZ($A$1,$B93,L$1,$B$1)</f>
        <v>306.74</v>
      </c>
      <c r="M93" s="55">
        <f>_xll.EQNXTDZ($A$1,$B93,M$1,$B$1)</f>
        <v>452.24</v>
      </c>
      <c r="N93" s="55">
        <f>_xll.EQNXTDZ($A$1,$B93,N$1,$B$1)</f>
        <v>629.67999999999995</v>
      </c>
      <c r="O93" s="55">
        <f>_xll.EQNXTDZ($A$1,$B93,O$1,$B$1)</f>
        <v>620.52</v>
      </c>
      <c r="P93" s="55">
        <f>_xll.EQNXTDZ($A$1,$B93,P$1,$B$1)</f>
        <v>729.31</v>
      </c>
      <c r="Q93" s="55">
        <f>_xll.EQNXTDZ($A$1,$B93,Q$1,$B$1)</f>
        <v>633.84</v>
      </c>
      <c r="R93" s="55">
        <f>_xll.EQNXTDZ($A$1,$B93,R$1,$B$1)</f>
        <v>650.79999999999995</v>
      </c>
      <c r="S93" s="55">
        <f>_xll.EQNXTDZ($A$1,$B93,S$1,$B$1)</f>
        <v>826.69</v>
      </c>
      <c r="T93" s="55">
        <f>_xll.EQNXTDZ($A$1,$B93,T$1,$B$1)</f>
        <v>744.27</v>
      </c>
      <c r="U93" s="55">
        <f>_xll.EQNXTDZ($A$1,$B93,U$1,$B$1)</f>
        <v>581.04999999999995</v>
      </c>
      <c r="V93" s="55">
        <f>_xll.EQNXTDZ($A$1,$B93,V$1,$B$1)</f>
        <v>563.98</v>
      </c>
      <c r="W93" s="55">
        <f>_xll.EQNXTDZ($A$1,$B93,W$1,$B$1)</f>
        <v>606.80999999999995</v>
      </c>
      <c r="X93" s="55">
        <f>_xll.EQNXTDZ($A$1,$B93,X$1,$B$1)</f>
        <v>549.48</v>
      </c>
      <c r="Y93" s="55">
        <f>_xll.EQNXTDZ($A$1,$B93,Y$1,$B$1)</f>
        <v>577.25</v>
      </c>
      <c r="Z93" s="55">
        <f>_xll.EQNXTDZ($A$1,$B93,Z$1,$B$1)</f>
        <v>630.65</v>
      </c>
      <c r="AA93" s="55">
        <f>_xll.EQNXTDZ($A$1,$B93,AA$1,$B$1)</f>
        <v>570.53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17.6342</v>
      </c>
      <c r="D97" s="55">
        <f>_xll.EQNXTDZ($A$1,$B97,D$1,$B$1)</f>
        <v>16.793800000000001</v>
      </c>
      <c r="E97" s="55">
        <f>_xll.EQNXTDZ($A$1,$B97,E$1,$B$1)</f>
        <v>17.377199999999998</v>
      </c>
      <c r="F97" s="55">
        <f>_xll.EQNXTDZ($A$1,$B97,F$1,$B$1)</f>
        <v>29.131399999999999</v>
      </c>
      <c r="G97" s="55">
        <f>_xll.EQNXTDZ($A$1,$B97,G$1,$B$1)</f>
        <v>4.6159999999999997</v>
      </c>
      <c r="H97" s="55">
        <f>_xll.EQNXTDZ($A$1,$B97,H$1,$B$1)</f>
        <v>0.9486</v>
      </c>
      <c r="I97" s="55">
        <f>_xll.EQNXTDZ($A$1,$B97,I$1,$B$1)</f>
        <v>7.1900000000000006E-2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42.381700000000002</v>
      </c>
      <c r="D104" s="55">
        <f>_xll.EQNXTDZ($A$1,$B104,D$1,$B$1)</f>
        <v>42.381700000000002</v>
      </c>
      <c r="E104" s="55">
        <f>_xll.EQNXTDZ($A$1,$B104,E$1,$B$1)</f>
        <v>42.381700000000002</v>
      </c>
      <c r="F104" s="55">
        <f>_xll.EQNXTDZ($A$1,$B104,F$1,$B$1)</f>
        <v>42.381700000000002</v>
      </c>
      <c r="G104" s="55">
        <f>_xll.EQNXTDZ($A$1,$B104,G$1,$B$1)</f>
        <v>42.381700000000002</v>
      </c>
      <c r="H104" s="55">
        <f>_xll.EQNXTDZ($A$1,$B104,H$1,$B$1)</f>
        <v>42.381700000000002</v>
      </c>
      <c r="I104" s="55">
        <f>_xll.EQNXTDZ($A$1,$B104,I$1,$B$1)</f>
        <v>42.381700000000002</v>
      </c>
      <c r="J104" s="55">
        <f>_xll.EQNXTDZ($A$1,$B104,J$1,$B$1)</f>
        <v>42.381700000000002</v>
      </c>
      <c r="K104" s="55">
        <f>_xll.EQNXTDZ($A$1,$B104,K$1,$B$1)</f>
        <v>42.381700000000002</v>
      </c>
      <c r="L104" s="55">
        <f>_xll.EQNXTDZ($A$1,$B104,L$1,$B$1)</f>
        <v>42.381700000000002</v>
      </c>
      <c r="M104" s="55">
        <f>_xll.EQNXTDZ($A$1,$B104,M$1,$B$1)</f>
        <v>42.38</v>
      </c>
      <c r="N104" s="55">
        <f>_xll.EQNXTDZ($A$1,$B104,N$1,$B$1)</f>
        <v>42.38</v>
      </c>
      <c r="O104" s="55">
        <f>_xll.EQNXTDZ($A$1,$B104,O$1,$B$1)</f>
        <v>42.38</v>
      </c>
      <c r="P104" s="55">
        <f>_xll.EQNXTDZ($A$1,$B104,P$1,$B$1)</f>
        <v>42.38</v>
      </c>
      <c r="Q104" s="55">
        <f>_xll.EQNXTDZ($A$1,$B104,Q$1,$B$1)</f>
        <v>42.38</v>
      </c>
      <c r="R104" s="55">
        <f>_xll.EQNXTDZ($A$1,$B104,R$1,$B$1)</f>
        <v>42.38</v>
      </c>
      <c r="S104" s="55">
        <f>_xll.EQNXTDZ($A$1,$B104,S$1,$B$1)</f>
        <v>42.38</v>
      </c>
      <c r="T104" s="55">
        <f>_xll.EQNXTDZ($A$1,$B104,T$1,$B$1)</f>
        <v>42.38</v>
      </c>
      <c r="U104" s="55">
        <f>_xll.EQNXTDZ($A$1,$B104,U$1,$B$1)</f>
        <v>42.38</v>
      </c>
      <c r="V104" s="55">
        <f>_xll.EQNXTDZ($A$1,$B104,V$1,$B$1)</f>
        <v>42.38</v>
      </c>
      <c r="W104" s="55">
        <f>_xll.EQNXTDZ($A$1,$B104,W$1,$B$1)</f>
        <v>42.38</v>
      </c>
      <c r="X104" s="55">
        <f>_xll.EQNXTDZ($A$1,$B104,X$1,$B$1)</f>
        <v>42.38</v>
      </c>
      <c r="Y104" s="55">
        <f>_xll.EQNXTDZ($A$1,$B104,Y$1,$B$1)</f>
        <v>42.38</v>
      </c>
      <c r="Z104" s="55">
        <f>_xll.EQNXTDZ($A$1,$B104,Z$1,$B$1)</f>
        <v>42.38</v>
      </c>
      <c r="AA104" s="55">
        <f>_xll.EQNXTDZ($A$1,$B104,AA$1,$B$1)</f>
        <v>42.38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2</v>
      </c>
      <c r="J105" s="55">
        <f>_xll.EQNXTDZ($A$1,$B105,J$1,$B$1)</f>
        <v>2</v>
      </c>
      <c r="K105" s="55">
        <f>_xll.EQNXTDZ($A$1,$B105,K$1,$B$1)</f>
        <v>2</v>
      </c>
      <c r="L105" s="55">
        <f>_xll.EQNXTDZ($A$1,$B105,L$1,$B$1)</f>
        <v>2</v>
      </c>
      <c r="M105" s="55">
        <f>_xll.EQNXTDZ($A$1,$B105,M$1,$B$1)</f>
        <v>2</v>
      </c>
      <c r="N105" s="55">
        <f>_xll.EQNXTDZ($A$1,$B105,N$1,$B$1)</f>
        <v>2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40.799999999999997</v>
      </c>
      <c r="D106" s="55">
        <f>_xll.EQNXTDZ($A$1,$B106,D$1,$B$1)</f>
        <v>49.73</v>
      </c>
      <c r="E106" s="55">
        <f>_xll.EQNXTDZ($A$1,$B106,E$1,$B$1)</f>
        <v>134.75</v>
      </c>
      <c r="F106" s="55">
        <f>_xll.EQNXTDZ($A$1,$B106,F$1,$B$1)</f>
        <v>194.02</v>
      </c>
      <c r="G106" s="55">
        <f>_xll.EQNXTDZ($A$1,$B106,G$1,$B$1)</f>
        <v>385.79</v>
      </c>
      <c r="H106" s="55">
        <f>_xll.EQNXTDZ($A$1,$B106,H$1,$B$1)</f>
        <v>742.3</v>
      </c>
      <c r="I106" s="55">
        <f>_xll.EQNXTDZ($A$1,$B106,I$1,$B$1)</f>
        <v>1512.35</v>
      </c>
      <c r="J106" s="55">
        <f>_xll.EQNXTDZ($A$1,$B106,J$1,$B$1)</f>
        <v>453.45</v>
      </c>
      <c r="K106" s="55">
        <f>_xll.EQNXTDZ($A$1,$B106,K$1,$B$1)</f>
        <v>767.25</v>
      </c>
      <c r="L106" s="55">
        <f>_xll.EQNXTDZ($A$1,$B106,L$1,$B$1)</f>
        <v>792.25</v>
      </c>
      <c r="M106" s="55">
        <f>_xll.EQNXTDZ($A$1,$B106,M$1,$B$1)</f>
        <v>583.6</v>
      </c>
      <c r="N106" s="55">
        <f>_xll.EQNXTDZ($A$1,$B106,N$1,$B$1)</f>
        <v>700.4</v>
      </c>
      <c r="O106" s="55">
        <f>_xll.EQNXTDZ($A$1,$B106,O$1,$B$1)</f>
        <v>692.8</v>
      </c>
      <c r="P106" s="55">
        <f>_xll.EQNXTDZ($A$1,$B106,P$1,$B$1)</f>
        <v>1286.2</v>
      </c>
      <c r="Q106" s="55">
        <f>_xll.EQNXTDZ($A$1,$B106,Q$1,$B$1)</f>
        <v>1118.0999999999999</v>
      </c>
      <c r="R106" s="55">
        <f>_xll.EQNXTDZ($A$1,$B106,R$1,$B$1)</f>
        <v>1039.0999999999999</v>
      </c>
      <c r="S106" s="55">
        <f>_xll.EQNXTDZ($A$1,$B106,S$1,$B$1)</f>
        <v>1399.5</v>
      </c>
      <c r="T106" s="55">
        <f>_xll.EQNXTDZ($A$1,$B106,T$1,$B$1)</f>
        <v>1332</v>
      </c>
      <c r="U106" s="55">
        <f>_xll.EQNXTDZ($A$1,$B106,U$1,$B$1)</f>
        <v>1284.0999999999999</v>
      </c>
      <c r="V106" s="55">
        <f>_xll.EQNXTDZ($A$1,$B106,V$1,$B$1)</f>
        <v>1212.1500000000001</v>
      </c>
      <c r="W106" s="55">
        <f>_xll.EQNXTDZ($A$1,$B106,W$1,$B$1)</f>
        <v>2234.85</v>
      </c>
      <c r="X106" s="55">
        <f>_xll.EQNXTDZ($A$1,$B106,X$1,$B$1)</f>
        <v>2683.15</v>
      </c>
      <c r="Y106" s="55">
        <f>_xll.EQNXTDZ($A$1,$B106,Y$1,$B$1)</f>
        <v>4673.95</v>
      </c>
      <c r="Z106" s="55">
        <f>_xll.EQNXTDZ($A$1,$B106,Z$1,$B$1)</f>
        <v>6913.95</v>
      </c>
      <c r="AA106" s="55">
        <f>_xll.EQNXTDZ($A$1,$B106,AA$1,$B$1)</f>
        <v>5170.3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66.8</v>
      </c>
      <c r="D107" s="55">
        <f>_xll.EQNXTDZ($A$1,$B107,D$1,$B$1)</f>
        <v>58.39</v>
      </c>
      <c r="E107" s="55">
        <f>_xll.EQNXTDZ($A$1,$B107,E$1,$B$1)</f>
        <v>135.38999999999999</v>
      </c>
      <c r="F107" s="55">
        <f>_xll.EQNXTDZ($A$1,$B107,F$1,$B$1)</f>
        <v>200</v>
      </c>
      <c r="G107" s="55">
        <f>_xll.EQNXTDZ($A$1,$B107,G$1,$B$1)</f>
        <v>410.2</v>
      </c>
      <c r="H107" s="55">
        <f>_xll.EQNXTDZ($A$1,$B107,H$1,$B$1)</f>
        <v>789</v>
      </c>
      <c r="I107" s="55">
        <f>_xll.EQNXTDZ($A$1,$B107,I$1,$B$1)</f>
        <v>1670</v>
      </c>
      <c r="J107" s="55">
        <f>_xll.EQNXTDZ($A$1,$B107,J$1,$B$1)</f>
        <v>1528</v>
      </c>
      <c r="K107" s="55">
        <f>_xll.EQNXTDZ($A$1,$B107,K$1,$B$1)</f>
        <v>834</v>
      </c>
      <c r="L107" s="55">
        <f>_xll.EQNXTDZ($A$1,$B107,L$1,$B$1)</f>
        <v>974.9</v>
      </c>
      <c r="M107" s="55">
        <f>_xll.EQNXTDZ($A$1,$B107,M$1,$B$1)</f>
        <v>907.5</v>
      </c>
      <c r="N107" s="55">
        <f>_xll.EQNXTDZ($A$1,$B107,N$1,$B$1)</f>
        <v>915</v>
      </c>
      <c r="O107" s="55">
        <f>_xll.EQNXTDZ($A$1,$B107,O$1,$B$1)</f>
        <v>737</v>
      </c>
      <c r="P107" s="55">
        <f>_xll.EQNXTDZ($A$1,$B107,P$1,$B$1)</f>
        <v>1396.7</v>
      </c>
      <c r="Q107" s="55">
        <f>_xll.EQNXTDZ($A$1,$B107,Q$1,$B$1)</f>
        <v>1525</v>
      </c>
      <c r="R107" s="55">
        <f>_xll.EQNXTDZ($A$1,$B107,R$1,$B$1)</f>
        <v>1432.7</v>
      </c>
      <c r="S107" s="55">
        <f>_xll.EQNXTDZ($A$1,$B107,S$1,$B$1)</f>
        <v>1619.45</v>
      </c>
      <c r="T107" s="55">
        <f>_xll.EQNXTDZ($A$1,$B107,T$1,$B$1)</f>
        <v>1744.4</v>
      </c>
      <c r="U107" s="55">
        <f>_xll.EQNXTDZ($A$1,$B107,U$1,$B$1)</f>
        <v>1669</v>
      </c>
      <c r="V107" s="55">
        <f>_xll.EQNXTDZ($A$1,$B107,V$1,$B$1)</f>
        <v>1411.8</v>
      </c>
      <c r="W107" s="55">
        <f>_xll.EQNXTDZ($A$1,$B107,W$1,$B$1)</f>
        <v>2370</v>
      </c>
      <c r="X107" s="55">
        <f>_xll.EQNXTDZ($A$1,$B107,X$1,$B$1)</f>
        <v>3445.65</v>
      </c>
      <c r="Y107" s="55">
        <f>_xll.EQNXTDZ($A$1,$B107,Y$1,$B$1)</f>
        <v>4953.2</v>
      </c>
      <c r="Z107" s="55">
        <f>_xll.EQNXTDZ($A$1,$B107,Z$1,$B$1)</f>
        <v>9200</v>
      </c>
      <c r="AA107" s="55">
        <f>_xll.EQNXTDZ($A$1,$B107,AA$1,$B$1)</f>
        <v>6947.45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35.6</v>
      </c>
      <c r="D108" s="55">
        <f>_xll.EQNXTDZ($A$1,$B108,D$1,$B$1)</f>
        <v>40.75</v>
      </c>
      <c r="E108" s="55">
        <f>_xll.EQNXTDZ($A$1,$B108,E$1,$B$1)</f>
        <v>49.47</v>
      </c>
      <c r="F108" s="55">
        <f>_xll.EQNXTDZ($A$1,$B108,F$1,$B$1)</f>
        <v>119.4</v>
      </c>
      <c r="G108" s="55">
        <f>_xll.EQNXTDZ($A$1,$B108,G$1,$B$1)</f>
        <v>177</v>
      </c>
      <c r="H108" s="55">
        <f>_xll.EQNXTDZ($A$1,$B108,H$1,$B$1)</f>
        <v>382</v>
      </c>
      <c r="I108" s="55">
        <f>_xll.EQNXTDZ($A$1,$B108,I$1,$B$1)</f>
        <v>638</v>
      </c>
      <c r="J108" s="55">
        <f>_xll.EQNXTDZ($A$1,$B108,J$1,$B$1)</f>
        <v>379.15</v>
      </c>
      <c r="K108" s="55">
        <f>_xll.EQNXTDZ($A$1,$B108,K$1,$B$1)</f>
        <v>344</v>
      </c>
      <c r="L108" s="55">
        <f>_xll.EQNXTDZ($A$1,$B108,L$1,$B$1)</f>
        <v>669.2</v>
      </c>
      <c r="M108" s="55">
        <f>_xll.EQNXTDZ($A$1,$B108,M$1,$B$1)</f>
        <v>541.1</v>
      </c>
      <c r="N108" s="55">
        <f>_xll.EQNXTDZ($A$1,$B108,N$1,$B$1)</f>
        <v>580</v>
      </c>
      <c r="O108" s="55">
        <f>_xll.EQNXTDZ($A$1,$B108,O$1,$B$1)</f>
        <v>448.1</v>
      </c>
      <c r="P108" s="55">
        <f>_xll.EQNXTDZ($A$1,$B108,P$1,$B$1)</f>
        <v>568.04999999999995</v>
      </c>
      <c r="Q108" s="55">
        <f>_xll.EQNXTDZ($A$1,$B108,Q$1,$B$1)</f>
        <v>1021.05</v>
      </c>
      <c r="R108" s="55">
        <f>_xll.EQNXTDZ($A$1,$B108,R$1,$B$1)</f>
        <v>950</v>
      </c>
      <c r="S108" s="55">
        <f>_xll.EQNXTDZ($A$1,$B108,S$1,$B$1)</f>
        <v>1029.55</v>
      </c>
      <c r="T108" s="55">
        <f>_xll.EQNXTDZ($A$1,$B108,T$1,$B$1)</f>
        <v>1123</v>
      </c>
      <c r="U108" s="55">
        <f>_xll.EQNXTDZ($A$1,$B108,U$1,$B$1)</f>
        <v>1209.95</v>
      </c>
      <c r="V108" s="55">
        <f>_xll.EQNXTDZ($A$1,$B108,V$1,$B$1)</f>
        <v>722.45</v>
      </c>
      <c r="W108" s="55">
        <f>_xll.EQNXTDZ($A$1,$B108,W$1,$B$1)</f>
        <v>1214.1500000000001</v>
      </c>
      <c r="X108" s="55">
        <f>_xll.EQNXTDZ($A$1,$B108,X$1,$B$1)</f>
        <v>1944.6</v>
      </c>
      <c r="Y108" s="55">
        <f>_xll.EQNXTDZ($A$1,$B108,Y$1,$B$1)</f>
        <v>2662.95</v>
      </c>
      <c r="Z108" s="55">
        <f>_xll.EQNXTDZ($A$1,$B108,Z$1,$B$1)</f>
        <v>4342.1499999999996</v>
      </c>
      <c r="AA108" s="55">
        <f>_xll.EQNXTDZ($A$1,$B108,AA$1,$B$1)</f>
        <v>4590.05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864.58668</v>
      </c>
      <c r="D109" s="55">
        <f>_xll.EQNXTDZ($A$1,$B109,D$1,$B$1)</f>
        <v>1053.8209704999999</v>
      </c>
      <c r="E109" s="55">
        <f>_xll.EQNXTDZ($A$1,$B109,E$1,$B$1)</f>
        <v>2855.4670375000001</v>
      </c>
      <c r="F109" s="55">
        <f>_xll.EQNXTDZ($A$1,$B109,F$1,$B$1)</f>
        <v>4111.4487170000002</v>
      </c>
      <c r="G109" s="55">
        <f>_xll.EQNXTDZ($A$1,$B109,G$1,$B$1)</f>
        <v>8175.2180214999998</v>
      </c>
      <c r="H109" s="55">
        <f>_xll.EQNXTDZ($A$1,$B109,H$1,$B$1)</f>
        <v>15729.967955</v>
      </c>
      <c r="I109" s="55">
        <f>_xll.EQNXTDZ($A$1,$B109,I$1,$B$1)</f>
        <v>32047.981997499999</v>
      </c>
      <c r="J109" s="55">
        <f>_xll.EQNXTDZ($A$1,$B109,J$1,$B$1)</f>
        <v>9608.9909325000008</v>
      </c>
      <c r="K109" s="55">
        <f>_xll.EQNXTDZ($A$1,$B109,K$1,$B$1)</f>
        <v>16258.679662500001</v>
      </c>
      <c r="L109" s="55">
        <f>_xll.EQNXTDZ($A$1,$B109,L$1,$B$1)</f>
        <v>16788.4509125</v>
      </c>
      <c r="M109" s="55">
        <f>_xll.EQNXTDZ($A$1,$B109,M$1,$B$1)</f>
        <v>12366.484</v>
      </c>
      <c r="N109" s="55">
        <f>_xll.EQNXTDZ($A$1,$B109,N$1,$B$1)</f>
        <v>14841.476000000001</v>
      </c>
      <c r="O109" s="55">
        <f>_xll.EQNXTDZ($A$1,$B109,O$1,$B$1)</f>
        <v>14680.432000000001</v>
      </c>
      <c r="P109" s="55">
        <f>_xll.EQNXTDZ($A$1,$B109,P$1,$B$1)</f>
        <v>27254.578000000001</v>
      </c>
      <c r="Q109" s="55">
        <f>_xll.EQNXTDZ($A$1,$B109,Q$1,$B$1)</f>
        <v>23692.539000000001</v>
      </c>
      <c r="R109" s="55">
        <f>_xll.EQNXTDZ($A$1,$B109,R$1,$B$1)</f>
        <v>22018.528999999999</v>
      </c>
      <c r="S109" s="55">
        <f>_xll.EQNXTDZ($A$1,$B109,S$1,$B$1)</f>
        <v>29655.404999999999</v>
      </c>
      <c r="T109" s="55">
        <f>_xll.EQNXTDZ($A$1,$B109,T$1,$B$1)</f>
        <v>28225.08</v>
      </c>
      <c r="U109" s="55">
        <f>_xll.EQNXTDZ($A$1,$B109,U$1,$B$1)</f>
        <v>27210.079000000002</v>
      </c>
      <c r="V109" s="55">
        <f>_xll.EQNXTDZ($A$1,$B109,V$1,$B$1)</f>
        <v>25685.458500000001</v>
      </c>
      <c r="W109" s="55">
        <f>_xll.EQNXTDZ($A$1,$B109,W$1,$B$1)</f>
        <v>47356.4715</v>
      </c>
      <c r="X109" s="55">
        <f>_xll.EQNXTDZ($A$1,$B109,X$1,$B$1)</f>
        <v>56855.948499999999</v>
      </c>
      <c r="Y109" s="55">
        <f>_xll.EQNXTDZ($A$1,$B109,Y$1,$B$1)</f>
        <v>99041.000499999995</v>
      </c>
      <c r="Z109" s="55">
        <f>_xll.EQNXTDZ($A$1,$B109,Z$1,$B$1)</f>
        <v>146506.6005</v>
      </c>
      <c r="AA109" s="55">
        <f>_xll.EQNXTDZ($A$1,$B109,AA$1,$B$1)</f>
        <v>109558.65700000001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1</v>
      </c>
      <c r="D110" s="55">
        <f>_xll.EQNXTDZ($A$1,$B110,D$1,$B$1)</f>
        <v>1.2</v>
      </c>
      <c r="E110" s="55">
        <f>_xll.EQNXTDZ($A$1,$B110,E$1,$B$1)</f>
        <v>1.2</v>
      </c>
      <c r="F110" s="55">
        <f>_xll.EQNXTDZ($A$1,$B110,F$1,$B$1)</f>
        <v>1.4</v>
      </c>
      <c r="G110" s="55">
        <f>_xll.EQNXTDZ($A$1,$B110,G$1,$B$1)</f>
        <v>1.6</v>
      </c>
      <c r="H110" s="55">
        <f>_xll.EQNXTDZ($A$1,$B110,H$1,$B$1)</f>
        <v>2</v>
      </c>
      <c r="I110" s="55">
        <f>_xll.EQNXTDZ($A$1,$B110,I$1,$B$1)</f>
        <v>2.2000000000000002</v>
      </c>
      <c r="J110" s="55">
        <f>_xll.EQNXTDZ($A$1,$B110,J$1,$B$1)</f>
        <v>2.2000000000000002</v>
      </c>
      <c r="K110" s="55">
        <f>_xll.EQNXTDZ($A$1,$B110,K$1,$B$1)</f>
        <v>2</v>
      </c>
      <c r="L110" s="55">
        <f>_xll.EQNXTDZ($A$1,$B110,L$1,$B$1)</f>
        <v>2</v>
      </c>
      <c r="M110" s="55">
        <f>_xll.EQNXTDZ($A$1,$B110,M$1,$B$1)</f>
        <v>3</v>
      </c>
      <c r="N110" s="55">
        <f>_xll.EQNXTDZ($A$1,$B110,N$1,$B$1)</f>
        <v>3</v>
      </c>
      <c r="O110" s="55">
        <f>_xll.EQNXTDZ($A$1,$B110,O$1,$B$1)</f>
        <v>3</v>
      </c>
      <c r="P110" s="55">
        <f>_xll.EQNXTDZ($A$1,$B110,P$1,$B$1)</f>
        <v>3.7</v>
      </c>
      <c r="Q110" s="55">
        <f>_xll.EQNXTDZ($A$1,$B110,Q$1,$B$1)</f>
        <v>3.7</v>
      </c>
      <c r="R110" s="55">
        <f>_xll.EQNXTDZ($A$1,$B110,R$1,$B$1)</f>
        <v>4</v>
      </c>
      <c r="S110" s="55">
        <f>_xll.EQNXTDZ($A$1,$B110,S$1,$B$1)</f>
        <v>4.4000000000000004</v>
      </c>
      <c r="T110" s="55">
        <f>_xll.EQNXTDZ($A$1,$B110,T$1,$B$1)</f>
        <v>4.8</v>
      </c>
      <c r="U110" s="55">
        <f>_xll.EQNXTDZ($A$1,$B110,U$1,$B$1)</f>
        <v>4.8</v>
      </c>
      <c r="V110" s="55">
        <f>_xll.EQNXTDZ($A$1,$B110,V$1,$B$1)</f>
        <v>5</v>
      </c>
      <c r="W110" s="55">
        <f>_xll.EQNXTDZ($A$1,$B110,W$1,$B$1)</f>
        <v>5.2</v>
      </c>
      <c r="X110" s="55">
        <f>_xll.EQNXTDZ($A$1,$B110,X$1,$B$1)</f>
        <v>5.5</v>
      </c>
      <c r="Y110" s="55">
        <f>_xll.EQNXTDZ($A$1,$B110,Y$1,$B$1)</f>
        <v>29.3</v>
      </c>
      <c r="Z110" s="55">
        <f>_xll.EQNXTDZ($A$1,$B110,Z$1,$B$1)</f>
        <v>44.16</v>
      </c>
      <c r="AA110" s="55">
        <f>_xll.EQNXTDZ($A$1,$B110,AA$1,$B$1)</f>
        <v>39.369999999999997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200112</v>
      </c>
      <c r="D111" s="56">
        <f>_xll.EQNXTDZ($A$1,$B111,D$5)</f>
        <v>200212</v>
      </c>
      <c r="E111" s="56">
        <f>_xll.EQNXTDZ($A$1,$B111,E$5)</f>
        <v>200312</v>
      </c>
      <c r="F111" s="56">
        <f>_xll.EQNXTDZ($A$1,$B111,F$5)</f>
        <v>200412</v>
      </c>
      <c r="G111" s="56">
        <f>_xll.EQNXTDZ($A$1,$B111,G$5)</f>
        <v>200512</v>
      </c>
      <c r="H111" s="56">
        <f>_xll.EQNXTDZ($A$1,$B111,H$5)</f>
        <v>200612</v>
      </c>
      <c r="I111" s="56">
        <f>_xll.EQNXTDZ($A$1,$B111,I$5)</f>
        <v>200712</v>
      </c>
      <c r="J111" s="56">
        <f>_xll.EQNXTDZ($A$1,$B111,J$5)</f>
        <v>200812</v>
      </c>
      <c r="K111" s="56">
        <f>_xll.EQNXTDZ($A$1,$B111,K$5)</f>
        <v>200912</v>
      </c>
      <c r="L111" s="56">
        <f>_xll.EQNXTDZ($A$1,$B111,L$5)</f>
        <v>201012</v>
      </c>
      <c r="M111" s="56">
        <f>_xll.EQNXTDZ($A$1,$B111,M$5)</f>
        <v>201112</v>
      </c>
      <c r="N111" s="56">
        <f>_xll.EQNXTDZ($A$1,$B111,N$5)</f>
        <v>201212</v>
      </c>
      <c r="O111" s="56">
        <f>_xll.EQNXTDZ($A$1,$B111,O$5)</f>
        <v>201312</v>
      </c>
      <c r="P111" s="56">
        <f>_xll.EQNXTDZ($A$1,$B111,P$5)</f>
        <v>201412</v>
      </c>
      <c r="Q111" s="56">
        <f>_xll.EQNXTDZ($A$1,$B111,Q$5)</f>
        <v>201512</v>
      </c>
      <c r="R111" s="56">
        <f>_xll.EQNXTDZ($A$1,$B111,R$5)</f>
        <v>201612</v>
      </c>
      <c r="S111" s="56">
        <f>_xll.EQNXTDZ($A$1,$B111,S$5)</f>
        <v>201712</v>
      </c>
      <c r="T111" s="56">
        <f>_xll.EQNXTDZ($A$1,$B111,T$5)</f>
        <v>201812</v>
      </c>
      <c r="U111" s="56">
        <f>_xll.EQNXTDZ($A$1,$B111,U$5)</f>
        <v>201912</v>
      </c>
      <c r="V111" s="56">
        <f>_xll.EQNXTDZ($A$1,$B111,V$5)</f>
        <v>202012</v>
      </c>
      <c r="W111" s="56">
        <f>_xll.EQNXTDZ($A$1,$B111,W$5)</f>
        <v>202112</v>
      </c>
      <c r="X111" s="56">
        <f>_xll.EQNXTDZ($A$1,$B111,X$5)</f>
        <v>202212</v>
      </c>
      <c r="Y111" s="56">
        <f>_xll.EQNXTDZ($A$1,$B111,Y$5)</f>
        <v>202312</v>
      </c>
      <c r="Z111" s="56">
        <f>_xll.EQNXTDZ($A$1,$B111,Z$5)</f>
        <v>202412</v>
      </c>
      <c r="AA111" s="56">
        <f>_xll.EQNXTDZ($A$1,$B111,AA$5)</f>
        <v>202512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52.11</v>
      </c>
      <c r="D112" s="56">
        <f>_xll.EQNXTDZ($A$1,$B112,D$5)</f>
        <v>52.11</v>
      </c>
      <c r="E112" s="56">
        <f>_xll.EQNXTDZ($A$1,$B112,E$5)</f>
        <v>52.11</v>
      </c>
      <c r="F112" s="56">
        <f>_xll.EQNXTDZ($A$1,$B112,F$5)</f>
        <v>52.11</v>
      </c>
      <c r="G112" s="56">
        <f>_xll.EQNXTDZ($A$1,$B112,G$5)</f>
        <v>52.11</v>
      </c>
      <c r="H112" s="56">
        <f>_xll.EQNXTDZ($A$1,$B112,H$5)</f>
        <v>52.11</v>
      </c>
      <c r="I112" s="56">
        <f>_xll.EQNXTDZ($A$1,$B112,I$5)</f>
        <v>52.11</v>
      </c>
      <c r="J112" s="56">
        <f>_xll.EQNXTDZ($A$1,$B112,J$5)</f>
        <v>52.11</v>
      </c>
      <c r="K112" s="56">
        <f>_xll.EQNXTDZ($A$1,$B112,K$5)</f>
        <v>52.11</v>
      </c>
      <c r="L112" s="56">
        <f>_xll.EQNXTDZ($A$1,$B112,L$5)</f>
        <v>75</v>
      </c>
      <c r="M112" s="56">
        <f>_xll.EQNXTDZ($A$1,$B112,M$5)</f>
        <v>75</v>
      </c>
      <c r="N112" s="56">
        <f>_xll.EQNXTDZ($A$1,$B112,N$5)</f>
        <v>75</v>
      </c>
      <c r="O112" s="56">
        <f>_xll.EQNXTDZ($A$1,$B112,O$5)</f>
        <v>75</v>
      </c>
      <c r="P112" s="56">
        <f>_xll.EQNXTDZ($A$1,$B112,P$5)</f>
        <v>75</v>
      </c>
      <c r="Q112" s="56">
        <f>_xll.EQNXTDZ($A$1,$B112,Q$5)</f>
        <v>75</v>
      </c>
      <c r="R112" s="56">
        <f>_xll.EQNXTDZ($A$1,$B112,R$5)</f>
        <v>75</v>
      </c>
      <c r="S112" s="56">
        <f>_xll.EQNXTDZ($A$1,$B112,S$5)</f>
        <v>75</v>
      </c>
      <c r="T112" s="56">
        <f>_xll.EQNXTDZ($A$1,$B112,T$5)</f>
        <v>75</v>
      </c>
      <c r="U112" s="56">
        <f>_xll.EQNXTDZ($A$1,$B112,U$5)</f>
        <v>75</v>
      </c>
      <c r="V112" s="56">
        <f>_xll.EQNXTDZ($A$1,$B112,V$5)</f>
        <v>75</v>
      </c>
      <c r="W112" s="56">
        <f>_xll.EQNXTDZ($A$1,$B112,W$5)</f>
        <v>75</v>
      </c>
      <c r="X112" s="56">
        <f>_xll.EQNXTDZ($A$1,$B112,X$5)</f>
        <v>75</v>
      </c>
      <c r="Y112" s="56">
        <f>_xll.EQNXTDZ($A$1,$B112,Y$5)</f>
        <v>75</v>
      </c>
      <c r="Z112" s="56">
        <f>_xll.EQNXTDZ($A$1,$B112,Z$5)</f>
        <v>75</v>
      </c>
      <c r="AA112" s="56">
        <f>_xll.EQNXTDZ($A$1,$B112,AA$5)</f>
        <v>75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G14" sqref="KG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100002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738</v>
      </c>
      <c r="D6" cm="1">
        <f t="array" ref="D6">_xll.EQNXTDZ($A$1,$B6,D$1)</f>
        <v>801</v>
      </c>
      <c r="E6" cm="1">
        <f t="array" ref="E6">_xll.EQNXTDZ($A$1,$B6,E$1)</f>
        <v>799.9</v>
      </c>
      <c r="F6" cm="1">
        <f t="array" ref="F6">_xll.EQNXTDZ($A$1,$B6,F$1)</f>
        <v>712</v>
      </c>
      <c r="G6" cm="1">
        <f t="array" ref="G6">_xll.EQNXTDZ($A$1,$B6,G$1)</f>
        <v>800</v>
      </c>
      <c r="H6" cm="1">
        <f t="array" ref="H6">_xll.EQNXTDZ($A$1,$B6,H$1)</f>
        <v>738.05</v>
      </c>
      <c r="I6" cm="1">
        <f t="array" ref="I6">_xll.EQNXTDZ($A$1,$B6,I$1)</f>
        <v>724</v>
      </c>
      <c r="J6" cm="1">
        <f t="array" ref="J6">_xll.EQNXTDZ($A$1,$B6,J$1)</f>
        <v>707.3</v>
      </c>
      <c r="K6" cm="1">
        <f t="array" ref="K6">_xll.EQNXTDZ($A$1,$B6,K$1)</f>
        <v>653.1</v>
      </c>
      <c r="L6" cm="1">
        <f t="array" ref="L6">_xll.EQNXTDZ($A$1,$B6,L$1)</f>
        <v>575</v>
      </c>
      <c r="M6" cm="1">
        <f t="array" ref="M6">_xll.EQNXTDZ($A$1,$B6,M$1)</f>
        <v>490.9</v>
      </c>
      <c r="N6" cm="1">
        <f t="array" ref="N6">_xll.EQNXTDZ($A$1,$B6,N$1)</f>
        <v>516</v>
      </c>
      <c r="O6" cm="1">
        <f t="array" ref="O6">_xll.EQNXTDZ($A$1,$B6,O$1)</f>
        <v>642</v>
      </c>
      <c r="P6" cm="1">
        <f t="array" ref="P6">_xll.EQNXTDZ($A$1,$B6,P$1)</f>
        <v>613.9</v>
      </c>
      <c r="Q6" cm="1">
        <f t="array" ref="Q6">_xll.EQNXTDZ($A$1,$B6,Q$1)</f>
        <v>500</v>
      </c>
      <c r="R6" cm="1">
        <f t="array" ref="R6">_xll.EQNXTDZ($A$1,$B6,R$1)</f>
        <v>446</v>
      </c>
      <c r="S6" cm="1">
        <f t="array" ref="S6">_xll.EQNXTDZ($A$1,$B6,S$1)</f>
        <v>540</v>
      </c>
      <c r="T6" cm="1">
        <f t="array" ref="T6">_xll.EQNXTDZ($A$1,$B6,T$1)</f>
        <v>624</v>
      </c>
      <c r="U6" cm="1">
        <f t="array" ref="U6">_xll.EQNXTDZ($A$1,$B6,U$1)</f>
        <v>673</v>
      </c>
      <c r="V6" cm="1">
        <f t="array" ref="V6">_xll.EQNXTDZ($A$1,$B6,V$1)</f>
        <v>688.2</v>
      </c>
      <c r="W6" cm="1">
        <f t="array" ref="W6">_xll.EQNXTDZ($A$1,$B6,W$1)</f>
        <v>576.20000000000005</v>
      </c>
      <c r="X6" cm="1">
        <f t="array" ref="X6">_xll.EQNXTDZ($A$1,$B6,X$1)</f>
        <v>712</v>
      </c>
      <c r="Y6" cm="1">
        <f t="array" ref="Y6">_xll.EQNXTDZ($A$1,$B6,Y$1)</f>
        <v>859.7</v>
      </c>
      <c r="Z6" cm="1">
        <f t="array" ref="Z6">_xll.EQNXTDZ($A$1,$B6,Z$1)</f>
        <v>848</v>
      </c>
      <c r="AA6" cm="1">
        <f t="array" ref="AA6">_xll.EQNXTDZ($A$1,$B6,AA$1)</f>
        <v>907</v>
      </c>
      <c r="AB6" cm="1">
        <f t="array" ref="AB6">_xll.EQNXTDZ($A$1,$B6,AB$1)</f>
        <v>1120.05</v>
      </c>
      <c r="AC6" cm="1">
        <f t="array" ref="AC6">_xll.EQNXTDZ($A$1,$B6,AC$1)</f>
        <v>1029.7</v>
      </c>
      <c r="AD6" cm="1">
        <f t="array" ref="AD6">_xll.EQNXTDZ($A$1,$B6,AD$1)</f>
        <v>986</v>
      </c>
      <c r="AE6" cm="1">
        <f t="array" ref="AE6">_xll.EQNXTDZ($A$1,$B6,AE$1)</f>
        <v>1159.9000000000001</v>
      </c>
      <c r="AF6" cm="1">
        <f t="array" ref="AF6">_xll.EQNXTDZ($A$1,$B6,AF$1)</f>
        <v>1168</v>
      </c>
      <c r="AG6" cm="1">
        <f t="array" ref="AG6">_xll.EQNXTDZ($A$1,$B6,AG$1)</f>
        <v>1112.95</v>
      </c>
      <c r="AH6" cm="1">
        <f t="array" ref="AH6">_xll.EQNXTDZ($A$1,$B6,AH$1)</f>
        <v>1280</v>
      </c>
      <c r="AI6" cm="1">
        <f t="array" ref="AI6">_xll.EQNXTDZ($A$1,$B6,AI$1)</f>
        <v>1280</v>
      </c>
      <c r="AJ6" cm="1">
        <f t="array" ref="AJ6">_xll.EQNXTDZ($A$1,$B6,AJ$1)</f>
        <v>1404</v>
      </c>
      <c r="AK6" cm="1">
        <f t="array" ref="AK6">_xll.EQNXTDZ($A$1,$B6,AK$1)</f>
        <v>1266.05</v>
      </c>
      <c r="AL6" cm="1">
        <f t="array" ref="AL6">_xll.EQNXTDZ($A$1,$B6,AL$1)</f>
        <v>1337.5</v>
      </c>
      <c r="AM6" cm="1">
        <f t="array" ref="AM6">_xll.EQNXTDZ($A$1,$B6,AM$1)</f>
        <v>1350</v>
      </c>
      <c r="AN6" cm="1">
        <f t="array" ref="AN6">_xll.EQNXTDZ($A$1,$B6,AN$1)</f>
        <v>1305.2</v>
      </c>
      <c r="AO6" cm="1">
        <f t="array" ref="AO6">_xll.EQNXTDZ($A$1,$B6,AO$1)</f>
        <v>1375.3</v>
      </c>
      <c r="AP6" cm="1">
        <f t="array" ref="AP6">_xll.EQNXTDZ($A$1,$B6,AP$1)</f>
        <v>1200</v>
      </c>
      <c r="AQ6" cm="1">
        <f t="array" ref="AQ6">_xll.EQNXTDZ($A$1,$B6,AQ$1)</f>
        <v>1064.8</v>
      </c>
      <c r="AR6" cm="1">
        <f t="array" ref="AR6">_xll.EQNXTDZ($A$1,$B6,AR$1)</f>
        <v>1230</v>
      </c>
      <c r="AS6" cm="1">
        <f t="array" ref="AS6">_xll.EQNXTDZ($A$1,$B6,AS$1)</f>
        <v>1172.5999999999999</v>
      </c>
      <c r="AT6" cm="1">
        <f t="array" ref="AT6">_xll.EQNXTDZ($A$1,$B6,AT$1)</f>
        <v>1118.75</v>
      </c>
      <c r="AU6" cm="1">
        <f t="array" ref="AU6">_xll.EQNXTDZ($A$1,$B6,AU$1)</f>
        <v>979.5</v>
      </c>
      <c r="AV6" cm="1">
        <f t="array" ref="AV6">_xll.EQNXTDZ($A$1,$B6,AV$1)</f>
        <v>1020</v>
      </c>
      <c r="AW6" cm="1">
        <f t="array" ref="AW6">_xll.EQNXTDZ($A$1,$B6,AW$1)</f>
        <v>1275</v>
      </c>
      <c r="AX6" cm="1">
        <f t="array" ref="AX6">_xll.EQNXTDZ($A$1,$B6,AX$1)</f>
        <v>1294</v>
      </c>
      <c r="AY6" cm="1">
        <f t="array" ref="AY6">_xll.EQNXTDZ($A$1,$B6,AY$1)</f>
        <v>1240</v>
      </c>
      <c r="AZ6" cm="1">
        <f t="array" ref="AZ6">_xll.EQNXTDZ($A$1,$B6,AZ$1)</f>
        <v>1230</v>
      </c>
      <c r="BA6" cm="1">
        <f t="array" ref="BA6">_xll.EQNXTDZ($A$1,$B6,BA$1)</f>
        <v>1275</v>
      </c>
      <c r="BB6" cm="1">
        <f t="array" ref="BB6">_xll.EQNXTDZ($A$1,$B6,BB$1)</f>
        <v>1159.9000000000001</v>
      </c>
      <c r="BC6" cm="1">
        <f t="array" ref="BC6">_xll.EQNXTDZ($A$1,$B6,BC$1)</f>
        <v>1150</v>
      </c>
      <c r="BD6" cm="1">
        <f t="array" ref="BD6">_xll.EQNXTDZ($A$1,$B6,BD$1)</f>
        <v>1108.7</v>
      </c>
      <c r="BE6" cm="1">
        <f t="array" ref="BE6">_xll.EQNXTDZ($A$1,$B6,BE$1)</f>
        <v>1059.8499999999999</v>
      </c>
      <c r="BF6" cm="1">
        <f t="array" ref="BF6">_xll.EQNXTDZ($A$1,$B6,BF$1)</f>
        <v>1056.8</v>
      </c>
      <c r="BG6" cm="1">
        <f t="array" ref="BG6">_xll.EQNXTDZ($A$1,$B6,BG$1)</f>
        <v>1095</v>
      </c>
      <c r="BH6" cm="1">
        <f t="array" ref="BH6">_xll.EQNXTDZ($A$1,$B6,BH$1)</f>
        <v>1199</v>
      </c>
      <c r="BI6" cm="1">
        <f t="array" ref="BI6">_xll.EQNXTDZ($A$1,$B6,BI$1)</f>
        <v>1285</v>
      </c>
      <c r="BJ6" cm="1">
        <f t="array" ref="BJ6">_xll.EQNXTDZ($A$1,$B6,BJ$1)</f>
        <v>1419.9</v>
      </c>
      <c r="BK6" cm="1">
        <f t="array" ref="BK6">_xll.EQNXTDZ($A$1,$B6,BK$1)</f>
        <v>1458.6</v>
      </c>
      <c r="BL6" cm="1">
        <f t="array" ref="BL6">_xll.EQNXTDZ($A$1,$B6,BL$1)</f>
        <v>1453.7</v>
      </c>
      <c r="BM6" cm="1">
        <f t="array" ref="BM6">_xll.EQNXTDZ($A$1,$B6,BM$1)</f>
        <v>1433.95</v>
      </c>
      <c r="BN6" cm="1">
        <f t="array" ref="BN6">_xll.EQNXTDZ($A$1,$B6,BN$1)</f>
        <v>1353.2</v>
      </c>
      <c r="BO6" cm="1">
        <f t="array" ref="BO6">_xll.EQNXTDZ($A$1,$B6,BO$1)</f>
        <v>1403</v>
      </c>
      <c r="BP6" cm="1">
        <f t="array" ref="BP6">_xll.EQNXTDZ($A$1,$B6,BP$1)</f>
        <v>1400</v>
      </c>
      <c r="BQ6" cm="1">
        <f t="array" ref="BQ6">_xll.EQNXTDZ($A$1,$B6,BQ$1)</f>
        <v>1394.05</v>
      </c>
      <c r="BR6" cm="1">
        <f t="array" ref="BR6">_xll.EQNXTDZ($A$1,$B6,BR$1)</f>
        <v>1412</v>
      </c>
      <c r="BS6" cm="1">
        <f t="array" ref="BS6">_xll.EQNXTDZ($A$1,$B6,BS$1)</f>
        <v>1650</v>
      </c>
      <c r="BT6" cm="1">
        <f t="array" ref="BT6">_xll.EQNXTDZ($A$1,$B6,BT$1)</f>
        <v>1520</v>
      </c>
      <c r="BU6" cm="1">
        <f t="array" ref="BU6">_xll.EQNXTDZ($A$1,$B6,BU$1)</f>
        <v>1321.7</v>
      </c>
      <c r="BV6" cm="1">
        <f t="array" ref="BV6">_xll.EQNXTDZ($A$1,$B6,BV$1)</f>
        <v>1365.5</v>
      </c>
      <c r="BW6" cm="1">
        <f t="array" ref="BW6">_xll.EQNXTDZ($A$1,$B6,BW$1)</f>
        <v>1232.55</v>
      </c>
      <c r="BX6" cm="1">
        <f t="array" ref="BX6">_xll.EQNXTDZ($A$1,$B6,BX$1)</f>
        <v>1187.3</v>
      </c>
      <c r="BY6" cm="1">
        <f t="array" ref="BY6">_xll.EQNXTDZ($A$1,$B6,BY$1)</f>
        <v>1218.3499999999999</v>
      </c>
      <c r="BZ6" cm="1">
        <f t="array" ref="BZ6">_xll.EQNXTDZ($A$1,$B6,BZ$1)</f>
        <v>1329.9</v>
      </c>
      <c r="CA6" cm="1">
        <f t="array" ref="CA6">_xll.EQNXTDZ($A$1,$B6,CA$1)</f>
        <v>1393.5</v>
      </c>
      <c r="CB6" cm="1">
        <f t="array" ref="CB6">_xll.EQNXTDZ($A$1,$B6,CB$1)</f>
        <v>1290</v>
      </c>
      <c r="CC6" cm="1">
        <f t="array" ref="CC6">_xll.EQNXTDZ($A$1,$B6,CC$1)</f>
        <v>1410</v>
      </c>
      <c r="CD6" cm="1">
        <f t="array" ref="CD6">_xll.EQNXTDZ($A$1,$B6,CD$1)</f>
        <v>1335</v>
      </c>
      <c r="CE6" cm="1">
        <f t="array" ref="CE6">_xll.EQNXTDZ($A$1,$B6,CE$1)</f>
        <v>1290</v>
      </c>
      <c r="CF6" cm="1">
        <f t="array" ref="CF6">_xll.EQNXTDZ($A$1,$B6,CF$1)</f>
        <v>1245.9000000000001</v>
      </c>
      <c r="CG6" cm="1">
        <f t="array" ref="CG6">_xll.EQNXTDZ($A$1,$B6,CG$1)</f>
        <v>1320</v>
      </c>
      <c r="CH6" cm="1">
        <f t="array" ref="CH6">_xll.EQNXTDZ($A$1,$B6,CH$1)</f>
        <v>1485</v>
      </c>
      <c r="CI6" cm="1">
        <f t="array" ref="CI6">_xll.EQNXTDZ($A$1,$B6,CI$1)</f>
        <v>1571.1</v>
      </c>
      <c r="CJ6" cm="1">
        <f t="array" ref="CJ6">_xll.EQNXTDZ($A$1,$B6,CJ$1)</f>
        <v>1600.1</v>
      </c>
      <c r="CK6" cm="1">
        <f t="array" ref="CK6">_xll.EQNXTDZ($A$1,$B6,CK$1)</f>
        <v>1359</v>
      </c>
      <c r="CL6" cm="1">
        <f t="array" ref="CL6">_xll.EQNXTDZ($A$1,$B6,CL$1)</f>
        <v>1338</v>
      </c>
      <c r="CM6" cm="1">
        <f t="array" ref="CM6">_xll.EQNXTDZ($A$1,$B6,CM$1)</f>
        <v>1530</v>
      </c>
      <c r="CN6" cm="1">
        <f t="array" ref="CN6">_xll.EQNXTDZ($A$1,$B6,CN$1)</f>
        <v>1458.6</v>
      </c>
      <c r="CO6" cm="1">
        <f t="array" ref="CO6">_xll.EQNXTDZ($A$1,$B6,CO$1)</f>
        <v>1445</v>
      </c>
      <c r="CP6" cm="1">
        <f t="array" ref="CP6">_xll.EQNXTDZ($A$1,$B6,CP$1)</f>
        <v>1296.95</v>
      </c>
      <c r="CQ6" cm="1">
        <f t="array" ref="CQ6">_xll.EQNXTDZ($A$1,$B6,CQ$1)</f>
        <v>1313</v>
      </c>
      <c r="CR6" cm="1">
        <f t="array" ref="CR6">_xll.EQNXTDZ($A$1,$B6,CR$1)</f>
        <v>1185</v>
      </c>
      <c r="CS6" cm="1">
        <f t="array" ref="CS6">_xll.EQNXTDZ($A$1,$B6,CS$1)</f>
        <v>935.4</v>
      </c>
      <c r="CT6" cm="1">
        <f t="array" ref="CT6">_xll.EQNXTDZ($A$1,$B6,CT$1)</f>
        <v>895</v>
      </c>
      <c r="CU6" cm="1">
        <f t="array" ref="CU6">_xll.EQNXTDZ($A$1,$B6,CU$1)</f>
        <v>757</v>
      </c>
      <c r="CV6" cm="1">
        <f t="array" ref="CV6">_xll.EQNXTDZ($A$1,$B6,CV$1)</f>
        <v>939.05</v>
      </c>
      <c r="CW6" cm="1">
        <f t="array" ref="CW6">_xll.EQNXTDZ($A$1,$B6,CW$1)</f>
        <v>900.1</v>
      </c>
      <c r="CX6" cm="1">
        <f t="array" ref="CX6">_xll.EQNXTDZ($A$1,$B6,CX$1)</f>
        <v>952.2</v>
      </c>
      <c r="CY6" cm="1">
        <f t="array" ref="CY6">_xll.EQNXTDZ($A$1,$B6,CY$1)</f>
        <v>866.05</v>
      </c>
      <c r="CZ6" cm="1">
        <f t="array" ref="CZ6">_xll.EQNXTDZ($A$1,$B6,CZ$1)</f>
        <v>888</v>
      </c>
      <c r="DA6" cm="1">
        <f t="array" ref="DA6">_xll.EQNXTDZ($A$1,$B6,DA$1)</f>
        <v>1081.1500000000001</v>
      </c>
      <c r="DB6" cm="1">
        <f t="array" ref="DB6">_xll.EQNXTDZ($A$1,$B6,DB$1)</f>
        <v>1212</v>
      </c>
      <c r="DC6" cm="1">
        <f t="array" ref="DC6">_xll.EQNXTDZ($A$1,$B6,DC$1)</f>
        <v>1388.3</v>
      </c>
      <c r="DD6" cm="1">
        <f t="array" ref="DD6">_xll.EQNXTDZ($A$1,$B6,DD$1)</f>
        <v>1547</v>
      </c>
      <c r="DE6" cm="1">
        <f t="array" ref="DE6">_xll.EQNXTDZ($A$1,$B6,DE$1)</f>
        <v>1413.8</v>
      </c>
      <c r="DF6" cm="1">
        <f t="array" ref="DF6">_xll.EQNXTDZ($A$1,$B6,DF$1)</f>
        <v>1385.6</v>
      </c>
      <c r="DG6" cm="1">
        <f t="array" ref="DG6">_xll.EQNXTDZ($A$1,$B6,DG$1)</f>
        <v>1685</v>
      </c>
      <c r="DH6" cm="1">
        <f t="array" ref="DH6">_xll.EQNXTDZ($A$1,$B6,DH$1)</f>
        <v>1816</v>
      </c>
      <c r="DI6" cm="1">
        <f t="array" ref="DI6">_xll.EQNXTDZ($A$1,$B6,DI$1)</f>
        <v>1702.2</v>
      </c>
      <c r="DJ6" cm="1">
        <f t="array" ref="DJ6">_xll.EQNXTDZ($A$1,$B6,DJ$1)</f>
        <v>1910</v>
      </c>
      <c r="DK6" cm="1">
        <f t="array" ref="DK6">_xll.EQNXTDZ($A$1,$B6,DK$1)</f>
        <v>1870</v>
      </c>
      <c r="DL6" cm="1">
        <f t="array" ref="DL6">_xll.EQNXTDZ($A$1,$B6,DL$1)</f>
        <v>2105</v>
      </c>
      <c r="DM6" cm="1">
        <f t="array" ref="DM6">_xll.EQNXTDZ($A$1,$B6,DM$1)</f>
        <v>2056</v>
      </c>
      <c r="DN6" cm="1">
        <f t="array" ref="DN6">_xll.EQNXTDZ($A$1,$B6,DN$1)</f>
        <v>2251.4499999999998</v>
      </c>
      <c r="DO6" cm="1">
        <f t="array" ref="DO6">_xll.EQNXTDZ($A$1,$B6,DO$1)</f>
        <v>2311.85</v>
      </c>
      <c r="DP6" cm="1">
        <f t="array" ref="DP6">_xll.EQNXTDZ($A$1,$B6,DP$1)</f>
        <v>2153</v>
      </c>
      <c r="DQ6" cm="1">
        <f t="array" ref="DQ6">_xll.EQNXTDZ($A$1,$B6,DQ$1)</f>
        <v>2155</v>
      </c>
      <c r="DR6" cm="1">
        <f t="array" ref="DR6">_xll.EQNXTDZ($A$1,$B6,DR$1)</f>
        <v>2090</v>
      </c>
      <c r="DS6" cm="1">
        <f t="array" ref="DS6">_xll.EQNXTDZ($A$1,$B6,DS$1)</f>
        <v>2427.25</v>
      </c>
      <c r="DT6" cm="1">
        <f t="array" ref="DT6">_xll.EQNXTDZ($A$1,$B6,DT$1)</f>
        <v>2260.35</v>
      </c>
      <c r="DU6" cm="1">
        <f t="array" ref="DU6">_xll.EQNXTDZ($A$1,$B6,DU$1)</f>
        <v>2744</v>
      </c>
      <c r="DV6" cm="1">
        <f t="array" ref="DV6">_xll.EQNXTDZ($A$1,$B6,DV$1)</f>
        <v>3254.9</v>
      </c>
      <c r="DW6" cm="1">
        <f t="array" ref="DW6">_xll.EQNXTDZ($A$1,$B6,DW$1)</f>
        <v>3074.75</v>
      </c>
      <c r="DX6" cm="1">
        <f t="array" ref="DX6">_xll.EQNXTDZ($A$1,$B6,DX$1)</f>
        <v>3072.45</v>
      </c>
      <c r="DY6" cm="1">
        <f t="array" ref="DY6">_xll.EQNXTDZ($A$1,$B6,DY$1)</f>
        <v>3009.95</v>
      </c>
      <c r="DZ6" cm="1">
        <f t="array" ref="DZ6">_xll.EQNXTDZ($A$1,$B6,DZ$1)</f>
        <v>2685</v>
      </c>
      <c r="EA6" cm="1">
        <f t="array" ref="EA6">_xll.EQNXTDZ($A$1,$B6,EA$1)</f>
        <v>2860</v>
      </c>
      <c r="EB6" cm="1">
        <f t="array" ref="EB6">_xll.EQNXTDZ($A$1,$B6,EB$1)</f>
        <v>3232</v>
      </c>
      <c r="EC6" cm="1">
        <f t="array" ref="EC6">_xll.EQNXTDZ($A$1,$B6,EC$1)</f>
        <v>3388</v>
      </c>
      <c r="ED6" cm="1">
        <f t="array" ref="ED6">_xll.EQNXTDZ($A$1,$B6,ED$1)</f>
        <v>3420</v>
      </c>
      <c r="EE6" cm="1">
        <f t="array" ref="EE6">_xll.EQNXTDZ($A$1,$B6,EE$1)</f>
        <v>4131.55</v>
      </c>
      <c r="EF6" cm="1">
        <f t="array" ref="EF6">_xll.EQNXTDZ($A$1,$B6,EF$1)</f>
        <v>4450</v>
      </c>
      <c r="EG6" cm="1">
        <f t="array" ref="EG6">_xll.EQNXTDZ($A$1,$B6,EG$1)</f>
        <v>4578.75</v>
      </c>
      <c r="EH6" cm="1">
        <f t="array" ref="EH6">_xll.EQNXTDZ($A$1,$B6,EH$1)</f>
        <v>4381.3500000000004</v>
      </c>
      <c r="EI6" cm="1">
        <f t="array" ref="EI6">_xll.EQNXTDZ($A$1,$B6,EI$1)</f>
        <v>4103.95</v>
      </c>
      <c r="EJ6" cm="1">
        <f t="array" ref="EJ6">_xll.EQNXTDZ($A$1,$B6,EJ$1)</f>
        <v>4120</v>
      </c>
      <c r="EK6" cm="1">
        <f t="array" ref="EK6">_xll.EQNXTDZ($A$1,$B6,EK$1)</f>
        <v>4449</v>
      </c>
      <c r="EL6" cm="1">
        <f t="array" ref="EL6">_xll.EQNXTDZ($A$1,$B6,EL$1)</f>
        <v>4674.8500000000004</v>
      </c>
      <c r="EM6" cm="1">
        <f t="array" ref="EM6">_xll.EQNXTDZ($A$1,$B6,EM$1)</f>
        <v>4692</v>
      </c>
      <c r="EN6" cm="1">
        <f t="array" ref="EN6">_xll.EQNXTDZ($A$1,$B6,EN$1)</f>
        <v>5498</v>
      </c>
      <c r="EO6" cm="1">
        <f t="array" ref="EO6">_xll.EQNXTDZ($A$1,$B6,EO$1)</f>
        <v>6422.45</v>
      </c>
      <c r="EP6" cm="1">
        <f t="array" ref="EP6">_xll.EQNXTDZ($A$1,$B6,EP$1)</f>
        <v>6585</v>
      </c>
      <c r="EQ6" cm="1">
        <f t="array" ref="EQ6">_xll.EQNXTDZ($A$1,$B6,EQ$1)</f>
        <v>8500.5</v>
      </c>
      <c r="ER6" cm="1">
        <f t="array" ref="ER6">_xll.EQNXTDZ($A$1,$B6,ER$1)</f>
        <v>8490.9</v>
      </c>
      <c r="ES6" cm="1">
        <f t="array" ref="ES6">_xll.EQNXTDZ($A$1,$B6,ES$1)</f>
        <v>7896.85</v>
      </c>
      <c r="ET6" cm="1">
        <f t="array" ref="ET6">_xll.EQNXTDZ($A$1,$B6,ET$1)</f>
        <v>7945</v>
      </c>
      <c r="EU6" cm="1">
        <f t="array" ref="EU6">_xll.EQNXTDZ($A$1,$B6,EU$1)</f>
        <v>8100</v>
      </c>
      <c r="EV6" cm="1">
        <f t="array" ref="EV6">_xll.EQNXTDZ($A$1,$B6,EV$1)</f>
        <v>7474</v>
      </c>
      <c r="EW6" cm="1">
        <f t="array" ref="EW6">_xll.EQNXTDZ($A$1,$B6,EW$1)</f>
        <v>7378</v>
      </c>
      <c r="EX6" cm="1">
        <f t="array" ref="EX6">_xll.EQNXTDZ($A$1,$B6,EX$1)</f>
        <v>6912</v>
      </c>
      <c r="EY6" cm="1">
        <f t="array" ref="EY6">_xll.EQNXTDZ($A$1,$B6,EY$1)</f>
        <v>5920</v>
      </c>
      <c r="EZ6" cm="1">
        <f t="array" ref="EZ6">_xll.EQNXTDZ($A$1,$B6,EZ$1)</f>
        <v>4954.8</v>
      </c>
      <c r="FA6" cm="1">
        <f t="array" ref="FA6">_xll.EQNXTDZ($A$1,$B6,FA$1)</f>
        <v>5539.5</v>
      </c>
      <c r="FB6" cm="1">
        <f t="array" ref="FB6">_xll.EQNXTDZ($A$1,$B6,FB$1)</f>
        <v>5505</v>
      </c>
      <c r="FC6" cm="1">
        <f t="array" ref="FC6">_xll.EQNXTDZ($A$1,$B6,FC$1)</f>
        <v>5960</v>
      </c>
      <c r="FD6" cm="1">
        <f t="array" ref="FD6">_xll.EQNXTDZ($A$1,$B6,FD$1)</f>
        <v>6114.5</v>
      </c>
      <c r="FE6" cm="1">
        <f t="array" ref="FE6">_xll.EQNXTDZ($A$1,$B6,FE$1)</f>
        <v>5539</v>
      </c>
      <c r="FF6" cm="1">
        <f t="array" ref="FF6">_xll.EQNXTDZ($A$1,$B6,FF$1)</f>
        <v>5042</v>
      </c>
      <c r="FG6" cm="1">
        <f t="array" ref="FG6">_xll.EQNXTDZ($A$1,$B6,FG$1)</f>
        <v>5185</v>
      </c>
      <c r="FH6" cm="1">
        <f t="array" ref="FH6">_xll.EQNXTDZ($A$1,$B6,FH$1)</f>
        <v>5215</v>
      </c>
      <c r="FI6" cm="1">
        <f t="array" ref="FI6">_xll.EQNXTDZ($A$1,$B6,FI$1)</f>
        <v>5218</v>
      </c>
      <c r="FJ6" cm="1">
        <f t="array" ref="FJ6">_xll.EQNXTDZ($A$1,$B6,FJ$1)</f>
        <v>5183</v>
      </c>
      <c r="FK6" cm="1">
        <f t="array" ref="FK6">_xll.EQNXTDZ($A$1,$B6,FK$1)</f>
        <v>5531</v>
      </c>
      <c r="FL6" cm="1">
        <f t="array" ref="FL6">_xll.EQNXTDZ($A$1,$B6,FL$1)</f>
        <v>5840</v>
      </c>
      <c r="FM6" cm="1">
        <f t="array" ref="FM6">_xll.EQNXTDZ($A$1,$B6,FM$1)</f>
        <v>6180</v>
      </c>
      <c r="FN6" cm="1">
        <f t="array" ref="FN6">_xll.EQNXTDZ($A$1,$B6,FN$1)</f>
        <v>7269</v>
      </c>
      <c r="FO6" cm="1">
        <f t="array" ref="FO6">_xll.EQNXTDZ($A$1,$B6,FO$1)</f>
        <v>7253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821</v>
      </c>
      <c r="D7" s="116" cm="1">
        <f t="array" ref="D7">_xll.EQNXTDZ($A$1,$B7,D$1)</f>
        <v>812</v>
      </c>
      <c r="E7" s="116" cm="1">
        <f t="array" ref="E7">_xll.EQNXTDZ($A$1,$B7,E$1)</f>
        <v>814.45</v>
      </c>
      <c r="F7" s="116" cm="1">
        <f t="array" ref="F7">_xll.EQNXTDZ($A$1,$B7,F$1)</f>
        <v>804.9</v>
      </c>
      <c r="G7" s="116" cm="1">
        <f t="array" ref="G7">_xll.EQNXTDZ($A$1,$B7,G$1)</f>
        <v>810.7</v>
      </c>
      <c r="H7" s="116" cm="1">
        <f t="array" ref="H7">_xll.EQNXTDZ($A$1,$B7,H$1)</f>
        <v>746.75</v>
      </c>
      <c r="I7" s="116" cm="1">
        <f t="array" ref="I7">_xll.EQNXTDZ($A$1,$B7,I$1)</f>
        <v>731</v>
      </c>
      <c r="J7" s="116" cm="1">
        <f t="array" ref="J7">_xll.EQNXTDZ($A$1,$B7,J$1)</f>
        <v>737</v>
      </c>
      <c r="K7" s="116" cm="1">
        <f t="array" ref="K7">_xll.EQNXTDZ($A$1,$B7,K$1)</f>
        <v>675</v>
      </c>
      <c r="L7" s="116" cm="1">
        <f t="array" ref="L7">_xll.EQNXTDZ($A$1,$B7,L$1)</f>
        <v>629.29999999999995</v>
      </c>
      <c r="M7" s="116" cm="1">
        <f t="array" ref="M7">_xll.EQNXTDZ($A$1,$B7,M$1)</f>
        <v>527</v>
      </c>
      <c r="N7" s="116" cm="1">
        <f t="array" ref="N7">_xll.EQNXTDZ($A$1,$B7,N$1)</f>
        <v>694.75</v>
      </c>
      <c r="O7" s="116" cm="1">
        <f t="array" ref="O7">_xll.EQNXTDZ($A$1,$B7,O$1)</f>
        <v>660</v>
      </c>
      <c r="P7" s="116" cm="1">
        <f t="array" ref="P7">_xll.EQNXTDZ($A$1,$B7,P$1)</f>
        <v>627.79999999999995</v>
      </c>
      <c r="Q7" s="116" cm="1">
        <f t="array" ref="Q7">_xll.EQNXTDZ($A$1,$B7,Q$1)</f>
        <v>516.85</v>
      </c>
      <c r="R7" s="116" cm="1">
        <f t="array" ref="R7">_xll.EQNXTDZ($A$1,$B7,R$1)</f>
        <v>594.95000000000005</v>
      </c>
      <c r="S7" s="116" cm="1">
        <f t="array" ref="S7">_xll.EQNXTDZ($A$1,$B7,S$1)</f>
        <v>641</v>
      </c>
      <c r="T7" s="116" cm="1">
        <f t="array" ref="T7">_xll.EQNXTDZ($A$1,$B7,T$1)</f>
        <v>698.5</v>
      </c>
      <c r="U7" s="116" cm="1">
        <f t="array" ref="U7">_xll.EQNXTDZ($A$1,$B7,U$1)</f>
        <v>720.8</v>
      </c>
      <c r="V7" s="116" cm="1">
        <f t="array" ref="V7">_xll.EQNXTDZ($A$1,$B7,V$1)</f>
        <v>698.2</v>
      </c>
      <c r="W7" s="116" cm="1">
        <f t="array" ref="W7">_xll.EQNXTDZ($A$1,$B7,W$1)</f>
        <v>734.95</v>
      </c>
      <c r="X7" s="116" cm="1">
        <f t="array" ref="X7">_xll.EQNXTDZ($A$1,$B7,X$1)</f>
        <v>862</v>
      </c>
      <c r="Y7" s="116" cm="1">
        <f t="array" ref="Y7">_xll.EQNXTDZ($A$1,$B7,Y$1)</f>
        <v>870.5</v>
      </c>
      <c r="Z7" s="116" cm="1">
        <f t="array" ref="Z7">_xll.EQNXTDZ($A$1,$B7,Z$1)</f>
        <v>982</v>
      </c>
      <c r="AA7" s="116" cm="1">
        <f t="array" ref="AA7">_xll.EQNXTDZ($A$1,$B7,AA$1)</f>
        <v>1125.5999999999999</v>
      </c>
      <c r="AB7" s="116" cm="1">
        <f t="array" ref="AB7">_xll.EQNXTDZ($A$1,$B7,AB$1)</f>
        <v>1172</v>
      </c>
      <c r="AC7" s="116" cm="1">
        <f t="array" ref="AC7">_xll.EQNXTDZ($A$1,$B7,AC$1)</f>
        <v>1061.4000000000001</v>
      </c>
      <c r="AD7" s="116" cm="1">
        <f t="array" ref="AD7">_xll.EQNXTDZ($A$1,$B7,AD$1)</f>
        <v>1263.5</v>
      </c>
      <c r="AE7" s="116" cm="1">
        <f t="array" ref="AE7">_xll.EQNXTDZ($A$1,$B7,AE$1)</f>
        <v>1189.4000000000001</v>
      </c>
      <c r="AF7" s="116" cm="1">
        <f t="array" ref="AF7">_xll.EQNXTDZ($A$1,$B7,AF$1)</f>
        <v>1177</v>
      </c>
      <c r="AG7" s="116" cm="1">
        <f t="array" ref="AG7">_xll.EQNXTDZ($A$1,$B7,AG$1)</f>
        <v>1398.6</v>
      </c>
      <c r="AH7" s="116" cm="1">
        <f t="array" ref="AH7">_xll.EQNXTDZ($A$1,$B7,AH$1)</f>
        <v>1352</v>
      </c>
      <c r="AI7" s="116" cm="1">
        <f t="array" ref="AI7">_xll.EQNXTDZ($A$1,$B7,AI$1)</f>
        <v>1526.3</v>
      </c>
      <c r="AJ7" s="116" cm="1">
        <f t="array" ref="AJ7">_xll.EQNXTDZ($A$1,$B7,AJ$1)</f>
        <v>1425</v>
      </c>
      <c r="AK7" s="116" cm="1">
        <f t="array" ref="AK7">_xll.EQNXTDZ($A$1,$B7,AK$1)</f>
        <v>1432.5</v>
      </c>
      <c r="AL7" s="116" cm="1">
        <f t="array" ref="AL7">_xll.EQNXTDZ($A$1,$B7,AL$1)</f>
        <v>1421.7</v>
      </c>
      <c r="AM7" s="116" cm="1">
        <f t="array" ref="AM7">_xll.EQNXTDZ($A$1,$B7,AM$1)</f>
        <v>1379</v>
      </c>
      <c r="AN7" s="116" cm="1">
        <f t="array" ref="AN7">_xll.EQNXTDZ($A$1,$B7,AN$1)</f>
        <v>1445</v>
      </c>
      <c r="AO7" s="116" cm="1">
        <f t="array" ref="AO7">_xll.EQNXTDZ($A$1,$B7,AO$1)</f>
        <v>1408.9</v>
      </c>
      <c r="AP7" s="116" cm="1">
        <f t="array" ref="AP7">_xll.EQNXTDZ($A$1,$B7,AP$1)</f>
        <v>1250</v>
      </c>
      <c r="AQ7" s="116" cm="1">
        <f t="array" ref="AQ7">_xll.EQNXTDZ($A$1,$B7,AQ$1)</f>
        <v>1290</v>
      </c>
      <c r="AR7" s="116" cm="1">
        <f t="array" ref="AR7">_xll.EQNXTDZ($A$1,$B7,AR$1)</f>
        <v>1295.5</v>
      </c>
      <c r="AS7" s="116" cm="1">
        <f t="array" ref="AS7">_xll.EQNXTDZ($A$1,$B7,AS$1)</f>
        <v>1233.3</v>
      </c>
      <c r="AT7" s="116" cm="1">
        <f t="array" ref="AT7">_xll.EQNXTDZ($A$1,$B7,AT$1)</f>
        <v>1135.3499999999999</v>
      </c>
      <c r="AU7" s="116" cm="1">
        <f t="array" ref="AU7">_xll.EQNXTDZ($A$1,$B7,AU$1)</f>
        <v>1198</v>
      </c>
      <c r="AV7" s="116" cm="1">
        <f t="array" ref="AV7">_xll.EQNXTDZ($A$1,$B7,AV$1)</f>
        <v>1296.8</v>
      </c>
      <c r="AW7" s="116" cm="1">
        <f t="array" ref="AW7">_xll.EQNXTDZ($A$1,$B7,AW$1)</f>
        <v>1434</v>
      </c>
      <c r="AX7" s="116" cm="1">
        <f t="array" ref="AX7">_xll.EQNXTDZ($A$1,$B7,AX$1)</f>
        <v>1320</v>
      </c>
      <c r="AY7" s="116" cm="1">
        <f t="array" ref="AY7">_xll.EQNXTDZ($A$1,$B7,AY$1)</f>
        <v>1254.5</v>
      </c>
      <c r="AZ7" s="116" cm="1">
        <f t="array" ref="AZ7">_xll.EQNXTDZ($A$1,$B7,AZ$1)</f>
        <v>1324</v>
      </c>
      <c r="BA7" s="116" cm="1">
        <f t="array" ref="BA7">_xll.EQNXTDZ($A$1,$B7,BA$1)</f>
        <v>1280.05</v>
      </c>
      <c r="BB7" s="116" cm="1">
        <f t="array" ref="BB7">_xll.EQNXTDZ($A$1,$B7,BB$1)</f>
        <v>1199.8499999999999</v>
      </c>
      <c r="BC7" s="116" cm="1">
        <f t="array" ref="BC7">_xll.EQNXTDZ($A$1,$B7,BC$1)</f>
        <v>1187.95</v>
      </c>
      <c r="BD7" s="116" cm="1">
        <f t="array" ref="BD7">_xll.EQNXTDZ($A$1,$B7,BD$1)</f>
        <v>1123.7</v>
      </c>
      <c r="BE7" s="116" cm="1">
        <f t="array" ref="BE7">_xll.EQNXTDZ($A$1,$B7,BE$1)</f>
        <v>1080</v>
      </c>
      <c r="BF7" s="116" cm="1">
        <f t="array" ref="BF7">_xll.EQNXTDZ($A$1,$B7,BF$1)</f>
        <v>1199</v>
      </c>
      <c r="BG7" s="116" cm="1">
        <f t="array" ref="BG7">_xll.EQNXTDZ($A$1,$B7,BG$1)</f>
        <v>1265</v>
      </c>
      <c r="BH7" s="116" cm="1">
        <f t="array" ref="BH7">_xll.EQNXTDZ($A$1,$B7,BH$1)</f>
        <v>1292</v>
      </c>
      <c r="BI7" s="116" cm="1">
        <f t="array" ref="BI7">_xll.EQNXTDZ($A$1,$B7,BI$1)</f>
        <v>1484</v>
      </c>
      <c r="BJ7" s="116" cm="1">
        <f t="array" ref="BJ7">_xll.EQNXTDZ($A$1,$B7,BJ$1)</f>
        <v>1620</v>
      </c>
      <c r="BK7" s="116" cm="1">
        <f t="array" ref="BK7">_xll.EQNXTDZ($A$1,$B7,BK$1)</f>
        <v>1559</v>
      </c>
      <c r="BL7" s="116" cm="1">
        <f t="array" ref="BL7">_xll.EQNXTDZ($A$1,$B7,BL$1)</f>
        <v>1549.65</v>
      </c>
      <c r="BM7" s="116" cm="1">
        <f t="array" ref="BM7">_xll.EQNXTDZ($A$1,$B7,BM$1)</f>
        <v>1440</v>
      </c>
      <c r="BN7" s="116" cm="1">
        <f t="array" ref="BN7">_xll.EQNXTDZ($A$1,$B7,BN$1)</f>
        <v>1493</v>
      </c>
      <c r="BO7" s="116" cm="1">
        <f t="array" ref="BO7">_xll.EQNXTDZ($A$1,$B7,BO$1)</f>
        <v>1422.7</v>
      </c>
      <c r="BP7" s="116" cm="1">
        <f t="array" ref="BP7">_xll.EQNXTDZ($A$1,$B7,BP$1)</f>
        <v>1448</v>
      </c>
      <c r="BQ7" s="116" cm="1">
        <f t="array" ref="BQ7">_xll.EQNXTDZ($A$1,$B7,BQ$1)</f>
        <v>1439.9</v>
      </c>
      <c r="BR7" s="116" cm="1">
        <f t="array" ref="BR7">_xll.EQNXTDZ($A$1,$B7,BR$1)</f>
        <v>1687</v>
      </c>
      <c r="BS7" s="116" cm="1">
        <f t="array" ref="BS7">_xll.EQNXTDZ($A$1,$B7,BS$1)</f>
        <v>1749.2</v>
      </c>
      <c r="BT7" s="116" cm="1">
        <f t="array" ref="BT7">_xll.EQNXTDZ($A$1,$B7,BT$1)</f>
        <v>1548.5</v>
      </c>
      <c r="BU7" s="116" cm="1">
        <f t="array" ref="BU7">_xll.EQNXTDZ($A$1,$B7,BU$1)</f>
        <v>1384</v>
      </c>
      <c r="BV7" s="116" cm="1">
        <f t="array" ref="BV7">_xll.EQNXTDZ($A$1,$B7,BV$1)</f>
        <v>1369.85</v>
      </c>
      <c r="BW7" s="116" cm="1">
        <f t="array" ref="BW7">_xll.EQNXTDZ($A$1,$B7,BW$1)</f>
        <v>1312.75</v>
      </c>
      <c r="BX7" s="116" cm="1">
        <f t="array" ref="BX7">_xll.EQNXTDZ($A$1,$B7,BX$1)</f>
        <v>1259.9000000000001</v>
      </c>
      <c r="BY7" s="116" cm="1">
        <f t="array" ref="BY7">_xll.EQNXTDZ($A$1,$B7,BY$1)</f>
        <v>1365</v>
      </c>
      <c r="BZ7" s="116" cm="1">
        <f t="array" ref="BZ7">_xll.EQNXTDZ($A$1,$B7,BZ$1)</f>
        <v>1517</v>
      </c>
      <c r="CA7" s="116" cm="1">
        <f t="array" ref="CA7">_xll.EQNXTDZ($A$1,$B7,CA$1)</f>
        <v>1463.95</v>
      </c>
      <c r="CB7" s="116" cm="1">
        <f t="array" ref="CB7">_xll.EQNXTDZ($A$1,$B7,CB$1)</f>
        <v>1417.55</v>
      </c>
      <c r="CC7" s="116" cm="1">
        <f t="array" ref="CC7">_xll.EQNXTDZ($A$1,$B7,CC$1)</f>
        <v>1464</v>
      </c>
      <c r="CD7" s="116" cm="1">
        <f t="array" ref="CD7">_xll.EQNXTDZ($A$1,$B7,CD$1)</f>
        <v>1358</v>
      </c>
      <c r="CE7" s="116" cm="1">
        <f t="array" ref="CE7">_xll.EQNXTDZ($A$1,$B7,CE$1)</f>
        <v>1295</v>
      </c>
      <c r="CF7" s="116" cm="1">
        <f t="array" ref="CF7">_xll.EQNXTDZ($A$1,$B7,CF$1)</f>
        <v>1349</v>
      </c>
      <c r="CG7" s="116" cm="1">
        <f t="array" ref="CG7">_xll.EQNXTDZ($A$1,$B7,CG$1)</f>
        <v>1505</v>
      </c>
      <c r="CH7" s="116" cm="1">
        <f t="array" ref="CH7">_xll.EQNXTDZ($A$1,$B7,CH$1)</f>
        <v>1619.95</v>
      </c>
      <c r="CI7" s="116" cm="1">
        <f t="array" ref="CI7">_xll.EQNXTDZ($A$1,$B7,CI$1)</f>
        <v>1640</v>
      </c>
      <c r="CJ7" s="116" cm="1">
        <f t="array" ref="CJ7">_xll.EQNXTDZ($A$1,$B7,CJ$1)</f>
        <v>1670</v>
      </c>
      <c r="CK7" s="116" cm="1">
        <f t="array" ref="CK7">_xll.EQNXTDZ($A$1,$B7,CK$1)</f>
        <v>1429.85</v>
      </c>
      <c r="CL7" s="116" cm="1">
        <f t="array" ref="CL7">_xll.EQNXTDZ($A$1,$B7,CL$1)</f>
        <v>1601</v>
      </c>
      <c r="CM7" s="116" cm="1">
        <f t="array" ref="CM7">_xll.EQNXTDZ($A$1,$B7,CM$1)</f>
        <v>1580</v>
      </c>
      <c r="CN7" s="116" cm="1">
        <f t="array" ref="CN7">_xll.EQNXTDZ($A$1,$B7,CN$1)</f>
        <v>1538</v>
      </c>
      <c r="CO7" s="116" cm="1">
        <f t="array" ref="CO7">_xll.EQNXTDZ($A$1,$B7,CO$1)</f>
        <v>1523</v>
      </c>
      <c r="CP7" s="116" cm="1">
        <f t="array" ref="CP7">_xll.EQNXTDZ($A$1,$B7,CP$1)</f>
        <v>1411</v>
      </c>
      <c r="CQ7" s="116" cm="1">
        <f t="array" ref="CQ7">_xll.EQNXTDZ($A$1,$B7,CQ$1)</f>
        <v>1379</v>
      </c>
      <c r="CR7" s="116" cm="1">
        <f t="array" ref="CR7">_xll.EQNXTDZ($A$1,$B7,CR$1)</f>
        <v>1221</v>
      </c>
      <c r="CS7" s="116" cm="1">
        <f t="array" ref="CS7">_xll.EQNXTDZ($A$1,$B7,CS$1)</f>
        <v>1050</v>
      </c>
      <c r="CT7" s="116" cm="1">
        <f t="array" ref="CT7">_xll.EQNXTDZ($A$1,$B7,CT$1)</f>
        <v>896.05</v>
      </c>
      <c r="CU7" s="116" cm="1">
        <f t="array" ref="CU7">_xll.EQNXTDZ($A$1,$B7,CU$1)</f>
        <v>948.75</v>
      </c>
      <c r="CV7" s="116" cm="1">
        <f t="array" ref="CV7">_xll.EQNXTDZ($A$1,$B7,CV$1)</f>
        <v>1017</v>
      </c>
      <c r="CW7" s="116" cm="1">
        <f t="array" ref="CW7">_xll.EQNXTDZ($A$1,$B7,CW$1)</f>
        <v>1009</v>
      </c>
      <c r="CX7" s="116" cm="1">
        <f t="array" ref="CX7">_xll.EQNXTDZ($A$1,$B7,CX$1)</f>
        <v>990.8</v>
      </c>
      <c r="CY7" s="116" cm="1">
        <f t="array" ref="CY7">_xll.EQNXTDZ($A$1,$B7,CY$1)</f>
        <v>937.2</v>
      </c>
      <c r="CZ7" s="116" cm="1">
        <f t="array" ref="CZ7">_xll.EQNXTDZ($A$1,$B7,CZ$1)</f>
        <v>1163</v>
      </c>
      <c r="DA7" s="116" cm="1">
        <f t="array" ref="DA7">_xll.EQNXTDZ($A$1,$B7,DA$1)</f>
        <v>1260</v>
      </c>
      <c r="DB7" s="116" cm="1">
        <f t="array" ref="DB7">_xll.EQNXTDZ($A$1,$B7,DB$1)</f>
        <v>1419.45</v>
      </c>
      <c r="DC7" s="116" cm="1">
        <f t="array" ref="DC7">_xll.EQNXTDZ($A$1,$B7,DC$1)</f>
        <v>1635</v>
      </c>
      <c r="DD7" s="116" cm="1">
        <f t="array" ref="DD7">_xll.EQNXTDZ($A$1,$B7,DD$1)</f>
        <v>1559.85</v>
      </c>
      <c r="DE7" s="116" cm="1">
        <f t="array" ref="DE7">_xll.EQNXTDZ($A$1,$B7,DE$1)</f>
        <v>1436.25</v>
      </c>
      <c r="DF7" s="116" cm="1">
        <f t="array" ref="DF7">_xll.EQNXTDZ($A$1,$B7,DF$1)</f>
        <v>1730</v>
      </c>
      <c r="DG7" s="116" cm="1">
        <f t="array" ref="DG7">_xll.EQNXTDZ($A$1,$B7,DG$1)</f>
        <v>1857</v>
      </c>
      <c r="DH7" s="116" cm="1">
        <f t="array" ref="DH7">_xll.EQNXTDZ($A$1,$B7,DH$1)</f>
        <v>1840</v>
      </c>
      <c r="DI7" s="116" cm="1">
        <f t="array" ref="DI7">_xll.EQNXTDZ($A$1,$B7,DI$1)</f>
        <v>1925</v>
      </c>
      <c r="DJ7" s="116" cm="1">
        <f t="array" ref="DJ7">_xll.EQNXTDZ($A$1,$B7,DJ$1)</f>
        <v>1943.9</v>
      </c>
      <c r="DK7" s="116" cm="1">
        <f t="array" ref="DK7">_xll.EQNXTDZ($A$1,$B7,DK$1)</f>
        <v>2153.75</v>
      </c>
      <c r="DL7" s="116" cm="1">
        <f t="array" ref="DL7">_xll.EQNXTDZ($A$1,$B7,DL$1)</f>
        <v>2232</v>
      </c>
      <c r="DM7" s="116" cm="1">
        <f t="array" ref="DM7">_xll.EQNXTDZ($A$1,$B7,DM$1)</f>
        <v>2375</v>
      </c>
      <c r="DN7" s="116" cm="1">
        <f t="array" ref="DN7">_xll.EQNXTDZ($A$1,$B7,DN$1)</f>
        <v>2468.1</v>
      </c>
      <c r="DO7" s="116" cm="1">
        <f t="array" ref="DO7">_xll.EQNXTDZ($A$1,$B7,DO$1)</f>
        <v>2377.1999999999998</v>
      </c>
      <c r="DP7" s="116" cm="1">
        <f t="array" ref="DP7">_xll.EQNXTDZ($A$1,$B7,DP$1)</f>
        <v>2239</v>
      </c>
      <c r="DQ7" s="116" cm="1">
        <f t="array" ref="DQ7">_xll.EQNXTDZ($A$1,$B7,DQ$1)</f>
        <v>2264.9499999999998</v>
      </c>
      <c r="DR7" s="116" cm="1">
        <f t="array" ref="DR7">_xll.EQNXTDZ($A$1,$B7,DR$1)</f>
        <v>2468</v>
      </c>
      <c r="DS7" s="116" cm="1">
        <f t="array" ref="DS7">_xll.EQNXTDZ($A$1,$B7,DS$1)</f>
        <v>2487.85</v>
      </c>
      <c r="DT7" s="116" cm="1">
        <f t="array" ref="DT7">_xll.EQNXTDZ($A$1,$B7,DT$1)</f>
        <v>2835</v>
      </c>
      <c r="DU7" s="116" cm="1">
        <f t="array" ref="DU7">_xll.EQNXTDZ($A$1,$B7,DU$1)</f>
        <v>3273.25</v>
      </c>
      <c r="DV7" s="116" cm="1">
        <f t="array" ref="DV7">_xll.EQNXTDZ($A$1,$B7,DV$1)</f>
        <v>3446.3</v>
      </c>
      <c r="DW7" s="116" cm="1">
        <f t="array" ref="DW7">_xll.EQNXTDZ($A$1,$B7,DW$1)</f>
        <v>3335</v>
      </c>
      <c r="DX7" s="116" cm="1">
        <f t="array" ref="DX7">_xll.EQNXTDZ($A$1,$B7,DX$1)</f>
        <v>3292</v>
      </c>
      <c r="DY7" s="116" cm="1">
        <f t="array" ref="DY7">_xll.EQNXTDZ($A$1,$B7,DY$1)</f>
        <v>3035.8</v>
      </c>
      <c r="DZ7" s="116" cm="1">
        <f t="array" ref="DZ7">_xll.EQNXTDZ($A$1,$B7,DZ$1)</f>
        <v>2979</v>
      </c>
      <c r="EA7" s="116" cm="1">
        <f t="array" ref="EA7">_xll.EQNXTDZ($A$1,$B7,EA$1)</f>
        <v>3247</v>
      </c>
      <c r="EB7" s="116" cm="1">
        <f t="array" ref="EB7">_xll.EQNXTDZ($A$1,$B7,EB$1)</f>
        <v>3434</v>
      </c>
      <c r="EC7" s="116" cm="1">
        <f t="array" ref="EC7">_xll.EQNXTDZ($A$1,$B7,EC$1)</f>
        <v>3467.95</v>
      </c>
      <c r="ED7" s="116" cm="1">
        <f t="array" ref="ED7">_xll.EQNXTDZ($A$1,$B7,ED$1)</f>
        <v>4299</v>
      </c>
      <c r="EE7" s="116" cm="1">
        <f t="array" ref="EE7">_xll.EQNXTDZ($A$1,$B7,EE$1)</f>
        <v>4444</v>
      </c>
      <c r="EF7" s="116" cm="1">
        <f t="array" ref="EF7">_xll.EQNXTDZ($A$1,$B7,EF$1)</f>
        <v>4614.3500000000004</v>
      </c>
      <c r="EG7" s="116" cm="1">
        <f t="array" ref="EG7">_xll.EQNXTDZ($A$1,$B7,EG$1)</f>
        <v>4589.3</v>
      </c>
      <c r="EH7" s="116" cm="1">
        <f t="array" ref="EH7">_xll.EQNXTDZ($A$1,$B7,EH$1)</f>
        <v>4678</v>
      </c>
      <c r="EI7" s="116" cm="1">
        <f t="array" ref="EI7">_xll.EQNXTDZ($A$1,$B7,EI$1)</f>
        <v>4339.3999999999996</v>
      </c>
      <c r="EJ7" s="116" cm="1">
        <f t="array" ref="EJ7">_xll.EQNXTDZ($A$1,$B7,EJ$1)</f>
        <v>4465</v>
      </c>
      <c r="EK7" s="116" cm="1">
        <f t="array" ref="EK7">_xll.EQNXTDZ($A$1,$B7,EK$1)</f>
        <v>4957</v>
      </c>
      <c r="EL7" s="116" cm="1">
        <f t="array" ref="EL7">_xll.EQNXTDZ($A$1,$B7,EL$1)</f>
        <v>4990.05</v>
      </c>
      <c r="EM7" s="116" cm="1">
        <f t="array" ref="EM7">_xll.EQNXTDZ($A$1,$B7,EM$1)</f>
        <v>5552</v>
      </c>
      <c r="EN7" s="116" cm="1">
        <f t="array" ref="EN7">_xll.EQNXTDZ($A$1,$B7,EN$1)</f>
        <v>6471.95</v>
      </c>
      <c r="EO7" s="116" cm="1">
        <f t="array" ref="EO7">_xll.EQNXTDZ($A$1,$B7,EO$1)</f>
        <v>6773.1</v>
      </c>
      <c r="EP7" s="116" cm="1">
        <f t="array" ref="EP7">_xll.EQNXTDZ($A$1,$B7,EP$1)</f>
        <v>8599.7999999999993</v>
      </c>
      <c r="EQ7" s="116" cm="1">
        <f t="array" ref="EQ7">_xll.EQNXTDZ($A$1,$B7,EQ$1)</f>
        <v>9149.9500000000007</v>
      </c>
      <c r="ER7" s="116" cm="1">
        <f t="array" ref="ER7">_xll.EQNXTDZ($A$1,$B7,ER$1)</f>
        <v>8808.7000000000007</v>
      </c>
      <c r="ES7" s="116" cm="1">
        <f t="array" ref="ES7">_xll.EQNXTDZ($A$1,$B7,ES$1)</f>
        <v>8263.75</v>
      </c>
      <c r="ET7" s="116" cm="1">
        <f t="array" ref="ET7">_xll.EQNXTDZ($A$1,$B7,ET$1)</f>
        <v>8214</v>
      </c>
      <c r="EU7" s="116" cm="1">
        <f t="array" ref="EU7">_xll.EQNXTDZ($A$1,$B7,EU$1)</f>
        <v>8940.6</v>
      </c>
      <c r="EV7" s="116" cm="1">
        <f t="array" ref="EV7">_xll.EQNXTDZ($A$1,$B7,EV$1)</f>
        <v>7540.1</v>
      </c>
      <c r="EW7" s="116" cm="1">
        <f t="array" ref="EW7">_xll.EQNXTDZ($A$1,$B7,EW$1)</f>
        <v>7960</v>
      </c>
      <c r="EX7" s="116" cm="1">
        <f t="array" ref="EX7">_xll.EQNXTDZ($A$1,$B7,EX$1)</f>
        <v>6947.7</v>
      </c>
      <c r="EY7" s="116" cm="1">
        <f t="array" ref="EY7">_xll.EQNXTDZ($A$1,$B7,EY$1)</f>
        <v>5943.4</v>
      </c>
      <c r="EZ7" s="116" cm="1">
        <f t="array" ref="EZ7">_xll.EQNXTDZ($A$1,$B7,EZ$1)</f>
        <v>5625</v>
      </c>
      <c r="FA7" s="116" cm="1">
        <f t="array" ref="FA7">_xll.EQNXTDZ($A$1,$B7,FA$1)</f>
        <v>5792</v>
      </c>
      <c r="FB7" s="116" cm="1">
        <f t="array" ref="FB7">_xll.EQNXTDZ($A$1,$B7,FB$1)</f>
        <v>6118</v>
      </c>
      <c r="FC7" s="116" cm="1">
        <f t="array" ref="FC7">_xll.EQNXTDZ($A$1,$B7,FC$1)</f>
        <v>6260</v>
      </c>
      <c r="FD7" s="116" cm="1">
        <f t="array" ref="FD7">_xll.EQNXTDZ($A$1,$B7,FD$1)</f>
        <v>6144.5</v>
      </c>
      <c r="FE7" s="116" cm="1">
        <f t="array" ref="FE7">_xll.EQNXTDZ($A$1,$B7,FE$1)</f>
        <v>5539</v>
      </c>
      <c r="FF7" s="116" cm="1">
        <f t="array" ref="FF7">_xll.EQNXTDZ($A$1,$B7,FF$1)</f>
        <v>5471.3</v>
      </c>
      <c r="FG7" s="116" cm="1">
        <f t="array" ref="FG7">_xll.EQNXTDZ($A$1,$B7,FG$1)</f>
        <v>5343</v>
      </c>
      <c r="FH7" s="116" cm="1">
        <f t="array" ref="FH7">_xll.EQNXTDZ($A$1,$B7,FH$1)</f>
        <v>5280.5</v>
      </c>
      <c r="FI7" s="116" cm="1">
        <f t="array" ref="FI7">_xll.EQNXTDZ($A$1,$B7,FI$1)</f>
        <v>5299</v>
      </c>
      <c r="FJ7" s="116" cm="1">
        <f t="array" ref="FJ7">_xll.EQNXTDZ($A$1,$B7,FJ$1)</f>
        <v>5605.5</v>
      </c>
      <c r="FK7" s="116" cm="1">
        <f t="array" ref="FK7">_xll.EQNXTDZ($A$1,$B7,FK$1)</f>
        <v>6246</v>
      </c>
      <c r="FL7" s="116" cm="1">
        <f t="array" ref="FL7">_xll.EQNXTDZ($A$1,$B7,FL$1)</f>
        <v>6554</v>
      </c>
      <c r="FM7" s="116" cm="1">
        <f t="array" ref="FM7">_xll.EQNXTDZ($A$1,$B7,FM$1)</f>
        <v>7822.5</v>
      </c>
      <c r="FN7" s="116" cm="1">
        <f t="array" ref="FN7">_xll.EQNXTDZ($A$1,$B7,FN$1)</f>
        <v>7389</v>
      </c>
      <c r="FO7" s="116" cm="1">
        <f t="array" ref="FO7">_xll.EQNXTDZ($A$1,$B7,FO$1)</f>
        <v>7327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814.45</v>
      </c>
      <c r="HQ7" s="116">
        <f>+MAX(G7:I7)</f>
        <v>810.7</v>
      </c>
      <c r="HR7" s="116">
        <f>+MAX(J7:L7)</f>
        <v>737</v>
      </c>
      <c r="HS7" s="116">
        <f>+MAX(M7:O7)</f>
        <v>694.75</v>
      </c>
      <c r="HT7" s="116">
        <f>+MAX(P7:R7)</f>
        <v>627.79999999999995</v>
      </c>
      <c r="HU7" s="116">
        <f>+MAX(S7:U7)</f>
        <v>720.8</v>
      </c>
      <c r="HV7" s="116">
        <f>+MAX(V7:X7)</f>
        <v>862</v>
      </c>
      <c r="HW7" s="116">
        <f>+MAX(Y7:AA7)</f>
        <v>1125.5999999999999</v>
      </c>
      <c r="HX7" s="116">
        <f>+MAX(AB7:AD7)</f>
        <v>1263.5</v>
      </c>
      <c r="HY7" s="116">
        <f>+MAX(AE7:AG7)</f>
        <v>1398.6</v>
      </c>
      <c r="HZ7" s="116">
        <f>+MAX(AH7:AJ7)</f>
        <v>1526.3</v>
      </c>
      <c r="IA7" s="116">
        <f>+MAX(AK7:AM7)</f>
        <v>1432.5</v>
      </c>
      <c r="IB7" s="116">
        <f>+MAX(AN7:AP7)</f>
        <v>1445</v>
      </c>
      <c r="IC7" s="116">
        <f>+MAX(AQ7:AS7)</f>
        <v>1295.5</v>
      </c>
      <c r="ID7" s="116">
        <f>+MAX(AT7:AV7)</f>
        <v>1296.8</v>
      </c>
      <c r="IE7" s="116">
        <f>+MAX(AW7:AY7)</f>
        <v>1434</v>
      </c>
      <c r="IF7" s="116">
        <f>+MAX(AZ7:BB7)</f>
        <v>1324</v>
      </c>
      <c r="IG7" s="116">
        <f>+MAX(BC7:BE7)</f>
        <v>1187.95</v>
      </c>
      <c r="IH7" s="116">
        <f>+MAX(BF7:BH7)</f>
        <v>1292</v>
      </c>
      <c r="II7" s="116">
        <f>+MAX(BI7:BK7)</f>
        <v>1620</v>
      </c>
      <c r="IJ7" s="116">
        <f>+MAX(BL7:BN7)</f>
        <v>1549.65</v>
      </c>
      <c r="IK7" s="116">
        <f>+MAX(BO7:BQ7)</f>
        <v>1448</v>
      </c>
      <c r="IL7" s="116">
        <f>+MAX(BR7:BT7)</f>
        <v>1749.2</v>
      </c>
      <c r="IM7" s="116">
        <f>+MAX(BU7:BW7)</f>
        <v>1384</v>
      </c>
      <c r="IN7" s="116">
        <f>+MAX(BX7:BZ7)</f>
        <v>1517</v>
      </c>
      <c r="IO7" s="116">
        <f>+MAX(CA7:CC7)</f>
        <v>1464</v>
      </c>
      <c r="IP7" s="116">
        <f>+MAX(CD7:CF7)</f>
        <v>1358</v>
      </c>
      <c r="IQ7" s="116">
        <f>+MAX(CG7:CI7)</f>
        <v>1640</v>
      </c>
      <c r="IR7" s="116">
        <f>+MAX(CJ7:CL7)</f>
        <v>1670</v>
      </c>
      <c r="IS7" s="116">
        <f>+MAX(CM7:CO7)</f>
        <v>1580</v>
      </c>
      <c r="IT7" s="116">
        <f>+MAX(CP7:CR7)</f>
        <v>1411</v>
      </c>
      <c r="IU7" s="116">
        <f>+MAX(CS7:CU7)</f>
        <v>1050</v>
      </c>
      <c r="IV7" s="116">
        <f>+MAX(CV7:CX7)</f>
        <v>1017</v>
      </c>
      <c r="IW7" s="116">
        <f>+MAX(CY7:DA7)</f>
        <v>1260</v>
      </c>
      <c r="IX7" s="116">
        <f>+MAX(DB7:DD7)</f>
        <v>1635</v>
      </c>
      <c r="IY7" s="116">
        <f>+MAX(DE7:DG7)</f>
        <v>1857</v>
      </c>
      <c r="IZ7" s="116">
        <f>+MAX(DH7:DJ7)</f>
        <v>1943.9</v>
      </c>
      <c r="JA7" s="116">
        <f>+MAX(DK7:DM7)</f>
        <v>2375</v>
      </c>
      <c r="JB7" s="116">
        <f>+MAX(DN7:DP7)</f>
        <v>2468.1</v>
      </c>
      <c r="JC7" s="116">
        <f>+MAX(DQ7:DS7)</f>
        <v>2487.85</v>
      </c>
      <c r="JD7" s="116">
        <f>+MAX(DT7:DV7)</f>
        <v>3446.3</v>
      </c>
      <c r="JE7" s="116">
        <f>+MAX(DW7:DY7)</f>
        <v>3335</v>
      </c>
      <c r="JF7" s="116">
        <f>+MAX(DZ7:EB7)</f>
        <v>3434</v>
      </c>
      <c r="JG7" s="116">
        <f>+MAX(EC7:EE7)</f>
        <v>4444</v>
      </c>
      <c r="JH7" s="116">
        <f>+MAX(EF7:EH7)</f>
        <v>4678</v>
      </c>
      <c r="JI7" s="116">
        <f>+MAX(EI7:EK7)</f>
        <v>4957</v>
      </c>
      <c r="JJ7" s="116">
        <f>+MAX(EL7:EN7)</f>
        <v>6471.95</v>
      </c>
      <c r="JK7" s="116">
        <f>MAX(EO7:EQ7)</f>
        <v>9149.9500000000007</v>
      </c>
      <c r="JL7" s="116">
        <f>MAX(ER7:ET7)</f>
        <v>8808.7000000000007</v>
      </c>
      <c r="JM7" s="116">
        <f>MAX(EU7:EW7)</f>
        <v>8940.6</v>
      </c>
      <c r="JN7" s="116">
        <f>MAX(EX7:EZ7)</f>
        <v>6947.7</v>
      </c>
      <c r="JO7" s="116">
        <f>MAX(FA7:FC7)</f>
        <v>6260</v>
      </c>
      <c r="JP7" s="116">
        <f>MAX(FD7:FF7)</f>
        <v>6144.5</v>
      </c>
      <c r="JQ7" s="116">
        <f>MAX(FG7:FI7)</f>
        <v>5343</v>
      </c>
      <c r="JR7" s="116">
        <f>MAX(FJ7:FL7)</f>
        <v>6554</v>
      </c>
      <c r="JS7" s="116">
        <f>MAX(FM7:FO7)</f>
        <v>7822.5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699</v>
      </c>
      <c r="D8" s="116" cm="1">
        <f t="array" ref="D8">_xll.EQNXTDZ($A$1,$B8,D$1)</f>
        <v>730.1</v>
      </c>
      <c r="E8" s="116" cm="1">
        <f t="array" ref="E8">_xll.EQNXTDZ($A$1,$B8,E$1)</f>
        <v>704.95</v>
      </c>
      <c r="F8" s="116" cm="1">
        <f t="array" ref="F8">_xll.EQNXTDZ($A$1,$B8,F$1)</f>
        <v>710</v>
      </c>
      <c r="G8" s="116" cm="1">
        <f t="array" ref="G8">_xll.EQNXTDZ($A$1,$B8,G$1)</f>
        <v>732</v>
      </c>
      <c r="H8" s="116" cm="1">
        <f t="array" ref="H8">_xll.EQNXTDZ($A$1,$B8,H$1)</f>
        <v>621.54999999999995</v>
      </c>
      <c r="I8" s="116" cm="1">
        <f t="array" ref="I8">_xll.EQNXTDZ($A$1,$B8,I$1)</f>
        <v>685</v>
      </c>
      <c r="J8" s="116" cm="1">
        <f t="array" ref="J8">_xll.EQNXTDZ($A$1,$B8,J$1)</f>
        <v>638.6</v>
      </c>
      <c r="K8" s="116" cm="1">
        <f t="array" ref="K8">_xll.EQNXTDZ($A$1,$B8,K$1)</f>
        <v>560</v>
      </c>
      <c r="L8" s="116" cm="1">
        <f t="array" ref="L8">_xll.EQNXTDZ($A$1,$B8,L$1)</f>
        <v>482.6</v>
      </c>
      <c r="M8" s="116" cm="1">
        <f t="array" ref="M8">_xll.EQNXTDZ($A$1,$B8,M$1)</f>
        <v>468</v>
      </c>
      <c r="N8" s="116" cm="1">
        <f t="array" ref="N8">_xll.EQNXTDZ($A$1,$B8,N$1)</f>
        <v>495.5</v>
      </c>
      <c r="O8" s="116" cm="1">
        <f t="array" ref="O8">_xll.EQNXTDZ($A$1,$B8,O$1)</f>
        <v>576.04999999999995</v>
      </c>
      <c r="P8" s="116" cm="1">
        <f t="array" ref="P8">_xll.EQNXTDZ($A$1,$B8,P$1)</f>
        <v>486</v>
      </c>
      <c r="Q8" s="116" cm="1">
        <f t="array" ref="Q8">_xll.EQNXTDZ($A$1,$B8,Q$1)</f>
        <v>430</v>
      </c>
      <c r="R8" s="116" cm="1">
        <f t="array" ref="R8">_xll.EQNXTDZ($A$1,$B8,R$1)</f>
        <v>446</v>
      </c>
      <c r="S8" s="116" cm="1">
        <f t="array" ref="S8">_xll.EQNXTDZ($A$1,$B8,S$1)</f>
        <v>535</v>
      </c>
      <c r="T8" s="116" cm="1">
        <f t="array" ref="T8">_xll.EQNXTDZ($A$1,$B8,T$1)</f>
        <v>577.04999999999995</v>
      </c>
      <c r="U8" s="116" cm="1">
        <f t="array" ref="U8">_xll.EQNXTDZ($A$1,$B8,U$1)</f>
        <v>643.85</v>
      </c>
      <c r="V8" s="116" cm="1">
        <f t="array" ref="V8">_xll.EQNXTDZ($A$1,$B8,V$1)</f>
        <v>566.95000000000005</v>
      </c>
      <c r="W8" s="116" cm="1">
        <f t="array" ref="W8">_xll.EQNXTDZ($A$1,$B8,W$1)</f>
        <v>567.4</v>
      </c>
      <c r="X8" s="116" cm="1">
        <f t="array" ref="X8">_xll.EQNXTDZ($A$1,$B8,X$1)</f>
        <v>710.6</v>
      </c>
      <c r="Y8" s="116" cm="1">
        <f t="array" ref="Y8">_xll.EQNXTDZ($A$1,$B8,Y$1)</f>
        <v>810.1</v>
      </c>
      <c r="Z8" s="116" cm="1">
        <f t="array" ref="Z8">_xll.EQNXTDZ($A$1,$B8,Z$1)</f>
        <v>808.1</v>
      </c>
      <c r="AA8" s="116" cm="1">
        <f t="array" ref="AA8">_xll.EQNXTDZ($A$1,$B8,AA$1)</f>
        <v>905.95</v>
      </c>
      <c r="AB8" s="116" cm="1">
        <f t="array" ref="AB8">_xll.EQNXTDZ($A$1,$B8,AB$1)</f>
        <v>1006.45</v>
      </c>
      <c r="AC8" s="116" cm="1">
        <f t="array" ref="AC8">_xll.EQNXTDZ($A$1,$B8,AC$1)</f>
        <v>970</v>
      </c>
      <c r="AD8" s="116" cm="1">
        <f t="array" ref="AD8">_xll.EQNXTDZ($A$1,$B8,AD$1)</f>
        <v>981.35</v>
      </c>
      <c r="AE8" s="116" cm="1">
        <f t="array" ref="AE8">_xll.EQNXTDZ($A$1,$B8,AE$1)</f>
        <v>985</v>
      </c>
      <c r="AF8" s="116" cm="1">
        <f t="array" ref="AF8">_xll.EQNXTDZ($A$1,$B8,AF$1)</f>
        <v>1061</v>
      </c>
      <c r="AG8" s="116" cm="1">
        <f t="array" ref="AG8">_xll.EQNXTDZ($A$1,$B8,AG$1)</f>
        <v>1110.05</v>
      </c>
      <c r="AH8" s="116" cm="1">
        <f t="array" ref="AH8">_xll.EQNXTDZ($A$1,$B8,AH$1)</f>
        <v>1251.3</v>
      </c>
      <c r="AI8" s="116" cm="1">
        <f t="array" ref="AI8">_xll.EQNXTDZ($A$1,$B8,AI$1)</f>
        <v>1245.2</v>
      </c>
      <c r="AJ8" s="116" cm="1">
        <f t="array" ref="AJ8">_xll.EQNXTDZ($A$1,$B8,AJ$1)</f>
        <v>1181.7</v>
      </c>
      <c r="AK8" s="116" cm="1">
        <f t="array" ref="AK8">_xll.EQNXTDZ($A$1,$B8,AK$1)</f>
        <v>1266</v>
      </c>
      <c r="AL8" s="116" cm="1">
        <f t="array" ref="AL8">_xll.EQNXTDZ($A$1,$B8,AL$1)</f>
        <v>1284</v>
      </c>
      <c r="AM8" s="116" cm="1">
        <f t="array" ref="AM8">_xll.EQNXTDZ($A$1,$B8,AM$1)</f>
        <v>1240.0999999999999</v>
      </c>
      <c r="AN8" s="116" cm="1">
        <f t="array" ref="AN8">_xll.EQNXTDZ($A$1,$B8,AN$1)</f>
        <v>1305.2</v>
      </c>
      <c r="AO8" s="116" cm="1">
        <f t="array" ref="AO8">_xll.EQNXTDZ($A$1,$B8,AO$1)</f>
        <v>1124</v>
      </c>
      <c r="AP8" s="116" cm="1">
        <f t="array" ref="AP8">_xll.EQNXTDZ($A$1,$B8,AP$1)</f>
        <v>1018.6</v>
      </c>
      <c r="AQ8" s="116" cm="1">
        <f t="array" ref="AQ8">_xll.EQNXTDZ($A$1,$B8,AQ$1)</f>
        <v>1046.05</v>
      </c>
      <c r="AR8" s="116" cm="1">
        <f t="array" ref="AR8">_xll.EQNXTDZ($A$1,$B8,AR$1)</f>
        <v>1146.9000000000001</v>
      </c>
      <c r="AS8" s="116" cm="1">
        <f t="array" ref="AS8">_xll.EQNXTDZ($A$1,$B8,AS$1)</f>
        <v>1093.9000000000001</v>
      </c>
      <c r="AT8" s="116" cm="1">
        <f t="array" ref="AT8">_xll.EQNXTDZ($A$1,$B8,AT$1)</f>
        <v>955.2</v>
      </c>
      <c r="AU8" s="116" cm="1">
        <f t="array" ref="AU8">_xll.EQNXTDZ($A$1,$B8,AU$1)</f>
        <v>974.8</v>
      </c>
      <c r="AV8" s="116" cm="1">
        <f t="array" ref="AV8">_xll.EQNXTDZ($A$1,$B8,AV$1)</f>
        <v>1015.2</v>
      </c>
      <c r="AW8" s="116" cm="1">
        <f t="array" ref="AW8">_xll.EQNXTDZ($A$1,$B8,AW$1)</f>
        <v>1236.0999999999999</v>
      </c>
      <c r="AX8" s="116" cm="1">
        <f t="array" ref="AX8">_xll.EQNXTDZ($A$1,$B8,AX$1)</f>
        <v>1185.4000000000001</v>
      </c>
      <c r="AY8" s="116" cm="1">
        <f t="array" ref="AY8">_xll.EQNXTDZ($A$1,$B8,AY$1)</f>
        <v>1178.9000000000001</v>
      </c>
      <c r="AZ8" s="116" cm="1">
        <f t="array" ref="AZ8">_xll.EQNXTDZ($A$1,$B8,AZ$1)</f>
        <v>1204</v>
      </c>
      <c r="BA8" s="116" cm="1">
        <f t="array" ref="BA8">_xll.EQNXTDZ($A$1,$B8,BA$1)</f>
        <v>1141.1500000000001</v>
      </c>
      <c r="BB8" s="116" cm="1">
        <f t="array" ref="BB8">_xll.EQNXTDZ($A$1,$B8,BB$1)</f>
        <v>1107</v>
      </c>
      <c r="BC8" s="116" cm="1">
        <f t="array" ref="BC8">_xll.EQNXTDZ($A$1,$B8,BC$1)</f>
        <v>1031.5</v>
      </c>
      <c r="BD8" s="116" cm="1">
        <f t="array" ref="BD8">_xll.EQNXTDZ($A$1,$B8,BD$1)</f>
        <v>931.35</v>
      </c>
      <c r="BE8" s="116" cm="1">
        <f t="array" ref="BE8">_xll.EQNXTDZ($A$1,$B8,BE$1)</f>
        <v>1017.55</v>
      </c>
      <c r="BF8" s="116" cm="1">
        <f t="array" ref="BF8">_xll.EQNXTDZ($A$1,$B8,BF$1)</f>
        <v>1029.1500000000001</v>
      </c>
      <c r="BG8" s="116" cm="1">
        <f t="array" ref="BG8">_xll.EQNXTDZ($A$1,$B8,BG$1)</f>
        <v>1092.5999999999999</v>
      </c>
      <c r="BH8" s="116" cm="1">
        <f t="array" ref="BH8">_xll.EQNXTDZ($A$1,$B8,BH$1)</f>
        <v>1180</v>
      </c>
      <c r="BI8" s="116" cm="1">
        <f t="array" ref="BI8">_xll.EQNXTDZ($A$1,$B8,BI$1)</f>
        <v>1282.5</v>
      </c>
      <c r="BJ8" s="116" cm="1">
        <f t="array" ref="BJ8">_xll.EQNXTDZ($A$1,$B8,BJ$1)</f>
        <v>1393.2</v>
      </c>
      <c r="BK8" s="116" cm="1">
        <f t="array" ref="BK8">_xll.EQNXTDZ($A$1,$B8,BK$1)</f>
        <v>1376</v>
      </c>
      <c r="BL8" s="116" cm="1">
        <f t="array" ref="BL8">_xll.EQNXTDZ($A$1,$B8,BL$1)</f>
        <v>1351.05</v>
      </c>
      <c r="BM8" s="116" cm="1">
        <f t="array" ref="BM8">_xll.EQNXTDZ($A$1,$B8,BM$1)</f>
        <v>1302</v>
      </c>
      <c r="BN8" s="116" cm="1">
        <f t="array" ref="BN8">_xll.EQNXTDZ($A$1,$B8,BN$1)</f>
        <v>1298.8</v>
      </c>
      <c r="BO8" s="116" cm="1">
        <f t="array" ref="BO8">_xll.EQNXTDZ($A$1,$B8,BO$1)</f>
        <v>1330</v>
      </c>
      <c r="BP8" s="116" cm="1">
        <f t="array" ref="BP8">_xll.EQNXTDZ($A$1,$B8,BP$1)</f>
        <v>1305.0999999999999</v>
      </c>
      <c r="BQ8" s="116" cm="1">
        <f t="array" ref="BQ8">_xll.EQNXTDZ($A$1,$B8,BQ$1)</f>
        <v>1337</v>
      </c>
      <c r="BR8" s="116" cm="1">
        <f t="array" ref="BR8">_xll.EQNXTDZ($A$1,$B8,BR$1)</f>
        <v>1390.05</v>
      </c>
      <c r="BS8" s="116" cm="1">
        <f t="array" ref="BS8">_xll.EQNXTDZ($A$1,$B8,BS$1)</f>
        <v>1471.2</v>
      </c>
      <c r="BT8" s="116" cm="1">
        <f t="array" ref="BT8">_xll.EQNXTDZ($A$1,$B8,BT$1)</f>
        <v>1267.25</v>
      </c>
      <c r="BU8" s="116" cm="1">
        <f t="array" ref="BU8">_xll.EQNXTDZ($A$1,$B8,BU$1)</f>
        <v>1248</v>
      </c>
      <c r="BV8" s="116" cm="1">
        <f t="array" ref="BV8">_xll.EQNXTDZ($A$1,$B8,BV$1)</f>
        <v>1156.6500000000001</v>
      </c>
      <c r="BW8" s="116" cm="1">
        <f t="array" ref="BW8">_xll.EQNXTDZ($A$1,$B8,BW$1)</f>
        <v>1149</v>
      </c>
      <c r="BX8" s="116" cm="1">
        <f t="array" ref="BX8">_xll.EQNXTDZ($A$1,$B8,BX$1)</f>
        <v>1129</v>
      </c>
      <c r="BY8" s="116" cm="1">
        <f t="array" ref="BY8">_xll.EQNXTDZ($A$1,$B8,BY$1)</f>
        <v>1183.25</v>
      </c>
      <c r="BZ8" s="116" cm="1">
        <f t="array" ref="BZ8">_xll.EQNXTDZ($A$1,$B8,BZ$1)</f>
        <v>1251</v>
      </c>
      <c r="CA8" s="116" cm="1">
        <f t="array" ref="CA8">_xll.EQNXTDZ($A$1,$B8,CA$1)</f>
        <v>1190</v>
      </c>
      <c r="CB8" s="116" cm="1">
        <f t="array" ref="CB8">_xll.EQNXTDZ($A$1,$B8,CB$1)</f>
        <v>1282.8499999999999</v>
      </c>
      <c r="CC8" s="116" cm="1">
        <f t="array" ref="CC8">_xll.EQNXTDZ($A$1,$B8,CC$1)</f>
        <v>1280.0999999999999</v>
      </c>
      <c r="CD8" s="116" cm="1">
        <f t="array" ref="CD8">_xll.EQNXTDZ($A$1,$B8,CD$1)</f>
        <v>1212</v>
      </c>
      <c r="CE8" s="116" cm="1">
        <f t="array" ref="CE8">_xll.EQNXTDZ($A$1,$B8,CE$1)</f>
        <v>1220</v>
      </c>
      <c r="CF8" s="116" cm="1">
        <f t="array" ref="CF8">_xll.EQNXTDZ($A$1,$B8,CF$1)</f>
        <v>1222.25</v>
      </c>
      <c r="CG8" s="116" cm="1">
        <f t="array" ref="CG8">_xll.EQNXTDZ($A$1,$B8,CG$1)</f>
        <v>1308</v>
      </c>
      <c r="CH8" s="116" cm="1">
        <f t="array" ref="CH8">_xll.EQNXTDZ($A$1,$B8,CH$1)</f>
        <v>1311.3</v>
      </c>
      <c r="CI8" s="116" cm="1">
        <f t="array" ref="CI8">_xll.EQNXTDZ($A$1,$B8,CI$1)</f>
        <v>1500.05</v>
      </c>
      <c r="CJ8" s="116" cm="1">
        <f t="array" ref="CJ8">_xll.EQNXTDZ($A$1,$B8,CJ$1)</f>
        <v>1337.9</v>
      </c>
      <c r="CK8" s="116" cm="1">
        <f t="array" ref="CK8">_xll.EQNXTDZ($A$1,$B8,CK$1)</f>
        <v>1311.5</v>
      </c>
      <c r="CL8" s="116" cm="1">
        <f t="array" ref="CL8">_xll.EQNXTDZ($A$1,$B8,CL$1)</f>
        <v>1310</v>
      </c>
      <c r="CM8" s="116" cm="1">
        <f t="array" ref="CM8">_xll.EQNXTDZ($A$1,$B8,CM$1)</f>
        <v>1441.65</v>
      </c>
      <c r="CN8" s="116" cm="1">
        <f t="array" ref="CN8">_xll.EQNXTDZ($A$1,$B8,CN$1)</f>
        <v>1403</v>
      </c>
      <c r="CO8" s="116" cm="1">
        <f t="array" ref="CO8">_xll.EQNXTDZ($A$1,$B8,CO$1)</f>
        <v>1200</v>
      </c>
      <c r="CP8" s="116" cm="1">
        <f t="array" ref="CP8">_xll.EQNXTDZ($A$1,$B8,CP$1)</f>
        <v>1275</v>
      </c>
      <c r="CQ8" s="116" cm="1">
        <f t="array" ref="CQ8">_xll.EQNXTDZ($A$1,$B8,CQ$1)</f>
        <v>1175</v>
      </c>
      <c r="CR8" s="116" cm="1">
        <f t="array" ref="CR8">_xll.EQNXTDZ($A$1,$B8,CR$1)</f>
        <v>801</v>
      </c>
      <c r="CS8" s="116" cm="1">
        <f t="array" ref="CS8">_xll.EQNXTDZ($A$1,$B8,CS$1)</f>
        <v>868</v>
      </c>
      <c r="CT8" s="116" cm="1">
        <f t="array" ref="CT8">_xll.EQNXTDZ($A$1,$B8,CT$1)</f>
        <v>722</v>
      </c>
      <c r="CU8" s="116" cm="1">
        <f t="array" ref="CU8">_xll.EQNXTDZ($A$1,$B8,CU$1)</f>
        <v>754.4</v>
      </c>
      <c r="CV8" s="116" cm="1">
        <f t="array" ref="CV8">_xll.EQNXTDZ($A$1,$B8,CV$1)</f>
        <v>862.6</v>
      </c>
      <c r="CW8" s="116" cm="1">
        <f t="array" ref="CW8">_xll.EQNXTDZ($A$1,$B8,CW$1)</f>
        <v>869.45</v>
      </c>
      <c r="CX8" s="116" cm="1">
        <f t="array" ref="CX8">_xll.EQNXTDZ($A$1,$B8,CX$1)</f>
        <v>846.6</v>
      </c>
      <c r="CY8" s="116" cm="1">
        <f t="array" ref="CY8">_xll.EQNXTDZ($A$1,$B8,CY$1)</f>
        <v>848</v>
      </c>
      <c r="CZ8" s="116" cm="1">
        <f t="array" ref="CZ8">_xll.EQNXTDZ($A$1,$B8,CZ$1)</f>
        <v>868.6</v>
      </c>
      <c r="DA8" s="116" cm="1">
        <f t="array" ref="DA8">_xll.EQNXTDZ($A$1,$B8,DA$1)</f>
        <v>1073.8499999999999</v>
      </c>
      <c r="DB8" s="116" cm="1">
        <f t="array" ref="DB8">_xll.EQNXTDZ($A$1,$B8,DB$1)</f>
        <v>1212</v>
      </c>
      <c r="DC8" s="116" cm="1">
        <f t="array" ref="DC8">_xll.EQNXTDZ($A$1,$B8,DC$1)</f>
        <v>1357.15</v>
      </c>
      <c r="DD8" s="116" cm="1">
        <f t="array" ref="DD8">_xll.EQNXTDZ($A$1,$B8,DD$1)</f>
        <v>1330.2</v>
      </c>
      <c r="DE8" s="116" cm="1">
        <f t="array" ref="DE8">_xll.EQNXTDZ($A$1,$B8,DE$1)</f>
        <v>1298.55</v>
      </c>
      <c r="DF8" s="116" cm="1">
        <f t="array" ref="DF8">_xll.EQNXTDZ($A$1,$B8,DF$1)</f>
        <v>1352.05</v>
      </c>
      <c r="DG8" s="116" cm="1">
        <f t="array" ref="DG8">_xll.EQNXTDZ($A$1,$B8,DG$1)</f>
        <v>1601</v>
      </c>
      <c r="DH8" s="116" cm="1">
        <f t="array" ref="DH8">_xll.EQNXTDZ($A$1,$B8,DH$1)</f>
        <v>1624.05</v>
      </c>
      <c r="DI8" s="116" cm="1">
        <f t="array" ref="DI8">_xll.EQNXTDZ($A$1,$B8,DI$1)</f>
        <v>1618.05</v>
      </c>
      <c r="DJ8" s="116" cm="1">
        <f t="array" ref="DJ8">_xll.EQNXTDZ($A$1,$B8,DJ$1)</f>
        <v>1790</v>
      </c>
      <c r="DK8" s="116" cm="1">
        <f t="array" ref="DK8">_xll.EQNXTDZ($A$1,$B8,DK$1)</f>
        <v>1800</v>
      </c>
      <c r="DL8" s="116" cm="1">
        <f t="array" ref="DL8">_xll.EQNXTDZ($A$1,$B8,DL$1)</f>
        <v>1954.05</v>
      </c>
      <c r="DM8" s="116" cm="1">
        <f t="array" ref="DM8">_xll.EQNXTDZ($A$1,$B8,DM$1)</f>
        <v>2008.3</v>
      </c>
      <c r="DN8" s="116" cm="1">
        <f t="array" ref="DN8">_xll.EQNXTDZ($A$1,$B8,DN$1)</f>
        <v>2135.9</v>
      </c>
      <c r="DO8" s="116" cm="1">
        <f t="array" ref="DO8">_xll.EQNXTDZ($A$1,$B8,DO$1)</f>
        <v>2000</v>
      </c>
      <c r="DP8" s="116" cm="1">
        <f t="array" ref="DP8">_xll.EQNXTDZ($A$1,$B8,DP$1)</f>
        <v>1944.6</v>
      </c>
      <c r="DQ8" s="116" cm="1">
        <f t="array" ref="DQ8">_xll.EQNXTDZ($A$1,$B8,DQ$1)</f>
        <v>2038</v>
      </c>
      <c r="DR8" s="116" cm="1">
        <f t="array" ref="DR8">_xll.EQNXTDZ($A$1,$B8,DR$1)</f>
        <v>2000</v>
      </c>
      <c r="DS8" s="116" cm="1">
        <f t="array" ref="DS8">_xll.EQNXTDZ($A$1,$B8,DS$1)</f>
        <v>2120</v>
      </c>
      <c r="DT8" s="116" cm="1">
        <f t="array" ref="DT8">_xll.EQNXTDZ($A$1,$B8,DT$1)</f>
        <v>2260.35</v>
      </c>
      <c r="DU8" s="116" cm="1">
        <f t="array" ref="DU8">_xll.EQNXTDZ($A$1,$B8,DU$1)</f>
        <v>2642</v>
      </c>
      <c r="DV8" s="116" cm="1">
        <f t="array" ref="DV8">_xll.EQNXTDZ($A$1,$B8,DV$1)</f>
        <v>2966.05</v>
      </c>
      <c r="DW8" s="116" cm="1">
        <f t="array" ref="DW8">_xll.EQNXTDZ($A$1,$B8,DW$1)</f>
        <v>2945</v>
      </c>
      <c r="DX8" s="116" cm="1">
        <f t="array" ref="DX8">_xll.EQNXTDZ($A$1,$B8,DX$1)</f>
        <v>2979</v>
      </c>
      <c r="DY8" s="116" cm="1">
        <f t="array" ref="DY8">_xll.EQNXTDZ($A$1,$B8,DY$1)</f>
        <v>2640</v>
      </c>
      <c r="DZ8" s="116" cm="1">
        <f t="array" ref="DZ8">_xll.EQNXTDZ($A$1,$B8,DZ$1)</f>
        <v>2662.5</v>
      </c>
      <c r="EA8" s="116" cm="1">
        <f t="array" ref="EA8">_xll.EQNXTDZ($A$1,$B8,EA$1)</f>
        <v>2752.05</v>
      </c>
      <c r="EB8" s="116" cm="1">
        <f t="array" ref="EB8">_xll.EQNXTDZ($A$1,$B8,EB$1)</f>
        <v>3206.7</v>
      </c>
      <c r="EC8" s="116" cm="1">
        <f t="array" ref="EC8">_xll.EQNXTDZ($A$1,$B8,EC$1)</f>
        <v>3141.15</v>
      </c>
      <c r="ED8" s="116" cm="1">
        <f t="array" ref="ED8">_xll.EQNXTDZ($A$1,$B8,ED$1)</f>
        <v>3390.4</v>
      </c>
      <c r="EE8" s="116" cm="1">
        <f t="array" ref="EE8">_xll.EQNXTDZ($A$1,$B8,EE$1)</f>
        <v>3936.8</v>
      </c>
      <c r="EF8" s="116" cm="1">
        <f t="array" ref="EF8">_xll.EQNXTDZ($A$1,$B8,EF$1)</f>
        <v>4141.1000000000004</v>
      </c>
      <c r="EG8" s="116" cm="1">
        <f t="array" ref="EG8">_xll.EQNXTDZ($A$1,$B8,EG$1)</f>
        <v>4220.2</v>
      </c>
      <c r="EH8" s="116" cm="1">
        <f t="array" ref="EH8">_xll.EQNXTDZ($A$1,$B8,EH$1)</f>
        <v>4087.7</v>
      </c>
      <c r="EI8" s="116" cm="1">
        <f t="array" ref="EI8">_xll.EQNXTDZ($A$1,$B8,EI$1)</f>
        <v>3850</v>
      </c>
      <c r="EJ8" s="116" cm="1">
        <f t="array" ref="EJ8">_xll.EQNXTDZ($A$1,$B8,EJ$1)</f>
        <v>4044.9</v>
      </c>
      <c r="EK8" s="116" cm="1">
        <f t="array" ref="EK8">_xll.EQNXTDZ($A$1,$B8,EK$1)</f>
        <v>4375.8</v>
      </c>
      <c r="EL8" s="116" cm="1">
        <f t="array" ref="EL8">_xll.EQNXTDZ($A$1,$B8,EL$1)</f>
        <v>4600</v>
      </c>
      <c r="EM8" s="116" cm="1">
        <f t="array" ref="EM8">_xll.EQNXTDZ($A$1,$B8,EM$1)</f>
        <v>4340.3</v>
      </c>
      <c r="EN8" s="116" cm="1">
        <f t="array" ref="EN8">_xll.EQNXTDZ($A$1,$B8,EN$1)</f>
        <v>5455</v>
      </c>
      <c r="EO8" s="116" cm="1">
        <f t="array" ref="EO8">_xll.EQNXTDZ($A$1,$B8,EO$1)</f>
        <v>6245</v>
      </c>
      <c r="EP8" s="116" cm="1">
        <f t="array" ref="EP8">_xll.EQNXTDZ($A$1,$B8,EP$1)</f>
        <v>6545</v>
      </c>
      <c r="EQ8" s="116" cm="1">
        <f t="array" ref="EQ8">_xll.EQNXTDZ($A$1,$B8,EQ$1)</f>
        <v>6982.4</v>
      </c>
      <c r="ER8" s="116" cm="1">
        <f t="array" ref="ER8">_xll.EQNXTDZ($A$1,$B8,ER$1)</f>
        <v>7053.2</v>
      </c>
      <c r="ES8" s="116" cm="1">
        <f t="array" ref="ES8">_xll.EQNXTDZ($A$1,$B8,ES$1)</f>
        <v>7236.8</v>
      </c>
      <c r="ET8" s="116" cm="1">
        <f t="array" ref="ET8">_xll.EQNXTDZ($A$1,$B8,ET$1)</f>
        <v>7350.05</v>
      </c>
      <c r="EU8" s="116" cm="1">
        <f t="array" ref="EU8">_xll.EQNXTDZ($A$1,$B8,EU$1)</f>
        <v>7200.05</v>
      </c>
      <c r="EV8" s="116" cm="1">
        <f t="array" ref="EV8">_xll.EQNXTDZ($A$1,$B8,EV$1)</f>
        <v>6605</v>
      </c>
      <c r="EW8" s="116" cm="1">
        <f t="array" ref="EW8">_xll.EQNXTDZ($A$1,$B8,EW$1)</f>
        <v>6668.1</v>
      </c>
      <c r="EX8" s="116" cm="1">
        <f t="array" ref="EX8">_xll.EQNXTDZ($A$1,$B8,EX$1)</f>
        <v>5678</v>
      </c>
      <c r="EY8" s="116" cm="1">
        <f t="array" ref="EY8">_xll.EQNXTDZ($A$1,$B8,EY$1)</f>
        <v>4918</v>
      </c>
      <c r="EZ8" s="116" cm="1">
        <f t="array" ref="EZ8">_xll.EQNXTDZ($A$1,$B8,EZ$1)</f>
        <v>4890</v>
      </c>
      <c r="FA8" s="116" cm="1">
        <f t="array" ref="FA8">_xll.EQNXTDZ($A$1,$B8,FA$1)</f>
        <v>4684.45</v>
      </c>
      <c r="FB8" s="116" cm="1">
        <f t="array" ref="FB8">_xll.EQNXTDZ($A$1,$B8,FB$1)</f>
        <v>5190</v>
      </c>
      <c r="FC8" s="116" cm="1">
        <f t="array" ref="FC8">_xll.EQNXTDZ($A$1,$B8,FC$1)</f>
        <v>5850</v>
      </c>
      <c r="FD8" s="116" cm="1">
        <f t="array" ref="FD8">_xll.EQNXTDZ($A$1,$B8,FD$1)</f>
        <v>5468</v>
      </c>
      <c r="FE8" s="116" cm="1">
        <f t="array" ref="FE8">_xll.EQNXTDZ($A$1,$B8,FE$1)</f>
        <v>4939.5</v>
      </c>
      <c r="FF8" s="116" cm="1">
        <f t="array" ref="FF8">_xll.EQNXTDZ($A$1,$B8,FF$1)</f>
        <v>5017.6000000000004</v>
      </c>
      <c r="FG8" s="116" cm="1">
        <f t="array" ref="FG8">_xll.EQNXTDZ($A$1,$B8,FG$1)</f>
        <v>5075</v>
      </c>
      <c r="FH8" s="116" cm="1">
        <f t="array" ref="FH8">_xll.EQNXTDZ($A$1,$B8,FH$1)</f>
        <v>4896</v>
      </c>
      <c r="FI8" s="116" cm="1">
        <f t="array" ref="FI8">_xll.EQNXTDZ($A$1,$B8,FI$1)</f>
        <v>4981</v>
      </c>
      <c r="FJ8" s="116" cm="1">
        <f t="array" ref="FJ8">_xll.EQNXTDZ($A$1,$B8,FJ$1)</f>
        <v>4637.5</v>
      </c>
      <c r="FK8" s="116" cm="1">
        <f t="array" ref="FK8">_xll.EQNXTDZ($A$1,$B8,FK$1)</f>
        <v>5255.5</v>
      </c>
      <c r="FL8" s="116" cm="1">
        <f t="array" ref="FL8">_xll.EQNXTDZ($A$1,$B8,FL$1)</f>
        <v>5793.5</v>
      </c>
      <c r="FM8" s="116" cm="1">
        <f t="array" ref="FM8">_xll.EQNXTDZ($A$1,$B8,FM$1)</f>
        <v>5916.5</v>
      </c>
      <c r="FN8" s="116" cm="1">
        <f t="array" ref="FN8">_xll.EQNXTDZ($A$1,$B8,FN$1)</f>
        <v>6171.5</v>
      </c>
      <c r="FO8" s="116" cm="1">
        <f t="array" ref="FO8">_xll.EQNXTDZ($A$1,$B8,FO$1)</f>
        <v>6653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704.95</v>
      </c>
      <c r="HQ8" s="116">
        <f>+MIN(G8:I8)</f>
        <v>621.54999999999995</v>
      </c>
      <c r="HR8" s="116">
        <f>+MIN(J8:L8)</f>
        <v>482.6</v>
      </c>
      <c r="HS8" s="116">
        <f>+MIN(M8:O8)</f>
        <v>468</v>
      </c>
      <c r="HT8" s="116">
        <f>+MIN(P8:R8)</f>
        <v>430</v>
      </c>
      <c r="HU8" s="116">
        <f>+MIN(S8:U8)</f>
        <v>535</v>
      </c>
      <c r="HV8" s="116">
        <f>+MIN(V8:X8)</f>
        <v>566.95000000000005</v>
      </c>
      <c r="HW8" s="116">
        <f>+MIN(Y8:AA8)</f>
        <v>808.1</v>
      </c>
      <c r="HX8" s="116">
        <f>+MIN(AB8:AD8)</f>
        <v>970</v>
      </c>
      <c r="HY8" s="116">
        <f>+MIN(AE8:AG8)</f>
        <v>985</v>
      </c>
      <c r="HZ8" s="116">
        <f>+MIN(AH8:AJ8)</f>
        <v>1181.7</v>
      </c>
      <c r="IA8" s="116">
        <f>+MIN(AK8:AM8)</f>
        <v>1240.0999999999999</v>
      </c>
      <c r="IB8" s="116">
        <f>+MIN(AN8:AP8)</f>
        <v>1018.6</v>
      </c>
      <c r="IC8" s="116">
        <f>+MIN(AQ8:AS8)</f>
        <v>1046.05</v>
      </c>
      <c r="ID8" s="116">
        <f>+MIN(AT8:AV8)</f>
        <v>955.2</v>
      </c>
      <c r="IE8" s="116">
        <f>+MIN(AW8:AY8)</f>
        <v>1178.9000000000001</v>
      </c>
      <c r="IF8" s="116">
        <f>+MIN(AZ8:BB8)</f>
        <v>1107</v>
      </c>
      <c r="IG8" s="116">
        <f>+MIN(BC8:BE8)</f>
        <v>931.35</v>
      </c>
      <c r="IH8" s="116">
        <f>+MIN(BF8:BH8)</f>
        <v>1029.1500000000001</v>
      </c>
      <c r="II8" s="116">
        <f>+MIN(BI8:BK8)</f>
        <v>1282.5</v>
      </c>
      <c r="IJ8" s="116">
        <f>+MIN(BL8:BN8)</f>
        <v>1298.8</v>
      </c>
      <c r="IK8" s="116">
        <f>+MIN(BO8:BQ8)</f>
        <v>1305.0999999999999</v>
      </c>
      <c r="IL8" s="116">
        <f>+MIN(BR8:BT8)</f>
        <v>1267.25</v>
      </c>
      <c r="IM8" s="116">
        <f>+MIN(BU8:BW8)</f>
        <v>1149</v>
      </c>
      <c r="IN8" s="116">
        <f>+MIN(BX8:BZ8)</f>
        <v>1129</v>
      </c>
      <c r="IO8" s="116">
        <f>+MIN(CA8:CC8)</f>
        <v>1190</v>
      </c>
      <c r="IP8" s="116">
        <f>+MIN(CD8:CF8)</f>
        <v>1212</v>
      </c>
      <c r="IQ8" s="116">
        <f>+MIN(CG8:CI8)</f>
        <v>1308</v>
      </c>
      <c r="IR8" s="116">
        <f>+MIN(CJ8:CL8)</f>
        <v>1310</v>
      </c>
      <c r="IS8" s="116">
        <f>+MIN(CM8:CO8)</f>
        <v>1200</v>
      </c>
      <c r="IT8" s="116">
        <f>+MIN(CP8:CR8)</f>
        <v>801</v>
      </c>
      <c r="IU8" s="116">
        <f>+MIN(CS8:CU8)</f>
        <v>722</v>
      </c>
      <c r="IV8" s="116">
        <f>+MIN(CV8:CX8)</f>
        <v>846.6</v>
      </c>
      <c r="IW8" s="116">
        <f>+MIN(CY8:DA8)</f>
        <v>848</v>
      </c>
      <c r="IX8" s="116">
        <f>+MIN(DB8:DD8)</f>
        <v>1212</v>
      </c>
      <c r="IY8" s="116">
        <f>+MIN(DE8:DG8)</f>
        <v>1298.55</v>
      </c>
      <c r="IZ8" s="116">
        <f>+MIN(DH8:DJ8)</f>
        <v>1618.05</v>
      </c>
      <c r="JA8" s="116">
        <f>+MIN(DK8:DM8)</f>
        <v>1800</v>
      </c>
      <c r="JB8" s="116">
        <f>+MIN(DN8:DP8)</f>
        <v>1944.6</v>
      </c>
      <c r="JC8" s="116">
        <f>+MIN(DQ8:DS8)</f>
        <v>2000</v>
      </c>
      <c r="JD8" s="116">
        <f>+MIN(DT8:DV8)</f>
        <v>2260.35</v>
      </c>
      <c r="JE8" s="116">
        <f>+MIN(DW8:DY8)</f>
        <v>2640</v>
      </c>
      <c r="JF8" s="116">
        <f>+MIN(DZ8:EB8)</f>
        <v>2662.5</v>
      </c>
      <c r="JG8" s="116">
        <f>+MIN(EC8:EE8)</f>
        <v>3141.15</v>
      </c>
      <c r="JH8" s="116">
        <f>+MIN(EF8:EH8)</f>
        <v>4087.7</v>
      </c>
      <c r="JI8" s="116">
        <f>+MIN(EI8:EK8)</f>
        <v>3850</v>
      </c>
      <c r="JJ8" s="116">
        <f>+MIN(EL8:EN8)</f>
        <v>4340.3</v>
      </c>
      <c r="JK8" s="116">
        <f>MIN(EO8:EQ8)</f>
        <v>6245</v>
      </c>
      <c r="JL8" s="116">
        <f>MIN(ER8:ET8)</f>
        <v>7053.2</v>
      </c>
      <c r="JM8" s="116">
        <f>MIN(EU8:EW8)</f>
        <v>6605</v>
      </c>
      <c r="JN8" s="116">
        <f>MIN(EX8:EZ8)</f>
        <v>4890</v>
      </c>
      <c r="JO8" s="116">
        <f>MIN(FA8:FC8)</f>
        <v>4684.45</v>
      </c>
      <c r="JP8" s="116">
        <f>MIN(FD8:FF8)</f>
        <v>4939.5</v>
      </c>
      <c r="JQ8" s="116">
        <f>MIN(FG8:FI8)</f>
        <v>4896</v>
      </c>
      <c r="JR8" s="116">
        <f>MIN(FJ8:FL8)</f>
        <v>4637.5</v>
      </c>
      <c r="JS8" s="116">
        <f>MIN(FM8:FO8)</f>
        <v>5916.5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802.15</v>
      </c>
      <c r="D9" s="116" cm="1">
        <f t="array" ref="D9">_xll.EQNXTDZ($A$1,$B9,D$1)</f>
        <v>795.95</v>
      </c>
      <c r="E9" s="116" cm="1">
        <f t="array" ref="E9">_xll.EQNXTDZ($A$1,$B9,E$1)</f>
        <v>713.95</v>
      </c>
      <c r="F9" s="116" cm="1">
        <f t="array" ref="F9">_xll.EQNXTDZ($A$1,$B9,F$1)</f>
        <v>800.65</v>
      </c>
      <c r="G9" s="116" cm="1">
        <f t="array" ref="G9">_xll.EQNXTDZ($A$1,$B9,G$1)</f>
        <v>737.85</v>
      </c>
      <c r="H9" s="116" cm="1">
        <f t="array" ref="H9">_xll.EQNXTDZ($A$1,$B9,H$1)</f>
        <v>713.4</v>
      </c>
      <c r="I9" s="116" cm="1">
        <f t="array" ref="I9">_xll.EQNXTDZ($A$1,$B9,I$1)</f>
        <v>700.75</v>
      </c>
      <c r="J9" s="116" cm="1">
        <f t="array" ref="J9">_xll.EQNXTDZ($A$1,$B9,J$1)</f>
        <v>649.1</v>
      </c>
      <c r="K9" s="116" cm="1">
        <f t="array" ref="K9">_xll.EQNXTDZ($A$1,$B9,K$1)</f>
        <v>574.15</v>
      </c>
      <c r="L9" s="116" cm="1">
        <f t="array" ref="L9">_xll.EQNXTDZ($A$1,$B9,L$1)</f>
        <v>488.75</v>
      </c>
      <c r="M9" s="116" cm="1">
        <f t="array" ref="M9">_xll.EQNXTDZ($A$1,$B9,M$1)</f>
        <v>521.20000000000005</v>
      </c>
      <c r="N9" s="116" cm="1">
        <f t="array" ref="N9">_xll.EQNXTDZ($A$1,$B9,N$1)</f>
        <v>641.1</v>
      </c>
      <c r="O9" s="116" cm="1">
        <f t="array" ref="O9">_xll.EQNXTDZ($A$1,$B9,O$1)</f>
        <v>612.35</v>
      </c>
      <c r="P9" s="116" cm="1">
        <f t="array" ref="P9">_xll.EQNXTDZ($A$1,$B9,P$1)</f>
        <v>499.85</v>
      </c>
      <c r="Q9" s="116" cm="1">
        <f t="array" ref="Q9">_xll.EQNXTDZ($A$1,$B9,Q$1)</f>
        <v>448.45</v>
      </c>
      <c r="R9" s="116" cm="1">
        <f t="array" ref="R9">_xll.EQNXTDZ($A$1,$B9,R$1)</f>
        <v>542.45000000000005</v>
      </c>
      <c r="S9" s="116" cm="1">
        <f t="array" ref="S9">_xll.EQNXTDZ($A$1,$B9,S$1)</f>
        <v>629.29999999999995</v>
      </c>
      <c r="T9" s="116" cm="1">
        <f t="array" ref="T9">_xll.EQNXTDZ($A$1,$B9,T$1)</f>
        <v>672.85</v>
      </c>
      <c r="U9" s="116" cm="1">
        <f t="array" ref="U9">_xll.EQNXTDZ($A$1,$B9,U$1)</f>
        <v>693.3</v>
      </c>
      <c r="V9" s="116" cm="1">
        <f t="array" ref="V9">_xll.EQNXTDZ($A$1,$B9,V$1)</f>
        <v>579.9</v>
      </c>
      <c r="W9" s="116" cm="1">
        <f t="array" ref="W9">_xll.EQNXTDZ($A$1,$B9,W$1)</f>
        <v>716.9</v>
      </c>
      <c r="X9" s="116" cm="1">
        <f t="array" ref="X9">_xll.EQNXTDZ($A$1,$B9,X$1)</f>
        <v>853.9</v>
      </c>
      <c r="Y9" s="116" cm="1">
        <f t="array" ref="Y9">_xll.EQNXTDZ($A$1,$B9,Y$1)</f>
        <v>844.5</v>
      </c>
      <c r="Z9" s="116" cm="1">
        <f t="array" ref="Z9">_xll.EQNXTDZ($A$1,$B9,Z$1)</f>
        <v>905.55</v>
      </c>
      <c r="AA9" s="116" cm="1">
        <f t="array" ref="AA9">_xll.EQNXTDZ($A$1,$B9,AA$1)</f>
        <v>1121.0999999999999</v>
      </c>
      <c r="AB9" s="116" cm="1">
        <f t="array" ref="AB9">_xll.EQNXTDZ($A$1,$B9,AB$1)</f>
        <v>1040.1500000000001</v>
      </c>
      <c r="AC9" s="116" cm="1">
        <f t="array" ref="AC9">_xll.EQNXTDZ($A$1,$B9,AC$1)</f>
        <v>985.65</v>
      </c>
      <c r="AD9" s="116" cm="1">
        <f t="array" ref="AD9">_xll.EQNXTDZ($A$1,$B9,AD$1)</f>
        <v>1150.3499999999999</v>
      </c>
      <c r="AE9" s="116" cm="1">
        <f t="array" ref="AE9">_xll.EQNXTDZ($A$1,$B9,AE$1)</f>
        <v>1168.75</v>
      </c>
      <c r="AF9" s="116" cm="1">
        <f t="array" ref="AF9">_xll.EQNXTDZ($A$1,$B9,AF$1)</f>
        <v>1113.3</v>
      </c>
      <c r="AG9" s="116" cm="1">
        <f t="array" ref="AG9">_xll.EQNXTDZ($A$1,$B9,AG$1)</f>
        <v>1288.3</v>
      </c>
      <c r="AH9" s="116" cm="1">
        <f t="array" ref="AH9">_xll.EQNXTDZ($A$1,$B9,AH$1)</f>
        <v>1283.9000000000001</v>
      </c>
      <c r="AI9" s="116" cm="1">
        <f t="array" ref="AI9">_xll.EQNXTDZ($A$1,$B9,AI$1)</f>
        <v>1399.55</v>
      </c>
      <c r="AJ9" s="116" cm="1">
        <f t="array" ref="AJ9">_xll.EQNXTDZ($A$1,$B9,AJ$1)</f>
        <v>1260.0999999999999</v>
      </c>
      <c r="AK9" s="116" cm="1">
        <f t="array" ref="AK9">_xll.EQNXTDZ($A$1,$B9,AK$1)</f>
        <v>1335.85</v>
      </c>
      <c r="AL9" s="116" cm="1">
        <f t="array" ref="AL9">_xll.EQNXTDZ($A$1,$B9,AL$1)</f>
        <v>1336.1</v>
      </c>
      <c r="AM9" s="116" cm="1">
        <f t="array" ref="AM9">_xll.EQNXTDZ($A$1,$B9,AM$1)</f>
        <v>1324.3</v>
      </c>
      <c r="AN9" s="116" cm="1">
        <f t="array" ref="AN9">_xll.EQNXTDZ($A$1,$B9,AN$1)</f>
        <v>1386.6</v>
      </c>
      <c r="AO9" s="116" cm="1">
        <f t="array" ref="AO9">_xll.EQNXTDZ($A$1,$B9,AO$1)</f>
        <v>1227.55</v>
      </c>
      <c r="AP9" s="116" cm="1">
        <f t="array" ref="AP9">_xll.EQNXTDZ($A$1,$B9,AP$1)</f>
        <v>1059.75</v>
      </c>
      <c r="AQ9" s="116" cm="1">
        <f t="array" ref="AQ9">_xll.EQNXTDZ($A$1,$B9,AQ$1)</f>
        <v>1238.05</v>
      </c>
      <c r="AR9" s="116" cm="1">
        <f t="array" ref="AR9">_xll.EQNXTDZ($A$1,$B9,AR$1)</f>
        <v>1170</v>
      </c>
      <c r="AS9" s="116" cm="1">
        <f t="array" ref="AS9">_xll.EQNXTDZ($A$1,$B9,AS$1)</f>
        <v>1114.5</v>
      </c>
      <c r="AT9" s="116" cm="1">
        <f t="array" ref="AT9">_xll.EQNXTDZ($A$1,$B9,AT$1)</f>
        <v>971.1</v>
      </c>
      <c r="AU9" s="116" cm="1">
        <f t="array" ref="AU9">_xll.EQNXTDZ($A$1,$B9,AU$1)</f>
        <v>1013.3</v>
      </c>
      <c r="AV9" s="116" cm="1">
        <f t="array" ref="AV9">_xll.EQNXTDZ($A$1,$B9,AV$1)</f>
        <v>1282.1500000000001</v>
      </c>
      <c r="AW9" s="116" cm="1">
        <f t="array" ref="AW9">_xll.EQNXTDZ($A$1,$B9,AW$1)</f>
        <v>1297.3</v>
      </c>
      <c r="AX9" s="116" cm="1">
        <f t="array" ref="AX9">_xll.EQNXTDZ($A$1,$B9,AX$1)</f>
        <v>1237</v>
      </c>
      <c r="AY9" s="116" cm="1">
        <f t="array" ref="AY9">_xll.EQNXTDZ($A$1,$B9,AY$1)</f>
        <v>1223.95</v>
      </c>
      <c r="AZ9" s="116" cm="1">
        <f t="array" ref="AZ9">_xll.EQNXTDZ($A$1,$B9,AZ$1)</f>
        <v>1264.7</v>
      </c>
      <c r="BA9" s="116" cm="1">
        <f t="array" ref="BA9">_xll.EQNXTDZ($A$1,$B9,BA$1)</f>
        <v>1158.45</v>
      </c>
      <c r="BB9" s="116" cm="1">
        <f t="array" ref="BB9">_xll.EQNXTDZ($A$1,$B9,BB$1)</f>
        <v>1141.9000000000001</v>
      </c>
      <c r="BC9" s="116" cm="1">
        <f t="array" ref="BC9">_xll.EQNXTDZ($A$1,$B9,BC$1)</f>
        <v>1099.0999999999999</v>
      </c>
      <c r="BD9" s="116" cm="1">
        <f t="array" ref="BD9">_xll.EQNXTDZ($A$1,$B9,BD$1)</f>
        <v>1061.0999999999999</v>
      </c>
      <c r="BE9" s="116" cm="1">
        <f t="array" ref="BE9">_xll.EQNXTDZ($A$1,$B9,BE$1)</f>
        <v>1043.75</v>
      </c>
      <c r="BF9" s="116" cm="1">
        <f t="array" ref="BF9">_xll.EQNXTDZ($A$1,$B9,BF$1)</f>
        <v>1095.8</v>
      </c>
      <c r="BG9" s="116" cm="1">
        <f t="array" ref="BG9">_xll.EQNXTDZ($A$1,$B9,BG$1)</f>
        <v>1198.2</v>
      </c>
      <c r="BH9" s="116" cm="1">
        <f t="array" ref="BH9">_xll.EQNXTDZ($A$1,$B9,BH$1)</f>
        <v>1279.9000000000001</v>
      </c>
      <c r="BI9" s="116" cm="1">
        <f t="array" ref="BI9">_xll.EQNXTDZ($A$1,$B9,BI$1)</f>
        <v>1409.6</v>
      </c>
      <c r="BJ9" s="116" cm="1">
        <f t="array" ref="BJ9">_xll.EQNXTDZ($A$1,$B9,BJ$1)</f>
        <v>1459.6</v>
      </c>
      <c r="BK9" s="116" cm="1">
        <f t="array" ref="BK9">_xll.EQNXTDZ($A$1,$B9,BK$1)</f>
        <v>1450.65</v>
      </c>
      <c r="BL9" s="116" cm="1">
        <f t="array" ref="BL9">_xll.EQNXTDZ($A$1,$B9,BL$1)</f>
        <v>1421</v>
      </c>
      <c r="BM9" s="116" cm="1">
        <f t="array" ref="BM9">_xll.EQNXTDZ($A$1,$B9,BM$1)</f>
        <v>1340.3</v>
      </c>
      <c r="BN9" s="116" cm="1">
        <f t="array" ref="BN9">_xll.EQNXTDZ($A$1,$B9,BN$1)</f>
        <v>1398.9</v>
      </c>
      <c r="BO9" s="116" cm="1">
        <f t="array" ref="BO9">_xll.EQNXTDZ($A$1,$B9,BO$1)</f>
        <v>1385.85</v>
      </c>
      <c r="BP9" s="116" cm="1">
        <f t="array" ref="BP9">_xll.EQNXTDZ($A$1,$B9,BP$1)</f>
        <v>1398.8</v>
      </c>
      <c r="BQ9" s="116" cm="1">
        <f t="array" ref="BQ9">_xll.EQNXTDZ($A$1,$B9,BQ$1)</f>
        <v>1402.9</v>
      </c>
      <c r="BR9" s="116" cm="1">
        <f t="array" ref="BR9">_xll.EQNXTDZ($A$1,$B9,BR$1)</f>
        <v>1653.2</v>
      </c>
      <c r="BS9" s="116" cm="1">
        <f t="array" ref="BS9">_xll.EQNXTDZ($A$1,$B9,BS$1)</f>
        <v>1531.75</v>
      </c>
      <c r="BT9" s="116" cm="1">
        <f t="array" ref="BT9">_xll.EQNXTDZ($A$1,$B9,BT$1)</f>
        <v>1294.6500000000001</v>
      </c>
      <c r="BU9" s="116" cm="1">
        <f t="array" ref="BU9">_xll.EQNXTDZ($A$1,$B9,BU$1)</f>
        <v>1358.5</v>
      </c>
      <c r="BV9" s="116" cm="1">
        <f t="array" ref="BV9">_xll.EQNXTDZ($A$1,$B9,BV$1)</f>
        <v>1231.8499999999999</v>
      </c>
      <c r="BW9" s="116" cm="1">
        <f t="array" ref="BW9">_xll.EQNXTDZ($A$1,$B9,BW$1)</f>
        <v>1178.5</v>
      </c>
      <c r="BX9" s="116" cm="1">
        <f t="array" ref="BX9">_xll.EQNXTDZ($A$1,$B9,BX$1)</f>
        <v>1218.3499999999999</v>
      </c>
      <c r="BY9" s="116" cm="1">
        <f t="array" ref="BY9">_xll.EQNXTDZ($A$1,$B9,BY$1)</f>
        <v>1308.4000000000001</v>
      </c>
      <c r="BZ9" s="116" cm="1">
        <f t="array" ref="BZ9">_xll.EQNXTDZ($A$1,$B9,BZ$1)</f>
        <v>1409.8</v>
      </c>
      <c r="CA9" s="116" cm="1">
        <f t="array" ref="CA9">_xll.EQNXTDZ($A$1,$B9,CA$1)</f>
        <v>1279.1500000000001</v>
      </c>
      <c r="CB9" s="116" cm="1">
        <f t="array" ref="CB9">_xll.EQNXTDZ($A$1,$B9,CB$1)</f>
        <v>1408.7</v>
      </c>
      <c r="CC9" s="116" cm="1">
        <f t="array" ref="CC9">_xll.EQNXTDZ($A$1,$B9,CC$1)</f>
        <v>1336.75</v>
      </c>
      <c r="CD9" s="116" cm="1">
        <f t="array" ref="CD9">_xll.EQNXTDZ($A$1,$B9,CD$1)</f>
        <v>1272.3</v>
      </c>
      <c r="CE9" s="116" cm="1">
        <f t="array" ref="CE9">_xll.EQNXTDZ($A$1,$B9,CE$1)</f>
        <v>1227.05</v>
      </c>
      <c r="CF9" s="116" cm="1">
        <f t="array" ref="CF9">_xll.EQNXTDZ($A$1,$B9,CF$1)</f>
        <v>1316</v>
      </c>
      <c r="CG9" s="116" cm="1">
        <f t="array" ref="CG9">_xll.EQNXTDZ($A$1,$B9,CG$1)</f>
        <v>1479.3</v>
      </c>
      <c r="CH9" s="116" cm="1">
        <f t="array" ref="CH9">_xll.EQNXTDZ($A$1,$B9,CH$1)</f>
        <v>1569.3</v>
      </c>
      <c r="CI9" s="116" cm="1">
        <f t="array" ref="CI9">_xll.EQNXTDZ($A$1,$B9,CI$1)</f>
        <v>1602.45</v>
      </c>
      <c r="CJ9" s="116" cm="1">
        <f t="array" ref="CJ9">_xll.EQNXTDZ($A$1,$B9,CJ$1)</f>
        <v>1363.1</v>
      </c>
      <c r="CK9" s="116" cm="1">
        <f t="array" ref="CK9">_xll.EQNXTDZ($A$1,$B9,CK$1)</f>
        <v>1338.45</v>
      </c>
      <c r="CL9" s="116" cm="1">
        <f t="array" ref="CL9">_xll.EQNXTDZ($A$1,$B9,CL$1)</f>
        <v>1515.35</v>
      </c>
      <c r="CM9" s="116" cm="1">
        <f t="array" ref="CM9">_xll.EQNXTDZ($A$1,$B9,CM$1)</f>
        <v>1458.6</v>
      </c>
      <c r="CN9" s="116" cm="1">
        <f t="array" ref="CN9">_xll.EQNXTDZ($A$1,$B9,CN$1)</f>
        <v>1447.8</v>
      </c>
      <c r="CO9" s="116" cm="1">
        <f t="array" ref="CO9">_xll.EQNXTDZ($A$1,$B9,CO$1)</f>
        <v>1285.25</v>
      </c>
      <c r="CP9" s="116" cm="1">
        <f t="array" ref="CP9">_xll.EQNXTDZ($A$1,$B9,CP$1)</f>
        <v>1310.7</v>
      </c>
      <c r="CQ9" s="116" cm="1">
        <f t="array" ref="CQ9">_xll.EQNXTDZ($A$1,$B9,CQ$1)</f>
        <v>1185</v>
      </c>
      <c r="CR9" s="116" cm="1">
        <f t="array" ref="CR9">_xll.EQNXTDZ($A$1,$B9,CR$1)</f>
        <v>935.4</v>
      </c>
      <c r="CS9" s="116" cm="1">
        <f t="array" ref="CS9">_xll.EQNXTDZ($A$1,$B9,CS$1)</f>
        <v>900.55</v>
      </c>
      <c r="CT9" s="116" cm="1">
        <f t="array" ref="CT9">_xll.EQNXTDZ($A$1,$B9,CT$1)</f>
        <v>744.25</v>
      </c>
      <c r="CU9" s="116" cm="1">
        <f t="array" ref="CU9">_xll.EQNXTDZ($A$1,$B9,CU$1)</f>
        <v>941.15</v>
      </c>
      <c r="CV9" s="116" cm="1">
        <f t="array" ref="CV9">_xll.EQNXTDZ($A$1,$B9,CV$1)</f>
        <v>894.95</v>
      </c>
      <c r="CW9" s="116" cm="1">
        <f t="array" ref="CW9">_xll.EQNXTDZ($A$1,$B9,CW$1)</f>
        <v>950.75</v>
      </c>
      <c r="CX9" s="116" cm="1">
        <f t="array" ref="CX9">_xll.EQNXTDZ($A$1,$B9,CX$1)</f>
        <v>859.5</v>
      </c>
      <c r="CY9" s="116" cm="1">
        <f t="array" ref="CY9">_xll.EQNXTDZ($A$1,$B9,CY$1)</f>
        <v>893.7</v>
      </c>
      <c r="CZ9" s="116" cm="1">
        <f t="array" ref="CZ9">_xll.EQNXTDZ($A$1,$B9,CZ$1)</f>
        <v>1073.75</v>
      </c>
      <c r="DA9" s="116" cm="1">
        <f t="array" ref="DA9">_xll.EQNXTDZ($A$1,$B9,DA$1)</f>
        <v>1212.05</v>
      </c>
      <c r="DB9" s="116" cm="1">
        <f t="array" ref="DB9">_xll.EQNXTDZ($A$1,$B9,DB$1)</f>
        <v>1388.3</v>
      </c>
      <c r="DC9" s="116" cm="1">
        <f t="array" ref="DC9">_xll.EQNXTDZ($A$1,$B9,DC$1)</f>
        <v>1528.15</v>
      </c>
      <c r="DD9" s="116" cm="1">
        <f t="array" ref="DD9">_xll.EQNXTDZ($A$1,$B9,DD$1)</f>
        <v>1410.05</v>
      </c>
      <c r="DE9" s="116" cm="1">
        <f t="array" ref="DE9">_xll.EQNXTDZ($A$1,$B9,DE$1)</f>
        <v>1381.25</v>
      </c>
      <c r="DF9" s="116" cm="1">
        <f t="array" ref="DF9">_xll.EQNXTDZ($A$1,$B9,DF$1)</f>
        <v>1668.85</v>
      </c>
      <c r="DG9" s="116" cm="1">
        <f t="array" ref="DG9">_xll.EQNXTDZ($A$1,$B9,DG$1)</f>
        <v>1808.2</v>
      </c>
      <c r="DH9" s="116" cm="1">
        <f t="array" ref="DH9">_xll.EQNXTDZ($A$1,$B9,DH$1)</f>
        <v>1699.15</v>
      </c>
      <c r="DI9" s="116" cm="1">
        <f t="array" ref="DI9">_xll.EQNXTDZ($A$1,$B9,DI$1)</f>
        <v>1895.75</v>
      </c>
      <c r="DJ9" s="116" cm="1">
        <f t="array" ref="DJ9">_xll.EQNXTDZ($A$1,$B9,DJ$1)</f>
        <v>1870.6</v>
      </c>
      <c r="DK9" s="116" cm="1">
        <f t="array" ref="DK9">_xll.EQNXTDZ($A$1,$B9,DK$1)</f>
        <v>2119.9</v>
      </c>
      <c r="DL9" s="116" cm="1">
        <f t="array" ref="DL9">_xll.EQNXTDZ($A$1,$B9,DL$1)</f>
        <v>2061.85</v>
      </c>
      <c r="DM9" s="116" cm="1">
        <f t="array" ref="DM9">_xll.EQNXTDZ($A$1,$B9,DM$1)</f>
        <v>2233.6</v>
      </c>
      <c r="DN9" s="116" cm="1">
        <f t="array" ref="DN9">_xll.EQNXTDZ($A$1,$B9,DN$1)</f>
        <v>2301.0500000000002</v>
      </c>
      <c r="DO9" s="116" cm="1">
        <f t="array" ref="DO9">_xll.EQNXTDZ($A$1,$B9,DO$1)</f>
        <v>2159.4499999999998</v>
      </c>
      <c r="DP9" s="116" cm="1">
        <f t="array" ref="DP9">_xll.EQNXTDZ($A$1,$B9,DP$1)</f>
        <v>2157.9499999999998</v>
      </c>
      <c r="DQ9" s="116" cm="1">
        <f t="array" ref="DQ9">_xll.EQNXTDZ($A$1,$B9,DQ$1)</f>
        <v>2096.5500000000002</v>
      </c>
      <c r="DR9" s="116" cm="1">
        <f t="array" ref="DR9">_xll.EQNXTDZ($A$1,$B9,DR$1)</f>
        <v>2427.25</v>
      </c>
      <c r="DS9" s="116" cm="1">
        <f t="array" ref="DS9">_xll.EQNXTDZ($A$1,$B9,DS$1)</f>
        <v>2300.9</v>
      </c>
      <c r="DT9" s="116" cm="1">
        <f t="array" ref="DT9">_xll.EQNXTDZ($A$1,$B9,DT$1)</f>
        <v>2736.15</v>
      </c>
      <c r="DU9" s="116" cm="1">
        <f t="array" ref="DU9">_xll.EQNXTDZ($A$1,$B9,DU$1)</f>
        <v>3262.75</v>
      </c>
      <c r="DV9" s="116" cm="1">
        <f t="array" ref="DV9">_xll.EQNXTDZ($A$1,$B9,DV$1)</f>
        <v>3088.4</v>
      </c>
      <c r="DW9" s="116" cm="1">
        <f t="array" ref="DW9">_xll.EQNXTDZ($A$1,$B9,DW$1)</f>
        <v>3049.75</v>
      </c>
      <c r="DX9" s="116" cm="1">
        <f t="array" ref="DX9">_xll.EQNXTDZ($A$1,$B9,DX$1)</f>
        <v>3000.7</v>
      </c>
      <c r="DY9" s="116" cm="1">
        <f t="array" ref="DY9">_xll.EQNXTDZ($A$1,$B9,DY$1)</f>
        <v>2683</v>
      </c>
      <c r="DZ9" s="116" cm="1">
        <f t="array" ref="DZ9">_xll.EQNXTDZ($A$1,$B9,DZ$1)</f>
        <v>2839.5</v>
      </c>
      <c r="EA9" s="116" cm="1">
        <f t="array" ref="EA9">_xll.EQNXTDZ($A$1,$B9,EA$1)</f>
        <v>3217.35</v>
      </c>
      <c r="EB9" s="116" cm="1">
        <f t="array" ref="EB9">_xll.EQNXTDZ($A$1,$B9,EB$1)</f>
        <v>3365.15</v>
      </c>
      <c r="EC9" s="116" cm="1">
        <f t="array" ref="EC9">_xll.EQNXTDZ($A$1,$B9,EC$1)</f>
        <v>3417.95</v>
      </c>
      <c r="ED9" s="116" cm="1">
        <f t="array" ref="ED9">_xll.EQNXTDZ($A$1,$B9,ED$1)</f>
        <v>4125.8999999999996</v>
      </c>
      <c r="EE9" s="116" cm="1">
        <f t="array" ref="EE9">_xll.EQNXTDZ($A$1,$B9,EE$1)</f>
        <v>4423</v>
      </c>
      <c r="EF9" s="116" cm="1">
        <f t="array" ref="EF9">_xll.EQNXTDZ($A$1,$B9,EF$1)</f>
        <v>4552.8</v>
      </c>
      <c r="EG9" s="116" cm="1">
        <f t="array" ref="EG9">_xll.EQNXTDZ($A$1,$B9,EG$1)</f>
        <v>4381.55</v>
      </c>
      <c r="EH9" s="116" cm="1">
        <f t="array" ref="EH9">_xll.EQNXTDZ($A$1,$B9,EH$1)</f>
        <v>4098.25</v>
      </c>
      <c r="EI9" s="116" cm="1">
        <f t="array" ref="EI9">_xll.EQNXTDZ($A$1,$B9,EI$1)</f>
        <v>4109.3</v>
      </c>
      <c r="EJ9" s="116" cm="1">
        <f t="array" ref="EJ9">_xll.EQNXTDZ($A$1,$B9,EJ$1)</f>
        <v>4419.75</v>
      </c>
      <c r="EK9" s="116" cm="1">
        <f t="array" ref="EK9">_xll.EQNXTDZ($A$1,$B9,EK$1)</f>
        <v>4674.8500000000004</v>
      </c>
      <c r="EL9" s="116" cm="1">
        <f t="array" ref="EL9">_xll.EQNXTDZ($A$1,$B9,EL$1)</f>
        <v>4671.6000000000004</v>
      </c>
      <c r="EM9" s="116" cm="1">
        <f t="array" ref="EM9">_xll.EQNXTDZ($A$1,$B9,EM$1)</f>
        <v>5444.95</v>
      </c>
      <c r="EN9" s="116" cm="1">
        <f t="array" ref="EN9">_xll.EQNXTDZ($A$1,$B9,EN$1)</f>
        <v>6360.85</v>
      </c>
      <c r="EO9" s="116" cm="1">
        <f t="array" ref="EO9">_xll.EQNXTDZ($A$1,$B9,EO$1)</f>
        <v>6540.75</v>
      </c>
      <c r="EP9" s="116" cm="1">
        <f t="array" ref="EP9">_xll.EQNXTDZ($A$1,$B9,EP$1)</f>
        <v>8317.9500000000007</v>
      </c>
      <c r="EQ9" s="116" cm="1">
        <f t="array" ref="EQ9">_xll.EQNXTDZ($A$1,$B9,EQ$1)</f>
        <v>8490.9</v>
      </c>
      <c r="ER9" s="116" cm="1">
        <f t="array" ref="ER9">_xll.EQNXTDZ($A$1,$B9,ER$1)</f>
        <v>7896.85</v>
      </c>
      <c r="ES9" s="116" cm="1">
        <f t="array" ref="ES9">_xll.EQNXTDZ($A$1,$B9,ES$1)</f>
        <v>7936.05</v>
      </c>
      <c r="ET9" s="116" cm="1">
        <f t="array" ref="ET9">_xll.EQNXTDZ($A$1,$B9,ET$1)</f>
        <v>8055</v>
      </c>
      <c r="EU9" s="116" cm="1">
        <f t="array" ref="EU9">_xll.EQNXTDZ($A$1,$B9,EU$1)</f>
        <v>7429.45</v>
      </c>
      <c r="EV9" s="116" cm="1">
        <f t="array" ref="EV9">_xll.EQNXTDZ($A$1,$B9,EV$1)</f>
        <v>7421.25</v>
      </c>
      <c r="EW9" s="116" cm="1">
        <f t="array" ref="EW9">_xll.EQNXTDZ($A$1,$B9,EW$1)</f>
        <v>6912.25</v>
      </c>
      <c r="EX9" s="116" cm="1">
        <f t="array" ref="EX9">_xll.EQNXTDZ($A$1,$B9,EX$1)</f>
        <v>5874.65</v>
      </c>
      <c r="EY9" s="116" cm="1">
        <f t="array" ref="EY9">_xll.EQNXTDZ($A$1,$B9,EY$1)</f>
        <v>4935.3999999999996</v>
      </c>
      <c r="EZ9" s="116" cm="1">
        <f t="array" ref="EZ9">_xll.EQNXTDZ($A$1,$B9,EZ$1)</f>
        <v>5546.25</v>
      </c>
      <c r="FA9" s="116" cm="1">
        <f t="array" ref="FA9">_xll.EQNXTDZ($A$1,$B9,FA$1)</f>
        <v>5522.5</v>
      </c>
      <c r="FB9" s="116" cm="1">
        <f t="array" ref="FB9">_xll.EQNXTDZ($A$1,$B9,FB$1)</f>
        <v>5971</v>
      </c>
      <c r="FC9" s="116" cm="1">
        <f t="array" ref="FC9">_xll.EQNXTDZ($A$1,$B9,FC$1)</f>
        <v>6080.5</v>
      </c>
      <c r="FD9" s="116" cm="1">
        <f t="array" ref="FD9">_xll.EQNXTDZ($A$1,$B9,FD$1)</f>
        <v>5510</v>
      </c>
      <c r="FE9" s="116" cm="1">
        <f t="array" ref="FE9">_xll.EQNXTDZ($A$1,$B9,FE$1)</f>
        <v>4999</v>
      </c>
      <c r="FF9" s="116" cm="1">
        <f t="array" ref="FF9">_xll.EQNXTDZ($A$1,$B9,FF$1)</f>
        <v>5183.3</v>
      </c>
      <c r="FG9" s="116" cm="1">
        <f t="array" ref="FG9">_xll.EQNXTDZ($A$1,$B9,FG$1)</f>
        <v>5220</v>
      </c>
      <c r="FH9" s="116" cm="1">
        <f t="array" ref="FH9">_xll.EQNXTDZ($A$1,$B9,FH$1)</f>
        <v>5175</v>
      </c>
      <c r="FI9" s="116" cm="1">
        <f t="array" ref="FI9">_xll.EQNXTDZ($A$1,$B9,FI$1)</f>
        <v>5170</v>
      </c>
      <c r="FJ9" s="116" cm="1">
        <f t="array" ref="FJ9">_xll.EQNXTDZ($A$1,$B9,FJ$1)</f>
        <v>5578.5</v>
      </c>
      <c r="FK9" s="116" cm="1">
        <f t="array" ref="FK9">_xll.EQNXTDZ($A$1,$B9,FK$1)</f>
        <v>6073</v>
      </c>
      <c r="FL9" s="116" cm="1">
        <f t="array" ref="FL9">_xll.EQNXTDZ($A$1,$B9,FL$1)</f>
        <v>5941.5</v>
      </c>
      <c r="FM9" s="116" cm="1">
        <f t="array" ref="FM9">_xll.EQNXTDZ($A$1,$B9,FM$1)</f>
        <v>7230</v>
      </c>
      <c r="FN9" s="116" cm="1">
        <f t="array" ref="FN9">_xll.EQNXTDZ($A$1,$B9,FN$1)</f>
        <v>7253</v>
      </c>
      <c r="FO9" s="116" cm="1">
        <f t="array" ref="FO9">_xll.EQNXTDZ($A$1,$B9,FO$1)</f>
        <v>7021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800.65</v>
      </c>
      <c r="HQ9" s="116">
        <f>+I9</f>
        <v>700.75</v>
      </c>
      <c r="HR9" s="116">
        <f>+L9</f>
        <v>488.75</v>
      </c>
      <c r="HS9" s="116">
        <f>+O9</f>
        <v>612.35</v>
      </c>
      <c r="HT9" s="116">
        <f>+R9</f>
        <v>542.45000000000005</v>
      </c>
      <c r="HU9" s="116">
        <f>+U9</f>
        <v>693.3</v>
      </c>
      <c r="HV9" s="116">
        <f>+X9</f>
        <v>853.9</v>
      </c>
      <c r="HW9" s="116">
        <f>+AA9</f>
        <v>1121.0999999999999</v>
      </c>
      <c r="HX9" s="116">
        <f>+AD9</f>
        <v>1150.3499999999999</v>
      </c>
      <c r="HY9" s="116">
        <f>+AG9</f>
        <v>1288.3</v>
      </c>
      <c r="HZ9" s="116">
        <f>+AJ9</f>
        <v>1260.0999999999999</v>
      </c>
      <c r="IA9" s="116">
        <f>+AM9</f>
        <v>1324.3</v>
      </c>
      <c r="IB9" s="116">
        <f>+AP9</f>
        <v>1059.75</v>
      </c>
      <c r="IC9" s="116">
        <f>+AS9</f>
        <v>1114.5</v>
      </c>
      <c r="ID9" s="116">
        <f>+AV9</f>
        <v>1282.1500000000001</v>
      </c>
      <c r="IE9" s="116">
        <f>+AY9</f>
        <v>1223.95</v>
      </c>
      <c r="IF9" s="116">
        <f>+BB9</f>
        <v>1141.9000000000001</v>
      </c>
      <c r="IG9" s="116">
        <f>+BE9</f>
        <v>1043.75</v>
      </c>
      <c r="IH9" s="116">
        <f>+BH9</f>
        <v>1279.9000000000001</v>
      </c>
      <c r="II9" s="116">
        <f>+BK9</f>
        <v>1450.65</v>
      </c>
      <c r="IJ9" s="116">
        <f>+BN9</f>
        <v>1398.9</v>
      </c>
      <c r="IK9" s="116">
        <f>+BQ9</f>
        <v>1402.9</v>
      </c>
      <c r="IL9" s="116">
        <f>+BT9</f>
        <v>1294.6500000000001</v>
      </c>
      <c r="IM9" s="116">
        <f>+BW9</f>
        <v>1178.5</v>
      </c>
      <c r="IN9" s="116">
        <f>+BZ9</f>
        <v>1409.8</v>
      </c>
      <c r="IO9" s="116">
        <f>+CC9</f>
        <v>1336.75</v>
      </c>
      <c r="IP9" s="116">
        <f>+CF9</f>
        <v>1316</v>
      </c>
      <c r="IQ9" s="116">
        <f>+CI9</f>
        <v>1602.45</v>
      </c>
      <c r="IR9" s="116">
        <f>+CL9</f>
        <v>1515.35</v>
      </c>
      <c r="IS9" s="116">
        <f>+CO9</f>
        <v>1285.25</v>
      </c>
      <c r="IT9" s="116">
        <f>+CR9</f>
        <v>935.4</v>
      </c>
      <c r="IU9" s="116">
        <f>+CU9</f>
        <v>941.15</v>
      </c>
      <c r="IV9" s="116">
        <f>+CX9</f>
        <v>859.5</v>
      </c>
      <c r="IW9" s="116">
        <f>+DA9</f>
        <v>1212.05</v>
      </c>
      <c r="IX9" s="116">
        <f>+DD9</f>
        <v>1410.05</v>
      </c>
      <c r="IY9" s="116">
        <f>+DG9</f>
        <v>1808.2</v>
      </c>
      <c r="IZ9" s="116">
        <f>+DJ9</f>
        <v>1870.6</v>
      </c>
      <c r="JA9" s="116">
        <f>+DM9</f>
        <v>2233.6</v>
      </c>
      <c r="JB9" s="116">
        <f>+DP9</f>
        <v>2157.9499999999998</v>
      </c>
      <c r="JC9" s="116">
        <f>+DS9</f>
        <v>2300.9</v>
      </c>
      <c r="JD9" s="116">
        <f>+DV9</f>
        <v>3088.4</v>
      </c>
      <c r="JE9" s="116">
        <f>+DY9</f>
        <v>2683</v>
      </c>
      <c r="JF9" s="116">
        <f>+EB9</f>
        <v>3365.15</v>
      </c>
      <c r="JG9" s="116">
        <f>+EE9</f>
        <v>4423</v>
      </c>
      <c r="JH9" s="116">
        <f>+EH9</f>
        <v>4098.25</v>
      </c>
      <c r="JI9" s="116">
        <f>+EK9</f>
        <v>4674.8500000000004</v>
      </c>
      <c r="JJ9" s="116">
        <f>+EN9</f>
        <v>6360.85</v>
      </c>
      <c r="JK9" s="116">
        <f>EQ9</f>
        <v>8490.9</v>
      </c>
      <c r="JL9" s="116">
        <f>ET9</f>
        <v>8055</v>
      </c>
      <c r="JM9" s="116">
        <f>EW9</f>
        <v>6912.25</v>
      </c>
      <c r="JN9" s="116">
        <f>EZ9</f>
        <v>5546.25</v>
      </c>
      <c r="JO9" s="116">
        <f>FC9</f>
        <v>6080.5</v>
      </c>
      <c r="JP9" s="116">
        <f>FF9</f>
        <v>5183.3</v>
      </c>
      <c r="JQ9" s="116">
        <f>FI9</f>
        <v>5170</v>
      </c>
      <c r="JR9" s="116">
        <f>FL9</f>
        <v>5941.5</v>
      </c>
      <c r="JS9" s="116">
        <f>FO9</f>
        <v>7021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736.6</v>
      </c>
      <c r="D13" cm="1">
        <f t="array" ref="D13">_xll.EQNXTDZ($A$1,$B13,D$1)</f>
        <v>802</v>
      </c>
      <c r="E13" cm="1">
        <f t="array" ref="E13">_xll.EQNXTDZ($A$1,$B13,E$1)</f>
        <v>797.9</v>
      </c>
      <c r="F13" cm="1">
        <f t="array" ref="F13">_xll.EQNXTDZ($A$1,$B13,F$1)</f>
        <v>724</v>
      </c>
      <c r="G13" cm="1">
        <f t="array" ref="G13">_xll.EQNXTDZ($A$1,$B13,G$1)</f>
        <v>797</v>
      </c>
      <c r="H13" cm="1">
        <f t="array" ref="H13">_xll.EQNXTDZ($A$1,$B13,H$1)</f>
        <v>735.5</v>
      </c>
      <c r="I13" cm="1">
        <f t="array" ref="I13">_xll.EQNXTDZ($A$1,$B13,I$1)</f>
        <v>718.95</v>
      </c>
      <c r="J13" cm="1">
        <f t="array" ref="J13">_xll.EQNXTDZ($A$1,$B13,J$1)</f>
        <v>707.4</v>
      </c>
      <c r="K13" cm="1">
        <f t="array" ref="K13">_xll.EQNXTDZ($A$1,$B13,K$1)</f>
        <v>653</v>
      </c>
      <c r="L13" cm="1">
        <f t="array" ref="L13">_xll.EQNXTDZ($A$1,$B13,L$1)</f>
        <v>573</v>
      </c>
      <c r="M13" cm="1">
        <f t="array" ref="M13">_xll.EQNXTDZ($A$1,$B13,M$1)</f>
        <v>494.2</v>
      </c>
      <c r="N13" cm="1">
        <f t="array" ref="N13">_xll.EQNXTDZ($A$1,$B13,N$1)</f>
        <v>517</v>
      </c>
      <c r="O13" cm="1">
        <f t="array" ref="O13">_xll.EQNXTDZ($A$1,$B13,O$1)</f>
        <v>635</v>
      </c>
      <c r="P13" cm="1">
        <f t="array" ref="P13">_xll.EQNXTDZ($A$1,$B13,P$1)</f>
        <v>611.5</v>
      </c>
      <c r="Q13" cm="1">
        <f t="array" ref="Q13">_xll.EQNXTDZ($A$1,$B13,Q$1)</f>
        <v>507</v>
      </c>
      <c r="R13" cm="1">
        <f t="array" ref="R13">_xll.EQNXTDZ($A$1,$B13,R$1)</f>
        <v>455</v>
      </c>
      <c r="S13" cm="1">
        <f t="array" ref="S13">_xll.EQNXTDZ($A$1,$B13,S$1)</f>
        <v>546.70000000000005</v>
      </c>
      <c r="T13" cm="1">
        <f t="array" ref="T13">_xll.EQNXTDZ($A$1,$B13,T$1)</f>
        <v>630</v>
      </c>
      <c r="U13" cm="1">
        <f t="array" ref="U13">_xll.EQNXTDZ($A$1,$B13,U$1)</f>
        <v>672</v>
      </c>
      <c r="V13" cm="1">
        <f t="array" ref="V13">_xll.EQNXTDZ($A$1,$B13,V$1)</f>
        <v>693</v>
      </c>
      <c r="W13" cm="1">
        <f t="array" ref="W13">_xll.EQNXTDZ($A$1,$B13,W$1)</f>
        <v>580.6</v>
      </c>
      <c r="X13" cm="1">
        <f t="array" ref="X13">_xll.EQNXTDZ($A$1,$B13,X$1)</f>
        <v>716.9</v>
      </c>
      <c r="Y13" cm="1">
        <f t="array" ref="Y13">_xll.EQNXTDZ($A$1,$B13,Y$1)</f>
        <v>857.1</v>
      </c>
      <c r="Z13" cm="1">
        <f t="array" ref="Z13">_xll.EQNXTDZ($A$1,$B13,Z$1)</f>
        <v>842.8</v>
      </c>
      <c r="AA13" cm="1">
        <f t="array" ref="AA13">_xll.EQNXTDZ($A$1,$B13,AA$1)</f>
        <v>920</v>
      </c>
      <c r="AB13" cm="1">
        <f t="array" ref="AB13">_xll.EQNXTDZ($A$1,$B13,AB$1)</f>
        <v>1120.05</v>
      </c>
      <c r="AC13" cm="1">
        <f t="array" ref="AC13">_xll.EQNXTDZ($A$1,$B13,AC$1)</f>
        <v>1035</v>
      </c>
      <c r="AD13" cm="1">
        <f t="array" ref="AD13">_xll.EQNXTDZ($A$1,$B13,AD$1)</f>
        <v>990</v>
      </c>
      <c r="AE13" cm="1">
        <f t="array" ref="AE13">_xll.EQNXTDZ($A$1,$B13,AE$1)</f>
        <v>1160</v>
      </c>
      <c r="AF13" cm="1">
        <f t="array" ref="AF13">_xll.EQNXTDZ($A$1,$B13,AF$1)</f>
        <v>1168.75</v>
      </c>
      <c r="AG13" cm="1">
        <f t="array" ref="AG13">_xll.EQNXTDZ($A$1,$B13,AG$1)</f>
        <v>1110.8</v>
      </c>
      <c r="AH13" cm="1">
        <f t="array" ref="AH13">_xll.EQNXTDZ($A$1,$B13,AH$1)</f>
        <v>1285</v>
      </c>
      <c r="AI13" cm="1">
        <f t="array" ref="AI13">_xll.EQNXTDZ($A$1,$B13,AI$1)</f>
        <v>1291</v>
      </c>
      <c r="AJ13" cm="1">
        <f t="array" ref="AJ13">_xll.EQNXTDZ($A$1,$B13,AJ$1)</f>
        <v>1414.6</v>
      </c>
      <c r="AK13" cm="1">
        <f t="array" ref="AK13">_xll.EQNXTDZ($A$1,$B13,AK$1)</f>
        <v>1264.5</v>
      </c>
      <c r="AL13" cm="1">
        <f t="array" ref="AL13">_xll.EQNXTDZ($A$1,$B13,AL$1)</f>
        <v>1340</v>
      </c>
      <c r="AM13" cm="1">
        <f t="array" ref="AM13">_xll.EQNXTDZ($A$1,$B13,AM$1)</f>
        <v>1330</v>
      </c>
      <c r="AN13" cm="1">
        <f t="array" ref="AN13">_xll.EQNXTDZ($A$1,$B13,AN$1)</f>
        <v>1325.2</v>
      </c>
      <c r="AO13" cm="1">
        <f t="array" ref="AO13">_xll.EQNXTDZ($A$1,$B13,AO$1)</f>
        <v>1386.7</v>
      </c>
      <c r="AP13" cm="1">
        <f t="array" ref="AP13">_xll.EQNXTDZ($A$1,$B13,AP$1)</f>
        <v>1224.6500000000001</v>
      </c>
      <c r="AQ13" cm="1">
        <f t="array" ref="AQ13">_xll.EQNXTDZ($A$1,$B13,AQ$1)</f>
        <v>1066.95</v>
      </c>
      <c r="AR13" cm="1">
        <f t="array" ref="AR13">_xll.EQNXTDZ($A$1,$B13,AR$1)</f>
        <v>1255</v>
      </c>
      <c r="AS13" cm="1">
        <f t="array" ref="AS13">_xll.EQNXTDZ($A$1,$B13,AS$1)</f>
        <v>1180</v>
      </c>
      <c r="AT13" cm="1">
        <f t="array" ref="AT13">_xll.EQNXTDZ($A$1,$B13,AT$1)</f>
        <v>1122.3499999999999</v>
      </c>
      <c r="AU13" cm="1">
        <f t="array" ref="AU13">_xll.EQNXTDZ($A$1,$B13,AU$1)</f>
        <v>976</v>
      </c>
      <c r="AV13" cm="1">
        <f t="array" ref="AV13">_xll.EQNXTDZ($A$1,$B13,AV$1)</f>
        <v>1028</v>
      </c>
      <c r="AW13" cm="1">
        <f t="array" ref="AW13">_xll.EQNXTDZ($A$1,$B13,AW$1)</f>
        <v>1272</v>
      </c>
      <c r="AX13" cm="1">
        <f t="array" ref="AX13">_xll.EQNXTDZ($A$1,$B13,AX$1)</f>
        <v>1290</v>
      </c>
      <c r="AY13" cm="1">
        <f t="array" ref="AY13">_xll.EQNXTDZ($A$1,$B13,AY$1)</f>
        <v>1240</v>
      </c>
      <c r="AZ13" cm="1">
        <f t="array" ref="AZ13">_xll.EQNXTDZ($A$1,$B13,AZ$1)</f>
        <v>1225.2</v>
      </c>
      <c r="BA13" cm="1">
        <f t="array" ref="BA13">_xll.EQNXTDZ($A$1,$B13,BA$1)</f>
        <v>1279.6500000000001</v>
      </c>
      <c r="BB13" cm="1">
        <f t="array" ref="BB13">_xll.EQNXTDZ($A$1,$B13,BB$1)</f>
        <v>1157.3</v>
      </c>
      <c r="BC13" cm="1">
        <f t="array" ref="BC13">_xll.EQNXTDZ($A$1,$B13,BC$1)</f>
        <v>1133.75</v>
      </c>
      <c r="BD13" cm="1">
        <f t="array" ref="BD13">_xll.EQNXTDZ($A$1,$B13,BD$1)</f>
        <v>1120</v>
      </c>
      <c r="BE13" cm="1">
        <f t="array" ref="BE13">_xll.EQNXTDZ($A$1,$B13,BE$1)</f>
        <v>1058.8</v>
      </c>
      <c r="BF13" cm="1">
        <f t="array" ref="BF13">_xll.EQNXTDZ($A$1,$B13,BF$1)</f>
        <v>1045</v>
      </c>
      <c r="BG13" cm="1">
        <f t="array" ref="BG13">_xll.EQNXTDZ($A$1,$B13,BG$1)</f>
        <v>1096.2</v>
      </c>
      <c r="BH13" cm="1">
        <f t="array" ref="BH13">_xll.EQNXTDZ($A$1,$B13,BH$1)</f>
        <v>1207</v>
      </c>
      <c r="BI13" cm="1">
        <f t="array" ref="BI13">_xll.EQNXTDZ($A$1,$B13,BI$1)</f>
        <v>1283</v>
      </c>
      <c r="BJ13" cm="1">
        <f t="array" ref="BJ13">_xll.EQNXTDZ($A$1,$B13,BJ$1)</f>
        <v>1421.2</v>
      </c>
      <c r="BK13" cm="1">
        <f t="array" ref="BK13">_xll.EQNXTDZ($A$1,$B13,BK$1)</f>
        <v>1469.6</v>
      </c>
      <c r="BL13" cm="1">
        <f t="array" ref="BL13">_xll.EQNXTDZ($A$1,$B13,BL$1)</f>
        <v>1454</v>
      </c>
      <c r="BM13" cm="1">
        <f t="array" ref="BM13">_xll.EQNXTDZ($A$1,$B13,BM$1)</f>
        <v>1427.55</v>
      </c>
      <c r="BN13" cm="1">
        <f t="array" ref="BN13">_xll.EQNXTDZ($A$1,$B13,BN$1)</f>
        <v>1360</v>
      </c>
      <c r="BO13" cm="1">
        <f t="array" ref="BO13">_xll.EQNXTDZ($A$1,$B13,BO$1)</f>
        <v>1402.55</v>
      </c>
      <c r="BP13" cm="1">
        <f t="array" ref="BP13">_xll.EQNXTDZ($A$1,$B13,BP$1)</f>
        <v>1387.05</v>
      </c>
      <c r="BQ13" cm="1">
        <f t="array" ref="BQ13">_xll.EQNXTDZ($A$1,$B13,BQ$1)</f>
        <v>1400</v>
      </c>
      <c r="BR13" cm="1">
        <f t="array" ref="BR13">_xll.EQNXTDZ($A$1,$B13,BR$1)</f>
        <v>1402.95</v>
      </c>
      <c r="BS13" cm="1">
        <f t="array" ref="BS13">_xll.EQNXTDZ($A$1,$B13,BS$1)</f>
        <v>1637.05</v>
      </c>
      <c r="BT13" cm="1">
        <f t="array" ref="BT13">_xll.EQNXTDZ($A$1,$B13,BT$1)</f>
        <v>1529.95</v>
      </c>
      <c r="BU13" cm="1">
        <f t="array" ref="BU13">_xll.EQNXTDZ($A$1,$B13,BU$1)</f>
        <v>1302</v>
      </c>
      <c r="BV13" cm="1">
        <f t="array" ref="BV13">_xll.EQNXTDZ($A$1,$B13,BV$1)</f>
        <v>1355</v>
      </c>
      <c r="BW13" cm="1">
        <f t="array" ref="BW13">_xll.EQNXTDZ($A$1,$B13,BW$1)</f>
        <v>1234.95</v>
      </c>
      <c r="BX13" cm="1">
        <f t="array" ref="BX13">_xll.EQNXTDZ($A$1,$B13,BX$1)</f>
        <v>1192.5</v>
      </c>
      <c r="BY13" cm="1">
        <f t="array" ref="BY13">_xll.EQNXTDZ($A$1,$B13,BY$1)</f>
        <v>1213.3</v>
      </c>
      <c r="BZ13" cm="1">
        <f t="array" ref="BZ13">_xll.EQNXTDZ($A$1,$B13,BZ$1)</f>
        <v>1321.05</v>
      </c>
      <c r="CA13" cm="1">
        <f t="array" ref="CA13">_xll.EQNXTDZ($A$1,$B13,CA$1)</f>
        <v>1410.75</v>
      </c>
      <c r="CB13" cm="1">
        <f t="array" ref="CB13">_xll.EQNXTDZ($A$1,$B13,CB$1)</f>
        <v>1299.0999999999999</v>
      </c>
      <c r="CC13" cm="1">
        <f t="array" ref="CC13">_xll.EQNXTDZ($A$1,$B13,CC$1)</f>
        <v>1415.95</v>
      </c>
      <c r="CD13" cm="1">
        <f t="array" ref="CD13">_xll.EQNXTDZ($A$1,$B13,CD$1)</f>
        <v>1318.2</v>
      </c>
      <c r="CE13" cm="1">
        <f t="array" ref="CE13">_xll.EQNXTDZ($A$1,$B13,CE$1)</f>
        <v>1273.25</v>
      </c>
      <c r="CF13" cm="1">
        <f t="array" ref="CF13">_xll.EQNXTDZ($A$1,$B13,CF$1)</f>
        <v>1245</v>
      </c>
      <c r="CG13" cm="1">
        <f t="array" ref="CG13">_xll.EQNXTDZ($A$1,$B13,CG$1)</f>
        <v>1319.85</v>
      </c>
      <c r="CH13" cm="1">
        <f t="array" ref="CH13">_xll.EQNXTDZ($A$1,$B13,CH$1)</f>
        <v>1474</v>
      </c>
      <c r="CI13" cm="1">
        <f t="array" ref="CI13">_xll.EQNXTDZ($A$1,$B13,CI$1)</f>
        <v>1565</v>
      </c>
      <c r="CJ13" cm="1">
        <f t="array" ref="CJ13">_xll.EQNXTDZ($A$1,$B13,CJ$1)</f>
        <v>1609.7</v>
      </c>
      <c r="CK13" cm="1">
        <f t="array" ref="CK13">_xll.EQNXTDZ($A$1,$B13,CK$1)</f>
        <v>1363</v>
      </c>
      <c r="CL13" cm="1">
        <f t="array" ref="CL13">_xll.EQNXTDZ($A$1,$B13,CL$1)</f>
        <v>1340</v>
      </c>
      <c r="CM13" cm="1">
        <f t="array" ref="CM13">_xll.EQNXTDZ($A$1,$B13,CM$1)</f>
        <v>1548.8</v>
      </c>
      <c r="CN13" cm="1">
        <f t="array" ref="CN13">_xll.EQNXTDZ($A$1,$B13,CN$1)</f>
        <v>1459</v>
      </c>
      <c r="CO13" cm="1">
        <f t="array" ref="CO13">_xll.EQNXTDZ($A$1,$B13,CO$1)</f>
        <v>1453.6</v>
      </c>
      <c r="CP13" cm="1">
        <f t="array" ref="CP13">_xll.EQNXTDZ($A$1,$B13,CP$1)</f>
        <v>1287.9000000000001</v>
      </c>
      <c r="CQ13" cm="1">
        <f t="array" ref="CQ13">_xll.EQNXTDZ($A$1,$B13,CQ$1)</f>
        <v>1309</v>
      </c>
      <c r="CR13" cm="1">
        <f t="array" ref="CR13">_xll.EQNXTDZ($A$1,$B13,CR$1)</f>
        <v>1218</v>
      </c>
      <c r="CS13" cm="1">
        <f t="array" ref="CS13">_xll.EQNXTDZ($A$1,$B13,CS$1)</f>
        <v>967</v>
      </c>
      <c r="CT13" cm="1">
        <f t="array" ref="CT13">_xll.EQNXTDZ($A$1,$B13,CT$1)</f>
        <v>890</v>
      </c>
      <c r="CU13" cm="1">
        <f t="array" ref="CU13">_xll.EQNXTDZ($A$1,$B13,CU$1)</f>
        <v>754</v>
      </c>
      <c r="CV13" cm="1">
        <f t="array" ref="CV13">_xll.EQNXTDZ($A$1,$B13,CV$1)</f>
        <v>926</v>
      </c>
      <c r="CW13" cm="1">
        <f t="array" ref="CW13">_xll.EQNXTDZ($A$1,$B13,CW$1)</f>
        <v>911</v>
      </c>
      <c r="CX13" cm="1">
        <f t="array" ref="CX13">_xll.EQNXTDZ($A$1,$B13,CX$1)</f>
        <v>946</v>
      </c>
      <c r="CY13" cm="1">
        <f t="array" ref="CY13">_xll.EQNXTDZ($A$1,$B13,CY$1)</f>
        <v>868.65</v>
      </c>
      <c r="CZ13" cm="1">
        <f t="array" ref="CZ13">_xll.EQNXTDZ($A$1,$B13,CZ$1)</f>
        <v>895.05</v>
      </c>
      <c r="DA13" cm="1">
        <f t="array" ref="DA13">_xll.EQNXTDZ($A$1,$B13,DA$1)</f>
        <v>1075.75</v>
      </c>
      <c r="DB13" cm="1">
        <f t="array" ref="DB13">_xll.EQNXTDZ($A$1,$B13,DB$1)</f>
        <v>1214.1500000000001</v>
      </c>
      <c r="DC13" cm="1">
        <f t="array" ref="DC13">_xll.EQNXTDZ($A$1,$B13,DC$1)</f>
        <v>1400</v>
      </c>
      <c r="DD13" cm="1">
        <f t="array" ref="DD13">_xll.EQNXTDZ($A$1,$B13,DD$1)</f>
        <v>1537.05</v>
      </c>
      <c r="DE13" cm="1">
        <f t="array" ref="DE13">_xll.EQNXTDZ($A$1,$B13,DE$1)</f>
        <v>1420.95</v>
      </c>
      <c r="DF13" cm="1">
        <f t="array" ref="DF13">_xll.EQNXTDZ($A$1,$B13,DF$1)</f>
        <v>1389</v>
      </c>
      <c r="DG13" cm="1">
        <f t="array" ref="DG13">_xll.EQNXTDZ($A$1,$B13,DG$1)</f>
        <v>1688</v>
      </c>
      <c r="DH13" cm="1">
        <f t="array" ref="DH13">_xll.EQNXTDZ($A$1,$B13,DH$1)</f>
        <v>1819.65</v>
      </c>
      <c r="DI13" cm="1">
        <f t="array" ref="DI13">_xll.EQNXTDZ($A$1,$B13,DI$1)</f>
        <v>1692.5</v>
      </c>
      <c r="DJ13" cm="1">
        <f t="array" ref="DJ13">_xll.EQNXTDZ($A$1,$B13,DJ$1)</f>
        <v>1900</v>
      </c>
      <c r="DK13" cm="1">
        <f t="array" ref="DK13">_xll.EQNXTDZ($A$1,$B13,DK$1)</f>
        <v>1868.2</v>
      </c>
      <c r="DL13" cm="1">
        <f t="array" ref="DL13">_xll.EQNXTDZ($A$1,$B13,DL$1)</f>
        <v>2125</v>
      </c>
      <c r="DM13" cm="1">
        <f t="array" ref="DM13">_xll.EQNXTDZ($A$1,$B13,DM$1)</f>
        <v>2060</v>
      </c>
      <c r="DN13" cm="1">
        <f t="array" ref="DN13">_xll.EQNXTDZ($A$1,$B13,DN$1)</f>
        <v>2234.9</v>
      </c>
      <c r="DO13" cm="1">
        <f t="array" ref="DO13">_xll.EQNXTDZ($A$1,$B13,DO$1)</f>
        <v>2329.9499999999998</v>
      </c>
      <c r="DP13" cm="1">
        <f t="array" ref="DP13">_xll.EQNXTDZ($A$1,$B13,DP$1)</f>
        <v>2164</v>
      </c>
      <c r="DQ13" cm="1">
        <f t="array" ref="DQ13">_xll.EQNXTDZ($A$1,$B13,DQ$1)</f>
        <v>2160</v>
      </c>
      <c r="DR13" cm="1">
        <f t="array" ref="DR13">_xll.EQNXTDZ($A$1,$B13,DR$1)</f>
        <v>2075.35</v>
      </c>
      <c r="DS13" cm="1">
        <f t="array" ref="DS13">_xll.EQNXTDZ($A$1,$B13,DS$1)</f>
        <v>2414</v>
      </c>
      <c r="DT13" cm="1">
        <f t="array" ref="DT13">_xll.EQNXTDZ($A$1,$B13,DT$1)</f>
        <v>2300</v>
      </c>
      <c r="DU13" cm="1">
        <f t="array" ref="DU13">_xll.EQNXTDZ($A$1,$B13,DU$1)</f>
        <v>2740</v>
      </c>
      <c r="DV13" cm="1">
        <f t="array" ref="DV13">_xll.EQNXTDZ($A$1,$B13,DV$1)</f>
        <v>3268</v>
      </c>
      <c r="DW13" cm="1">
        <f t="array" ref="DW13">_xll.EQNXTDZ($A$1,$B13,DW$1)</f>
        <v>3050.05</v>
      </c>
      <c r="DX13" cm="1">
        <f t="array" ref="DX13">_xll.EQNXTDZ($A$1,$B13,DX$1)</f>
        <v>3056.15</v>
      </c>
      <c r="DY13" cm="1">
        <f t="array" ref="DY13">_xll.EQNXTDZ($A$1,$B13,DY$1)</f>
        <v>3019.65</v>
      </c>
      <c r="DZ13" cm="1">
        <f t="array" ref="DZ13">_xll.EQNXTDZ($A$1,$B13,DZ$1)</f>
        <v>2675.2</v>
      </c>
      <c r="EA13" cm="1">
        <f t="array" ref="EA13">_xll.EQNXTDZ($A$1,$B13,EA$1)</f>
        <v>2902.55</v>
      </c>
      <c r="EB13" cm="1">
        <f t="array" ref="EB13">_xll.EQNXTDZ($A$1,$B13,EB$1)</f>
        <v>3230</v>
      </c>
      <c r="EC13" cm="1">
        <f t="array" ref="EC13">_xll.EQNXTDZ($A$1,$B13,EC$1)</f>
        <v>3370.05</v>
      </c>
      <c r="ED13" cm="1">
        <f t="array" ref="ED13">_xll.EQNXTDZ($A$1,$B13,ED$1)</f>
        <v>3415.8</v>
      </c>
      <c r="EE13" cm="1">
        <f t="array" ref="EE13">_xll.EQNXTDZ($A$1,$B13,EE$1)</f>
        <v>4130</v>
      </c>
      <c r="EF13" cm="1">
        <f t="array" ref="EF13">_xll.EQNXTDZ($A$1,$B13,EF$1)</f>
        <v>4423.1000000000004</v>
      </c>
      <c r="EG13" cm="1">
        <f t="array" ref="EG13">_xll.EQNXTDZ($A$1,$B13,EG$1)</f>
        <v>4557.05</v>
      </c>
      <c r="EH13" cm="1">
        <f t="array" ref="EH13">_xll.EQNXTDZ($A$1,$B13,EH$1)</f>
        <v>4376</v>
      </c>
      <c r="EI13" cm="1">
        <f t="array" ref="EI13">_xll.EQNXTDZ($A$1,$B13,EI$1)</f>
        <v>4082.05</v>
      </c>
      <c r="EJ13" cm="1">
        <f t="array" ref="EJ13">_xll.EQNXTDZ($A$1,$B13,EJ$1)</f>
        <v>4119.3500000000004</v>
      </c>
      <c r="EK13" cm="1">
        <f t="array" ref="EK13">_xll.EQNXTDZ($A$1,$B13,EK$1)</f>
        <v>4430.45</v>
      </c>
      <c r="EL13" cm="1">
        <f t="array" ref="EL13">_xll.EQNXTDZ($A$1,$B13,EL$1)</f>
        <v>4699</v>
      </c>
      <c r="EM13" cm="1">
        <f t="array" ref="EM13">_xll.EQNXTDZ($A$1,$B13,EM$1)</f>
        <v>4671.6499999999996</v>
      </c>
      <c r="EN13" cm="1">
        <f t="array" ref="EN13">_xll.EQNXTDZ($A$1,$B13,EN$1)</f>
        <v>5499</v>
      </c>
      <c r="EO13" cm="1">
        <f t="array" ref="EO13">_xll.EQNXTDZ($A$1,$B13,EO$1)</f>
        <v>6400.65</v>
      </c>
      <c r="EP13" cm="1">
        <f t="array" ref="EP13">_xll.EQNXTDZ($A$1,$B13,EP$1)</f>
        <v>6591.65</v>
      </c>
      <c r="EQ13" cm="1">
        <f t="array" ref="EQ13">_xll.EQNXTDZ($A$1,$B13,EQ$1)</f>
        <v>8597.9</v>
      </c>
      <c r="ER13" cm="1">
        <f t="array" ref="ER13">_xll.EQNXTDZ($A$1,$B13,ER$1)</f>
        <v>8515.9500000000007</v>
      </c>
      <c r="ES13" cm="1">
        <f t="array" ref="ES13">_xll.EQNXTDZ($A$1,$B13,ES$1)</f>
        <v>7920</v>
      </c>
      <c r="ET13" cm="1">
        <f t="array" ref="ET13">_xll.EQNXTDZ($A$1,$B13,ET$1)</f>
        <v>7935.3</v>
      </c>
      <c r="EU13" cm="1">
        <f t="array" ref="EU13">_xll.EQNXTDZ($A$1,$B13,EU$1)</f>
        <v>8061.55</v>
      </c>
      <c r="EV13" cm="1">
        <f t="array" ref="EV13">_xll.EQNXTDZ($A$1,$B13,EV$1)</f>
        <v>7436.85</v>
      </c>
      <c r="EW13" cm="1">
        <f t="array" ref="EW13">_xll.EQNXTDZ($A$1,$B13,EW$1)</f>
        <v>7306.65</v>
      </c>
      <c r="EX13" cm="1">
        <f t="array" ref="EX13">_xll.EQNXTDZ($A$1,$B13,EX$1)</f>
        <v>6932.7</v>
      </c>
      <c r="EY13" cm="1">
        <f t="array" ref="EY13">_xll.EQNXTDZ($A$1,$B13,EY$1)</f>
        <v>5939.85</v>
      </c>
      <c r="EZ13" cm="1">
        <f t="array" ref="EZ13">_xll.EQNXTDZ($A$1,$B13,EZ$1)</f>
        <v>4949.1000000000004</v>
      </c>
      <c r="FA13" cm="1">
        <f t="array" ref="FA13">_xll.EQNXTDZ($A$1,$B13,FA$1)</f>
        <v>5545</v>
      </c>
      <c r="FB13" cm="1">
        <f t="array" ref="FB13">_xll.EQNXTDZ($A$1,$B13,FB$1)</f>
        <v>5508.95</v>
      </c>
      <c r="FC13" cm="1">
        <f t="array" ref="FC13">_xll.EQNXTDZ($A$1,$B13,FC$1)</f>
        <v>5993.8</v>
      </c>
      <c r="FD13" cm="1">
        <f t="array" ref="FD13">_xll.EQNXTDZ($A$1,$B13,FD$1)</f>
        <v>6107.35</v>
      </c>
      <c r="FE13" cm="1">
        <f t="array" ref="FE13">_xll.EQNXTDZ($A$1,$B13,FE$1)</f>
        <v>5512.15</v>
      </c>
      <c r="FF13" cm="1">
        <f t="array" ref="FF13">_xll.EQNXTDZ($A$1,$B13,FF$1)</f>
        <v>5067.1499999999996</v>
      </c>
      <c r="FG13" cm="1">
        <f t="array" ref="FG13">_xll.EQNXTDZ($A$1,$B13,FG$1)</f>
        <v>5196.95</v>
      </c>
      <c r="FH13" cm="1">
        <f t="array" ref="FH13">_xll.EQNXTDZ($A$1,$B13,FH$1)</f>
        <v>5192.05</v>
      </c>
      <c r="FI13" cm="1">
        <f t="array" ref="FI13">_xll.EQNXTDZ($A$1,$B13,FI$1)</f>
        <v>5239.8</v>
      </c>
      <c r="FJ13" cm="1">
        <f t="array" ref="FJ13">_xll.EQNXTDZ($A$1,$B13,FJ$1)</f>
        <v>5173.1000000000004</v>
      </c>
      <c r="FK13" cm="1">
        <f t="array" ref="FK13">_xll.EQNXTDZ($A$1,$B13,FK$1)</f>
        <v>5515.65</v>
      </c>
      <c r="FL13" cm="1">
        <f t="array" ref="FL13">_xll.EQNXTDZ($A$1,$B13,FL$1)</f>
        <v>5470.8</v>
      </c>
      <c r="FM13" cm="1">
        <f t="array" ref="FM13">_xll.EQNXTDZ($A$1,$B13,FM$1)</f>
        <v>6189.85</v>
      </c>
      <c r="FN13" cm="1">
        <f t="array" ref="FN13">_xll.EQNXTDZ($A$1,$B13,FN$1)</f>
        <v>7279.95</v>
      </c>
      <c r="FO13" cm="1">
        <f t="array" ref="FO13">_xll.EQNXTDZ($A$1,$B13,FO$1)</f>
        <v>7289.55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819.4</v>
      </c>
      <c r="D14" s="116" cm="1">
        <f t="array" ref="D14">_xll.EQNXTDZ($A$1,$B14,D$1)</f>
        <v>822.25</v>
      </c>
      <c r="E14" s="116" cm="1">
        <f t="array" ref="E14">_xll.EQNXTDZ($A$1,$B14,E$1)</f>
        <v>814.7</v>
      </c>
      <c r="F14" s="116" cm="1">
        <f t="array" ref="F14">_xll.EQNXTDZ($A$1,$B14,F$1)</f>
        <v>803.35</v>
      </c>
      <c r="G14" s="116" cm="1">
        <f t="array" ref="G14">_xll.EQNXTDZ($A$1,$B14,G$1)</f>
        <v>810.3</v>
      </c>
      <c r="H14" s="116" cm="1">
        <f t="array" ref="H14">_xll.EQNXTDZ($A$1,$B14,H$1)</f>
        <v>830</v>
      </c>
      <c r="I14" s="116" cm="1">
        <f t="array" ref="I14">_xll.EQNXTDZ($A$1,$B14,I$1)</f>
        <v>730</v>
      </c>
      <c r="J14" s="116" cm="1">
        <f t="array" ref="J14">_xll.EQNXTDZ($A$1,$B14,J$1)</f>
        <v>737</v>
      </c>
      <c r="K14" s="116" cm="1">
        <f t="array" ref="K14">_xll.EQNXTDZ($A$1,$B14,K$1)</f>
        <v>673</v>
      </c>
      <c r="L14" s="116" cm="1">
        <f t="array" ref="L14">_xll.EQNXTDZ($A$1,$B14,L$1)</f>
        <v>628.35</v>
      </c>
      <c r="M14" s="116" cm="1">
        <f t="array" ref="M14">_xll.EQNXTDZ($A$1,$B14,M$1)</f>
        <v>526</v>
      </c>
      <c r="N14" s="116" cm="1">
        <f t="array" ref="N14">_xll.EQNXTDZ($A$1,$B14,N$1)</f>
        <v>694.4</v>
      </c>
      <c r="O14" s="116" cm="1">
        <f t="array" ref="O14">_xll.EQNXTDZ($A$1,$B14,O$1)</f>
        <v>660</v>
      </c>
      <c r="P14" s="116" cm="1">
        <f t="array" ref="P14">_xll.EQNXTDZ($A$1,$B14,P$1)</f>
        <v>627.20000000000005</v>
      </c>
      <c r="Q14" s="116" cm="1">
        <f t="array" ref="Q14">_xll.EQNXTDZ($A$1,$B14,Q$1)</f>
        <v>519</v>
      </c>
      <c r="R14" s="116" cm="1">
        <f t="array" ref="R14">_xll.EQNXTDZ($A$1,$B14,R$1)</f>
        <v>594.9</v>
      </c>
      <c r="S14" s="116" cm="1">
        <f t="array" ref="S14">_xll.EQNXTDZ($A$1,$B14,S$1)</f>
        <v>640.20000000000005</v>
      </c>
      <c r="T14" s="116" cm="1">
        <f t="array" ref="T14">_xll.EQNXTDZ($A$1,$B14,T$1)</f>
        <v>697.9</v>
      </c>
      <c r="U14" s="116" cm="1">
        <f t="array" ref="U14">_xll.EQNXTDZ($A$1,$B14,U$1)</f>
        <v>720.2</v>
      </c>
      <c r="V14" s="116" cm="1">
        <f t="array" ref="V14">_xll.EQNXTDZ($A$1,$B14,V$1)</f>
        <v>698.25</v>
      </c>
      <c r="W14" s="116" cm="1">
        <f t="array" ref="W14">_xll.EQNXTDZ($A$1,$B14,W$1)</f>
        <v>735</v>
      </c>
      <c r="X14" s="116" cm="1">
        <f t="array" ref="X14">_xll.EQNXTDZ($A$1,$B14,X$1)</f>
        <v>858</v>
      </c>
      <c r="Y14" s="116" cm="1">
        <f t="array" ref="Y14">_xll.EQNXTDZ($A$1,$B14,Y$1)</f>
        <v>869.9</v>
      </c>
      <c r="Z14" s="116" cm="1">
        <f t="array" ref="Z14">_xll.EQNXTDZ($A$1,$B14,Z$1)</f>
        <v>981.6</v>
      </c>
      <c r="AA14" s="116" cm="1">
        <f t="array" ref="AA14">_xll.EQNXTDZ($A$1,$B14,AA$1)</f>
        <v>1125</v>
      </c>
      <c r="AB14" s="116" cm="1">
        <f t="array" ref="AB14">_xll.EQNXTDZ($A$1,$B14,AB$1)</f>
        <v>1200</v>
      </c>
      <c r="AC14" s="116" cm="1">
        <f t="array" ref="AC14">_xll.EQNXTDZ($A$1,$B14,AC$1)</f>
        <v>1120</v>
      </c>
      <c r="AD14" s="116" cm="1">
        <f t="array" ref="AD14">_xll.EQNXTDZ($A$1,$B14,AD$1)</f>
        <v>1263.5</v>
      </c>
      <c r="AE14" s="116" cm="1">
        <f t="array" ref="AE14">_xll.EQNXTDZ($A$1,$B14,AE$1)</f>
        <v>1188</v>
      </c>
      <c r="AF14" s="116" cm="1">
        <f t="array" ref="AF14">_xll.EQNXTDZ($A$1,$B14,AF$1)</f>
        <v>1177.1500000000001</v>
      </c>
      <c r="AG14" s="116" cm="1">
        <f t="array" ref="AG14">_xll.EQNXTDZ($A$1,$B14,AG$1)</f>
        <v>1396.7</v>
      </c>
      <c r="AH14" s="116" cm="1">
        <f t="array" ref="AH14">_xll.EQNXTDZ($A$1,$B14,AH$1)</f>
        <v>1350</v>
      </c>
      <c r="AI14" s="116" cm="1">
        <f t="array" ref="AI14">_xll.EQNXTDZ($A$1,$B14,AI$1)</f>
        <v>1525</v>
      </c>
      <c r="AJ14" s="116" cm="1">
        <f t="array" ref="AJ14">_xll.EQNXTDZ($A$1,$B14,AJ$1)</f>
        <v>1423.25</v>
      </c>
      <c r="AK14" s="116" cm="1">
        <f t="array" ref="AK14">_xll.EQNXTDZ($A$1,$B14,AK$1)</f>
        <v>1431.85</v>
      </c>
      <c r="AL14" s="116" cm="1">
        <f t="array" ref="AL14">_xll.EQNXTDZ($A$1,$B14,AL$1)</f>
        <v>1423</v>
      </c>
      <c r="AM14" s="116" cm="1">
        <f t="array" ref="AM14">_xll.EQNXTDZ($A$1,$B14,AM$1)</f>
        <v>1370</v>
      </c>
      <c r="AN14" s="116" cm="1">
        <f t="array" ref="AN14">_xll.EQNXTDZ($A$1,$B14,AN$1)</f>
        <v>1444.4</v>
      </c>
      <c r="AO14" s="116" cm="1">
        <f t="array" ref="AO14">_xll.EQNXTDZ($A$1,$B14,AO$1)</f>
        <v>1405</v>
      </c>
      <c r="AP14" s="116" cm="1">
        <f t="array" ref="AP14">_xll.EQNXTDZ($A$1,$B14,AP$1)</f>
        <v>1232.3</v>
      </c>
      <c r="AQ14" s="116" cm="1">
        <f t="array" ref="AQ14">_xll.EQNXTDZ($A$1,$B14,AQ$1)</f>
        <v>1290.1500000000001</v>
      </c>
      <c r="AR14" s="116" cm="1">
        <f t="array" ref="AR14">_xll.EQNXTDZ($A$1,$B14,AR$1)</f>
        <v>1299.05</v>
      </c>
      <c r="AS14" s="116" cm="1">
        <f t="array" ref="AS14">_xll.EQNXTDZ($A$1,$B14,AS$1)</f>
        <v>1232</v>
      </c>
      <c r="AT14" s="116" cm="1">
        <f t="array" ref="AT14">_xll.EQNXTDZ($A$1,$B14,AT$1)</f>
        <v>1155</v>
      </c>
      <c r="AU14" s="116" cm="1">
        <f t="array" ref="AU14">_xll.EQNXTDZ($A$1,$B14,AU$1)</f>
        <v>1192</v>
      </c>
      <c r="AV14" s="116" cm="1">
        <f t="array" ref="AV14">_xll.EQNXTDZ($A$1,$B14,AV$1)</f>
        <v>1295.1500000000001</v>
      </c>
      <c r="AW14" s="116" cm="1">
        <f t="array" ref="AW14">_xll.EQNXTDZ($A$1,$B14,AW$1)</f>
        <v>1432.7</v>
      </c>
      <c r="AX14" s="116" cm="1">
        <f t="array" ref="AX14">_xll.EQNXTDZ($A$1,$B14,AX$1)</f>
        <v>1318.25</v>
      </c>
      <c r="AY14" s="116" cm="1">
        <f t="array" ref="AY14">_xll.EQNXTDZ($A$1,$B14,AY$1)</f>
        <v>1254.8499999999999</v>
      </c>
      <c r="AZ14" s="116" cm="1">
        <f t="array" ref="AZ14">_xll.EQNXTDZ($A$1,$B14,AZ$1)</f>
        <v>1322.1</v>
      </c>
      <c r="BA14" s="116" cm="1">
        <f t="array" ref="BA14">_xll.EQNXTDZ($A$1,$B14,BA$1)</f>
        <v>1282</v>
      </c>
      <c r="BB14" s="116" cm="1">
        <f t="array" ref="BB14">_xll.EQNXTDZ($A$1,$B14,BB$1)</f>
        <v>1203.0999999999999</v>
      </c>
      <c r="BC14" s="116" cm="1">
        <f t="array" ref="BC14">_xll.EQNXTDZ($A$1,$B14,BC$1)</f>
        <v>1189</v>
      </c>
      <c r="BD14" s="116" cm="1">
        <f t="array" ref="BD14">_xll.EQNXTDZ($A$1,$B14,BD$1)</f>
        <v>1122</v>
      </c>
      <c r="BE14" s="116" cm="1">
        <f t="array" ref="BE14">_xll.EQNXTDZ($A$1,$B14,BE$1)</f>
        <v>1080</v>
      </c>
      <c r="BF14" s="116" cm="1">
        <f t="array" ref="BF14">_xll.EQNXTDZ($A$1,$B14,BF$1)</f>
        <v>1199</v>
      </c>
      <c r="BG14" s="116" cm="1">
        <f t="array" ref="BG14">_xll.EQNXTDZ($A$1,$B14,BG$1)</f>
        <v>1269.75</v>
      </c>
      <c r="BH14" s="116" cm="1">
        <f t="array" ref="BH14">_xll.EQNXTDZ($A$1,$B14,BH$1)</f>
        <v>1292.9000000000001</v>
      </c>
      <c r="BI14" s="116" cm="1">
        <f t="array" ref="BI14">_xll.EQNXTDZ($A$1,$B14,BI$1)</f>
        <v>1482.25</v>
      </c>
      <c r="BJ14" s="116" cm="1">
        <f t="array" ref="BJ14">_xll.EQNXTDZ($A$1,$B14,BJ$1)</f>
        <v>1619.45</v>
      </c>
      <c r="BK14" s="116" cm="1">
        <f t="array" ref="BK14">_xll.EQNXTDZ($A$1,$B14,BK$1)</f>
        <v>1556.95</v>
      </c>
      <c r="BL14" s="116" cm="1">
        <f t="array" ref="BL14">_xll.EQNXTDZ($A$1,$B14,BL$1)</f>
        <v>1548.4</v>
      </c>
      <c r="BM14" s="116" cm="1">
        <f t="array" ref="BM14">_xll.EQNXTDZ($A$1,$B14,BM$1)</f>
        <v>1435</v>
      </c>
      <c r="BN14" s="116" cm="1">
        <f t="array" ref="BN14">_xll.EQNXTDZ($A$1,$B14,BN$1)</f>
        <v>1493</v>
      </c>
      <c r="BO14" s="116" cm="1">
        <f t="array" ref="BO14">_xll.EQNXTDZ($A$1,$B14,BO$1)</f>
        <v>1419.55</v>
      </c>
      <c r="BP14" s="116" cm="1">
        <f t="array" ref="BP14">_xll.EQNXTDZ($A$1,$B14,BP$1)</f>
        <v>1444</v>
      </c>
      <c r="BQ14" s="116" cm="1">
        <f t="array" ref="BQ14">_xll.EQNXTDZ($A$1,$B14,BQ$1)</f>
        <v>1435.7</v>
      </c>
      <c r="BR14" s="116" cm="1">
        <f t="array" ref="BR14">_xll.EQNXTDZ($A$1,$B14,BR$1)</f>
        <v>1686</v>
      </c>
      <c r="BS14" s="116" cm="1">
        <f t="array" ref="BS14">_xll.EQNXTDZ($A$1,$B14,BS$1)</f>
        <v>1744.4</v>
      </c>
      <c r="BT14" s="116" cm="1">
        <f t="array" ref="BT14">_xll.EQNXTDZ($A$1,$B14,BT$1)</f>
        <v>1560.55</v>
      </c>
      <c r="BU14" s="116" cm="1">
        <f t="array" ref="BU14">_xll.EQNXTDZ($A$1,$B14,BU$1)</f>
        <v>1380</v>
      </c>
      <c r="BV14" s="116" cm="1">
        <f t="array" ref="BV14">_xll.EQNXTDZ($A$1,$B14,BV$1)</f>
        <v>1374.9</v>
      </c>
      <c r="BW14" s="116" cm="1">
        <f t="array" ref="BW14">_xll.EQNXTDZ($A$1,$B14,BW$1)</f>
        <v>1313.1</v>
      </c>
      <c r="BX14" s="116" cm="1">
        <f t="array" ref="BX14">_xll.EQNXTDZ($A$1,$B14,BX$1)</f>
        <v>1259.95</v>
      </c>
      <c r="BY14" s="116" cm="1">
        <f t="array" ref="BY14">_xll.EQNXTDZ($A$1,$B14,BY$1)</f>
        <v>1365.65</v>
      </c>
      <c r="BZ14" s="116" cm="1">
        <f t="array" ref="BZ14">_xll.EQNXTDZ($A$1,$B14,BZ$1)</f>
        <v>1516.55</v>
      </c>
      <c r="CA14" s="116" cm="1">
        <f t="array" ref="CA14">_xll.EQNXTDZ($A$1,$B14,CA$1)</f>
        <v>1463</v>
      </c>
      <c r="CB14" s="116" cm="1">
        <f t="array" ref="CB14">_xll.EQNXTDZ($A$1,$B14,CB$1)</f>
        <v>1417.7</v>
      </c>
      <c r="CC14" s="116" cm="1">
        <f t="array" ref="CC14">_xll.EQNXTDZ($A$1,$B14,CC$1)</f>
        <v>1465</v>
      </c>
      <c r="CD14" s="116" cm="1">
        <f t="array" ref="CD14">_xll.EQNXTDZ($A$1,$B14,CD$1)</f>
        <v>1359</v>
      </c>
      <c r="CE14" s="116" cm="1">
        <f t="array" ref="CE14">_xll.EQNXTDZ($A$1,$B14,CE$1)</f>
        <v>1294.3</v>
      </c>
      <c r="CF14" s="116" cm="1">
        <f t="array" ref="CF14">_xll.EQNXTDZ($A$1,$B14,CF$1)</f>
        <v>1347.95</v>
      </c>
      <c r="CG14" s="116" cm="1">
        <f t="array" ref="CG14">_xll.EQNXTDZ($A$1,$B14,CG$1)</f>
        <v>1503.5</v>
      </c>
      <c r="CH14" s="116" cm="1">
        <f t="array" ref="CH14">_xll.EQNXTDZ($A$1,$B14,CH$1)</f>
        <v>1621</v>
      </c>
      <c r="CI14" s="116" cm="1">
        <f t="array" ref="CI14">_xll.EQNXTDZ($A$1,$B14,CI$1)</f>
        <v>1639.7</v>
      </c>
      <c r="CJ14" s="116" cm="1">
        <f t="array" ref="CJ14">_xll.EQNXTDZ($A$1,$B14,CJ$1)</f>
        <v>1669</v>
      </c>
      <c r="CK14" s="116" cm="1">
        <f t="array" ref="CK14">_xll.EQNXTDZ($A$1,$B14,CK$1)</f>
        <v>1427.95</v>
      </c>
      <c r="CL14" s="116" cm="1">
        <f t="array" ref="CL14">_xll.EQNXTDZ($A$1,$B14,CL$1)</f>
        <v>1583.8</v>
      </c>
      <c r="CM14" s="116" cm="1">
        <f t="array" ref="CM14">_xll.EQNXTDZ($A$1,$B14,CM$1)</f>
        <v>1580.05</v>
      </c>
      <c r="CN14" s="116" cm="1">
        <f t="array" ref="CN14">_xll.EQNXTDZ($A$1,$B14,CN$1)</f>
        <v>1534.9</v>
      </c>
      <c r="CO14" s="116" cm="1">
        <f t="array" ref="CO14">_xll.EQNXTDZ($A$1,$B14,CO$1)</f>
        <v>1522</v>
      </c>
      <c r="CP14" s="116" cm="1">
        <f t="array" ref="CP14">_xll.EQNXTDZ($A$1,$B14,CP$1)</f>
        <v>1411.8</v>
      </c>
      <c r="CQ14" s="116" cm="1">
        <f t="array" ref="CQ14">_xll.EQNXTDZ($A$1,$B14,CQ$1)</f>
        <v>1378.85</v>
      </c>
      <c r="CR14" s="116" cm="1">
        <f t="array" ref="CR14">_xll.EQNXTDZ($A$1,$B14,CR$1)</f>
        <v>1225.8</v>
      </c>
      <c r="CS14" s="116" cm="1">
        <f t="array" ref="CS14">_xll.EQNXTDZ($A$1,$B14,CS$1)</f>
        <v>1100</v>
      </c>
      <c r="CT14" s="116" cm="1">
        <f t="array" ref="CT14">_xll.EQNXTDZ($A$1,$B14,CT$1)</f>
        <v>899.95</v>
      </c>
      <c r="CU14" s="116" cm="1">
        <f t="array" ref="CU14">_xll.EQNXTDZ($A$1,$B14,CU$1)</f>
        <v>948.15</v>
      </c>
      <c r="CV14" s="116" cm="1">
        <f t="array" ref="CV14">_xll.EQNXTDZ($A$1,$B14,CV$1)</f>
        <v>1016.75</v>
      </c>
      <c r="CW14" s="116" cm="1">
        <f t="array" ref="CW14">_xll.EQNXTDZ($A$1,$B14,CW$1)</f>
        <v>1008.85</v>
      </c>
      <c r="CX14" s="116" cm="1">
        <f t="array" ref="CX14">_xll.EQNXTDZ($A$1,$B14,CX$1)</f>
        <v>990</v>
      </c>
      <c r="CY14" s="116" cm="1">
        <f t="array" ref="CY14">_xll.EQNXTDZ($A$1,$B14,CY$1)</f>
        <v>937.95</v>
      </c>
      <c r="CZ14" s="116" cm="1">
        <f t="array" ref="CZ14">_xll.EQNXTDZ($A$1,$B14,CZ$1)</f>
        <v>1160</v>
      </c>
      <c r="DA14" s="116" cm="1">
        <f t="array" ref="DA14">_xll.EQNXTDZ($A$1,$B14,DA$1)</f>
        <v>1260</v>
      </c>
      <c r="DB14" s="116" cm="1">
        <f t="array" ref="DB14">_xll.EQNXTDZ($A$1,$B14,DB$1)</f>
        <v>1419.4</v>
      </c>
      <c r="DC14" s="116" cm="1">
        <f t="array" ref="DC14">_xll.EQNXTDZ($A$1,$B14,DC$1)</f>
        <v>1699.9</v>
      </c>
      <c r="DD14" s="116" cm="1">
        <f t="array" ref="DD14">_xll.EQNXTDZ($A$1,$B14,DD$1)</f>
        <v>1560</v>
      </c>
      <c r="DE14" s="116" cm="1">
        <f t="array" ref="DE14">_xll.EQNXTDZ($A$1,$B14,DE$1)</f>
        <v>1440</v>
      </c>
      <c r="DF14" s="116" cm="1">
        <f t="array" ref="DF14">_xll.EQNXTDZ($A$1,$B14,DF$1)</f>
        <v>1730</v>
      </c>
      <c r="DG14" s="116" cm="1">
        <f t="array" ref="DG14">_xll.EQNXTDZ($A$1,$B14,DG$1)</f>
        <v>1856.1</v>
      </c>
      <c r="DH14" s="116" cm="1">
        <f t="array" ref="DH14">_xll.EQNXTDZ($A$1,$B14,DH$1)</f>
        <v>1840.15</v>
      </c>
      <c r="DI14" s="116" cm="1">
        <f t="array" ref="DI14">_xll.EQNXTDZ($A$1,$B14,DI$1)</f>
        <v>1934</v>
      </c>
      <c r="DJ14" s="116" cm="1">
        <f t="array" ref="DJ14">_xll.EQNXTDZ($A$1,$B14,DJ$1)</f>
        <v>1941</v>
      </c>
      <c r="DK14" s="116" cm="1">
        <f t="array" ref="DK14">_xll.EQNXTDZ($A$1,$B14,DK$1)</f>
        <v>2152.5</v>
      </c>
      <c r="DL14" s="116" cm="1">
        <f t="array" ref="DL14">_xll.EQNXTDZ($A$1,$B14,DL$1)</f>
        <v>2232.9</v>
      </c>
      <c r="DM14" s="116" cm="1">
        <f t="array" ref="DM14">_xll.EQNXTDZ($A$1,$B14,DM$1)</f>
        <v>2370</v>
      </c>
      <c r="DN14" s="116" cm="1">
        <f t="array" ref="DN14">_xll.EQNXTDZ($A$1,$B14,DN$1)</f>
        <v>2469.6</v>
      </c>
      <c r="DO14" s="116" cm="1">
        <f t="array" ref="DO14">_xll.EQNXTDZ($A$1,$B14,DO$1)</f>
        <v>2377.6</v>
      </c>
      <c r="DP14" s="116" cm="1">
        <f t="array" ref="DP14">_xll.EQNXTDZ($A$1,$B14,DP$1)</f>
        <v>2237.5500000000002</v>
      </c>
      <c r="DQ14" s="116" cm="1">
        <f t="array" ref="DQ14">_xll.EQNXTDZ($A$1,$B14,DQ$1)</f>
        <v>2262</v>
      </c>
      <c r="DR14" s="116" cm="1">
        <f t="array" ref="DR14">_xll.EQNXTDZ($A$1,$B14,DR$1)</f>
        <v>2467</v>
      </c>
      <c r="DS14" s="116" cm="1">
        <f t="array" ref="DS14">_xll.EQNXTDZ($A$1,$B14,DS$1)</f>
        <v>2488.4499999999998</v>
      </c>
      <c r="DT14" s="116" cm="1">
        <f t="array" ref="DT14">_xll.EQNXTDZ($A$1,$B14,DT$1)</f>
        <v>2834.1</v>
      </c>
      <c r="DU14" s="116" cm="1">
        <f t="array" ref="DU14">_xll.EQNXTDZ($A$1,$B14,DU$1)</f>
        <v>3272.85</v>
      </c>
      <c r="DV14" s="116" cm="1">
        <f t="array" ref="DV14">_xll.EQNXTDZ($A$1,$B14,DV$1)</f>
        <v>3445.65</v>
      </c>
      <c r="DW14" s="116" cm="1">
        <f t="array" ref="DW14">_xll.EQNXTDZ($A$1,$B14,DW$1)</f>
        <v>3328</v>
      </c>
      <c r="DX14" s="116" cm="1">
        <f t="array" ref="DX14">_xll.EQNXTDZ($A$1,$B14,DX$1)</f>
        <v>3288.5</v>
      </c>
      <c r="DY14" s="116" cm="1">
        <f t="array" ref="DY14">_xll.EQNXTDZ($A$1,$B14,DY$1)</f>
        <v>3036</v>
      </c>
      <c r="DZ14" s="116" cm="1">
        <f t="array" ref="DZ14">_xll.EQNXTDZ($A$1,$B14,DZ$1)</f>
        <v>2979.25</v>
      </c>
      <c r="EA14" s="116" cm="1">
        <f t="array" ref="EA14">_xll.EQNXTDZ($A$1,$B14,EA$1)</f>
        <v>3245</v>
      </c>
      <c r="EB14" s="116" cm="1">
        <f t="array" ref="EB14">_xll.EQNXTDZ($A$1,$B14,EB$1)</f>
        <v>3433.7</v>
      </c>
      <c r="EC14" s="116" cm="1">
        <f t="array" ref="EC14">_xll.EQNXTDZ($A$1,$B14,EC$1)</f>
        <v>3466.9</v>
      </c>
      <c r="ED14" s="116" cm="1">
        <f t="array" ref="ED14">_xll.EQNXTDZ($A$1,$B14,ED$1)</f>
        <v>4290</v>
      </c>
      <c r="EE14" s="116" cm="1">
        <f t="array" ref="EE14">_xll.EQNXTDZ($A$1,$B14,EE$1)</f>
        <v>4444.5</v>
      </c>
      <c r="EF14" s="116" cm="1">
        <f t="array" ref="EF14">_xll.EQNXTDZ($A$1,$B14,EF$1)</f>
        <v>4615</v>
      </c>
      <c r="EG14" s="116" cm="1">
        <f t="array" ref="EG14">_xll.EQNXTDZ($A$1,$B14,EG$1)</f>
        <v>4581.05</v>
      </c>
      <c r="EH14" s="116" cm="1">
        <f t="array" ref="EH14">_xll.EQNXTDZ($A$1,$B14,EH$1)</f>
        <v>4675.8500000000004</v>
      </c>
      <c r="EI14" s="116" cm="1">
        <f t="array" ref="EI14">_xll.EQNXTDZ($A$1,$B14,EI$1)</f>
        <v>4339.8</v>
      </c>
      <c r="EJ14" s="116" cm="1">
        <f t="array" ref="EJ14">_xll.EQNXTDZ($A$1,$B14,EJ$1)</f>
        <v>4460</v>
      </c>
      <c r="EK14" s="116" cm="1">
        <f t="array" ref="EK14">_xll.EQNXTDZ($A$1,$B14,EK$1)</f>
        <v>4953.2</v>
      </c>
      <c r="EL14" s="116" cm="1">
        <f t="array" ref="EL14">_xll.EQNXTDZ($A$1,$B14,EL$1)</f>
        <v>4984.3</v>
      </c>
      <c r="EM14" s="116" cm="1">
        <f t="array" ref="EM14">_xll.EQNXTDZ($A$1,$B14,EM$1)</f>
        <v>5555</v>
      </c>
      <c r="EN14" s="116" cm="1">
        <f t="array" ref="EN14">_xll.EQNXTDZ($A$1,$B14,EN$1)</f>
        <v>6470</v>
      </c>
      <c r="EO14" s="116" cm="1">
        <f t="array" ref="EO14">_xll.EQNXTDZ($A$1,$B14,EO$1)</f>
        <v>6770.2</v>
      </c>
      <c r="EP14" s="116" cm="1">
        <f t="array" ref="EP14">_xll.EQNXTDZ($A$1,$B14,EP$1)</f>
        <v>8600</v>
      </c>
      <c r="EQ14" s="116" cm="1">
        <f t="array" ref="EQ14">_xll.EQNXTDZ($A$1,$B14,EQ$1)</f>
        <v>9200</v>
      </c>
      <c r="ER14" s="116" cm="1">
        <f t="array" ref="ER14">_xll.EQNXTDZ($A$1,$B14,ER$1)</f>
        <v>8809</v>
      </c>
      <c r="ES14" s="116" cm="1">
        <f t="array" ref="ES14">_xll.EQNXTDZ($A$1,$B14,ES$1)</f>
        <v>8273.9</v>
      </c>
      <c r="ET14" s="116" cm="1">
        <f t="array" ref="ET14">_xll.EQNXTDZ($A$1,$B14,ET$1)</f>
        <v>8214.9500000000007</v>
      </c>
      <c r="EU14" s="116" cm="1">
        <f t="array" ref="EU14">_xll.EQNXTDZ($A$1,$B14,EU$1)</f>
        <v>8941.4500000000007</v>
      </c>
      <c r="EV14" s="116" cm="1">
        <f t="array" ref="EV14">_xll.EQNXTDZ($A$1,$B14,EV$1)</f>
        <v>7540.45</v>
      </c>
      <c r="EW14" s="116" cm="1">
        <f t="array" ref="EW14">_xll.EQNXTDZ($A$1,$B14,EW$1)</f>
        <v>7959.9</v>
      </c>
      <c r="EX14" s="116" cm="1">
        <f t="array" ref="EX14">_xll.EQNXTDZ($A$1,$B14,EX$1)</f>
        <v>6947.45</v>
      </c>
      <c r="EY14" s="116" cm="1">
        <f t="array" ref="EY14">_xll.EQNXTDZ($A$1,$B14,EY$1)</f>
        <v>5939.85</v>
      </c>
      <c r="EZ14" s="116" cm="1">
        <f t="array" ref="EZ14">_xll.EQNXTDZ($A$1,$B14,EZ$1)</f>
        <v>5626</v>
      </c>
      <c r="FA14" s="116" cm="1">
        <f t="array" ref="FA14">_xll.EQNXTDZ($A$1,$B14,FA$1)</f>
        <v>5790</v>
      </c>
      <c r="FB14" s="116" cm="1">
        <f t="array" ref="FB14">_xll.EQNXTDZ($A$1,$B14,FB$1)</f>
        <v>6111</v>
      </c>
      <c r="FC14" s="116" cm="1">
        <f t="array" ref="FC14">_xll.EQNXTDZ($A$1,$B14,FC$1)</f>
        <v>6299.8</v>
      </c>
      <c r="FD14" s="116" cm="1">
        <f t="array" ref="FD14">_xll.EQNXTDZ($A$1,$B14,FD$1)</f>
        <v>6143.5</v>
      </c>
      <c r="FE14" s="116" cm="1">
        <f t="array" ref="FE14">_xll.EQNXTDZ($A$1,$B14,FE$1)</f>
        <v>5523.3</v>
      </c>
      <c r="FF14" s="116" cm="1">
        <f t="array" ref="FF14">_xll.EQNXTDZ($A$1,$B14,FF$1)</f>
        <v>5468.95</v>
      </c>
      <c r="FG14" s="116" cm="1">
        <f t="array" ref="FG14">_xll.EQNXTDZ($A$1,$B14,FG$1)</f>
        <v>5359.95</v>
      </c>
      <c r="FH14" s="116" cm="1">
        <f t="array" ref="FH14">_xll.EQNXTDZ($A$1,$B14,FH$1)</f>
        <v>5278</v>
      </c>
      <c r="FI14" s="116" cm="1">
        <f t="array" ref="FI14">_xll.EQNXTDZ($A$1,$B14,FI$1)</f>
        <v>5299</v>
      </c>
      <c r="FJ14" s="116" cm="1">
        <f t="array" ref="FJ14">_xll.EQNXTDZ($A$1,$B14,FJ$1)</f>
        <v>5608.35</v>
      </c>
      <c r="FK14" s="116" cm="1">
        <f t="array" ref="FK14">_xll.EQNXTDZ($A$1,$B14,FK$1)</f>
        <v>6246.75</v>
      </c>
      <c r="FL14" s="116" cm="1">
        <f t="array" ref="FL14">_xll.EQNXTDZ($A$1,$B14,FL$1)</f>
        <v>6555</v>
      </c>
      <c r="FM14" s="116" cm="1">
        <f t="array" ref="FM14">_xll.EQNXTDZ($A$1,$B14,FM$1)</f>
        <v>7824.95</v>
      </c>
      <c r="FN14" s="116" cm="1">
        <f t="array" ref="FN14">_xll.EQNXTDZ($A$1,$B14,FN$1)</f>
        <v>7365</v>
      </c>
      <c r="FO14" s="116" cm="1">
        <f t="array" ref="FO14">_xll.EQNXTDZ($A$1,$B14,FO$1)</f>
        <v>7328.75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822.25</v>
      </c>
      <c r="HQ14" s="116">
        <f>+MAX(G14:I14)</f>
        <v>830</v>
      </c>
      <c r="HR14" s="116">
        <f>+MAX(J14:L14)</f>
        <v>737</v>
      </c>
      <c r="HS14" s="116">
        <f>+MAX(M14:O14)</f>
        <v>694.4</v>
      </c>
      <c r="HT14" s="116">
        <f>+MAX(P14:R14)</f>
        <v>627.20000000000005</v>
      </c>
      <c r="HU14" s="116">
        <f>+MAX(S14:U14)</f>
        <v>720.2</v>
      </c>
      <c r="HV14" s="116">
        <f>+MAX(V14:X14)</f>
        <v>858</v>
      </c>
      <c r="HW14" s="116">
        <f>+MAX(Y14:AA14)</f>
        <v>1125</v>
      </c>
      <c r="HX14" s="116">
        <f>+MAX(AB14:AD14)</f>
        <v>1263.5</v>
      </c>
      <c r="HY14" s="116">
        <f>+MAX(AE14:AG14)</f>
        <v>1396.7</v>
      </c>
      <c r="HZ14" s="116">
        <f>+MAX(AH14:AJ14)</f>
        <v>1525</v>
      </c>
      <c r="IA14" s="116">
        <f>+MAX(AK14:AM14)</f>
        <v>1431.85</v>
      </c>
      <c r="IB14" s="116">
        <f>+MAX(AN14:AP14)</f>
        <v>1444.4</v>
      </c>
      <c r="IC14" s="116">
        <f>+MAX(AQ14:AS14)</f>
        <v>1299.05</v>
      </c>
      <c r="ID14" s="116">
        <f>+MAX(AT14:AV14)</f>
        <v>1295.1500000000001</v>
      </c>
      <c r="IE14" s="116">
        <f>+MAX(AW14:AY14)</f>
        <v>1432.7</v>
      </c>
      <c r="IF14" s="116">
        <f>+MAX(AZ14:BB14)</f>
        <v>1322.1</v>
      </c>
      <c r="IG14" s="116">
        <f>+MAX(BC14:BE14)</f>
        <v>1189</v>
      </c>
      <c r="IH14" s="116">
        <f>+MAX(BF14:BH14)</f>
        <v>1292.9000000000001</v>
      </c>
      <c r="II14" s="116">
        <f>+MAX(BI14:BK14)</f>
        <v>1619.45</v>
      </c>
      <c r="IJ14" s="116">
        <f>+MAX(BL14:BN14)</f>
        <v>1548.4</v>
      </c>
      <c r="IK14" s="116">
        <f>+MAX(BO14:BQ14)</f>
        <v>1444</v>
      </c>
      <c r="IL14" s="116">
        <f>+MAX(BR14:BT14)</f>
        <v>1744.4</v>
      </c>
      <c r="IM14" s="116">
        <f>+MAX(BU14:BW14)</f>
        <v>1380</v>
      </c>
      <c r="IN14" s="116">
        <f>+MAX(BX14:BZ14)</f>
        <v>1516.55</v>
      </c>
      <c r="IO14" s="116">
        <f>+MAX(CA14:CC14)</f>
        <v>1465</v>
      </c>
      <c r="IP14" s="116">
        <f>+MAX(CD14:CF14)</f>
        <v>1359</v>
      </c>
      <c r="IQ14" s="116">
        <f>+MAX(CG14:CI14)</f>
        <v>1639.7</v>
      </c>
      <c r="IR14" s="116">
        <f>+MAX(CJ14:CL14)</f>
        <v>1669</v>
      </c>
      <c r="IS14" s="116">
        <f>+MAX(CM14:CO14)</f>
        <v>1580.05</v>
      </c>
      <c r="IT14" s="116">
        <f>+MAX(CP14:CR14)</f>
        <v>1411.8</v>
      </c>
      <c r="IU14" s="116">
        <f>+MAX(CS14:CU14)</f>
        <v>1100</v>
      </c>
      <c r="IV14" s="116">
        <f>+MAX(CV14:CX14)</f>
        <v>1016.75</v>
      </c>
      <c r="IW14" s="116">
        <f>+MAX(CY14:DA14)</f>
        <v>1260</v>
      </c>
      <c r="IX14" s="116">
        <f>+MAX(DB14:DD14)</f>
        <v>1699.9</v>
      </c>
      <c r="IY14" s="116">
        <f>+MAX(DE14:DG14)</f>
        <v>1856.1</v>
      </c>
      <c r="IZ14" s="116">
        <f>+MAX(DH14:DJ14)</f>
        <v>1941</v>
      </c>
      <c r="JA14" s="116">
        <f>+MAX(DK14:DM14)</f>
        <v>2370</v>
      </c>
      <c r="JB14" s="116">
        <f>+MAX(DN14:DP14)</f>
        <v>2469.6</v>
      </c>
      <c r="JC14" s="116">
        <f>+MAX(DQ14:DS14)</f>
        <v>2488.4499999999998</v>
      </c>
      <c r="JD14" s="116">
        <f>+MAX(DT14:DV14)</f>
        <v>3445.65</v>
      </c>
      <c r="JE14" s="116">
        <f>+MAX(DW14:DY14)</f>
        <v>3328</v>
      </c>
      <c r="JF14" s="116">
        <f>+MAX(DZ14:EB14)</f>
        <v>3433.7</v>
      </c>
      <c r="JG14" s="116">
        <f>+MAX(EC14:EE14)</f>
        <v>4444.5</v>
      </c>
      <c r="JH14" s="116">
        <f>+MAX(EF14:EH14)</f>
        <v>4675.8500000000004</v>
      </c>
      <c r="JI14" s="116">
        <f>+MAX(EI14:EK14)</f>
        <v>4953.2</v>
      </c>
      <c r="JJ14" s="116">
        <f>+MAX(EL14:EN14)</f>
        <v>6470</v>
      </c>
      <c r="JK14" s="116">
        <f>MAX(EO14:EQ14)</f>
        <v>9200</v>
      </c>
      <c r="JL14" s="116">
        <f>MAX(ER14:ET14)</f>
        <v>8809</v>
      </c>
      <c r="JM14" s="116">
        <f>MAX(EU14:EW14)</f>
        <v>8941.4500000000007</v>
      </c>
      <c r="JN14" s="116">
        <f>MAX(EX14:EZ14)</f>
        <v>6947.45</v>
      </c>
      <c r="JO14" s="116">
        <f>MAX(FA14:FC14)</f>
        <v>6299.8</v>
      </c>
      <c r="JP14" s="116">
        <f>MAX(FD14:FF14)</f>
        <v>6143.5</v>
      </c>
      <c r="JQ14" s="116">
        <f>MAX(FG14:FI14)</f>
        <v>5359.95</v>
      </c>
      <c r="JR14" s="116">
        <f>MAX(FJ14:FL14)</f>
        <v>6555</v>
      </c>
      <c r="JS14" s="116">
        <f>MAX(FM14:FO14)</f>
        <v>7824.95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697.5</v>
      </c>
      <c r="D15" s="116" cm="1">
        <f t="array" ref="D15">_xll.EQNXTDZ($A$1,$B15,D$1)</f>
        <v>725.1</v>
      </c>
      <c r="E15" s="116" cm="1">
        <f t="array" ref="E15">_xll.EQNXTDZ($A$1,$B15,E$1)</f>
        <v>707.5</v>
      </c>
      <c r="F15" s="116" cm="1">
        <f t="array" ref="F15">_xll.EQNXTDZ($A$1,$B15,F$1)</f>
        <v>711.55</v>
      </c>
      <c r="G15" s="116" cm="1">
        <f t="array" ref="G15">_xll.EQNXTDZ($A$1,$B15,G$1)</f>
        <v>732</v>
      </c>
      <c r="H15" s="116" cm="1">
        <f t="array" ref="H15">_xll.EQNXTDZ($A$1,$B15,H$1)</f>
        <v>700</v>
      </c>
      <c r="I15" s="116" cm="1">
        <f t="array" ref="I15">_xll.EQNXTDZ($A$1,$B15,I$1)</f>
        <v>676.95</v>
      </c>
      <c r="J15" s="116" cm="1">
        <f t="array" ref="J15">_xll.EQNXTDZ($A$1,$B15,J$1)</f>
        <v>644</v>
      </c>
      <c r="K15" s="116" cm="1">
        <f t="array" ref="K15">_xll.EQNXTDZ($A$1,$B15,K$1)</f>
        <v>558.1</v>
      </c>
      <c r="L15" s="116" cm="1">
        <f t="array" ref="L15">_xll.EQNXTDZ($A$1,$B15,L$1)</f>
        <v>484.3</v>
      </c>
      <c r="M15" s="116" cm="1">
        <f t="array" ref="M15">_xll.EQNXTDZ($A$1,$B15,M$1)</f>
        <v>469</v>
      </c>
      <c r="N15" s="116" cm="1">
        <f t="array" ref="N15">_xll.EQNXTDZ($A$1,$B15,N$1)</f>
        <v>501</v>
      </c>
      <c r="O15" s="116" cm="1">
        <f t="array" ref="O15">_xll.EQNXTDZ($A$1,$B15,O$1)</f>
        <v>575</v>
      </c>
      <c r="P15" s="116" cm="1">
        <f t="array" ref="P15">_xll.EQNXTDZ($A$1,$B15,P$1)</f>
        <v>489.1</v>
      </c>
      <c r="Q15" s="116" cm="1">
        <f t="array" ref="Q15">_xll.EQNXTDZ($A$1,$B15,Q$1)</f>
        <v>448.1</v>
      </c>
      <c r="R15" s="116" cm="1">
        <f t="array" ref="R15">_xll.EQNXTDZ($A$1,$B15,R$1)</f>
        <v>450.1</v>
      </c>
      <c r="S15" s="116" cm="1">
        <f t="array" ref="S15">_xll.EQNXTDZ($A$1,$B15,S$1)</f>
        <v>535.15</v>
      </c>
      <c r="T15" s="116" cm="1">
        <f t="array" ref="T15">_xll.EQNXTDZ($A$1,$B15,T$1)</f>
        <v>580</v>
      </c>
      <c r="U15" s="116" cm="1">
        <f t="array" ref="U15">_xll.EQNXTDZ($A$1,$B15,U$1)</f>
        <v>642.79999999999995</v>
      </c>
      <c r="V15" s="116" cm="1">
        <f t="array" ref="V15">_xll.EQNXTDZ($A$1,$B15,V$1)</f>
        <v>568.04999999999995</v>
      </c>
      <c r="W15" s="116" cm="1">
        <f t="array" ref="W15">_xll.EQNXTDZ($A$1,$B15,W$1)</f>
        <v>570</v>
      </c>
      <c r="X15" s="116" cm="1">
        <f t="array" ref="X15">_xll.EQNXTDZ($A$1,$B15,X$1)</f>
        <v>710.05</v>
      </c>
      <c r="Y15" s="116" cm="1">
        <f t="array" ref="Y15">_xll.EQNXTDZ($A$1,$B15,Y$1)</f>
        <v>810.4</v>
      </c>
      <c r="Z15" s="116" cm="1">
        <f t="array" ref="Z15">_xll.EQNXTDZ($A$1,$B15,Z$1)</f>
        <v>807.3</v>
      </c>
      <c r="AA15" s="116" cm="1">
        <f t="array" ref="AA15">_xll.EQNXTDZ($A$1,$B15,AA$1)</f>
        <v>909</v>
      </c>
      <c r="AB15" s="116" cm="1">
        <f t="array" ref="AB15">_xll.EQNXTDZ($A$1,$B15,AB$1)</f>
        <v>1008.4</v>
      </c>
      <c r="AC15" s="116" cm="1">
        <f t="array" ref="AC15">_xll.EQNXTDZ($A$1,$B15,AC$1)</f>
        <v>956.1</v>
      </c>
      <c r="AD15" s="116" cm="1">
        <f t="array" ref="AD15">_xll.EQNXTDZ($A$1,$B15,AD$1)</f>
        <v>980.25</v>
      </c>
      <c r="AE15" s="116" cm="1">
        <f t="array" ref="AE15">_xll.EQNXTDZ($A$1,$B15,AE$1)</f>
        <v>988.25</v>
      </c>
      <c r="AF15" s="116" cm="1">
        <f t="array" ref="AF15">_xll.EQNXTDZ($A$1,$B15,AF$1)</f>
        <v>1065</v>
      </c>
      <c r="AG15" s="116" cm="1">
        <f t="array" ref="AG15">_xll.EQNXTDZ($A$1,$B15,AG$1)</f>
        <v>1091.05</v>
      </c>
      <c r="AH15" s="116" cm="1">
        <f t="array" ref="AH15">_xll.EQNXTDZ($A$1,$B15,AH$1)</f>
        <v>1250</v>
      </c>
      <c r="AI15" s="116" cm="1">
        <f t="array" ref="AI15">_xll.EQNXTDZ($A$1,$B15,AI$1)</f>
        <v>1250</v>
      </c>
      <c r="AJ15" s="116" cm="1">
        <f t="array" ref="AJ15">_xll.EQNXTDZ($A$1,$B15,AJ$1)</f>
        <v>1184</v>
      </c>
      <c r="AK15" s="116" cm="1">
        <f t="array" ref="AK15">_xll.EQNXTDZ($A$1,$B15,AK$1)</f>
        <v>1264.5</v>
      </c>
      <c r="AL15" s="116" cm="1">
        <f t="array" ref="AL15">_xll.EQNXTDZ($A$1,$B15,AL$1)</f>
        <v>1283.55</v>
      </c>
      <c r="AM15" s="116" cm="1">
        <f t="array" ref="AM15">_xll.EQNXTDZ($A$1,$B15,AM$1)</f>
        <v>1245</v>
      </c>
      <c r="AN15" s="116" cm="1">
        <f t="array" ref="AN15">_xll.EQNXTDZ($A$1,$B15,AN$1)</f>
        <v>1284</v>
      </c>
      <c r="AO15" s="116" cm="1">
        <f t="array" ref="AO15">_xll.EQNXTDZ($A$1,$B15,AO$1)</f>
        <v>1146.3</v>
      </c>
      <c r="AP15" s="116" cm="1">
        <f t="array" ref="AP15">_xll.EQNXTDZ($A$1,$B15,AP$1)</f>
        <v>1021.05</v>
      </c>
      <c r="AQ15" s="116" cm="1">
        <f t="array" ref="AQ15">_xll.EQNXTDZ($A$1,$B15,AQ$1)</f>
        <v>1045</v>
      </c>
      <c r="AR15" s="116" cm="1">
        <f t="array" ref="AR15">_xll.EQNXTDZ($A$1,$B15,AR$1)</f>
        <v>1150</v>
      </c>
      <c r="AS15" s="116" cm="1">
        <f t="array" ref="AS15">_xll.EQNXTDZ($A$1,$B15,AS$1)</f>
        <v>1092</v>
      </c>
      <c r="AT15" s="116" cm="1">
        <f t="array" ref="AT15">_xll.EQNXTDZ($A$1,$B15,AT$1)</f>
        <v>963.05</v>
      </c>
      <c r="AU15" s="116" cm="1">
        <f t="array" ref="AU15">_xll.EQNXTDZ($A$1,$B15,AU$1)</f>
        <v>975</v>
      </c>
      <c r="AV15" s="116" cm="1">
        <f t="array" ref="AV15">_xll.EQNXTDZ($A$1,$B15,AV$1)</f>
        <v>1014.25</v>
      </c>
      <c r="AW15" s="116" cm="1">
        <f t="array" ref="AW15">_xll.EQNXTDZ($A$1,$B15,AW$1)</f>
        <v>1240.5999999999999</v>
      </c>
      <c r="AX15" s="116" cm="1">
        <f t="array" ref="AX15">_xll.EQNXTDZ($A$1,$B15,AX$1)</f>
        <v>1185</v>
      </c>
      <c r="AY15" s="116" cm="1">
        <f t="array" ref="AY15">_xll.EQNXTDZ($A$1,$B15,AY$1)</f>
        <v>1182.75</v>
      </c>
      <c r="AZ15" s="116" cm="1">
        <f t="array" ref="AZ15">_xll.EQNXTDZ($A$1,$B15,AZ$1)</f>
        <v>1195.55</v>
      </c>
      <c r="BA15" s="116" cm="1">
        <f t="array" ref="BA15">_xll.EQNXTDZ($A$1,$B15,BA$1)</f>
        <v>1141</v>
      </c>
      <c r="BB15" s="116" cm="1">
        <f t="array" ref="BB15">_xll.EQNXTDZ($A$1,$B15,BB$1)</f>
        <v>1109.55</v>
      </c>
      <c r="BC15" s="116" cm="1">
        <f t="array" ref="BC15">_xll.EQNXTDZ($A$1,$B15,BC$1)</f>
        <v>1032.4000000000001</v>
      </c>
      <c r="BD15" s="116" cm="1">
        <f t="array" ref="BD15">_xll.EQNXTDZ($A$1,$B15,BD$1)</f>
        <v>950</v>
      </c>
      <c r="BE15" s="116" cm="1">
        <f t="array" ref="BE15">_xll.EQNXTDZ($A$1,$B15,BE$1)</f>
        <v>1017.2</v>
      </c>
      <c r="BF15" s="116" cm="1">
        <f t="array" ref="BF15">_xll.EQNXTDZ($A$1,$B15,BF$1)</f>
        <v>1029.55</v>
      </c>
      <c r="BG15" s="116" cm="1">
        <f t="array" ref="BG15">_xll.EQNXTDZ($A$1,$B15,BG$1)</f>
        <v>1091.75</v>
      </c>
      <c r="BH15" s="116" cm="1">
        <f t="array" ref="BH15">_xll.EQNXTDZ($A$1,$B15,BH$1)</f>
        <v>1178</v>
      </c>
      <c r="BI15" s="116" cm="1">
        <f t="array" ref="BI15">_xll.EQNXTDZ($A$1,$B15,BI$1)</f>
        <v>1280.7</v>
      </c>
      <c r="BJ15" s="116" cm="1">
        <f t="array" ref="BJ15">_xll.EQNXTDZ($A$1,$B15,BJ$1)</f>
        <v>1391.1</v>
      </c>
      <c r="BK15" s="116" cm="1">
        <f t="array" ref="BK15">_xll.EQNXTDZ($A$1,$B15,BK$1)</f>
        <v>1376.5</v>
      </c>
      <c r="BL15" s="116" cm="1">
        <f t="array" ref="BL15">_xll.EQNXTDZ($A$1,$B15,BL$1)</f>
        <v>1175</v>
      </c>
      <c r="BM15" s="116" cm="1">
        <f t="array" ref="BM15">_xll.EQNXTDZ($A$1,$B15,BM$1)</f>
        <v>1292.0999999999999</v>
      </c>
      <c r="BN15" s="116" cm="1">
        <f t="array" ref="BN15">_xll.EQNXTDZ($A$1,$B15,BN$1)</f>
        <v>1298.3499999999999</v>
      </c>
      <c r="BO15" s="116" cm="1">
        <f t="array" ref="BO15">_xll.EQNXTDZ($A$1,$B15,BO$1)</f>
        <v>1306.6500000000001</v>
      </c>
      <c r="BP15" s="116" cm="1">
        <f t="array" ref="BP15">_xll.EQNXTDZ($A$1,$B15,BP$1)</f>
        <v>1308</v>
      </c>
      <c r="BQ15" s="116" cm="1">
        <f t="array" ref="BQ15">_xll.EQNXTDZ($A$1,$B15,BQ$1)</f>
        <v>1335</v>
      </c>
      <c r="BR15" s="116" cm="1">
        <f t="array" ref="BR15">_xll.EQNXTDZ($A$1,$B15,BR$1)</f>
        <v>1391.2</v>
      </c>
      <c r="BS15" s="116" cm="1">
        <f t="array" ref="BS15">_xll.EQNXTDZ($A$1,$B15,BS$1)</f>
        <v>1469.45</v>
      </c>
      <c r="BT15" s="116" cm="1">
        <f t="array" ref="BT15">_xll.EQNXTDZ($A$1,$B15,BT$1)</f>
        <v>1267.1500000000001</v>
      </c>
      <c r="BU15" s="116" cm="1">
        <f t="array" ref="BU15">_xll.EQNXTDZ($A$1,$B15,BU$1)</f>
        <v>1245</v>
      </c>
      <c r="BV15" s="116" cm="1">
        <f t="array" ref="BV15">_xll.EQNXTDZ($A$1,$B15,BV$1)</f>
        <v>1156.5999999999999</v>
      </c>
      <c r="BW15" s="116" cm="1">
        <f t="array" ref="BW15">_xll.EQNXTDZ($A$1,$B15,BW$1)</f>
        <v>1123</v>
      </c>
      <c r="BX15" s="116" cm="1">
        <f t="array" ref="BX15">_xll.EQNXTDZ($A$1,$B15,BX$1)</f>
        <v>1130</v>
      </c>
      <c r="BY15" s="116" cm="1">
        <f t="array" ref="BY15">_xll.EQNXTDZ($A$1,$B15,BY$1)</f>
        <v>1163.55</v>
      </c>
      <c r="BZ15" s="116" cm="1">
        <f t="array" ref="BZ15">_xll.EQNXTDZ($A$1,$B15,BZ$1)</f>
        <v>1228.8499999999999</v>
      </c>
      <c r="CA15" s="116" cm="1">
        <f t="array" ref="CA15">_xll.EQNXTDZ($A$1,$B15,CA$1)</f>
        <v>1191</v>
      </c>
      <c r="CB15" s="116" cm="1">
        <f t="array" ref="CB15">_xll.EQNXTDZ($A$1,$B15,CB$1)</f>
        <v>1279.1500000000001</v>
      </c>
      <c r="CC15" s="116" cm="1">
        <f t="array" ref="CC15">_xll.EQNXTDZ($A$1,$B15,CC$1)</f>
        <v>1284</v>
      </c>
      <c r="CD15" s="116" cm="1">
        <f t="array" ref="CD15">_xll.EQNXTDZ($A$1,$B15,CD$1)</f>
        <v>1209.95</v>
      </c>
      <c r="CE15" s="116" cm="1">
        <f t="array" ref="CE15">_xll.EQNXTDZ($A$1,$B15,CE$1)</f>
        <v>1221.5</v>
      </c>
      <c r="CF15" s="116" cm="1">
        <f t="array" ref="CF15">_xll.EQNXTDZ($A$1,$B15,CF$1)</f>
        <v>1224.3</v>
      </c>
      <c r="CG15" s="116" cm="1">
        <f t="array" ref="CG15">_xll.EQNXTDZ($A$1,$B15,CG$1)</f>
        <v>1306.3499999999999</v>
      </c>
      <c r="CH15" s="116" cm="1">
        <f t="array" ref="CH15">_xll.EQNXTDZ($A$1,$B15,CH$1)</f>
        <v>1318.8</v>
      </c>
      <c r="CI15" s="116" cm="1">
        <f t="array" ref="CI15">_xll.EQNXTDZ($A$1,$B15,CI$1)</f>
        <v>1501.15</v>
      </c>
      <c r="CJ15" s="116" cm="1">
        <f t="array" ref="CJ15">_xll.EQNXTDZ($A$1,$B15,CJ$1)</f>
        <v>1340</v>
      </c>
      <c r="CK15" s="116" cm="1">
        <f t="array" ref="CK15">_xll.EQNXTDZ($A$1,$B15,CK$1)</f>
        <v>1313.2</v>
      </c>
      <c r="CL15" s="116" cm="1">
        <f t="array" ref="CL15">_xll.EQNXTDZ($A$1,$B15,CL$1)</f>
        <v>1307.0999999999999</v>
      </c>
      <c r="CM15" s="116" cm="1">
        <f t="array" ref="CM15">_xll.EQNXTDZ($A$1,$B15,CM$1)</f>
        <v>1442.5</v>
      </c>
      <c r="CN15" s="116" cm="1">
        <f t="array" ref="CN15">_xll.EQNXTDZ($A$1,$B15,CN$1)</f>
        <v>1405</v>
      </c>
      <c r="CO15" s="116" cm="1">
        <f t="array" ref="CO15">_xll.EQNXTDZ($A$1,$B15,CO$1)</f>
        <v>1230</v>
      </c>
      <c r="CP15" s="116" cm="1">
        <f t="array" ref="CP15">_xll.EQNXTDZ($A$1,$B15,CP$1)</f>
        <v>1271.0999999999999</v>
      </c>
      <c r="CQ15" s="116" cm="1">
        <f t="array" ref="CQ15">_xll.EQNXTDZ($A$1,$B15,CQ$1)</f>
        <v>1178.55</v>
      </c>
      <c r="CR15" s="116" cm="1">
        <f t="array" ref="CR15">_xll.EQNXTDZ($A$1,$B15,CR$1)</f>
        <v>795</v>
      </c>
      <c r="CS15" s="116" cm="1">
        <f t="array" ref="CS15">_xll.EQNXTDZ($A$1,$B15,CS$1)</f>
        <v>868.05</v>
      </c>
      <c r="CT15" s="116" cm="1">
        <f t="array" ref="CT15">_xll.EQNXTDZ($A$1,$B15,CT$1)</f>
        <v>722.45</v>
      </c>
      <c r="CU15" s="116" cm="1">
        <f t="array" ref="CU15">_xll.EQNXTDZ($A$1,$B15,CU$1)</f>
        <v>754</v>
      </c>
      <c r="CV15" s="116" cm="1">
        <f t="array" ref="CV15">_xll.EQNXTDZ($A$1,$B15,CV$1)</f>
        <v>863</v>
      </c>
      <c r="CW15" s="116" cm="1">
        <f t="array" ref="CW15">_xll.EQNXTDZ($A$1,$B15,CW$1)</f>
        <v>870</v>
      </c>
      <c r="CX15" s="116" cm="1">
        <f t="array" ref="CX15">_xll.EQNXTDZ($A$1,$B15,CX$1)</f>
        <v>848.5</v>
      </c>
      <c r="CY15" s="116" cm="1">
        <f t="array" ref="CY15">_xll.EQNXTDZ($A$1,$B15,CY$1)</f>
        <v>848.5</v>
      </c>
      <c r="CZ15" s="116" cm="1">
        <f t="array" ref="CZ15">_xll.EQNXTDZ($A$1,$B15,CZ$1)</f>
        <v>869</v>
      </c>
      <c r="DA15" s="116" cm="1">
        <f t="array" ref="DA15">_xll.EQNXTDZ($A$1,$B15,DA$1)</f>
        <v>1075</v>
      </c>
      <c r="DB15" s="116" cm="1">
        <f t="array" ref="DB15">_xll.EQNXTDZ($A$1,$B15,DB$1)</f>
        <v>1214.1500000000001</v>
      </c>
      <c r="DC15" s="116" cm="1">
        <f t="array" ref="DC15">_xll.EQNXTDZ($A$1,$B15,DC$1)</f>
        <v>1359.7</v>
      </c>
      <c r="DD15" s="116" cm="1">
        <f t="array" ref="DD15">_xll.EQNXTDZ($A$1,$B15,DD$1)</f>
        <v>1332</v>
      </c>
      <c r="DE15" s="116" cm="1">
        <f t="array" ref="DE15">_xll.EQNXTDZ($A$1,$B15,DE$1)</f>
        <v>1300</v>
      </c>
      <c r="DF15" s="116" cm="1">
        <f t="array" ref="DF15">_xll.EQNXTDZ($A$1,$B15,DF$1)</f>
        <v>1352.8</v>
      </c>
      <c r="DG15" s="116" cm="1">
        <f t="array" ref="DG15">_xll.EQNXTDZ($A$1,$B15,DG$1)</f>
        <v>1602</v>
      </c>
      <c r="DH15" s="116" cm="1">
        <f t="array" ref="DH15">_xll.EQNXTDZ($A$1,$B15,DH$1)</f>
        <v>1626.05</v>
      </c>
      <c r="DI15" s="116" cm="1">
        <f t="array" ref="DI15">_xll.EQNXTDZ($A$1,$B15,DI$1)</f>
        <v>1619.3</v>
      </c>
      <c r="DJ15" s="116" cm="1">
        <f t="array" ref="DJ15">_xll.EQNXTDZ($A$1,$B15,DJ$1)</f>
        <v>1792.4</v>
      </c>
      <c r="DK15" s="116" cm="1">
        <f t="array" ref="DK15">_xll.EQNXTDZ($A$1,$B15,DK$1)</f>
        <v>1801</v>
      </c>
      <c r="DL15" s="116" cm="1">
        <f t="array" ref="DL15">_xll.EQNXTDZ($A$1,$B15,DL$1)</f>
        <v>1955.15</v>
      </c>
      <c r="DM15" s="116" cm="1">
        <f t="array" ref="DM15">_xll.EQNXTDZ($A$1,$B15,DM$1)</f>
        <v>1997.3</v>
      </c>
      <c r="DN15" s="116" cm="1">
        <f t="array" ref="DN15">_xll.EQNXTDZ($A$1,$B15,DN$1)</f>
        <v>2138.4499999999998</v>
      </c>
      <c r="DO15" s="116" cm="1">
        <f t="array" ref="DO15">_xll.EQNXTDZ($A$1,$B15,DO$1)</f>
        <v>1979.5</v>
      </c>
      <c r="DP15" s="116" cm="1">
        <f t="array" ref="DP15">_xll.EQNXTDZ($A$1,$B15,DP$1)</f>
        <v>1944.6</v>
      </c>
      <c r="DQ15" s="116" cm="1">
        <f t="array" ref="DQ15">_xll.EQNXTDZ($A$1,$B15,DQ$1)</f>
        <v>2025</v>
      </c>
      <c r="DR15" s="116" cm="1">
        <f t="array" ref="DR15">_xll.EQNXTDZ($A$1,$B15,DR$1)</f>
        <v>2001</v>
      </c>
      <c r="DS15" s="116" cm="1">
        <f t="array" ref="DS15">_xll.EQNXTDZ($A$1,$B15,DS$1)</f>
        <v>2121</v>
      </c>
      <c r="DT15" s="116" cm="1">
        <f t="array" ref="DT15">_xll.EQNXTDZ($A$1,$B15,DT$1)</f>
        <v>2261.0500000000002</v>
      </c>
      <c r="DU15" s="116" cm="1">
        <f t="array" ref="DU15">_xll.EQNXTDZ($A$1,$B15,DU$1)</f>
        <v>2643.95</v>
      </c>
      <c r="DV15" s="116" cm="1">
        <f t="array" ref="DV15">_xll.EQNXTDZ($A$1,$B15,DV$1)</f>
        <v>2967.75</v>
      </c>
      <c r="DW15" s="116" cm="1">
        <f t="array" ref="DW15">_xll.EQNXTDZ($A$1,$B15,DW$1)</f>
        <v>2945.3</v>
      </c>
      <c r="DX15" s="116" cm="1">
        <f t="array" ref="DX15">_xll.EQNXTDZ($A$1,$B15,DX$1)</f>
        <v>2978.6</v>
      </c>
      <c r="DY15" s="116" cm="1">
        <f t="array" ref="DY15">_xll.EQNXTDZ($A$1,$B15,DY$1)</f>
        <v>2640.45</v>
      </c>
      <c r="DZ15" s="116" cm="1">
        <f t="array" ref="DZ15">_xll.EQNXTDZ($A$1,$B15,DZ$1)</f>
        <v>2662.95</v>
      </c>
      <c r="EA15" s="116" cm="1">
        <f t="array" ref="EA15">_xll.EQNXTDZ($A$1,$B15,EA$1)</f>
        <v>2754.85</v>
      </c>
      <c r="EB15" s="116" cm="1">
        <f t="array" ref="EB15">_xll.EQNXTDZ($A$1,$B15,EB$1)</f>
        <v>3209.45</v>
      </c>
      <c r="EC15" s="116" cm="1">
        <f t="array" ref="EC15">_xll.EQNXTDZ($A$1,$B15,EC$1)</f>
        <v>3143.2</v>
      </c>
      <c r="ED15" s="116" cm="1">
        <f t="array" ref="ED15">_xll.EQNXTDZ($A$1,$B15,ED$1)</f>
        <v>3391.15</v>
      </c>
      <c r="EE15" s="116" cm="1">
        <f t="array" ref="EE15">_xll.EQNXTDZ($A$1,$B15,EE$1)</f>
        <v>3926.8</v>
      </c>
      <c r="EF15" s="116" cm="1">
        <f t="array" ref="EF15">_xll.EQNXTDZ($A$1,$B15,EF$1)</f>
        <v>4141</v>
      </c>
      <c r="EG15" s="116" cm="1">
        <f t="array" ref="EG15">_xll.EQNXTDZ($A$1,$B15,EG$1)</f>
        <v>4224</v>
      </c>
      <c r="EH15" s="116" cm="1">
        <f t="array" ref="EH15">_xll.EQNXTDZ($A$1,$B15,EH$1)</f>
        <v>4089.65</v>
      </c>
      <c r="EI15" s="116" cm="1">
        <f t="array" ref="EI15">_xll.EQNXTDZ($A$1,$B15,EI$1)</f>
        <v>3847.5</v>
      </c>
      <c r="EJ15" s="116" cm="1">
        <f t="array" ref="EJ15">_xll.EQNXTDZ($A$1,$B15,EJ$1)</f>
        <v>4046.7</v>
      </c>
      <c r="EK15" s="116" cm="1">
        <f t="array" ref="EK15">_xll.EQNXTDZ($A$1,$B15,EK$1)</f>
        <v>4376</v>
      </c>
      <c r="EL15" s="116" cm="1">
        <f t="array" ref="EL15">_xll.EQNXTDZ($A$1,$B15,EL$1)</f>
        <v>4601</v>
      </c>
      <c r="EM15" s="116" cm="1">
        <f t="array" ref="EM15">_xll.EQNXTDZ($A$1,$B15,EM$1)</f>
        <v>4342.1499999999996</v>
      </c>
      <c r="EN15" s="116" cm="1">
        <f t="array" ref="EN15">_xll.EQNXTDZ($A$1,$B15,EN$1)</f>
        <v>5450.25</v>
      </c>
      <c r="EO15" s="116" cm="1">
        <f t="array" ref="EO15">_xll.EQNXTDZ($A$1,$B15,EO$1)</f>
        <v>6247.45</v>
      </c>
      <c r="EP15" s="116" cm="1">
        <f t="array" ref="EP15">_xll.EQNXTDZ($A$1,$B15,EP$1)</f>
        <v>6550</v>
      </c>
      <c r="EQ15" s="116" cm="1">
        <f t="array" ref="EQ15">_xll.EQNXTDZ($A$1,$B15,EQ$1)</f>
        <v>6989.75</v>
      </c>
      <c r="ER15" s="116" cm="1">
        <f t="array" ref="ER15">_xll.EQNXTDZ($A$1,$B15,ER$1)</f>
        <v>7067.8</v>
      </c>
      <c r="ES15" s="116" cm="1">
        <f t="array" ref="ES15">_xll.EQNXTDZ($A$1,$B15,ES$1)</f>
        <v>7235.15</v>
      </c>
      <c r="ET15" s="116" cm="1">
        <f t="array" ref="ET15">_xll.EQNXTDZ($A$1,$B15,ET$1)</f>
        <v>7350.05</v>
      </c>
      <c r="EU15" s="116" cm="1">
        <f t="array" ref="EU15">_xll.EQNXTDZ($A$1,$B15,EU$1)</f>
        <v>7198.45</v>
      </c>
      <c r="EV15" s="116" cm="1">
        <f t="array" ref="EV15">_xll.EQNXTDZ($A$1,$B15,EV$1)</f>
        <v>6606.2</v>
      </c>
      <c r="EW15" s="116" cm="1">
        <f t="array" ref="EW15">_xll.EQNXTDZ($A$1,$B15,EW$1)</f>
        <v>6671.1</v>
      </c>
      <c r="EX15" s="116" cm="1">
        <f t="array" ref="EX15">_xll.EQNXTDZ($A$1,$B15,EX$1)</f>
        <v>5680</v>
      </c>
      <c r="EY15" s="116" cm="1">
        <f t="array" ref="EY15">_xll.EQNXTDZ($A$1,$B15,EY$1)</f>
        <v>4916.3500000000004</v>
      </c>
      <c r="EZ15" s="116" cm="1">
        <f t="array" ref="EZ15">_xll.EQNXTDZ($A$1,$B15,EZ$1)</f>
        <v>4893.1000000000004</v>
      </c>
      <c r="FA15" s="116" cm="1">
        <f t="array" ref="FA15">_xll.EQNXTDZ($A$1,$B15,FA$1)</f>
        <v>4590.05</v>
      </c>
      <c r="FB15" s="116" cm="1">
        <f t="array" ref="FB15">_xll.EQNXTDZ($A$1,$B15,FB$1)</f>
        <v>5070.3</v>
      </c>
      <c r="FC15" s="116" cm="1">
        <f t="array" ref="FC15">_xll.EQNXTDZ($A$1,$B15,FC$1)</f>
        <v>5701.05</v>
      </c>
      <c r="FD15" s="116" cm="1">
        <f t="array" ref="FD15">_xll.EQNXTDZ($A$1,$B15,FD$1)</f>
        <v>5451.2</v>
      </c>
      <c r="FE15" s="116" cm="1">
        <f t="array" ref="FE15">_xll.EQNXTDZ($A$1,$B15,FE$1)</f>
        <v>4940.5</v>
      </c>
      <c r="FF15" s="116" cm="1">
        <f t="array" ref="FF15">_xll.EQNXTDZ($A$1,$B15,FF$1)</f>
        <v>5017.6000000000004</v>
      </c>
      <c r="FG15" s="116" cm="1">
        <f t="array" ref="FG15">_xll.EQNXTDZ($A$1,$B15,FG$1)</f>
        <v>5076</v>
      </c>
      <c r="FH15" s="116" cm="1">
        <f t="array" ref="FH15">_xll.EQNXTDZ($A$1,$B15,FH$1)</f>
        <v>4896</v>
      </c>
      <c r="FI15" s="116" cm="1">
        <f t="array" ref="FI15">_xll.EQNXTDZ($A$1,$B15,FI$1)</f>
        <v>4982.8</v>
      </c>
      <c r="FJ15" s="116" cm="1">
        <f t="array" ref="FJ15">_xll.EQNXTDZ($A$1,$B15,FJ$1)</f>
        <v>4640.5</v>
      </c>
      <c r="FK15" s="116" cm="1">
        <f t="array" ref="FK15">_xll.EQNXTDZ($A$1,$B15,FK$1)</f>
        <v>5257.7</v>
      </c>
      <c r="FL15" s="116" cm="1">
        <f t="array" ref="FL15">_xll.EQNXTDZ($A$1,$B15,FL$1)</f>
        <v>5470.8</v>
      </c>
      <c r="FM15" s="116" cm="1">
        <f t="array" ref="FM15">_xll.EQNXTDZ($A$1,$B15,FM$1)</f>
        <v>5917.95</v>
      </c>
      <c r="FN15" s="116" cm="1">
        <f t="array" ref="FN15">_xll.EQNXTDZ($A$1,$B15,FN$1)</f>
        <v>6171.7</v>
      </c>
      <c r="FO15" s="116" cm="1">
        <f t="array" ref="FO15">_xll.EQNXTDZ($A$1,$B15,FO$1)</f>
        <v>6651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707.5</v>
      </c>
      <c r="HQ15" s="116">
        <f>+MIN(G15:I15)</f>
        <v>676.95</v>
      </c>
      <c r="HR15" s="116">
        <f>+MIN(J15:L15)</f>
        <v>484.3</v>
      </c>
      <c r="HS15" s="116">
        <f>+MIN(M15:O15)</f>
        <v>469</v>
      </c>
      <c r="HT15" s="116">
        <f>+MIN(P15:R15)</f>
        <v>448.1</v>
      </c>
      <c r="HU15" s="116">
        <f>+MIN(S15:U15)</f>
        <v>535.15</v>
      </c>
      <c r="HV15" s="116">
        <f>+MIN(V15:X15)</f>
        <v>568.04999999999995</v>
      </c>
      <c r="HW15" s="116">
        <f>+MIN(Y15:AA15)</f>
        <v>807.3</v>
      </c>
      <c r="HX15" s="116">
        <f>+MIN(AB15:AD15)</f>
        <v>956.1</v>
      </c>
      <c r="HY15" s="116">
        <f>+MIN(AE15:AG15)</f>
        <v>988.25</v>
      </c>
      <c r="HZ15" s="116">
        <f>+MIN(AH15:AJ15)</f>
        <v>1184</v>
      </c>
      <c r="IA15" s="116">
        <f>+MIN(AK15:AM15)</f>
        <v>1245</v>
      </c>
      <c r="IB15" s="116">
        <f>+MIN(AN15:AP15)</f>
        <v>1021.05</v>
      </c>
      <c r="IC15" s="116">
        <f>+MIN(AQ15:AS15)</f>
        <v>1045</v>
      </c>
      <c r="ID15" s="116">
        <f>+MIN(AT15:AV15)</f>
        <v>963.05</v>
      </c>
      <c r="IE15" s="116">
        <f>+MIN(AW15:AY15)</f>
        <v>1182.75</v>
      </c>
      <c r="IF15" s="116">
        <f>+MIN(AZ15:BB15)</f>
        <v>1109.55</v>
      </c>
      <c r="IG15" s="116">
        <f>+MIN(BC15:BE15)</f>
        <v>950</v>
      </c>
      <c r="IH15" s="116">
        <f>+MIN(BF15:BH15)</f>
        <v>1029.55</v>
      </c>
      <c r="II15" s="116">
        <f>+MIN(BI15:BK15)</f>
        <v>1280.7</v>
      </c>
      <c r="IJ15" s="116">
        <f>+MIN(BL15:BN15)</f>
        <v>1175</v>
      </c>
      <c r="IK15" s="116">
        <f>+MIN(BO15:BQ15)</f>
        <v>1306.6500000000001</v>
      </c>
      <c r="IL15" s="116">
        <f>+MIN(BR15:BT15)</f>
        <v>1267.1500000000001</v>
      </c>
      <c r="IM15" s="116">
        <f>+MIN(BU15:BW15)</f>
        <v>1123</v>
      </c>
      <c r="IN15" s="116">
        <f>+MIN(BX15:BZ15)</f>
        <v>1130</v>
      </c>
      <c r="IO15" s="116">
        <f>+MIN(CA15:CC15)</f>
        <v>1191</v>
      </c>
      <c r="IP15" s="116">
        <f>+MIN(CD15:CF15)</f>
        <v>1209.95</v>
      </c>
      <c r="IQ15" s="116">
        <f>+MIN(CG15:CI15)</f>
        <v>1306.3499999999999</v>
      </c>
      <c r="IR15" s="116">
        <f>+MIN(CJ15:CL15)</f>
        <v>1307.0999999999999</v>
      </c>
      <c r="IS15" s="116">
        <f>+MIN(CM15:CO15)</f>
        <v>1230</v>
      </c>
      <c r="IT15" s="116">
        <f>+MIN(CP15:CR15)</f>
        <v>795</v>
      </c>
      <c r="IU15" s="116">
        <f>+MIN(CS15:CU15)</f>
        <v>722.45</v>
      </c>
      <c r="IV15" s="116">
        <f>+MIN(CV15:CX15)</f>
        <v>848.5</v>
      </c>
      <c r="IW15" s="116">
        <f>+MIN(CY15:DA15)</f>
        <v>848.5</v>
      </c>
      <c r="IX15" s="116">
        <f>+MIN(DB15:DD15)</f>
        <v>1214.1500000000001</v>
      </c>
      <c r="IY15" s="116">
        <f>+MIN(DE15:DG15)</f>
        <v>1300</v>
      </c>
      <c r="IZ15" s="116">
        <f>+MIN(DH15:DJ15)</f>
        <v>1619.3</v>
      </c>
      <c r="JA15" s="116">
        <f>+MIN(DK15:DM15)</f>
        <v>1801</v>
      </c>
      <c r="JB15" s="116">
        <f>+MIN(DN15:DP15)</f>
        <v>1944.6</v>
      </c>
      <c r="JC15" s="116">
        <f>+MIN(DQ15:DS15)</f>
        <v>2001</v>
      </c>
      <c r="JD15" s="116">
        <f>+MIN(DT15:DV15)</f>
        <v>2261.0500000000002</v>
      </c>
      <c r="JE15" s="116">
        <f>+MIN(DW15:DY15)</f>
        <v>2640.45</v>
      </c>
      <c r="JF15" s="116">
        <f>+MIN(DZ15:EB15)</f>
        <v>2662.95</v>
      </c>
      <c r="JG15" s="116">
        <f>+MIN(EC15:EE15)</f>
        <v>3143.2</v>
      </c>
      <c r="JH15" s="116">
        <f>+MIN(EF15:EH15)</f>
        <v>4089.65</v>
      </c>
      <c r="JI15" s="116">
        <f>+MIN(EI15:EK15)</f>
        <v>3847.5</v>
      </c>
      <c r="JJ15" s="116">
        <f>+MIN(EL15:EN15)</f>
        <v>4342.1499999999996</v>
      </c>
      <c r="JK15" s="116">
        <f>MIN(EO15:EQ15)</f>
        <v>6247.45</v>
      </c>
      <c r="JL15" s="116">
        <f>MIN(ER15:ET15)</f>
        <v>7067.8</v>
      </c>
      <c r="JM15" s="116">
        <f>MIN(EU15:EW15)</f>
        <v>6606.2</v>
      </c>
      <c r="JN15" s="116">
        <f>MIN(EX15:EZ15)</f>
        <v>4893.1000000000004</v>
      </c>
      <c r="JO15" s="116">
        <f>MIN(FA15:FC15)</f>
        <v>4590.05</v>
      </c>
      <c r="JP15" s="116">
        <f>MIN(FD15:FF15)</f>
        <v>4940.5</v>
      </c>
      <c r="JQ15" s="116">
        <f>MIN(FG15:FI15)</f>
        <v>4896</v>
      </c>
      <c r="JR15" s="116">
        <f>MIN(FJ15:FL15)</f>
        <v>4640.5</v>
      </c>
      <c r="JS15" s="116">
        <f>MIN(FM15:FO15)</f>
        <v>5917.95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800.8</v>
      </c>
      <c r="D16" s="116" cm="1">
        <f t="array" ref="D16">_xll.EQNXTDZ($A$1,$B16,D$1)</f>
        <v>792.6</v>
      </c>
      <c r="E16" s="116" cm="1">
        <f t="array" ref="E16">_xll.EQNXTDZ($A$1,$B16,E$1)</f>
        <v>715.35</v>
      </c>
      <c r="F16" s="116" cm="1">
        <f t="array" ref="F16">_xll.EQNXTDZ($A$1,$B16,F$1)</f>
        <v>797.75</v>
      </c>
      <c r="G16" s="116" cm="1">
        <f t="array" ref="G16">_xll.EQNXTDZ($A$1,$B16,G$1)</f>
        <v>737.35</v>
      </c>
      <c r="H16" s="116" cm="1">
        <f t="array" ref="H16">_xll.EQNXTDZ($A$1,$B16,H$1)</f>
        <v>712.85</v>
      </c>
      <c r="I16" s="116" cm="1">
        <f t="array" ref="I16">_xll.EQNXTDZ($A$1,$B16,I$1)</f>
        <v>700.4</v>
      </c>
      <c r="J16" s="116" cm="1">
        <f t="array" ref="J16">_xll.EQNXTDZ($A$1,$B16,J$1)</f>
        <v>650.9</v>
      </c>
      <c r="K16" s="116" cm="1">
        <f t="array" ref="K16">_xll.EQNXTDZ($A$1,$B16,K$1)</f>
        <v>570.85</v>
      </c>
      <c r="L16" s="116" cm="1">
        <f t="array" ref="L16">_xll.EQNXTDZ($A$1,$B16,L$1)</f>
        <v>489.2</v>
      </c>
      <c r="M16" s="116" cm="1">
        <f t="array" ref="M16">_xll.EQNXTDZ($A$1,$B16,M$1)</f>
        <v>519.54999999999995</v>
      </c>
      <c r="N16" s="116" cm="1">
        <f t="array" ref="N16">_xll.EQNXTDZ($A$1,$B16,N$1)</f>
        <v>640.85</v>
      </c>
      <c r="O16" s="116" cm="1">
        <f t="array" ref="O16">_xll.EQNXTDZ($A$1,$B16,O$1)</f>
        <v>610.85</v>
      </c>
      <c r="P16" s="116" cm="1">
        <f t="array" ref="P16">_xll.EQNXTDZ($A$1,$B16,P$1)</f>
        <v>501</v>
      </c>
      <c r="Q16" s="116" cm="1">
        <f t="array" ref="Q16">_xll.EQNXTDZ($A$1,$B16,Q$1)</f>
        <v>449.9</v>
      </c>
      <c r="R16" s="116" cm="1">
        <f t="array" ref="R16">_xll.EQNXTDZ($A$1,$B16,R$1)</f>
        <v>543.9</v>
      </c>
      <c r="S16" s="116" cm="1">
        <f t="array" ref="S16">_xll.EQNXTDZ($A$1,$B16,S$1)</f>
        <v>628.5</v>
      </c>
      <c r="T16" s="116" cm="1">
        <f t="array" ref="T16">_xll.EQNXTDZ($A$1,$B16,T$1)</f>
        <v>673.15</v>
      </c>
      <c r="U16" s="116" cm="1">
        <f t="array" ref="U16">_xll.EQNXTDZ($A$1,$B16,U$1)</f>
        <v>692.8</v>
      </c>
      <c r="V16" s="116" cm="1">
        <f t="array" ref="V16">_xll.EQNXTDZ($A$1,$B16,V$1)</f>
        <v>579.54999999999995</v>
      </c>
      <c r="W16" s="116" cm="1">
        <f t="array" ref="W16">_xll.EQNXTDZ($A$1,$B16,W$1)</f>
        <v>716.25</v>
      </c>
      <c r="X16" s="116" cm="1">
        <f t="array" ref="X16">_xll.EQNXTDZ($A$1,$B16,X$1)</f>
        <v>849.95</v>
      </c>
      <c r="Y16" s="116" cm="1">
        <f t="array" ref="Y16">_xll.EQNXTDZ($A$1,$B16,Y$1)</f>
        <v>840.45</v>
      </c>
      <c r="Z16" s="116" cm="1">
        <f t="array" ref="Z16">_xll.EQNXTDZ($A$1,$B16,Z$1)</f>
        <v>904.35</v>
      </c>
      <c r="AA16" s="116" cm="1">
        <f t="array" ref="AA16">_xll.EQNXTDZ($A$1,$B16,AA$1)</f>
        <v>1122.05</v>
      </c>
      <c r="AB16" s="116" cm="1">
        <f t="array" ref="AB16">_xll.EQNXTDZ($A$1,$B16,AB$1)</f>
        <v>1040.9000000000001</v>
      </c>
      <c r="AC16" s="116" cm="1">
        <f t="array" ref="AC16">_xll.EQNXTDZ($A$1,$B16,AC$1)</f>
        <v>982.65</v>
      </c>
      <c r="AD16" s="116" cm="1">
        <f t="array" ref="AD16">_xll.EQNXTDZ($A$1,$B16,AD$1)</f>
        <v>1147.3</v>
      </c>
      <c r="AE16" s="116" cm="1">
        <f t="array" ref="AE16">_xll.EQNXTDZ($A$1,$B16,AE$1)</f>
        <v>1166.75</v>
      </c>
      <c r="AF16" s="116" cm="1">
        <f t="array" ref="AF16">_xll.EQNXTDZ($A$1,$B16,AF$1)</f>
        <v>1110.8</v>
      </c>
      <c r="AG16" s="116" cm="1">
        <f t="array" ref="AG16">_xll.EQNXTDZ($A$1,$B16,AG$1)</f>
        <v>1286.2</v>
      </c>
      <c r="AH16" s="116" cm="1">
        <f t="array" ref="AH16">_xll.EQNXTDZ($A$1,$B16,AH$1)</f>
        <v>1284.8</v>
      </c>
      <c r="AI16" s="116" cm="1">
        <f t="array" ref="AI16">_xll.EQNXTDZ($A$1,$B16,AI$1)</f>
        <v>1395.2</v>
      </c>
      <c r="AJ16" s="116" cm="1">
        <f t="array" ref="AJ16">_xll.EQNXTDZ($A$1,$B16,AJ$1)</f>
        <v>1257</v>
      </c>
      <c r="AK16" s="116" cm="1">
        <f t="array" ref="AK16">_xll.EQNXTDZ($A$1,$B16,AK$1)</f>
        <v>1331.95</v>
      </c>
      <c r="AL16" s="116" cm="1">
        <f t="array" ref="AL16">_xll.EQNXTDZ($A$1,$B16,AL$1)</f>
        <v>1340</v>
      </c>
      <c r="AM16" s="116" cm="1">
        <f t="array" ref="AM16">_xll.EQNXTDZ($A$1,$B16,AM$1)</f>
        <v>1322.75</v>
      </c>
      <c r="AN16" s="116" cm="1">
        <f t="array" ref="AN16">_xll.EQNXTDZ($A$1,$B16,AN$1)</f>
        <v>1383.55</v>
      </c>
      <c r="AO16" s="116" cm="1">
        <f t="array" ref="AO16">_xll.EQNXTDZ($A$1,$B16,AO$1)</f>
        <v>1226.9000000000001</v>
      </c>
      <c r="AP16" s="116" cm="1">
        <f t="array" ref="AP16">_xll.EQNXTDZ($A$1,$B16,AP$1)</f>
        <v>1057.9000000000001</v>
      </c>
      <c r="AQ16" s="116" cm="1">
        <f t="array" ref="AQ16">_xll.EQNXTDZ($A$1,$B16,AQ$1)</f>
        <v>1234.9000000000001</v>
      </c>
      <c r="AR16" s="116" cm="1">
        <f t="array" ref="AR16">_xll.EQNXTDZ($A$1,$B16,AR$1)</f>
        <v>1170.5999999999999</v>
      </c>
      <c r="AS16" s="116" cm="1">
        <f t="array" ref="AS16">_xll.EQNXTDZ($A$1,$B16,AS$1)</f>
        <v>1118.0999999999999</v>
      </c>
      <c r="AT16" s="116" cm="1">
        <f t="array" ref="AT16">_xll.EQNXTDZ($A$1,$B16,AT$1)</f>
        <v>973</v>
      </c>
      <c r="AU16" s="116" cm="1">
        <f t="array" ref="AU16">_xll.EQNXTDZ($A$1,$B16,AU$1)</f>
        <v>1015.3</v>
      </c>
      <c r="AV16" s="116" cm="1">
        <f t="array" ref="AV16">_xll.EQNXTDZ($A$1,$B16,AV$1)</f>
        <v>1276.5</v>
      </c>
      <c r="AW16" s="116" cm="1">
        <f t="array" ref="AW16">_xll.EQNXTDZ($A$1,$B16,AW$1)</f>
        <v>1291.5999999999999</v>
      </c>
      <c r="AX16" s="116" cm="1">
        <f t="array" ref="AX16">_xll.EQNXTDZ($A$1,$B16,AX$1)</f>
        <v>1231.3</v>
      </c>
      <c r="AY16" s="116" cm="1">
        <f t="array" ref="AY16">_xll.EQNXTDZ($A$1,$B16,AY$1)</f>
        <v>1224.7</v>
      </c>
      <c r="AZ16" s="116" cm="1">
        <f t="array" ref="AZ16">_xll.EQNXTDZ($A$1,$B16,AZ$1)</f>
        <v>1260.45</v>
      </c>
      <c r="BA16" s="116" cm="1">
        <f t="array" ref="BA16">_xll.EQNXTDZ($A$1,$B16,BA$1)</f>
        <v>1161</v>
      </c>
      <c r="BB16" s="116" cm="1">
        <f t="array" ref="BB16">_xll.EQNXTDZ($A$1,$B16,BB$1)</f>
        <v>1134.7</v>
      </c>
      <c r="BC16" s="116" cm="1">
        <f t="array" ref="BC16">_xll.EQNXTDZ($A$1,$B16,BC$1)</f>
        <v>1100</v>
      </c>
      <c r="BD16" s="116" cm="1">
        <f t="array" ref="BD16">_xll.EQNXTDZ($A$1,$B16,BD$1)</f>
        <v>1060.2</v>
      </c>
      <c r="BE16" s="116" cm="1">
        <f t="array" ref="BE16">_xll.EQNXTDZ($A$1,$B16,BE$1)</f>
        <v>1039.0999999999999</v>
      </c>
      <c r="BF16" s="116" cm="1">
        <f t="array" ref="BF16">_xll.EQNXTDZ($A$1,$B16,BF$1)</f>
        <v>1094.2</v>
      </c>
      <c r="BG16" s="116" cm="1">
        <f t="array" ref="BG16">_xll.EQNXTDZ($A$1,$B16,BG$1)</f>
        <v>1199.9000000000001</v>
      </c>
      <c r="BH16" s="116" cm="1">
        <f t="array" ref="BH16">_xll.EQNXTDZ($A$1,$B16,BH$1)</f>
        <v>1279.6500000000001</v>
      </c>
      <c r="BI16" s="116" cm="1">
        <f t="array" ref="BI16">_xll.EQNXTDZ($A$1,$B16,BI$1)</f>
        <v>1410.45</v>
      </c>
      <c r="BJ16" s="116" cm="1">
        <f t="array" ref="BJ16">_xll.EQNXTDZ($A$1,$B16,BJ$1)</f>
        <v>1459.65</v>
      </c>
      <c r="BK16" s="116" cm="1">
        <f t="array" ref="BK16">_xll.EQNXTDZ($A$1,$B16,BK$1)</f>
        <v>1451.1</v>
      </c>
      <c r="BL16" s="116" cm="1">
        <f t="array" ref="BL16">_xll.EQNXTDZ($A$1,$B16,BL$1)</f>
        <v>1427.6</v>
      </c>
      <c r="BM16" s="116" cm="1">
        <f t="array" ref="BM16">_xll.EQNXTDZ($A$1,$B16,BM$1)</f>
        <v>1343.75</v>
      </c>
      <c r="BN16" s="116" cm="1">
        <f t="array" ref="BN16">_xll.EQNXTDZ($A$1,$B16,BN$1)</f>
        <v>1396.05</v>
      </c>
      <c r="BO16" s="116" cm="1">
        <f t="array" ref="BO16">_xll.EQNXTDZ($A$1,$B16,BO$1)</f>
        <v>1382.85</v>
      </c>
      <c r="BP16" s="116" cm="1">
        <f t="array" ref="BP16">_xll.EQNXTDZ($A$1,$B16,BP$1)</f>
        <v>1394.55</v>
      </c>
      <c r="BQ16" s="116" cm="1">
        <f t="array" ref="BQ16">_xll.EQNXTDZ($A$1,$B16,BQ$1)</f>
        <v>1399.5</v>
      </c>
      <c r="BR16" s="116" cm="1">
        <f t="array" ref="BR16">_xll.EQNXTDZ($A$1,$B16,BR$1)</f>
        <v>1657.3</v>
      </c>
      <c r="BS16" s="116" cm="1">
        <f t="array" ref="BS16">_xll.EQNXTDZ($A$1,$B16,BS$1)</f>
        <v>1534.55</v>
      </c>
      <c r="BT16" s="116" cm="1">
        <f t="array" ref="BT16">_xll.EQNXTDZ($A$1,$B16,BT$1)</f>
        <v>1286.5999999999999</v>
      </c>
      <c r="BU16" s="116" cm="1">
        <f t="array" ref="BU16">_xll.EQNXTDZ($A$1,$B16,BU$1)</f>
        <v>1355</v>
      </c>
      <c r="BV16" s="116" cm="1">
        <f t="array" ref="BV16">_xll.EQNXTDZ($A$1,$B16,BV$1)</f>
        <v>1227.6500000000001</v>
      </c>
      <c r="BW16" s="116" cm="1">
        <f t="array" ref="BW16">_xll.EQNXTDZ($A$1,$B16,BW$1)</f>
        <v>1180.5999999999999</v>
      </c>
      <c r="BX16" s="116" cm="1">
        <f t="array" ref="BX16">_xll.EQNXTDZ($A$1,$B16,BX$1)</f>
        <v>1221.8</v>
      </c>
      <c r="BY16" s="116" cm="1">
        <f t="array" ref="BY16">_xll.EQNXTDZ($A$1,$B16,BY$1)</f>
        <v>1312.35</v>
      </c>
      <c r="BZ16" s="116" cm="1">
        <f t="array" ref="BZ16">_xll.EQNXTDZ($A$1,$B16,BZ$1)</f>
        <v>1402.55</v>
      </c>
      <c r="CA16" s="116" cm="1">
        <f t="array" ref="CA16">_xll.EQNXTDZ($A$1,$B16,CA$1)</f>
        <v>1280.05</v>
      </c>
      <c r="CB16" s="116" cm="1">
        <f t="array" ref="CB16">_xll.EQNXTDZ($A$1,$B16,CB$1)</f>
        <v>1405.85</v>
      </c>
      <c r="CC16" s="116" cm="1">
        <f t="array" ref="CC16">_xll.EQNXTDZ($A$1,$B16,CC$1)</f>
        <v>1332</v>
      </c>
      <c r="CD16" s="116" cm="1">
        <f t="array" ref="CD16">_xll.EQNXTDZ($A$1,$B16,CD$1)</f>
        <v>1274.9000000000001</v>
      </c>
      <c r="CE16" s="116" cm="1">
        <f t="array" ref="CE16">_xll.EQNXTDZ($A$1,$B16,CE$1)</f>
        <v>1229.95</v>
      </c>
      <c r="CF16" s="116" cm="1">
        <f t="array" ref="CF16">_xll.EQNXTDZ($A$1,$B16,CF$1)</f>
        <v>1319.85</v>
      </c>
      <c r="CG16" s="116" cm="1">
        <f t="array" ref="CG16">_xll.EQNXTDZ($A$1,$B16,CG$1)</f>
        <v>1473.4</v>
      </c>
      <c r="CH16" s="116" cm="1">
        <f t="array" ref="CH16">_xll.EQNXTDZ($A$1,$B16,CH$1)</f>
        <v>1571</v>
      </c>
      <c r="CI16" s="116" cm="1">
        <f t="array" ref="CI16">_xll.EQNXTDZ($A$1,$B16,CI$1)</f>
        <v>1603.35</v>
      </c>
      <c r="CJ16" s="116" cm="1">
        <f t="array" ref="CJ16">_xll.EQNXTDZ($A$1,$B16,CJ$1)</f>
        <v>1362.55</v>
      </c>
      <c r="CK16" s="116" cm="1">
        <f t="array" ref="CK16">_xll.EQNXTDZ($A$1,$B16,CK$1)</f>
        <v>1337.85</v>
      </c>
      <c r="CL16" s="116" cm="1">
        <f t="array" ref="CL16">_xll.EQNXTDZ($A$1,$B16,CL$1)</f>
        <v>1521</v>
      </c>
      <c r="CM16" s="116" cm="1">
        <f t="array" ref="CM16">_xll.EQNXTDZ($A$1,$B16,CM$1)</f>
        <v>1457.65</v>
      </c>
      <c r="CN16" s="116" cm="1">
        <f t="array" ref="CN16">_xll.EQNXTDZ($A$1,$B16,CN$1)</f>
        <v>1445.7</v>
      </c>
      <c r="CO16" s="116" cm="1">
        <f t="array" ref="CO16">_xll.EQNXTDZ($A$1,$B16,CO$1)</f>
        <v>1284.0999999999999</v>
      </c>
      <c r="CP16" s="116" cm="1">
        <f t="array" ref="CP16">_xll.EQNXTDZ($A$1,$B16,CP$1)</f>
        <v>1308.4000000000001</v>
      </c>
      <c r="CQ16" s="116" cm="1">
        <f t="array" ref="CQ16">_xll.EQNXTDZ($A$1,$B16,CQ$1)</f>
        <v>1184.55</v>
      </c>
      <c r="CR16" s="116" cm="1">
        <f t="array" ref="CR16">_xll.EQNXTDZ($A$1,$B16,CR$1)</f>
        <v>932.65</v>
      </c>
      <c r="CS16" s="116" cm="1">
        <f t="array" ref="CS16">_xll.EQNXTDZ($A$1,$B16,CS$1)</f>
        <v>901.35</v>
      </c>
      <c r="CT16" s="116" cm="1">
        <f t="array" ref="CT16">_xll.EQNXTDZ($A$1,$B16,CT$1)</f>
        <v>743.4</v>
      </c>
      <c r="CU16" s="116" cm="1">
        <f t="array" ref="CU16">_xll.EQNXTDZ($A$1,$B16,CU$1)</f>
        <v>943.6</v>
      </c>
      <c r="CV16" s="116" cm="1">
        <f t="array" ref="CV16">_xll.EQNXTDZ($A$1,$B16,CV$1)</f>
        <v>895</v>
      </c>
      <c r="CW16" s="116" cm="1">
        <f t="array" ref="CW16">_xll.EQNXTDZ($A$1,$B16,CW$1)</f>
        <v>950.5</v>
      </c>
      <c r="CX16" s="116" cm="1">
        <f t="array" ref="CX16">_xll.EQNXTDZ($A$1,$B16,CX$1)</f>
        <v>859.45</v>
      </c>
      <c r="CY16" s="116" cm="1">
        <f t="array" ref="CY16">_xll.EQNXTDZ($A$1,$B16,CY$1)</f>
        <v>897.3</v>
      </c>
      <c r="CZ16" s="116" cm="1">
        <f t="array" ref="CZ16">_xll.EQNXTDZ($A$1,$B16,CZ$1)</f>
        <v>1073.7</v>
      </c>
      <c r="DA16" s="116" cm="1">
        <f t="array" ref="DA16">_xll.EQNXTDZ($A$1,$B16,DA$1)</f>
        <v>1212.1500000000001</v>
      </c>
      <c r="DB16" s="116" cm="1">
        <f t="array" ref="DB16">_xll.EQNXTDZ($A$1,$B16,DB$1)</f>
        <v>1387.9</v>
      </c>
      <c r="DC16" s="116" cm="1">
        <f t="array" ref="DC16">_xll.EQNXTDZ($A$1,$B16,DC$1)</f>
        <v>1532.15</v>
      </c>
      <c r="DD16" s="116" cm="1">
        <f t="array" ref="DD16">_xll.EQNXTDZ($A$1,$B16,DD$1)</f>
        <v>1417.4</v>
      </c>
      <c r="DE16" s="116" cm="1">
        <f t="array" ref="DE16">_xll.EQNXTDZ($A$1,$B16,DE$1)</f>
        <v>1382.75</v>
      </c>
      <c r="DF16" s="116" cm="1">
        <f t="array" ref="DF16">_xll.EQNXTDZ($A$1,$B16,DF$1)</f>
        <v>1667.9</v>
      </c>
      <c r="DG16" s="116" cm="1">
        <f t="array" ref="DG16">_xll.EQNXTDZ($A$1,$B16,DG$1)</f>
        <v>1806.05</v>
      </c>
      <c r="DH16" s="116" cm="1">
        <f t="array" ref="DH16">_xll.EQNXTDZ($A$1,$B16,DH$1)</f>
        <v>1699.35</v>
      </c>
      <c r="DI16" s="116" cm="1">
        <f t="array" ref="DI16">_xll.EQNXTDZ($A$1,$B16,DI$1)</f>
        <v>1892.85</v>
      </c>
      <c r="DJ16" s="116" cm="1">
        <f t="array" ref="DJ16">_xll.EQNXTDZ($A$1,$B16,DJ$1)</f>
        <v>1869.05</v>
      </c>
      <c r="DK16" s="116" cm="1">
        <f t="array" ref="DK16">_xll.EQNXTDZ($A$1,$B16,DK$1)</f>
        <v>2109.6999999999998</v>
      </c>
      <c r="DL16" s="116" cm="1">
        <f t="array" ref="DL16">_xll.EQNXTDZ($A$1,$B16,DL$1)</f>
        <v>2068.35</v>
      </c>
      <c r="DM16" s="116" cm="1">
        <f t="array" ref="DM16">_xll.EQNXTDZ($A$1,$B16,DM$1)</f>
        <v>2234.85</v>
      </c>
      <c r="DN16" s="116" cm="1">
        <f t="array" ref="DN16">_xll.EQNXTDZ($A$1,$B16,DN$1)</f>
        <v>2302</v>
      </c>
      <c r="DO16" s="116" cm="1">
        <f t="array" ref="DO16">_xll.EQNXTDZ($A$1,$B16,DO$1)</f>
        <v>2159.15</v>
      </c>
      <c r="DP16" s="116" cm="1">
        <f t="array" ref="DP16">_xll.EQNXTDZ($A$1,$B16,DP$1)</f>
        <v>2154.3000000000002</v>
      </c>
      <c r="DQ16" s="116" cm="1">
        <f t="array" ref="DQ16">_xll.EQNXTDZ($A$1,$B16,DQ$1)</f>
        <v>2100.1</v>
      </c>
      <c r="DR16" s="116" cm="1">
        <f t="array" ref="DR16">_xll.EQNXTDZ($A$1,$B16,DR$1)</f>
        <v>2428.6</v>
      </c>
      <c r="DS16" s="116" cm="1">
        <f t="array" ref="DS16">_xll.EQNXTDZ($A$1,$B16,DS$1)</f>
        <v>2296.25</v>
      </c>
      <c r="DT16" s="116" cm="1">
        <f t="array" ref="DT16">_xll.EQNXTDZ($A$1,$B16,DT$1)</f>
        <v>2735.15</v>
      </c>
      <c r="DU16" s="116" cm="1">
        <f t="array" ref="DU16">_xll.EQNXTDZ($A$1,$B16,DU$1)</f>
        <v>3264.3</v>
      </c>
      <c r="DV16" s="116" cm="1">
        <f t="array" ref="DV16">_xll.EQNXTDZ($A$1,$B16,DV$1)</f>
        <v>3090.4</v>
      </c>
      <c r="DW16" s="116" cm="1">
        <f t="array" ref="DW16">_xll.EQNXTDZ($A$1,$B16,DW$1)</f>
        <v>3047.5</v>
      </c>
      <c r="DX16" s="116" cm="1">
        <f t="array" ref="DX16">_xll.EQNXTDZ($A$1,$B16,DX$1)</f>
        <v>2996.75</v>
      </c>
      <c r="DY16" s="116" cm="1">
        <f t="array" ref="DY16">_xll.EQNXTDZ($A$1,$B16,DY$1)</f>
        <v>2683.15</v>
      </c>
      <c r="DZ16" s="116" cm="1">
        <f t="array" ref="DZ16">_xll.EQNXTDZ($A$1,$B16,DZ$1)</f>
        <v>2826.55</v>
      </c>
      <c r="EA16" s="116" cm="1">
        <f t="array" ref="EA16">_xll.EQNXTDZ($A$1,$B16,EA$1)</f>
        <v>3213.5</v>
      </c>
      <c r="EB16" s="116" cm="1">
        <f t="array" ref="EB16">_xll.EQNXTDZ($A$1,$B16,EB$1)</f>
        <v>3365.5</v>
      </c>
      <c r="EC16" s="116" cm="1">
        <f t="array" ref="EC16">_xll.EQNXTDZ($A$1,$B16,EC$1)</f>
        <v>3417.5</v>
      </c>
      <c r="ED16" s="116" cm="1">
        <f t="array" ref="ED16">_xll.EQNXTDZ($A$1,$B16,ED$1)</f>
        <v>4113.95</v>
      </c>
      <c r="EE16" s="116" cm="1">
        <f t="array" ref="EE16">_xll.EQNXTDZ($A$1,$B16,EE$1)</f>
        <v>4421.25</v>
      </c>
      <c r="EF16" s="116" cm="1">
        <f t="array" ref="EF16">_xll.EQNXTDZ($A$1,$B16,EF$1)</f>
        <v>4546.3999999999996</v>
      </c>
      <c r="EG16" s="116" cm="1">
        <f t="array" ref="EG16">_xll.EQNXTDZ($A$1,$B16,EG$1)</f>
        <v>4379.75</v>
      </c>
      <c r="EH16" s="116" cm="1">
        <f t="array" ref="EH16">_xll.EQNXTDZ($A$1,$B16,EH$1)</f>
        <v>4100.3500000000004</v>
      </c>
      <c r="EI16" s="116" cm="1">
        <f t="array" ref="EI16">_xll.EQNXTDZ($A$1,$B16,EI$1)</f>
        <v>4110.6499999999996</v>
      </c>
      <c r="EJ16" s="116" cm="1">
        <f t="array" ref="EJ16">_xll.EQNXTDZ($A$1,$B16,EJ$1)</f>
        <v>4420.7</v>
      </c>
      <c r="EK16" s="116" cm="1">
        <f t="array" ref="EK16">_xll.EQNXTDZ($A$1,$B16,EK$1)</f>
        <v>4673.95</v>
      </c>
      <c r="EL16" s="116" cm="1">
        <f t="array" ref="EL16">_xll.EQNXTDZ($A$1,$B16,EL$1)</f>
        <v>4671.6499999999996</v>
      </c>
      <c r="EM16" s="116" cm="1">
        <f t="array" ref="EM16">_xll.EQNXTDZ($A$1,$B16,EM$1)</f>
        <v>5449.85</v>
      </c>
      <c r="EN16" s="116" cm="1">
        <f t="array" ref="EN16">_xll.EQNXTDZ($A$1,$B16,EN$1)</f>
        <v>6363.3</v>
      </c>
      <c r="EO16" s="116" cm="1">
        <f t="array" ref="EO16">_xll.EQNXTDZ($A$1,$B16,EO$1)</f>
        <v>6542.35</v>
      </c>
      <c r="EP16" s="116" cm="1">
        <f t="array" ref="EP16">_xll.EQNXTDZ($A$1,$B16,EP$1)</f>
        <v>8316.85</v>
      </c>
      <c r="EQ16" s="116" cm="1">
        <f t="array" ref="EQ16">_xll.EQNXTDZ($A$1,$B16,EQ$1)</f>
        <v>8492.6</v>
      </c>
      <c r="ER16" s="116" cm="1">
        <f t="array" ref="ER16">_xll.EQNXTDZ($A$1,$B16,ER$1)</f>
        <v>7891.15</v>
      </c>
      <c r="ES16" s="116" cm="1">
        <f t="array" ref="ES16">_xll.EQNXTDZ($A$1,$B16,ES$1)</f>
        <v>7942.4</v>
      </c>
      <c r="ET16" s="116" cm="1">
        <f t="array" ref="ET16">_xll.EQNXTDZ($A$1,$B16,ET$1)</f>
        <v>8061.5</v>
      </c>
      <c r="EU16" s="116" cm="1">
        <f t="array" ref="EU16">_xll.EQNXTDZ($A$1,$B16,EU$1)</f>
        <v>7436.8</v>
      </c>
      <c r="EV16" s="116" cm="1">
        <f t="array" ref="EV16">_xll.EQNXTDZ($A$1,$B16,EV$1)</f>
        <v>7427.3</v>
      </c>
      <c r="EW16" s="116" cm="1">
        <f t="array" ref="EW16">_xll.EQNXTDZ($A$1,$B16,EW$1)</f>
        <v>6913.95</v>
      </c>
      <c r="EX16" s="116" cm="1">
        <f t="array" ref="EX16">_xll.EQNXTDZ($A$1,$B16,EX$1)</f>
        <v>5875.75</v>
      </c>
      <c r="EY16" s="116" cm="1">
        <f t="array" ref="EY16">_xll.EQNXTDZ($A$1,$B16,EY$1)</f>
        <v>4931.6499999999996</v>
      </c>
      <c r="EZ16" s="116" cm="1">
        <f t="array" ref="EZ16">_xll.EQNXTDZ($A$1,$B16,EZ$1)</f>
        <v>5542.55</v>
      </c>
      <c r="FA16" s="116" cm="1">
        <f t="array" ref="FA16">_xll.EQNXTDZ($A$1,$B16,FA$1)</f>
        <v>5509</v>
      </c>
      <c r="FB16" s="116" cm="1">
        <f t="array" ref="FB16">_xll.EQNXTDZ($A$1,$B16,FB$1)</f>
        <v>5969.2</v>
      </c>
      <c r="FC16" s="116" cm="1">
        <f t="array" ref="FC16">_xll.EQNXTDZ($A$1,$B16,FC$1)</f>
        <v>6076.95</v>
      </c>
      <c r="FD16" s="116" cm="1">
        <f t="array" ref="FD16">_xll.EQNXTDZ($A$1,$B16,FD$1)</f>
        <v>5511.4</v>
      </c>
      <c r="FE16" s="116" cm="1">
        <f t="array" ref="FE16">_xll.EQNXTDZ($A$1,$B16,FE$1)</f>
        <v>4996.2</v>
      </c>
      <c r="FF16" s="116" cm="1">
        <f t="array" ref="FF16">_xll.EQNXTDZ($A$1,$B16,FF$1)</f>
        <v>5184.95</v>
      </c>
      <c r="FG16" s="116" cm="1">
        <f t="array" ref="FG16">_xll.EQNXTDZ($A$1,$B16,FG$1)</f>
        <v>5214.8</v>
      </c>
      <c r="FH16" s="116" cm="1">
        <f t="array" ref="FH16">_xll.EQNXTDZ($A$1,$B16,FH$1)</f>
        <v>5172.6000000000004</v>
      </c>
      <c r="FI16" s="116" cm="1">
        <f t="array" ref="FI16">_xll.EQNXTDZ($A$1,$B16,FI$1)</f>
        <v>5170.3</v>
      </c>
      <c r="FJ16" s="116" cm="1">
        <f t="array" ref="FJ16">_xll.EQNXTDZ($A$1,$B16,FJ$1)</f>
        <v>5576.9</v>
      </c>
      <c r="FK16" s="116" cm="1">
        <f t="array" ref="FK16">_xll.EQNXTDZ($A$1,$B16,FK$1)</f>
        <v>6074.3</v>
      </c>
      <c r="FL16" s="116" cm="1">
        <f t="array" ref="FL16">_xll.EQNXTDZ($A$1,$B16,FL$1)</f>
        <v>5936.5</v>
      </c>
      <c r="FM16" s="116" cm="1">
        <f t="array" ref="FM16">_xll.EQNXTDZ($A$1,$B16,FM$1)</f>
        <v>7229.05</v>
      </c>
      <c r="FN16" s="116" cm="1">
        <f t="array" ref="FN16">_xll.EQNXTDZ($A$1,$B16,FN$1)</f>
        <v>7229.6</v>
      </c>
      <c r="FO16" s="116" cm="1">
        <f t="array" ref="FO16">_xll.EQNXTDZ($A$1,$B16,FO$1)</f>
        <v>7017.2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797.75</v>
      </c>
      <c r="HQ16" s="116">
        <f>+I16</f>
        <v>700.4</v>
      </c>
      <c r="HR16" s="116">
        <f>+L16</f>
        <v>489.2</v>
      </c>
      <c r="HS16" s="116">
        <f>+O16</f>
        <v>610.85</v>
      </c>
      <c r="HT16" s="116">
        <f>+R16</f>
        <v>543.9</v>
      </c>
      <c r="HU16" s="116">
        <f>+U16</f>
        <v>692.8</v>
      </c>
      <c r="HV16" s="116">
        <f>+X16</f>
        <v>849.95</v>
      </c>
      <c r="HW16" s="116">
        <f>+AA16</f>
        <v>1122.05</v>
      </c>
      <c r="HX16" s="116">
        <f>+AD16</f>
        <v>1147.3</v>
      </c>
      <c r="HY16" s="116">
        <f>+AG16</f>
        <v>1286.2</v>
      </c>
      <c r="HZ16" s="116">
        <f>+AJ16</f>
        <v>1257</v>
      </c>
      <c r="IA16" s="116">
        <f>+AM16</f>
        <v>1322.75</v>
      </c>
      <c r="IB16" s="116">
        <f>+AP16</f>
        <v>1057.9000000000001</v>
      </c>
      <c r="IC16" s="116">
        <f>+AS16</f>
        <v>1118.0999999999999</v>
      </c>
      <c r="ID16" s="116">
        <f>+AV16</f>
        <v>1276.5</v>
      </c>
      <c r="IE16" s="116">
        <f>+AY16</f>
        <v>1224.7</v>
      </c>
      <c r="IF16" s="116">
        <f>+BB16</f>
        <v>1134.7</v>
      </c>
      <c r="IG16" s="116">
        <f>+BE16</f>
        <v>1039.0999999999999</v>
      </c>
      <c r="IH16" s="116">
        <f>+BH16</f>
        <v>1279.6500000000001</v>
      </c>
      <c r="II16" s="116">
        <f>+BK16</f>
        <v>1451.1</v>
      </c>
      <c r="IJ16" s="116">
        <f>+BN16</f>
        <v>1396.05</v>
      </c>
      <c r="IK16" s="116">
        <f>+BQ16</f>
        <v>1399.5</v>
      </c>
      <c r="IL16" s="116">
        <f>+BT16</f>
        <v>1286.5999999999999</v>
      </c>
      <c r="IM16" s="116">
        <f>+BW16</f>
        <v>1180.5999999999999</v>
      </c>
      <c r="IN16" s="116">
        <f>+BZ16</f>
        <v>1402.55</v>
      </c>
      <c r="IO16" s="116">
        <f>+CC16</f>
        <v>1332</v>
      </c>
      <c r="IP16" s="116">
        <f>+CF16</f>
        <v>1319.85</v>
      </c>
      <c r="IQ16" s="116">
        <f>+CI16</f>
        <v>1603.35</v>
      </c>
      <c r="IR16" s="116">
        <f>+CL16</f>
        <v>1521</v>
      </c>
      <c r="IS16" s="116">
        <f>+CO16</f>
        <v>1284.0999999999999</v>
      </c>
      <c r="IT16" s="116">
        <f>+CR16</f>
        <v>932.65</v>
      </c>
      <c r="IU16" s="116">
        <f>+CU16</f>
        <v>943.6</v>
      </c>
      <c r="IV16" s="116">
        <f>+CX16</f>
        <v>859.45</v>
      </c>
      <c r="IW16" s="116">
        <f>+DA16</f>
        <v>1212.1500000000001</v>
      </c>
      <c r="IX16" s="116">
        <f>+DD16</f>
        <v>1417.4</v>
      </c>
      <c r="IY16" s="116">
        <f>+DG16</f>
        <v>1806.05</v>
      </c>
      <c r="IZ16" s="116">
        <f>+DJ16</f>
        <v>1869.05</v>
      </c>
      <c r="JA16" s="116">
        <f>+DM16</f>
        <v>2234.85</v>
      </c>
      <c r="JB16" s="116">
        <f>+DP16</f>
        <v>2154.3000000000002</v>
      </c>
      <c r="JC16" s="116">
        <f>+DS16</f>
        <v>2296.25</v>
      </c>
      <c r="JD16" s="116">
        <f>+DV16</f>
        <v>3090.4</v>
      </c>
      <c r="JE16" s="116">
        <f>+DY16</f>
        <v>2683.15</v>
      </c>
      <c r="JF16" s="116">
        <f>+EB16</f>
        <v>3365.5</v>
      </c>
      <c r="JG16" s="116">
        <f>+EE16</f>
        <v>4421.25</v>
      </c>
      <c r="JH16" s="116">
        <f>+EH16</f>
        <v>4100.3500000000004</v>
      </c>
      <c r="JI16" s="116">
        <f>+EK16</f>
        <v>4673.95</v>
      </c>
      <c r="JJ16" s="116">
        <f>+EN16</f>
        <v>6363.3</v>
      </c>
      <c r="JK16" s="116">
        <f>EQ16</f>
        <v>8492.6</v>
      </c>
      <c r="JL16" s="116">
        <f>ET16</f>
        <v>8061.5</v>
      </c>
      <c r="JM16" s="116">
        <f>EW16</f>
        <v>6913.95</v>
      </c>
      <c r="JN16" s="116">
        <f>EZ16</f>
        <v>5542.55</v>
      </c>
      <c r="JO16" s="116">
        <f>FC16</f>
        <v>6076.95</v>
      </c>
      <c r="JP16" s="116">
        <f>FF16</f>
        <v>5184.95</v>
      </c>
      <c r="JQ16" s="116">
        <f>FI16</f>
        <v>5170.3</v>
      </c>
      <c r="JR16" s="116">
        <f>FL16</f>
        <v>5936.5</v>
      </c>
      <c r="JS16" s="116">
        <f>FO16</f>
        <v>7017.2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822.25</v>
      </c>
      <c r="HQ19" s="116">
        <f t="shared" ref="HQ19:JI21" si="1">+IF(HQ14=0,HQ7,HQ14)</f>
        <v>830</v>
      </c>
      <c r="HR19" s="116">
        <f t="shared" si="1"/>
        <v>737</v>
      </c>
      <c r="HS19" s="116">
        <f t="shared" si="1"/>
        <v>694.4</v>
      </c>
      <c r="HT19" s="116">
        <f t="shared" si="1"/>
        <v>627.20000000000005</v>
      </c>
      <c r="HU19" s="116">
        <f t="shared" si="1"/>
        <v>720.2</v>
      </c>
      <c r="HV19" s="116">
        <f t="shared" si="1"/>
        <v>858</v>
      </c>
      <c r="HW19" s="116">
        <f t="shared" si="1"/>
        <v>1125</v>
      </c>
      <c r="HX19" s="116">
        <f t="shared" si="1"/>
        <v>1263.5</v>
      </c>
      <c r="HY19" s="116">
        <f t="shared" si="1"/>
        <v>1396.7</v>
      </c>
      <c r="HZ19" s="116">
        <f t="shared" si="1"/>
        <v>1525</v>
      </c>
      <c r="IA19" s="116">
        <f t="shared" si="1"/>
        <v>1431.85</v>
      </c>
      <c r="IB19" s="116">
        <f t="shared" si="1"/>
        <v>1444.4</v>
      </c>
      <c r="IC19" s="116">
        <f t="shared" si="1"/>
        <v>1299.05</v>
      </c>
      <c r="ID19" s="116">
        <f t="shared" si="1"/>
        <v>1295.1500000000001</v>
      </c>
      <c r="IE19" s="116">
        <f t="shared" si="1"/>
        <v>1432.7</v>
      </c>
      <c r="IF19" s="116">
        <f t="shared" si="1"/>
        <v>1322.1</v>
      </c>
      <c r="IG19" s="116">
        <f t="shared" si="1"/>
        <v>1189</v>
      </c>
      <c r="IH19" s="116">
        <f t="shared" si="1"/>
        <v>1292.9000000000001</v>
      </c>
      <c r="II19" s="116">
        <f t="shared" si="1"/>
        <v>1619.45</v>
      </c>
      <c r="IJ19" s="116">
        <f t="shared" si="1"/>
        <v>1548.4</v>
      </c>
      <c r="IK19" s="116">
        <f t="shared" si="1"/>
        <v>1444</v>
      </c>
      <c r="IL19" s="116">
        <f t="shared" si="1"/>
        <v>1744.4</v>
      </c>
      <c r="IM19" s="116">
        <f t="shared" si="1"/>
        <v>1380</v>
      </c>
      <c r="IN19" s="116">
        <f t="shared" si="1"/>
        <v>1516.55</v>
      </c>
      <c r="IO19" s="116">
        <f t="shared" si="1"/>
        <v>1465</v>
      </c>
      <c r="IP19" s="116">
        <f t="shared" si="1"/>
        <v>1359</v>
      </c>
      <c r="IQ19" s="116">
        <f t="shared" si="1"/>
        <v>1639.7</v>
      </c>
      <c r="IR19" s="116">
        <f t="shared" si="1"/>
        <v>1669</v>
      </c>
      <c r="IS19" s="116">
        <f t="shared" si="1"/>
        <v>1580.05</v>
      </c>
      <c r="IT19" s="116">
        <f t="shared" si="1"/>
        <v>1411.8</v>
      </c>
      <c r="IU19" s="116">
        <f t="shared" si="1"/>
        <v>1100</v>
      </c>
      <c r="IV19" s="116">
        <f t="shared" si="1"/>
        <v>1016.75</v>
      </c>
      <c r="IW19" s="116">
        <f t="shared" si="1"/>
        <v>1260</v>
      </c>
      <c r="IX19" s="116">
        <f t="shared" si="1"/>
        <v>1699.9</v>
      </c>
      <c r="IY19" s="116">
        <f t="shared" si="1"/>
        <v>1856.1</v>
      </c>
      <c r="IZ19" s="116">
        <f t="shared" si="1"/>
        <v>1941</v>
      </c>
      <c r="JA19" s="116">
        <f t="shared" si="1"/>
        <v>2370</v>
      </c>
      <c r="JB19" s="116">
        <f t="shared" si="1"/>
        <v>2469.6</v>
      </c>
      <c r="JC19" s="116">
        <f t="shared" si="1"/>
        <v>2488.4499999999998</v>
      </c>
      <c r="JD19" s="116">
        <f t="shared" si="1"/>
        <v>3445.65</v>
      </c>
      <c r="JE19" s="116">
        <f t="shared" si="1"/>
        <v>3328</v>
      </c>
      <c r="JF19" s="116">
        <f t="shared" si="1"/>
        <v>3433.7</v>
      </c>
      <c r="JG19" s="116">
        <f t="shared" si="1"/>
        <v>4444.5</v>
      </c>
      <c r="JH19" s="116">
        <f t="shared" si="1"/>
        <v>4675.8500000000004</v>
      </c>
      <c r="JI19" s="116">
        <f t="shared" si="1"/>
        <v>4953.2</v>
      </c>
      <c r="JJ19" s="116">
        <f t="shared" ref="JJ19:JJ21" si="2">+IF(JJ14=0,JJ7,JJ14)</f>
        <v>6470</v>
      </c>
      <c r="JK19" s="116">
        <f t="shared" ref="JK19" si="3">+IF(JK14=0,JK7,JK14)</f>
        <v>9200</v>
      </c>
      <c r="JL19" s="116">
        <f t="shared" ref="JL19:JM19" si="4">+IF(JL14=0,JL7,JL14)</f>
        <v>8809</v>
      </c>
      <c r="JM19" s="116">
        <f t="shared" si="4"/>
        <v>8941.4500000000007</v>
      </c>
      <c r="JN19" s="116">
        <f t="shared" ref="JN19:JO19" si="5">+IF(JN14=0,JN7,JN14)</f>
        <v>6947.45</v>
      </c>
      <c r="JO19" s="116">
        <f t="shared" si="5"/>
        <v>6299.8</v>
      </c>
      <c r="JP19" s="116">
        <f t="shared" ref="JP19" si="6">+IF(JP14=0,JP7,JP14)</f>
        <v>6143.5</v>
      </c>
      <c r="JQ19" s="116">
        <f t="shared" ref="JQ19:KH19" si="7">+IF(JQ14=0,JQ7,JQ14)</f>
        <v>5359.95</v>
      </c>
      <c r="JR19" s="116">
        <f t="shared" si="7"/>
        <v>6555</v>
      </c>
      <c r="JS19" s="116">
        <f t="shared" si="7"/>
        <v>7824.95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707.5</v>
      </c>
      <c r="HQ20" s="116">
        <f t="shared" si="8"/>
        <v>676.95</v>
      </c>
      <c r="HR20" s="116">
        <f t="shared" si="8"/>
        <v>484.3</v>
      </c>
      <c r="HS20" s="116">
        <f t="shared" si="8"/>
        <v>469</v>
      </c>
      <c r="HT20" s="116">
        <f t="shared" si="8"/>
        <v>448.1</v>
      </c>
      <c r="HU20" s="116">
        <f t="shared" si="8"/>
        <v>535.15</v>
      </c>
      <c r="HV20" s="116">
        <f t="shared" si="8"/>
        <v>568.04999999999995</v>
      </c>
      <c r="HW20" s="116">
        <f t="shared" si="8"/>
        <v>807.3</v>
      </c>
      <c r="HX20" s="116">
        <f t="shared" si="8"/>
        <v>956.1</v>
      </c>
      <c r="HY20" s="116">
        <f t="shared" si="8"/>
        <v>988.25</v>
      </c>
      <c r="HZ20" s="116">
        <f t="shared" si="8"/>
        <v>1184</v>
      </c>
      <c r="IA20" s="116">
        <f t="shared" si="8"/>
        <v>1245</v>
      </c>
      <c r="IB20" s="116">
        <f t="shared" si="8"/>
        <v>1021.05</v>
      </c>
      <c r="IC20" s="116">
        <f t="shared" si="8"/>
        <v>1045</v>
      </c>
      <c r="ID20" s="116">
        <f t="shared" si="8"/>
        <v>963.05</v>
      </c>
      <c r="IE20" s="116">
        <f t="shared" si="8"/>
        <v>1182.75</v>
      </c>
      <c r="IF20" s="116">
        <f t="shared" si="1"/>
        <v>1109.55</v>
      </c>
      <c r="IG20" s="116">
        <f t="shared" si="1"/>
        <v>950</v>
      </c>
      <c r="IH20" s="116">
        <f t="shared" si="1"/>
        <v>1029.55</v>
      </c>
      <c r="II20" s="116">
        <f t="shared" si="1"/>
        <v>1280.7</v>
      </c>
      <c r="IJ20" s="116">
        <f t="shared" si="1"/>
        <v>1175</v>
      </c>
      <c r="IK20" s="116">
        <f t="shared" si="1"/>
        <v>1306.6500000000001</v>
      </c>
      <c r="IL20" s="116">
        <f t="shared" si="1"/>
        <v>1267.1500000000001</v>
      </c>
      <c r="IM20" s="116">
        <f t="shared" si="1"/>
        <v>1123</v>
      </c>
      <c r="IN20" s="116">
        <f t="shared" si="1"/>
        <v>1130</v>
      </c>
      <c r="IO20" s="116">
        <f t="shared" si="1"/>
        <v>1191</v>
      </c>
      <c r="IP20" s="116">
        <f t="shared" si="1"/>
        <v>1209.95</v>
      </c>
      <c r="IQ20" s="116">
        <f t="shared" si="1"/>
        <v>1306.3499999999999</v>
      </c>
      <c r="IR20" s="116">
        <f t="shared" si="1"/>
        <v>1307.0999999999999</v>
      </c>
      <c r="IS20" s="116">
        <f t="shared" si="1"/>
        <v>1230</v>
      </c>
      <c r="IT20" s="116">
        <f t="shared" si="1"/>
        <v>795</v>
      </c>
      <c r="IU20" s="116">
        <f t="shared" si="1"/>
        <v>722.45</v>
      </c>
      <c r="IV20" s="116">
        <f t="shared" si="1"/>
        <v>848.5</v>
      </c>
      <c r="IW20" s="116">
        <f t="shared" si="1"/>
        <v>848.5</v>
      </c>
      <c r="IX20" s="116">
        <f t="shared" si="1"/>
        <v>1214.1500000000001</v>
      </c>
      <c r="IY20" s="116">
        <f t="shared" si="1"/>
        <v>1300</v>
      </c>
      <c r="IZ20" s="116">
        <f t="shared" si="1"/>
        <v>1619.3</v>
      </c>
      <c r="JA20" s="116">
        <f t="shared" si="1"/>
        <v>1801</v>
      </c>
      <c r="JB20" s="116">
        <f t="shared" si="1"/>
        <v>1944.6</v>
      </c>
      <c r="JC20" s="116">
        <f t="shared" si="1"/>
        <v>2001</v>
      </c>
      <c r="JD20" s="116">
        <f t="shared" si="1"/>
        <v>2261.0500000000002</v>
      </c>
      <c r="JE20" s="116">
        <f t="shared" si="1"/>
        <v>2640.45</v>
      </c>
      <c r="JF20" s="116">
        <f t="shared" si="1"/>
        <v>2662.95</v>
      </c>
      <c r="JG20" s="116">
        <f t="shared" si="1"/>
        <v>3143.2</v>
      </c>
      <c r="JH20" s="116">
        <f t="shared" si="1"/>
        <v>4089.65</v>
      </c>
      <c r="JI20" s="116">
        <f t="shared" si="1"/>
        <v>3847.5</v>
      </c>
      <c r="JJ20" s="116">
        <f t="shared" si="2"/>
        <v>4342.1499999999996</v>
      </c>
      <c r="JK20" s="116">
        <f t="shared" ref="JK20" si="9">+IF(JK15=0,JK8,JK15)</f>
        <v>6247.45</v>
      </c>
      <c r="JL20" s="116">
        <f t="shared" ref="JL20:JM20" si="10">+IF(JL15=0,JL8,JL15)</f>
        <v>7067.8</v>
      </c>
      <c r="JM20" s="116">
        <f t="shared" si="10"/>
        <v>6606.2</v>
      </c>
      <c r="JN20" s="116">
        <f t="shared" ref="JN20:JO20" si="11">+IF(JN15=0,JN8,JN15)</f>
        <v>4893.1000000000004</v>
      </c>
      <c r="JO20" s="116">
        <f t="shared" si="11"/>
        <v>4590.05</v>
      </c>
      <c r="JP20" s="116">
        <f t="shared" ref="JP20" si="12">+IF(JP15=0,JP8,JP15)</f>
        <v>4940.5</v>
      </c>
      <c r="JQ20" s="116">
        <f t="shared" ref="JQ20:KH20" si="13">+IF(JQ15=0,JQ8,JQ15)</f>
        <v>4896</v>
      </c>
      <c r="JR20" s="116">
        <f t="shared" si="13"/>
        <v>4640.5</v>
      </c>
      <c r="JS20" s="116">
        <f t="shared" si="13"/>
        <v>5917.95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797.75</v>
      </c>
      <c r="HQ21" s="116">
        <f t="shared" si="1"/>
        <v>700.4</v>
      </c>
      <c r="HR21" s="116">
        <f t="shared" si="1"/>
        <v>489.2</v>
      </c>
      <c r="HS21" s="116">
        <f t="shared" si="1"/>
        <v>610.85</v>
      </c>
      <c r="HT21" s="116">
        <f t="shared" si="1"/>
        <v>543.9</v>
      </c>
      <c r="HU21" s="116">
        <f t="shared" si="1"/>
        <v>692.8</v>
      </c>
      <c r="HV21" s="116">
        <f t="shared" si="1"/>
        <v>849.95</v>
      </c>
      <c r="HW21" s="116">
        <f t="shared" si="1"/>
        <v>1122.05</v>
      </c>
      <c r="HX21" s="116">
        <f t="shared" si="1"/>
        <v>1147.3</v>
      </c>
      <c r="HY21" s="116">
        <f t="shared" si="1"/>
        <v>1286.2</v>
      </c>
      <c r="HZ21" s="116">
        <f t="shared" si="1"/>
        <v>1257</v>
      </c>
      <c r="IA21" s="116">
        <f t="shared" si="1"/>
        <v>1322.75</v>
      </c>
      <c r="IB21" s="116">
        <f t="shared" si="1"/>
        <v>1057.9000000000001</v>
      </c>
      <c r="IC21" s="116">
        <f t="shared" si="1"/>
        <v>1118.0999999999999</v>
      </c>
      <c r="ID21" s="116">
        <f t="shared" si="1"/>
        <v>1276.5</v>
      </c>
      <c r="IE21" s="116">
        <f t="shared" si="1"/>
        <v>1224.7</v>
      </c>
      <c r="IF21" s="116">
        <f t="shared" si="1"/>
        <v>1134.7</v>
      </c>
      <c r="IG21" s="116">
        <f t="shared" si="1"/>
        <v>1039.0999999999999</v>
      </c>
      <c r="IH21" s="116">
        <f t="shared" si="1"/>
        <v>1279.6500000000001</v>
      </c>
      <c r="II21" s="116">
        <f t="shared" si="1"/>
        <v>1451.1</v>
      </c>
      <c r="IJ21" s="116">
        <f t="shared" si="1"/>
        <v>1396.05</v>
      </c>
      <c r="IK21" s="116">
        <f t="shared" si="1"/>
        <v>1399.5</v>
      </c>
      <c r="IL21" s="116">
        <f t="shared" si="1"/>
        <v>1286.5999999999999</v>
      </c>
      <c r="IM21" s="116">
        <f t="shared" si="1"/>
        <v>1180.5999999999999</v>
      </c>
      <c r="IN21" s="116">
        <f t="shared" si="1"/>
        <v>1402.55</v>
      </c>
      <c r="IO21" s="116">
        <f t="shared" si="1"/>
        <v>1332</v>
      </c>
      <c r="IP21" s="116">
        <f t="shared" si="1"/>
        <v>1319.85</v>
      </c>
      <c r="IQ21" s="116">
        <f t="shared" si="1"/>
        <v>1603.35</v>
      </c>
      <c r="IR21" s="116">
        <f t="shared" si="1"/>
        <v>1521</v>
      </c>
      <c r="IS21" s="116">
        <f t="shared" si="1"/>
        <v>1284.0999999999999</v>
      </c>
      <c r="IT21" s="116">
        <f t="shared" si="1"/>
        <v>932.65</v>
      </c>
      <c r="IU21" s="116">
        <f t="shared" si="1"/>
        <v>943.6</v>
      </c>
      <c r="IV21" s="116">
        <f t="shared" si="1"/>
        <v>859.45</v>
      </c>
      <c r="IW21" s="116">
        <f t="shared" si="1"/>
        <v>1212.1500000000001</v>
      </c>
      <c r="IX21" s="116">
        <f t="shared" si="1"/>
        <v>1417.4</v>
      </c>
      <c r="IY21" s="116">
        <f t="shared" si="1"/>
        <v>1806.05</v>
      </c>
      <c r="IZ21" s="116">
        <f t="shared" si="1"/>
        <v>1869.05</v>
      </c>
      <c r="JA21" s="116">
        <f t="shared" si="1"/>
        <v>2234.85</v>
      </c>
      <c r="JB21" s="116">
        <f t="shared" si="1"/>
        <v>2154.3000000000002</v>
      </c>
      <c r="JC21" s="116">
        <f t="shared" si="1"/>
        <v>2296.25</v>
      </c>
      <c r="JD21" s="116">
        <f t="shared" si="1"/>
        <v>3090.4</v>
      </c>
      <c r="JE21" s="116">
        <f t="shared" si="1"/>
        <v>2683.15</v>
      </c>
      <c r="JF21" s="116">
        <f t="shared" si="1"/>
        <v>3365.5</v>
      </c>
      <c r="JG21" s="116">
        <f t="shared" si="1"/>
        <v>4421.25</v>
      </c>
      <c r="JH21" s="116">
        <f t="shared" si="1"/>
        <v>4100.3500000000004</v>
      </c>
      <c r="JI21" s="116">
        <f t="shared" si="1"/>
        <v>4673.95</v>
      </c>
      <c r="JJ21" s="116">
        <f t="shared" si="2"/>
        <v>6363.3</v>
      </c>
      <c r="JK21" s="116">
        <f t="shared" ref="JK21" si="14">+IF(JK16=0,JK9,JK16)</f>
        <v>8492.6</v>
      </c>
      <c r="JL21" s="116">
        <f t="shared" ref="JL21:JM21" si="15">+IF(JL16=0,JL9,JL16)</f>
        <v>8061.5</v>
      </c>
      <c r="JM21" s="116">
        <f t="shared" si="15"/>
        <v>6913.95</v>
      </c>
      <c r="JN21" s="116">
        <f t="shared" ref="JN21:JO21" si="16">+IF(JN16=0,JN9,JN16)</f>
        <v>5542.55</v>
      </c>
      <c r="JO21" s="116">
        <f t="shared" si="16"/>
        <v>6076.95</v>
      </c>
      <c r="JP21" s="116">
        <f t="shared" ref="JP21" si="17">+IF(JP16=0,JP9,JP16)</f>
        <v>5184.95</v>
      </c>
      <c r="JQ21" s="116">
        <f t="shared" ref="JQ21:KH21" si="18">+IF(JQ16=0,JQ9,JQ16)</f>
        <v>5170.3</v>
      </c>
      <c r="JR21" s="116">
        <f t="shared" si="18"/>
        <v>5936.5</v>
      </c>
      <c r="JS21" s="116">
        <f t="shared" si="18"/>
        <v>7017.2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100002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211908375</v>
      </c>
      <c r="D6" cm="1">
        <f t="array" ref="D6">_xll.EQNXTDZ($A$1,$B6,D$1)</f>
        <v>211908375</v>
      </c>
      <c r="E6" cm="1">
        <f t="array" ref="E6">_xll.EQNXTDZ($A$1,$B6,E$1)</f>
        <v>211908375</v>
      </c>
      <c r="F6" cm="1">
        <f t="array" ref="F6">_xll.EQNXTDZ($A$1,$B6,F$1)</f>
        <v>211908375</v>
      </c>
      <c r="G6" cm="1">
        <f t="array" ref="G6">_xll.EQNXTDZ($A$1,$B6,G$1)</f>
        <v>211908375</v>
      </c>
      <c r="H6" cm="1">
        <f t="array" ref="H6">_xll.EQNXTDZ($A$1,$B6,H$1)</f>
        <v>211908375</v>
      </c>
      <c r="I6" cm="1">
        <f t="array" ref="I6">_xll.EQNXTDZ($A$1,$B6,I$1)</f>
        <v>211908375</v>
      </c>
      <c r="J6" cm="1">
        <f t="array" ref="J6">_xll.EQNXTDZ($A$1,$B6,J$1)</f>
        <v>211908375</v>
      </c>
      <c r="K6" cm="1">
        <f t="array" ref="K6">_xll.EQNXTDZ($A$1,$B6,K$1)</f>
        <v>211908375</v>
      </c>
      <c r="L6" cm="1">
        <f t="array" ref="L6">_xll.EQNXTDZ($A$1,$B6,L$1)</f>
        <v>211908375</v>
      </c>
      <c r="M6" cm="1">
        <f t="array" ref="M6">_xll.EQNXTDZ($A$1,$B6,M$1)</f>
        <v>211908375</v>
      </c>
      <c r="N6" cm="1">
        <f t="array" ref="N6">_xll.EQNXTDZ($A$1,$B6,N$1)</f>
        <v>211908375</v>
      </c>
      <c r="O6" cm="1">
        <f t="array" ref="O6">_xll.EQNXTDZ($A$1,$B6,O$1)</f>
        <v>211908375</v>
      </c>
      <c r="P6" cm="1">
        <f t="array" ref="P6">_xll.EQNXTDZ($A$1,$B6,P$1)</f>
        <v>211908375</v>
      </c>
      <c r="Q6" cm="1">
        <f t="array" ref="Q6">_xll.EQNXTDZ($A$1,$B6,Q$1)</f>
        <v>211908375</v>
      </c>
      <c r="R6" cm="1">
        <f t="array" ref="R6">_xll.EQNXTDZ($A$1,$B6,R$1)</f>
        <v>211908375</v>
      </c>
      <c r="S6" cm="1">
        <f t="array" ref="S6">_xll.EQNXTDZ($A$1,$B6,S$1)</f>
        <v>211908375</v>
      </c>
      <c r="T6" cm="1">
        <f t="array" ref="T6">_xll.EQNXTDZ($A$1,$B6,T$1)</f>
        <v>211908375</v>
      </c>
      <c r="U6" cm="1">
        <f t="array" ref="U6">_xll.EQNXTDZ($A$1,$B6,U$1)</f>
        <v>211908375</v>
      </c>
      <c r="V6" cm="1">
        <f t="array" ref="V6">_xll.EQNXTDZ($A$1,$B6,V$1)</f>
        <v>211908375</v>
      </c>
      <c r="W6" cm="1">
        <f t="array" ref="W6">_xll.EQNXTDZ($A$1,$B6,W$1)</f>
        <v>211908375</v>
      </c>
      <c r="X6" cm="1">
        <f t="array" ref="X6">_xll.EQNXTDZ($A$1,$B6,X$1)</f>
        <v>211908375</v>
      </c>
      <c r="Y6" cm="1">
        <f t="array" ref="Y6">_xll.EQNXTDZ($A$1,$B6,Y$1)</f>
        <v>211908375</v>
      </c>
      <c r="Z6" cm="1">
        <f t="array" ref="Z6">_xll.EQNXTDZ($A$1,$B6,Z$1)</f>
        <v>211908375</v>
      </c>
      <c r="AA6" cm="1">
        <f t="array" ref="AA6">_xll.EQNXTDZ($A$1,$B6,AA$1)</f>
        <v>211908375</v>
      </c>
      <c r="AB6" cm="1">
        <f t="array" ref="AB6">_xll.EQNXTDZ($A$1,$B6,AB$1)</f>
        <v>211908375</v>
      </c>
      <c r="AC6" cm="1">
        <f t="array" ref="AC6">_xll.EQNXTDZ($A$1,$B6,AC$1)</f>
        <v>211908375</v>
      </c>
      <c r="AD6" cm="1">
        <f t="array" ref="AD6">_xll.EQNXTDZ($A$1,$B6,AD$1)</f>
        <v>211908375</v>
      </c>
      <c r="AE6" cm="1">
        <f t="array" ref="AE6">_xll.EQNXTDZ($A$1,$B6,AE$1)</f>
        <v>211908375</v>
      </c>
      <c r="AF6" cm="1">
        <f t="array" ref="AF6">_xll.EQNXTDZ($A$1,$B6,AF$1)</f>
        <v>211908375</v>
      </c>
      <c r="AG6" cm="1">
        <f t="array" ref="AG6">_xll.EQNXTDZ($A$1,$B6,AG$1)</f>
        <v>211908375</v>
      </c>
      <c r="AH6" cm="1">
        <f t="array" ref="AH6">_xll.EQNXTDZ($A$1,$B6,AH$1)</f>
        <v>211908375</v>
      </c>
      <c r="AI6" cm="1">
        <f t="array" ref="AI6">_xll.EQNXTDZ($A$1,$B6,AI$1)</f>
        <v>211908375</v>
      </c>
      <c r="AJ6" cm="1">
        <f t="array" ref="AJ6">_xll.EQNXTDZ($A$1,$B6,AJ$1)</f>
        <v>211908375</v>
      </c>
      <c r="AK6" cm="1">
        <f t="array" ref="AK6">_xll.EQNXTDZ($A$1,$B6,AK$1)</f>
        <v>211908375</v>
      </c>
      <c r="AL6" cm="1">
        <f t="array" ref="AL6">_xll.EQNXTDZ($A$1,$B6,AL$1)</f>
        <v>211908375</v>
      </c>
      <c r="AM6" cm="1">
        <f t="array" ref="AM6">_xll.EQNXTDZ($A$1,$B6,AM$1)</f>
        <v>211908375</v>
      </c>
      <c r="AN6" cm="1">
        <f t="array" ref="AN6">_xll.EQNXTDZ($A$1,$B6,AN$1)</f>
        <v>211908375</v>
      </c>
      <c r="AO6" cm="1">
        <f t="array" ref="AO6">_xll.EQNXTDZ($A$1,$B6,AO$1)</f>
        <v>211908375</v>
      </c>
      <c r="AP6" cm="1">
        <f t="array" ref="AP6">_xll.EQNXTDZ($A$1,$B6,AP$1)</f>
        <v>211908375</v>
      </c>
      <c r="AQ6" cm="1">
        <f t="array" ref="AQ6">_xll.EQNXTDZ($A$1,$B6,AQ$1)</f>
        <v>211908375</v>
      </c>
      <c r="AR6" cm="1">
        <f t="array" ref="AR6">_xll.EQNXTDZ($A$1,$B6,AR$1)</f>
        <v>211908375</v>
      </c>
      <c r="AS6" cm="1">
        <f t="array" ref="AS6">_xll.EQNXTDZ($A$1,$B6,AS$1)</f>
        <v>211908375</v>
      </c>
      <c r="AT6" cm="1">
        <f t="array" ref="AT6">_xll.EQNXTDZ($A$1,$B6,AT$1)</f>
        <v>211908375</v>
      </c>
      <c r="AU6" cm="1">
        <f t="array" ref="AU6">_xll.EQNXTDZ($A$1,$B6,AU$1)</f>
        <v>211908375</v>
      </c>
      <c r="AV6" cm="1">
        <f t="array" ref="AV6">_xll.EQNXTDZ($A$1,$B6,AV$1)</f>
        <v>211908375</v>
      </c>
      <c r="AW6" cm="1">
        <f t="array" ref="AW6">_xll.EQNXTDZ($A$1,$B6,AW$1)</f>
        <v>211908375</v>
      </c>
      <c r="AX6" cm="1">
        <f t="array" ref="AX6">_xll.EQNXTDZ($A$1,$B6,AX$1)</f>
        <v>211908375</v>
      </c>
      <c r="AY6" cm="1">
        <f t="array" ref="AY6">_xll.EQNXTDZ($A$1,$B6,AY$1)</f>
        <v>211908375</v>
      </c>
    </row>
    <row r="7" spans="1:51" x14ac:dyDescent="0.25">
      <c r="B7" t="s">
        <v>429</v>
      </c>
      <c r="C7" s="100">
        <f>+C6/10^7</f>
        <v>21.190837500000001</v>
      </c>
      <c r="D7" s="100">
        <f t="shared" ref="D7:X7" si="0">+D6/10^7</f>
        <v>21.190837500000001</v>
      </c>
      <c r="E7" s="100">
        <f t="shared" si="0"/>
        <v>21.190837500000001</v>
      </c>
      <c r="F7" s="100">
        <f t="shared" si="0"/>
        <v>21.190837500000001</v>
      </c>
      <c r="G7" s="100">
        <f t="shared" si="0"/>
        <v>21.190837500000001</v>
      </c>
      <c r="H7" s="100">
        <f t="shared" si="0"/>
        <v>21.190837500000001</v>
      </c>
      <c r="I7" s="100">
        <f t="shared" si="0"/>
        <v>21.190837500000001</v>
      </c>
      <c r="J7" s="100">
        <f t="shared" si="0"/>
        <v>21.190837500000001</v>
      </c>
      <c r="K7" s="100">
        <f t="shared" si="0"/>
        <v>21.190837500000001</v>
      </c>
      <c r="L7" s="100">
        <f t="shared" si="0"/>
        <v>21.190837500000001</v>
      </c>
      <c r="M7" s="100">
        <f t="shared" si="0"/>
        <v>21.190837500000001</v>
      </c>
      <c r="N7" s="100">
        <f t="shared" si="0"/>
        <v>21.190837500000001</v>
      </c>
      <c r="O7" s="100">
        <f t="shared" si="0"/>
        <v>21.190837500000001</v>
      </c>
      <c r="P7" s="100">
        <f t="shared" si="0"/>
        <v>21.190837500000001</v>
      </c>
      <c r="Q7" s="100">
        <f t="shared" si="0"/>
        <v>21.190837500000001</v>
      </c>
      <c r="R7" s="100">
        <f t="shared" si="0"/>
        <v>21.190837500000001</v>
      </c>
      <c r="S7" s="100">
        <f t="shared" si="0"/>
        <v>21.190837500000001</v>
      </c>
      <c r="T7" s="100">
        <f t="shared" si="0"/>
        <v>21.190837500000001</v>
      </c>
      <c r="U7" s="100">
        <f t="shared" si="0"/>
        <v>21.190837500000001</v>
      </c>
      <c r="V7" s="100">
        <f t="shared" si="0"/>
        <v>21.190837500000001</v>
      </c>
      <c r="W7" s="100">
        <f t="shared" si="0"/>
        <v>21.190837500000001</v>
      </c>
      <c r="X7" s="100">
        <f t="shared" si="0"/>
        <v>21.190837500000001</v>
      </c>
      <c r="Y7" s="100">
        <f t="shared" ref="Y7:AS7" si="1">+Y6/10^7</f>
        <v>21.190837500000001</v>
      </c>
      <c r="Z7" s="100">
        <f t="shared" si="1"/>
        <v>21.190837500000001</v>
      </c>
      <c r="AA7" s="100">
        <f t="shared" si="1"/>
        <v>21.190837500000001</v>
      </c>
      <c r="AB7" s="100">
        <f t="shared" si="1"/>
        <v>21.190837500000001</v>
      </c>
      <c r="AC7" s="100">
        <f t="shared" si="1"/>
        <v>21.190837500000001</v>
      </c>
      <c r="AD7" s="100">
        <f t="shared" si="1"/>
        <v>21.190837500000001</v>
      </c>
      <c r="AE7" s="100">
        <f t="shared" si="1"/>
        <v>21.190837500000001</v>
      </c>
      <c r="AF7" s="100">
        <f t="shared" si="1"/>
        <v>21.190837500000001</v>
      </c>
      <c r="AG7" s="100">
        <f t="shared" si="1"/>
        <v>21.190837500000001</v>
      </c>
      <c r="AH7" s="100">
        <f t="shared" si="1"/>
        <v>21.190837500000001</v>
      </c>
      <c r="AI7" s="100">
        <f t="shared" si="1"/>
        <v>21.190837500000001</v>
      </c>
      <c r="AJ7" s="100">
        <f t="shared" si="1"/>
        <v>21.190837500000001</v>
      </c>
      <c r="AK7" s="100">
        <f t="shared" si="1"/>
        <v>21.190837500000001</v>
      </c>
      <c r="AL7" s="100">
        <f t="shared" si="1"/>
        <v>21.190837500000001</v>
      </c>
      <c r="AM7" s="100">
        <f t="shared" si="1"/>
        <v>21.190837500000001</v>
      </c>
      <c r="AN7" s="100">
        <f t="shared" si="1"/>
        <v>21.190837500000001</v>
      </c>
      <c r="AO7" s="100">
        <f t="shared" si="1"/>
        <v>21.190837500000001</v>
      </c>
      <c r="AP7" s="100">
        <f t="shared" si="1"/>
        <v>21.190837500000001</v>
      </c>
      <c r="AQ7" s="100">
        <f t="shared" si="1"/>
        <v>21.190837500000001</v>
      </c>
      <c r="AR7" s="100">
        <f t="shared" si="1"/>
        <v>21.190837500000001</v>
      </c>
      <c r="AS7" s="100">
        <f t="shared" si="1"/>
        <v>21.190837500000001</v>
      </c>
      <c r="AT7" s="100">
        <f t="shared" ref="AT7:AX7" si="2">+AT6/10^7</f>
        <v>21.190837500000001</v>
      </c>
      <c r="AU7" s="100">
        <f t="shared" si="2"/>
        <v>21.190837500000001</v>
      </c>
      <c r="AV7" s="100">
        <f t="shared" si="2"/>
        <v>21.190837500000001</v>
      </c>
      <c r="AW7" s="100">
        <f t="shared" si="2"/>
        <v>21.190837500000001</v>
      </c>
      <c r="AX7" s="100">
        <f t="shared" si="2"/>
        <v>21.190837500000001</v>
      </c>
      <c r="AY7" s="100">
        <f t="shared" ref="AY7" si="3">+AY6/10^7</f>
        <v>21.190837500000001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100002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1329.8</v>
      </c>
      <c r="C4" s="116">
        <v>1299.8499999999999</v>
      </c>
      <c r="D4" s="116">
        <v>1272</v>
      </c>
      <c r="E4" s="116">
        <v>1285</v>
      </c>
      <c r="F4" s="116">
        <v>1299.8499999999999</v>
      </c>
      <c r="G4">
        <v>18165</v>
      </c>
      <c r="H4" s="116"/>
      <c r="I4" s="116"/>
      <c r="L4" s="170">
        <v>42005</v>
      </c>
      <c r="M4" s="116">
        <v>1301.5</v>
      </c>
      <c r="N4" s="116">
        <v>1330.95</v>
      </c>
      <c r="O4" s="116">
        <v>1272</v>
      </c>
      <c r="P4" s="116">
        <v>1280</v>
      </c>
      <c r="Q4" s="116">
        <v>1301.5</v>
      </c>
      <c r="R4">
        <v>101186</v>
      </c>
    </row>
    <row r="5" spans="1:18" x14ac:dyDescent="0.25">
      <c r="A5" s="170">
        <v>42006</v>
      </c>
      <c r="B5" s="116">
        <v>1322.2</v>
      </c>
      <c r="C5" s="116">
        <v>1289.75</v>
      </c>
      <c r="D5" s="116">
        <v>1280.2</v>
      </c>
      <c r="E5" s="116">
        <v>1308.7</v>
      </c>
      <c r="F5" s="116">
        <v>1289.75</v>
      </c>
      <c r="G5">
        <v>8526</v>
      </c>
      <c r="H5" s="116"/>
      <c r="I5" s="116"/>
      <c r="L5" s="170">
        <v>42006</v>
      </c>
      <c r="M5" s="116">
        <v>1288</v>
      </c>
      <c r="N5" s="116">
        <v>1323</v>
      </c>
      <c r="O5" s="116">
        <v>1284</v>
      </c>
      <c r="P5" s="116">
        <v>1313.75</v>
      </c>
      <c r="Q5" s="116">
        <v>1288</v>
      </c>
      <c r="R5">
        <v>45892</v>
      </c>
    </row>
    <row r="6" spans="1:18" x14ac:dyDescent="0.25">
      <c r="A6" s="170">
        <v>42009</v>
      </c>
      <c r="B6" s="116">
        <v>1313.65</v>
      </c>
      <c r="C6" s="116">
        <v>1285.3</v>
      </c>
      <c r="D6" s="116">
        <v>1282.25</v>
      </c>
      <c r="E6" s="116">
        <v>1299.3</v>
      </c>
      <c r="F6" s="116">
        <v>1285.3</v>
      </c>
      <c r="G6">
        <v>7683</v>
      </c>
      <c r="H6" s="116"/>
      <c r="I6" s="116"/>
      <c r="L6" s="170">
        <v>42009</v>
      </c>
      <c r="M6" s="116">
        <v>1288.3</v>
      </c>
      <c r="N6" s="116">
        <v>1314</v>
      </c>
      <c r="O6" s="116">
        <v>1285</v>
      </c>
      <c r="P6" s="116">
        <v>1298</v>
      </c>
      <c r="Q6" s="116">
        <v>1288.3</v>
      </c>
      <c r="R6">
        <v>36267</v>
      </c>
    </row>
    <row r="7" spans="1:18" x14ac:dyDescent="0.25">
      <c r="A7" s="170">
        <v>42010</v>
      </c>
      <c r="B7" s="116">
        <v>1286</v>
      </c>
      <c r="C7" s="116">
        <v>1277.5</v>
      </c>
      <c r="D7" s="116">
        <v>1252.05</v>
      </c>
      <c r="E7" s="116">
        <v>1282.5999999999999</v>
      </c>
      <c r="F7" s="116">
        <v>1277.5</v>
      </c>
      <c r="G7">
        <v>10516</v>
      </c>
      <c r="H7" s="116"/>
      <c r="I7" s="116"/>
      <c r="L7" s="170">
        <v>42010</v>
      </c>
      <c r="M7" s="116">
        <v>1276.5999999999999</v>
      </c>
      <c r="N7" s="116">
        <v>1287.95</v>
      </c>
      <c r="O7" s="116">
        <v>1251.3</v>
      </c>
      <c r="P7" s="116">
        <v>1286.45</v>
      </c>
      <c r="Q7" s="116">
        <v>1276.5999999999999</v>
      </c>
      <c r="R7">
        <v>58285</v>
      </c>
    </row>
    <row r="8" spans="1:18" x14ac:dyDescent="0.25">
      <c r="A8" s="170">
        <v>42011</v>
      </c>
      <c r="B8" s="116">
        <v>1290</v>
      </c>
      <c r="C8" s="116">
        <v>1260.05</v>
      </c>
      <c r="D8" s="116">
        <v>1255.1500000000001</v>
      </c>
      <c r="E8" s="116">
        <v>1284</v>
      </c>
      <c r="F8" s="116">
        <v>1260.05</v>
      </c>
      <c r="G8">
        <v>9783</v>
      </c>
      <c r="H8" s="116"/>
      <c r="I8" s="116"/>
      <c r="L8" s="170">
        <v>42011</v>
      </c>
      <c r="M8" s="116">
        <v>1258.2</v>
      </c>
      <c r="N8" s="116">
        <v>1291.9000000000001</v>
      </c>
      <c r="O8" s="116">
        <v>1253.0999999999999</v>
      </c>
      <c r="P8" s="116">
        <v>1287.9000000000001</v>
      </c>
      <c r="Q8" s="116">
        <v>1258.2</v>
      </c>
      <c r="R8">
        <v>41375</v>
      </c>
    </row>
    <row r="9" spans="1:18" x14ac:dyDescent="0.25">
      <c r="A9" s="170">
        <v>42012</v>
      </c>
      <c r="B9" s="116">
        <v>1320</v>
      </c>
      <c r="C9" s="116">
        <v>1289.55</v>
      </c>
      <c r="D9" s="116">
        <v>1275</v>
      </c>
      <c r="E9" s="116">
        <v>1280.6500000000001</v>
      </c>
      <c r="F9" s="116">
        <v>1289.55</v>
      </c>
      <c r="G9">
        <v>8764</v>
      </c>
      <c r="H9" s="116"/>
      <c r="I9" s="116"/>
      <c r="L9" s="170">
        <v>42012</v>
      </c>
      <c r="M9" s="116">
        <v>1288</v>
      </c>
      <c r="N9" s="116">
        <v>1320</v>
      </c>
      <c r="O9" s="116">
        <v>1264</v>
      </c>
      <c r="P9" s="116">
        <v>1264</v>
      </c>
      <c r="Q9" s="116">
        <v>1288</v>
      </c>
      <c r="R9">
        <v>69647</v>
      </c>
    </row>
    <row r="10" spans="1:18" x14ac:dyDescent="0.25">
      <c r="A10" s="170">
        <v>42013</v>
      </c>
      <c r="B10" s="116">
        <v>1303.25</v>
      </c>
      <c r="C10" s="116">
        <v>1267.8499999999999</v>
      </c>
      <c r="D10" s="116">
        <v>1260</v>
      </c>
      <c r="E10" s="116">
        <v>1300</v>
      </c>
      <c r="F10" s="116">
        <v>1267.8499999999999</v>
      </c>
      <c r="G10">
        <v>15028</v>
      </c>
      <c r="H10" s="116"/>
      <c r="I10" s="116"/>
      <c r="L10" s="170">
        <v>42013</v>
      </c>
      <c r="M10" s="116">
        <v>1265.05</v>
      </c>
      <c r="N10" s="116">
        <v>1302.9000000000001</v>
      </c>
      <c r="O10" s="116">
        <v>1256</v>
      </c>
      <c r="P10" s="116">
        <v>1294.95</v>
      </c>
      <c r="Q10" s="116">
        <v>1265.05</v>
      </c>
      <c r="R10">
        <v>125042</v>
      </c>
    </row>
    <row r="11" spans="1:18" x14ac:dyDescent="0.25">
      <c r="A11" s="170">
        <v>42016</v>
      </c>
      <c r="B11" s="116">
        <v>1280</v>
      </c>
      <c r="C11" s="116">
        <v>1266.7</v>
      </c>
      <c r="D11" s="116">
        <v>1258.25</v>
      </c>
      <c r="E11" s="116">
        <v>1270</v>
      </c>
      <c r="F11" s="116">
        <v>1266.7</v>
      </c>
      <c r="G11">
        <v>4849</v>
      </c>
      <c r="H11" s="116"/>
      <c r="I11" s="116"/>
      <c r="L11" s="170">
        <v>42016</v>
      </c>
      <c r="M11" s="116">
        <v>1267</v>
      </c>
      <c r="N11" s="116">
        <v>1279.95</v>
      </c>
      <c r="O11" s="116">
        <v>1259.4000000000001</v>
      </c>
      <c r="P11" s="116">
        <v>1272.9000000000001</v>
      </c>
      <c r="Q11" s="116">
        <v>1267</v>
      </c>
      <c r="R11">
        <v>35173</v>
      </c>
    </row>
    <row r="12" spans="1:18" x14ac:dyDescent="0.25">
      <c r="A12" s="170">
        <v>42017</v>
      </c>
      <c r="B12" s="116">
        <v>1304.5</v>
      </c>
      <c r="C12" s="116">
        <v>1271.95</v>
      </c>
      <c r="D12" s="116">
        <v>1266.7</v>
      </c>
      <c r="E12" s="116">
        <v>1269.8499999999999</v>
      </c>
      <c r="F12" s="116">
        <v>1271.95</v>
      </c>
      <c r="G12">
        <v>10894</v>
      </c>
      <c r="H12" s="116"/>
      <c r="I12" s="116"/>
      <c r="L12" s="170">
        <v>42017</v>
      </c>
      <c r="M12" s="116">
        <v>1271.3</v>
      </c>
      <c r="N12" s="116">
        <v>1304</v>
      </c>
      <c r="O12" s="116">
        <v>1266</v>
      </c>
      <c r="P12" s="116">
        <v>1267</v>
      </c>
      <c r="Q12" s="116">
        <v>1271.3</v>
      </c>
      <c r="R12">
        <v>82551</v>
      </c>
    </row>
    <row r="13" spans="1:18" x14ac:dyDescent="0.25">
      <c r="A13" s="170">
        <v>42018</v>
      </c>
      <c r="B13" s="116">
        <v>1300</v>
      </c>
      <c r="C13" s="116">
        <v>1256.9000000000001</v>
      </c>
      <c r="D13" s="116">
        <v>1250</v>
      </c>
      <c r="E13" s="116">
        <v>1274</v>
      </c>
      <c r="F13" s="116">
        <v>1256.9000000000001</v>
      </c>
      <c r="G13">
        <v>14091</v>
      </c>
      <c r="H13" s="116"/>
      <c r="I13" s="116"/>
      <c r="L13" s="170">
        <v>42018</v>
      </c>
      <c r="M13" s="116">
        <v>1262.5</v>
      </c>
      <c r="N13" s="116">
        <v>1302</v>
      </c>
      <c r="O13" s="116">
        <v>1254</v>
      </c>
      <c r="P13" s="116">
        <v>1270</v>
      </c>
      <c r="Q13" s="116">
        <v>1262.5</v>
      </c>
      <c r="R13">
        <v>53309</v>
      </c>
    </row>
    <row r="14" spans="1:18" x14ac:dyDescent="0.25">
      <c r="A14" s="170">
        <v>42019</v>
      </c>
      <c r="B14" s="116">
        <v>1299</v>
      </c>
      <c r="C14" s="116">
        <v>1267.6500000000001</v>
      </c>
      <c r="D14" s="116">
        <v>1261.0999999999999</v>
      </c>
      <c r="E14" s="116">
        <v>1299</v>
      </c>
      <c r="F14" s="116">
        <v>1267.6500000000001</v>
      </c>
      <c r="G14">
        <v>6934</v>
      </c>
      <c r="H14" s="116"/>
      <c r="I14" s="116"/>
      <c r="L14" s="170">
        <v>42019</v>
      </c>
      <c r="M14" s="116">
        <v>1268.1500000000001</v>
      </c>
      <c r="N14" s="116">
        <v>1287</v>
      </c>
      <c r="O14" s="116">
        <v>1261.05</v>
      </c>
      <c r="P14" s="116">
        <v>1262</v>
      </c>
      <c r="Q14" s="116">
        <v>1268.1500000000001</v>
      </c>
      <c r="R14">
        <v>43272</v>
      </c>
    </row>
    <row r="15" spans="1:18" x14ac:dyDescent="0.25">
      <c r="A15" s="170">
        <v>42020</v>
      </c>
      <c r="B15" s="116">
        <v>1288</v>
      </c>
      <c r="C15" s="116">
        <v>1276.75</v>
      </c>
      <c r="D15" s="116">
        <v>1253.2</v>
      </c>
      <c r="E15" s="116">
        <v>1270</v>
      </c>
      <c r="F15" s="116">
        <v>1276.75</v>
      </c>
      <c r="G15">
        <v>10486</v>
      </c>
      <c r="H15" s="116"/>
      <c r="I15" s="116"/>
      <c r="L15" s="170">
        <v>42020</v>
      </c>
      <c r="M15" s="116">
        <v>1276.45</v>
      </c>
      <c r="N15" s="116">
        <v>1288</v>
      </c>
      <c r="O15" s="116">
        <v>1253.9000000000001</v>
      </c>
      <c r="P15" s="116">
        <v>1261</v>
      </c>
      <c r="Q15" s="116">
        <v>1276.45</v>
      </c>
      <c r="R15">
        <v>67445</v>
      </c>
    </row>
    <row r="16" spans="1:18" x14ac:dyDescent="0.25">
      <c r="A16" s="170">
        <v>42023</v>
      </c>
      <c r="B16" s="116">
        <v>1310</v>
      </c>
      <c r="C16" s="116">
        <v>1275.45</v>
      </c>
      <c r="D16" s="116">
        <v>1270</v>
      </c>
      <c r="E16" s="116">
        <v>1280.3499999999999</v>
      </c>
      <c r="F16" s="116">
        <v>1275.45</v>
      </c>
      <c r="G16">
        <v>14386</v>
      </c>
      <c r="H16" s="116"/>
      <c r="I16" s="116"/>
      <c r="L16" s="170">
        <v>42023</v>
      </c>
      <c r="M16" s="116">
        <v>1273.0999999999999</v>
      </c>
      <c r="N16" s="116">
        <v>1310</v>
      </c>
      <c r="O16" s="116">
        <v>1269.25</v>
      </c>
      <c r="P16" s="116">
        <v>1281</v>
      </c>
      <c r="Q16" s="116">
        <v>1273.0999999999999</v>
      </c>
      <c r="R16">
        <v>95095</v>
      </c>
    </row>
    <row r="17" spans="1:18" x14ac:dyDescent="0.25">
      <c r="A17" s="170">
        <v>42024</v>
      </c>
      <c r="B17" s="116">
        <v>1301.8</v>
      </c>
      <c r="C17" s="116">
        <v>1273.05</v>
      </c>
      <c r="D17" s="116">
        <v>1267.3499999999999</v>
      </c>
      <c r="E17" s="116">
        <v>1277.5999999999999</v>
      </c>
      <c r="F17" s="116">
        <v>1273.05</v>
      </c>
      <c r="G17">
        <v>9267</v>
      </c>
      <c r="H17" s="116"/>
      <c r="I17" s="116"/>
      <c r="L17" s="170">
        <v>42024</v>
      </c>
      <c r="M17" s="116">
        <v>1274.3</v>
      </c>
      <c r="N17" s="116">
        <v>1302</v>
      </c>
      <c r="O17" s="116">
        <v>1265</v>
      </c>
      <c r="P17" s="116">
        <v>1275.0999999999999</v>
      </c>
      <c r="Q17" s="116">
        <v>1274.3</v>
      </c>
      <c r="R17">
        <v>66416</v>
      </c>
    </row>
    <row r="18" spans="1:18" x14ac:dyDescent="0.25">
      <c r="A18" s="170">
        <v>42025</v>
      </c>
      <c r="B18" s="116">
        <v>1290.4000000000001</v>
      </c>
      <c r="C18" s="116">
        <v>1270.95</v>
      </c>
      <c r="D18" s="116">
        <v>1266.9000000000001</v>
      </c>
      <c r="E18" s="116">
        <v>1285.55</v>
      </c>
      <c r="F18" s="116">
        <v>1270.95</v>
      </c>
      <c r="G18">
        <v>3913</v>
      </c>
      <c r="H18" s="116"/>
      <c r="I18" s="116"/>
      <c r="L18" s="170">
        <v>42025</v>
      </c>
      <c r="M18" s="116">
        <v>1271.5999999999999</v>
      </c>
      <c r="N18" s="116">
        <v>1291.9000000000001</v>
      </c>
      <c r="O18" s="116">
        <v>1267</v>
      </c>
      <c r="P18" s="116">
        <v>1275</v>
      </c>
      <c r="Q18" s="116">
        <v>1271.5999999999999</v>
      </c>
      <c r="R18">
        <v>45190</v>
      </c>
    </row>
    <row r="19" spans="1:18" x14ac:dyDescent="0.25">
      <c r="A19" s="170">
        <v>42026</v>
      </c>
      <c r="B19" s="116">
        <v>1301</v>
      </c>
      <c r="C19" s="116">
        <v>1277.2</v>
      </c>
      <c r="D19" s="116">
        <v>1270.1500000000001</v>
      </c>
      <c r="E19" s="116">
        <v>1280</v>
      </c>
      <c r="F19" s="116">
        <v>1277.2</v>
      </c>
      <c r="G19">
        <v>6731</v>
      </c>
      <c r="H19" s="116"/>
      <c r="I19" s="116"/>
      <c r="L19" s="170">
        <v>42026</v>
      </c>
      <c r="M19" s="116">
        <v>1275.9000000000001</v>
      </c>
      <c r="N19" s="116">
        <v>1299</v>
      </c>
      <c r="O19" s="116">
        <v>1270.25</v>
      </c>
      <c r="P19" s="116">
        <v>1276</v>
      </c>
      <c r="Q19" s="116">
        <v>1275.9000000000001</v>
      </c>
      <c r="R19">
        <v>51221</v>
      </c>
    </row>
    <row r="20" spans="1:18" x14ac:dyDescent="0.25">
      <c r="A20" s="170">
        <v>42027</v>
      </c>
      <c r="B20" s="116">
        <v>1319.9</v>
      </c>
      <c r="C20" s="116">
        <v>1296.2</v>
      </c>
      <c r="D20" s="116">
        <v>1286</v>
      </c>
      <c r="E20" s="116">
        <v>1286</v>
      </c>
      <c r="F20" s="116">
        <v>1296.2</v>
      </c>
      <c r="G20">
        <v>13025</v>
      </c>
      <c r="H20" s="116"/>
      <c r="I20" s="116"/>
      <c r="L20" s="170">
        <v>42027</v>
      </c>
      <c r="M20" s="116">
        <v>1296.4000000000001</v>
      </c>
      <c r="N20" s="116">
        <v>1318.8</v>
      </c>
      <c r="O20" s="116">
        <v>1283</v>
      </c>
      <c r="P20" s="116">
        <v>1283</v>
      </c>
      <c r="Q20" s="116">
        <v>1296.4000000000001</v>
      </c>
      <c r="R20">
        <v>154046</v>
      </c>
    </row>
    <row r="21" spans="1:18" x14ac:dyDescent="0.25">
      <c r="A21" s="170">
        <v>42031</v>
      </c>
      <c r="B21" s="116">
        <v>1341</v>
      </c>
      <c r="C21" s="116">
        <v>1312.3</v>
      </c>
      <c r="D21" s="116">
        <v>1300.1500000000001</v>
      </c>
      <c r="E21" s="116">
        <v>1300.1500000000001</v>
      </c>
      <c r="F21" s="116">
        <v>1312.3</v>
      </c>
      <c r="G21">
        <v>24192</v>
      </c>
      <c r="H21" s="116"/>
      <c r="I21" s="116"/>
      <c r="L21" s="170">
        <v>42031</v>
      </c>
      <c r="M21" s="116">
        <v>1317.1</v>
      </c>
      <c r="N21" s="116">
        <v>1341.9</v>
      </c>
      <c r="O21" s="116">
        <v>1301.6500000000001</v>
      </c>
      <c r="P21" s="116">
        <v>1305.95</v>
      </c>
      <c r="Q21" s="116">
        <v>1317.1</v>
      </c>
      <c r="R21">
        <v>155377</v>
      </c>
    </row>
    <row r="22" spans="1:18" x14ac:dyDescent="0.25">
      <c r="A22" s="170">
        <v>42032</v>
      </c>
      <c r="B22" s="116">
        <v>1350</v>
      </c>
      <c r="C22" s="116">
        <v>1330.7</v>
      </c>
      <c r="D22" s="116">
        <v>1320</v>
      </c>
      <c r="E22" s="116">
        <v>1322.5</v>
      </c>
      <c r="F22" s="116">
        <v>1330.7</v>
      </c>
      <c r="G22">
        <v>12074</v>
      </c>
      <c r="H22" s="116"/>
      <c r="I22" s="116"/>
      <c r="L22" s="170">
        <v>42032</v>
      </c>
      <c r="M22" s="116">
        <v>1333.75</v>
      </c>
      <c r="N22" s="116">
        <v>1352</v>
      </c>
      <c r="O22" s="116">
        <v>1320</v>
      </c>
      <c r="P22" s="116">
        <v>1320</v>
      </c>
      <c r="Q22" s="116">
        <v>1333.75</v>
      </c>
      <c r="R22">
        <v>113958</v>
      </c>
    </row>
    <row r="23" spans="1:18" x14ac:dyDescent="0.25">
      <c r="A23" s="170">
        <v>42033</v>
      </c>
      <c r="B23" s="116">
        <v>1328.05</v>
      </c>
      <c r="C23" s="116">
        <v>1304.6500000000001</v>
      </c>
      <c r="D23" s="116">
        <v>1302</v>
      </c>
      <c r="E23" s="116">
        <v>1324.55</v>
      </c>
      <c r="F23" s="116">
        <v>1304.6500000000001</v>
      </c>
      <c r="G23">
        <v>5480</v>
      </c>
      <c r="H23" s="116"/>
      <c r="I23" s="116"/>
      <c r="L23" s="170">
        <v>42033</v>
      </c>
      <c r="M23" s="116">
        <v>1306.25</v>
      </c>
      <c r="N23" s="116">
        <v>1331.75</v>
      </c>
      <c r="O23" s="116">
        <v>1300.95</v>
      </c>
      <c r="P23" s="116">
        <v>1330</v>
      </c>
      <c r="Q23" s="116">
        <v>1306.25</v>
      </c>
      <c r="R23">
        <v>42060</v>
      </c>
    </row>
    <row r="24" spans="1:18" x14ac:dyDescent="0.25">
      <c r="A24" s="170">
        <v>42034</v>
      </c>
      <c r="B24" s="116">
        <v>1319.85</v>
      </c>
      <c r="C24" s="116">
        <v>1284.8</v>
      </c>
      <c r="D24" s="116">
        <v>1275.0999999999999</v>
      </c>
      <c r="E24" s="116">
        <v>1315.45</v>
      </c>
      <c r="F24" s="116">
        <v>1284.8</v>
      </c>
      <c r="G24">
        <v>6658</v>
      </c>
      <c r="H24" s="116"/>
      <c r="I24" s="116"/>
      <c r="L24" s="170">
        <v>42034</v>
      </c>
      <c r="M24" s="116">
        <v>1283.9000000000001</v>
      </c>
      <c r="N24" s="116">
        <v>1320</v>
      </c>
      <c r="O24" s="116">
        <v>1273</v>
      </c>
      <c r="P24" s="116">
        <v>1317</v>
      </c>
      <c r="Q24" s="116">
        <v>1283.9000000000001</v>
      </c>
      <c r="R24">
        <v>41314</v>
      </c>
    </row>
    <row r="25" spans="1:18" x14ac:dyDescent="0.25">
      <c r="A25" s="170">
        <v>42037</v>
      </c>
      <c r="B25" s="116">
        <v>1291</v>
      </c>
      <c r="C25" s="116">
        <v>1261.55</v>
      </c>
      <c r="D25" s="116">
        <v>1257</v>
      </c>
      <c r="E25" s="116">
        <v>1291</v>
      </c>
      <c r="F25" s="116">
        <v>1261.55</v>
      </c>
      <c r="G25">
        <v>7604</v>
      </c>
      <c r="H25" s="116"/>
      <c r="I25" s="116"/>
      <c r="L25" s="170">
        <v>42037</v>
      </c>
      <c r="M25" s="116">
        <v>1259.95</v>
      </c>
      <c r="N25" s="116">
        <v>1295</v>
      </c>
      <c r="O25" s="116">
        <v>1256</v>
      </c>
      <c r="P25" s="116">
        <v>1280</v>
      </c>
      <c r="Q25" s="116">
        <v>1259.95</v>
      </c>
      <c r="R25">
        <v>59446</v>
      </c>
    </row>
    <row r="26" spans="1:18" x14ac:dyDescent="0.25">
      <c r="A26" s="170">
        <v>42038</v>
      </c>
      <c r="B26" s="116">
        <v>1280</v>
      </c>
      <c r="C26" s="116">
        <v>1261.3</v>
      </c>
      <c r="D26" s="116">
        <v>1258</v>
      </c>
      <c r="E26" s="116">
        <v>1270.75</v>
      </c>
      <c r="F26" s="116">
        <v>1261.3</v>
      </c>
      <c r="G26">
        <v>3425</v>
      </c>
      <c r="H26" s="116"/>
      <c r="I26" s="116"/>
      <c r="L26" s="170">
        <v>42038</v>
      </c>
      <c r="M26" s="116">
        <v>1264.1500000000001</v>
      </c>
      <c r="N26" s="116">
        <v>1280</v>
      </c>
      <c r="O26" s="116">
        <v>1255.6500000000001</v>
      </c>
      <c r="P26" s="116">
        <v>1264</v>
      </c>
      <c r="Q26" s="116">
        <v>1264.1500000000001</v>
      </c>
      <c r="R26">
        <v>43119</v>
      </c>
    </row>
    <row r="27" spans="1:18" x14ac:dyDescent="0.25">
      <c r="A27" s="170">
        <v>42039</v>
      </c>
      <c r="B27" s="116">
        <v>1286.05</v>
      </c>
      <c r="C27" s="116">
        <v>1267.05</v>
      </c>
      <c r="D27" s="116">
        <v>1262.0999999999999</v>
      </c>
      <c r="E27" s="116">
        <v>1275</v>
      </c>
      <c r="F27" s="116">
        <v>1267.05</v>
      </c>
      <c r="G27">
        <v>4855</v>
      </c>
      <c r="H27" s="116"/>
      <c r="I27" s="116"/>
      <c r="L27" s="170">
        <v>42039</v>
      </c>
      <c r="M27" s="116">
        <v>1267.8499999999999</v>
      </c>
      <c r="N27" s="116">
        <v>1288.95</v>
      </c>
      <c r="O27" s="116">
        <v>1263.0999999999999</v>
      </c>
      <c r="P27" s="116">
        <v>1273.2</v>
      </c>
      <c r="Q27" s="116">
        <v>1267.8499999999999</v>
      </c>
      <c r="R27">
        <v>41536</v>
      </c>
    </row>
    <row r="28" spans="1:18" x14ac:dyDescent="0.25">
      <c r="A28" s="170">
        <v>42040</v>
      </c>
      <c r="B28" s="116">
        <v>1274.95</v>
      </c>
      <c r="C28" s="116">
        <v>1262.25</v>
      </c>
      <c r="D28" s="116">
        <v>1258.2</v>
      </c>
      <c r="E28" s="116">
        <v>1271.5999999999999</v>
      </c>
      <c r="F28" s="116">
        <v>1262.25</v>
      </c>
      <c r="G28">
        <v>6298</v>
      </c>
      <c r="H28" s="116"/>
      <c r="I28" s="116"/>
      <c r="L28" s="170">
        <v>42040</v>
      </c>
      <c r="M28" s="116">
        <v>1265.45</v>
      </c>
      <c r="N28" s="116">
        <v>1275</v>
      </c>
      <c r="O28" s="116">
        <v>1255.25</v>
      </c>
      <c r="P28" s="116">
        <v>1273.9000000000001</v>
      </c>
      <c r="Q28" s="116">
        <v>1265.45</v>
      </c>
      <c r="R28">
        <v>241019</v>
      </c>
    </row>
    <row r="29" spans="1:18" x14ac:dyDescent="0.25">
      <c r="A29" s="170">
        <v>42041</v>
      </c>
      <c r="B29" s="116">
        <v>1290</v>
      </c>
      <c r="C29" s="116">
        <v>1281.5999999999999</v>
      </c>
      <c r="D29" s="116">
        <v>1270.75</v>
      </c>
      <c r="E29" s="116">
        <v>1275</v>
      </c>
      <c r="F29" s="116">
        <v>1281.5999999999999</v>
      </c>
      <c r="G29">
        <v>6602</v>
      </c>
      <c r="H29" s="116"/>
      <c r="I29" s="116"/>
      <c r="L29" s="170">
        <v>42041</v>
      </c>
      <c r="M29" s="116">
        <v>1280.45</v>
      </c>
      <c r="N29" s="116">
        <v>1288.95</v>
      </c>
      <c r="O29" s="116">
        <v>1270</v>
      </c>
      <c r="P29" s="116">
        <v>1270.9000000000001</v>
      </c>
      <c r="Q29" s="116">
        <v>1280.45</v>
      </c>
      <c r="R29">
        <v>50877</v>
      </c>
    </row>
    <row r="30" spans="1:18" x14ac:dyDescent="0.25">
      <c r="A30" s="170">
        <v>42044</v>
      </c>
      <c r="B30" s="116">
        <v>1289.95</v>
      </c>
      <c r="C30" s="116">
        <v>1267.6500000000001</v>
      </c>
      <c r="D30" s="116">
        <v>1257.4000000000001</v>
      </c>
      <c r="E30" s="116">
        <v>1289.95</v>
      </c>
      <c r="F30" s="116">
        <v>1267.6500000000001</v>
      </c>
      <c r="G30">
        <v>4527</v>
      </c>
      <c r="H30" s="116"/>
      <c r="I30" s="116"/>
      <c r="L30" s="170">
        <v>42044</v>
      </c>
      <c r="M30" s="116">
        <v>1268.0999999999999</v>
      </c>
      <c r="N30" s="116">
        <v>1284.9000000000001</v>
      </c>
      <c r="O30" s="116">
        <v>1256</v>
      </c>
      <c r="P30" s="116">
        <v>1283</v>
      </c>
      <c r="Q30" s="116">
        <v>1268.0999999999999</v>
      </c>
      <c r="R30">
        <v>28431</v>
      </c>
    </row>
    <row r="31" spans="1:18" x14ac:dyDescent="0.25">
      <c r="A31" s="170">
        <v>42045</v>
      </c>
      <c r="B31" s="116">
        <v>1387.7</v>
      </c>
      <c r="C31" s="116">
        <v>1361.35</v>
      </c>
      <c r="D31" s="116">
        <v>1250</v>
      </c>
      <c r="E31" s="116">
        <v>1260</v>
      </c>
      <c r="F31" s="116">
        <v>1361.35</v>
      </c>
      <c r="G31">
        <v>84822</v>
      </c>
      <c r="H31" s="116"/>
      <c r="I31" s="116"/>
      <c r="L31" s="170">
        <v>42045</v>
      </c>
      <c r="M31" s="116">
        <v>1363.95</v>
      </c>
      <c r="N31" s="116">
        <v>1391</v>
      </c>
      <c r="O31" s="116">
        <v>1245.2</v>
      </c>
      <c r="P31" s="116">
        <v>1259.95</v>
      </c>
      <c r="Q31" s="116">
        <v>1363.95</v>
      </c>
      <c r="R31">
        <v>585842</v>
      </c>
    </row>
    <row r="32" spans="1:18" x14ac:dyDescent="0.25">
      <c r="A32" s="170">
        <v>42046</v>
      </c>
      <c r="B32" s="116">
        <v>1407.55</v>
      </c>
      <c r="C32" s="116">
        <v>1361.8</v>
      </c>
      <c r="D32" s="116">
        <v>1350</v>
      </c>
      <c r="E32" s="116">
        <v>1365</v>
      </c>
      <c r="F32" s="116">
        <v>1361.8</v>
      </c>
      <c r="G32">
        <v>36683</v>
      </c>
      <c r="H32" s="116"/>
      <c r="I32" s="116"/>
      <c r="L32" s="170">
        <v>42046</v>
      </c>
      <c r="M32" s="116">
        <v>1359.8</v>
      </c>
      <c r="N32" s="116">
        <v>1407.95</v>
      </c>
      <c r="O32" s="116">
        <v>1347.3</v>
      </c>
      <c r="P32" s="116">
        <v>1375</v>
      </c>
      <c r="Q32" s="116">
        <v>1359.8</v>
      </c>
      <c r="R32">
        <v>175582</v>
      </c>
    </row>
    <row r="33" spans="1:18" x14ac:dyDescent="0.25">
      <c r="A33" s="170">
        <v>42047</v>
      </c>
      <c r="B33" s="116">
        <v>1376</v>
      </c>
      <c r="C33" s="116">
        <v>1359.5</v>
      </c>
      <c r="D33" s="116">
        <v>1341.25</v>
      </c>
      <c r="E33" s="116">
        <v>1366.5</v>
      </c>
      <c r="F33" s="116">
        <v>1359.5</v>
      </c>
      <c r="G33">
        <v>9115</v>
      </c>
      <c r="H33" s="116"/>
      <c r="I33" s="116"/>
      <c r="L33" s="170">
        <v>42047</v>
      </c>
      <c r="M33" s="116">
        <v>1361.8</v>
      </c>
      <c r="N33" s="116">
        <v>1374.9</v>
      </c>
      <c r="O33" s="116">
        <v>1341</v>
      </c>
      <c r="P33" s="116">
        <v>1364</v>
      </c>
      <c r="Q33" s="116">
        <v>1361.8</v>
      </c>
      <c r="R33">
        <v>66554</v>
      </c>
    </row>
    <row r="34" spans="1:18" x14ac:dyDescent="0.25">
      <c r="A34" s="170">
        <v>42048</v>
      </c>
      <c r="B34" s="116">
        <v>1392</v>
      </c>
      <c r="C34" s="116">
        <v>1374.25</v>
      </c>
      <c r="D34" s="116">
        <v>1360</v>
      </c>
      <c r="E34" s="116">
        <v>1360</v>
      </c>
      <c r="F34" s="116">
        <v>1374.25</v>
      </c>
      <c r="G34">
        <v>15572</v>
      </c>
      <c r="H34" s="116"/>
      <c r="I34" s="116"/>
      <c r="L34" s="170">
        <v>42048</v>
      </c>
      <c r="M34" s="116">
        <v>1375.8</v>
      </c>
      <c r="N34" s="116">
        <v>1389.9</v>
      </c>
      <c r="O34" s="116">
        <v>1360</v>
      </c>
      <c r="P34" s="116">
        <v>1362</v>
      </c>
      <c r="Q34" s="116">
        <v>1375.8</v>
      </c>
      <c r="R34">
        <v>108620</v>
      </c>
    </row>
    <row r="35" spans="1:18" x14ac:dyDescent="0.25">
      <c r="A35" s="170">
        <v>42051</v>
      </c>
      <c r="B35" s="116">
        <v>1454.65</v>
      </c>
      <c r="C35" s="116">
        <v>1442.3</v>
      </c>
      <c r="D35" s="116">
        <v>1372.5</v>
      </c>
      <c r="E35" s="116">
        <v>1381.8</v>
      </c>
      <c r="F35" s="116">
        <v>1442.3</v>
      </c>
      <c r="G35">
        <v>45028</v>
      </c>
      <c r="H35" s="116"/>
      <c r="I35" s="116"/>
      <c r="L35" s="170">
        <v>42051</v>
      </c>
      <c r="M35" s="116">
        <v>1441.75</v>
      </c>
      <c r="N35" s="116">
        <v>1454</v>
      </c>
      <c r="O35" s="116">
        <v>1371.85</v>
      </c>
      <c r="P35" s="116">
        <v>1380</v>
      </c>
      <c r="Q35" s="116">
        <v>1441.75</v>
      </c>
      <c r="R35">
        <v>238899</v>
      </c>
    </row>
    <row r="36" spans="1:18" x14ac:dyDescent="0.25">
      <c r="A36" s="170">
        <v>42053</v>
      </c>
      <c r="B36" s="116">
        <v>1459.15</v>
      </c>
      <c r="C36" s="116">
        <v>1452.65</v>
      </c>
      <c r="D36" s="116">
        <v>1405</v>
      </c>
      <c r="E36" s="116">
        <v>1405</v>
      </c>
      <c r="F36" s="116">
        <v>1452.65</v>
      </c>
      <c r="G36">
        <v>96992</v>
      </c>
      <c r="H36" s="116"/>
      <c r="I36" s="116"/>
      <c r="L36" s="170">
        <v>42053</v>
      </c>
      <c r="M36" s="116">
        <v>1455.65</v>
      </c>
      <c r="N36" s="116">
        <v>1459.7</v>
      </c>
      <c r="O36" s="116">
        <v>1445</v>
      </c>
      <c r="P36" s="116">
        <v>1445</v>
      </c>
      <c r="Q36" s="116">
        <v>1455.65</v>
      </c>
      <c r="R36">
        <v>161454</v>
      </c>
    </row>
    <row r="37" spans="1:18" x14ac:dyDescent="0.25">
      <c r="A37" s="170">
        <v>42054</v>
      </c>
      <c r="B37" s="116">
        <v>1525</v>
      </c>
      <c r="C37" s="116">
        <v>1428.35</v>
      </c>
      <c r="D37" s="116">
        <v>1415</v>
      </c>
      <c r="E37" s="116">
        <v>1458</v>
      </c>
      <c r="F37" s="116">
        <v>1428.35</v>
      </c>
      <c r="G37">
        <v>29748</v>
      </c>
      <c r="H37" s="116"/>
      <c r="I37" s="116"/>
      <c r="L37" s="170">
        <v>42054</v>
      </c>
      <c r="M37" s="116">
        <v>1423.05</v>
      </c>
      <c r="N37" s="116">
        <v>1526.3</v>
      </c>
      <c r="O37" s="116">
        <v>1411</v>
      </c>
      <c r="P37" s="116">
        <v>1460</v>
      </c>
      <c r="Q37" s="116">
        <v>1423.05</v>
      </c>
      <c r="R37">
        <v>167327</v>
      </c>
    </row>
    <row r="38" spans="1:18" x14ac:dyDescent="0.25">
      <c r="A38" s="170">
        <v>42055</v>
      </c>
      <c r="B38" s="116">
        <v>1446.3</v>
      </c>
      <c r="C38" s="116">
        <v>1411.15</v>
      </c>
      <c r="D38" s="116">
        <v>1407.85</v>
      </c>
      <c r="E38" s="116">
        <v>1430</v>
      </c>
      <c r="F38" s="116">
        <v>1411.15</v>
      </c>
      <c r="G38">
        <v>10527</v>
      </c>
      <c r="H38" s="116"/>
      <c r="I38" s="116"/>
      <c r="L38" s="170">
        <v>42055</v>
      </c>
      <c r="M38" s="116">
        <v>1415.35</v>
      </c>
      <c r="N38" s="116">
        <v>1445</v>
      </c>
      <c r="O38" s="116">
        <v>1406</v>
      </c>
      <c r="P38" s="116">
        <v>1423</v>
      </c>
      <c r="Q38" s="116">
        <v>1415.35</v>
      </c>
      <c r="R38">
        <v>59479</v>
      </c>
    </row>
    <row r="39" spans="1:18" x14ac:dyDescent="0.25">
      <c r="A39" s="170">
        <v>42058</v>
      </c>
      <c r="B39" s="116">
        <v>1445</v>
      </c>
      <c r="C39" s="116">
        <v>1414.85</v>
      </c>
      <c r="D39" s="116">
        <v>1405.1</v>
      </c>
      <c r="E39" s="116">
        <v>1415.05</v>
      </c>
      <c r="F39" s="116">
        <v>1414.85</v>
      </c>
      <c r="G39">
        <v>11322</v>
      </c>
      <c r="H39" s="116"/>
      <c r="I39" s="116"/>
      <c r="L39" s="170">
        <v>42058</v>
      </c>
      <c r="M39" s="116">
        <v>1411.95</v>
      </c>
      <c r="N39" s="116">
        <v>1442.5</v>
      </c>
      <c r="O39" s="116">
        <v>1401.05</v>
      </c>
      <c r="P39" s="116">
        <v>1420</v>
      </c>
      <c r="Q39" s="116">
        <v>1411.95</v>
      </c>
      <c r="R39">
        <v>40081</v>
      </c>
    </row>
    <row r="40" spans="1:18" x14ac:dyDescent="0.25">
      <c r="A40" s="170">
        <v>42059</v>
      </c>
      <c r="B40" s="116">
        <v>1420.75</v>
      </c>
      <c r="C40" s="116">
        <v>1375.65</v>
      </c>
      <c r="D40" s="116">
        <v>1371.1</v>
      </c>
      <c r="E40" s="116">
        <v>1406</v>
      </c>
      <c r="F40" s="116">
        <v>1375.65</v>
      </c>
      <c r="G40">
        <v>6861</v>
      </c>
      <c r="H40" s="116"/>
      <c r="I40" s="116"/>
      <c r="L40" s="170">
        <v>42059</v>
      </c>
      <c r="M40" s="116">
        <v>1375.85</v>
      </c>
      <c r="N40" s="116">
        <v>1419</v>
      </c>
      <c r="O40" s="116">
        <v>1371</v>
      </c>
      <c r="P40" s="116">
        <v>1417</v>
      </c>
      <c r="Q40" s="116">
        <v>1375.85</v>
      </c>
      <c r="R40">
        <v>37460</v>
      </c>
    </row>
    <row r="41" spans="1:18" x14ac:dyDescent="0.25">
      <c r="A41" s="170">
        <v>42060</v>
      </c>
      <c r="B41" s="116">
        <v>1442.7</v>
      </c>
      <c r="C41" s="116">
        <v>1419.8</v>
      </c>
      <c r="D41" s="116">
        <v>1380</v>
      </c>
      <c r="E41" s="116">
        <v>1380</v>
      </c>
      <c r="F41" s="116">
        <v>1419.8</v>
      </c>
      <c r="G41">
        <v>29140</v>
      </c>
      <c r="H41" s="116"/>
      <c r="I41" s="116"/>
      <c r="L41" s="170">
        <v>42060</v>
      </c>
      <c r="M41" s="116">
        <v>1419.9</v>
      </c>
      <c r="N41" s="116">
        <v>1443</v>
      </c>
      <c r="O41" s="116">
        <v>1380</v>
      </c>
      <c r="P41" s="116">
        <v>1380</v>
      </c>
      <c r="Q41" s="116">
        <v>1419.9</v>
      </c>
      <c r="R41">
        <v>182761</v>
      </c>
    </row>
    <row r="42" spans="1:18" x14ac:dyDescent="0.25">
      <c r="A42" s="170">
        <v>42061</v>
      </c>
      <c r="B42" s="116">
        <v>1429.7</v>
      </c>
      <c r="C42" s="116">
        <v>1381.3</v>
      </c>
      <c r="D42" s="116">
        <v>1375.25</v>
      </c>
      <c r="E42" s="116">
        <v>1427.2</v>
      </c>
      <c r="F42" s="116">
        <v>1381.3</v>
      </c>
      <c r="G42">
        <v>14646</v>
      </c>
      <c r="H42" s="116"/>
      <c r="I42" s="116"/>
      <c r="L42" s="170">
        <v>42061</v>
      </c>
      <c r="M42" s="116">
        <v>1383.8</v>
      </c>
      <c r="N42" s="116">
        <v>1431</v>
      </c>
      <c r="O42" s="116">
        <v>1375.55</v>
      </c>
      <c r="P42" s="116">
        <v>1425</v>
      </c>
      <c r="Q42" s="116">
        <v>1383.8</v>
      </c>
      <c r="R42">
        <v>110582</v>
      </c>
    </row>
    <row r="43" spans="1:18" x14ac:dyDescent="0.25">
      <c r="A43" s="170">
        <v>42062</v>
      </c>
      <c r="B43" s="116">
        <v>1415</v>
      </c>
      <c r="C43" s="116">
        <v>1407.2</v>
      </c>
      <c r="D43" s="116">
        <v>1383</v>
      </c>
      <c r="E43" s="116">
        <v>1383</v>
      </c>
      <c r="F43" s="116">
        <v>1407.2</v>
      </c>
      <c r="G43">
        <v>13810</v>
      </c>
      <c r="H43" s="116"/>
      <c r="I43" s="116"/>
      <c r="L43" s="170">
        <v>42062</v>
      </c>
      <c r="M43" s="116">
        <v>1409.65</v>
      </c>
      <c r="N43" s="116">
        <v>1414.9</v>
      </c>
      <c r="O43" s="116">
        <v>1389.2</v>
      </c>
      <c r="P43" s="116">
        <v>1389.2</v>
      </c>
      <c r="Q43" s="116">
        <v>1409.65</v>
      </c>
      <c r="R43">
        <v>136667</v>
      </c>
    </row>
    <row r="44" spans="1:18" x14ac:dyDescent="0.25">
      <c r="A44" s="170">
        <v>42063</v>
      </c>
      <c r="B44" s="116">
        <v>1458</v>
      </c>
      <c r="C44" s="116">
        <v>1395.2</v>
      </c>
      <c r="D44" s="116">
        <v>1384</v>
      </c>
      <c r="E44" s="116">
        <v>1415</v>
      </c>
      <c r="F44" s="116">
        <v>1395.2</v>
      </c>
      <c r="G44">
        <v>25165</v>
      </c>
      <c r="H44" s="116"/>
      <c r="I44" s="116"/>
      <c r="L44" s="170">
        <v>42063</v>
      </c>
      <c r="M44" s="116">
        <v>1399.55</v>
      </c>
      <c r="N44" s="116">
        <v>1458</v>
      </c>
      <c r="O44" s="116">
        <v>1383.5</v>
      </c>
      <c r="P44" s="116">
        <v>1420.7</v>
      </c>
      <c r="Q44" s="116">
        <v>1399.55</v>
      </c>
      <c r="R44">
        <v>223595</v>
      </c>
    </row>
    <row r="45" spans="1:18" x14ac:dyDescent="0.25">
      <c r="A45" s="170">
        <v>42065</v>
      </c>
      <c r="B45" s="116">
        <v>1421</v>
      </c>
      <c r="C45" s="116">
        <v>1402</v>
      </c>
      <c r="D45" s="116">
        <v>1394</v>
      </c>
      <c r="E45" s="116">
        <v>1414.6</v>
      </c>
      <c r="F45" s="116">
        <v>1402</v>
      </c>
      <c r="G45">
        <v>11521</v>
      </c>
      <c r="H45" s="116"/>
      <c r="I45" s="116"/>
      <c r="L45" s="170">
        <v>42065</v>
      </c>
      <c r="M45" s="116">
        <v>1400.5</v>
      </c>
      <c r="N45" s="116">
        <v>1425</v>
      </c>
      <c r="O45" s="116">
        <v>1392</v>
      </c>
      <c r="P45" s="116">
        <v>1404</v>
      </c>
      <c r="Q45" s="116">
        <v>1400.5</v>
      </c>
      <c r="R45">
        <v>54235</v>
      </c>
    </row>
    <row r="46" spans="1:18" x14ac:dyDescent="0.25">
      <c r="A46" s="170">
        <v>42066</v>
      </c>
      <c r="B46" s="116">
        <v>1423.25</v>
      </c>
      <c r="C46" s="116">
        <v>1387.75</v>
      </c>
      <c r="D46" s="116">
        <v>1380</v>
      </c>
      <c r="E46" s="116">
        <v>1409</v>
      </c>
      <c r="F46" s="116">
        <v>1387.75</v>
      </c>
      <c r="G46">
        <v>11980</v>
      </c>
      <c r="H46" s="116"/>
      <c r="I46" s="116"/>
      <c r="L46" s="170">
        <v>42066</v>
      </c>
      <c r="M46" s="116">
        <v>1389.25</v>
      </c>
      <c r="N46" s="116">
        <v>1425</v>
      </c>
      <c r="O46" s="116">
        <v>1382.35</v>
      </c>
      <c r="P46" s="116">
        <v>1405</v>
      </c>
      <c r="Q46" s="116">
        <v>1389.25</v>
      </c>
      <c r="R46">
        <v>58586</v>
      </c>
    </row>
    <row r="47" spans="1:18" x14ac:dyDescent="0.25">
      <c r="A47" s="170">
        <v>42067</v>
      </c>
      <c r="B47" s="116">
        <v>1406.95</v>
      </c>
      <c r="C47" s="116">
        <v>1385.8</v>
      </c>
      <c r="D47" s="116">
        <v>1383.1</v>
      </c>
      <c r="E47" s="116">
        <v>1391.65</v>
      </c>
      <c r="F47" s="116">
        <v>1385.8</v>
      </c>
      <c r="G47">
        <v>10258</v>
      </c>
      <c r="H47" s="116"/>
      <c r="I47" s="116"/>
      <c r="L47" s="170">
        <v>42067</v>
      </c>
      <c r="M47" s="116">
        <v>1389.4</v>
      </c>
      <c r="N47" s="116">
        <v>1408</v>
      </c>
      <c r="O47" s="116">
        <v>1387.55</v>
      </c>
      <c r="P47" s="116">
        <v>1394</v>
      </c>
      <c r="Q47" s="116">
        <v>1389.4</v>
      </c>
      <c r="R47">
        <v>195278</v>
      </c>
    </row>
    <row r="48" spans="1:18" x14ac:dyDescent="0.25">
      <c r="A48" s="170">
        <v>42068</v>
      </c>
      <c r="B48" s="116">
        <v>1397.45</v>
      </c>
      <c r="C48" s="116">
        <v>1375.75</v>
      </c>
      <c r="D48" s="116">
        <v>1370</v>
      </c>
      <c r="E48" s="116">
        <v>1394.05</v>
      </c>
      <c r="F48" s="116">
        <v>1375.75</v>
      </c>
      <c r="G48">
        <v>5493</v>
      </c>
      <c r="H48" s="116"/>
      <c r="I48" s="116"/>
      <c r="L48" s="170">
        <v>42068</v>
      </c>
      <c r="M48" s="116">
        <v>1374.15</v>
      </c>
      <c r="N48" s="116">
        <v>1397</v>
      </c>
      <c r="O48" s="116">
        <v>1370</v>
      </c>
      <c r="P48" s="116">
        <v>1394</v>
      </c>
      <c r="Q48" s="116">
        <v>1374.15</v>
      </c>
      <c r="R48">
        <v>45669</v>
      </c>
    </row>
    <row r="49" spans="1:18" x14ac:dyDescent="0.25">
      <c r="A49" s="170">
        <v>42072</v>
      </c>
      <c r="B49" s="116">
        <v>1385.8</v>
      </c>
      <c r="C49" s="116">
        <v>1341.65</v>
      </c>
      <c r="D49" s="116">
        <v>1336.25</v>
      </c>
      <c r="E49" s="116">
        <v>1385.8</v>
      </c>
      <c r="F49" s="116">
        <v>1341.65</v>
      </c>
      <c r="G49">
        <v>6209</v>
      </c>
      <c r="H49" s="116"/>
      <c r="I49" s="116"/>
      <c r="L49" s="170">
        <v>42072</v>
      </c>
      <c r="M49" s="116">
        <v>1339.75</v>
      </c>
      <c r="N49" s="116">
        <v>1378.75</v>
      </c>
      <c r="O49" s="116">
        <v>1335</v>
      </c>
      <c r="P49" s="116">
        <v>1370</v>
      </c>
      <c r="Q49" s="116">
        <v>1339.75</v>
      </c>
      <c r="R49">
        <v>32945</v>
      </c>
    </row>
    <row r="50" spans="1:18" x14ac:dyDescent="0.25">
      <c r="A50" s="170">
        <v>42073</v>
      </c>
      <c r="B50" s="116">
        <v>1362.4</v>
      </c>
      <c r="C50" s="116">
        <v>1329.45</v>
      </c>
      <c r="D50" s="116">
        <v>1309</v>
      </c>
      <c r="E50" s="116">
        <v>1339.4</v>
      </c>
      <c r="F50" s="116">
        <v>1329.45</v>
      </c>
      <c r="G50">
        <v>11361</v>
      </c>
      <c r="H50" s="116"/>
      <c r="I50" s="116"/>
      <c r="L50" s="170">
        <v>42073</v>
      </c>
      <c r="M50" s="116">
        <v>1328.4</v>
      </c>
      <c r="N50" s="116">
        <v>1362.2</v>
      </c>
      <c r="O50" s="116">
        <v>1307</v>
      </c>
      <c r="P50" s="116">
        <v>1338.1</v>
      </c>
      <c r="Q50" s="116">
        <v>1328.4</v>
      </c>
      <c r="R50">
        <v>143382</v>
      </c>
    </row>
    <row r="51" spans="1:18" x14ac:dyDescent="0.25">
      <c r="A51" s="170">
        <v>42074</v>
      </c>
      <c r="B51" s="116">
        <v>1363.45</v>
      </c>
      <c r="C51" s="116">
        <v>1314</v>
      </c>
      <c r="D51" s="116">
        <v>1306.8</v>
      </c>
      <c r="E51" s="116">
        <v>1336.2</v>
      </c>
      <c r="F51" s="116">
        <v>1314</v>
      </c>
      <c r="G51">
        <v>14580</v>
      </c>
      <c r="H51" s="116"/>
      <c r="I51" s="116"/>
      <c r="L51" s="170">
        <v>42074</v>
      </c>
      <c r="M51" s="116">
        <v>1313.2</v>
      </c>
      <c r="N51" s="116">
        <v>1371</v>
      </c>
      <c r="O51" s="116">
        <v>1306</v>
      </c>
      <c r="P51" s="116">
        <v>1333</v>
      </c>
      <c r="Q51" s="116">
        <v>1313.2</v>
      </c>
      <c r="R51">
        <v>50452</v>
      </c>
    </row>
    <row r="52" spans="1:18" x14ac:dyDescent="0.25">
      <c r="A52" s="170">
        <v>42075</v>
      </c>
      <c r="B52" s="116">
        <v>1336</v>
      </c>
      <c r="C52" s="116">
        <v>1318.75</v>
      </c>
      <c r="D52" s="116">
        <v>1307.2</v>
      </c>
      <c r="E52" s="116">
        <v>1328.05</v>
      </c>
      <c r="F52" s="116">
        <v>1318.75</v>
      </c>
      <c r="G52">
        <v>10151</v>
      </c>
      <c r="H52" s="116"/>
      <c r="I52" s="116"/>
      <c r="L52" s="170">
        <v>42075</v>
      </c>
      <c r="M52" s="116">
        <v>1317.1</v>
      </c>
      <c r="N52" s="116">
        <v>1336</v>
      </c>
      <c r="O52" s="116">
        <v>1305.25</v>
      </c>
      <c r="P52" s="116">
        <v>1316.5</v>
      </c>
      <c r="Q52" s="116">
        <v>1317.1</v>
      </c>
      <c r="R52">
        <v>240092</v>
      </c>
    </row>
    <row r="53" spans="1:18" x14ac:dyDescent="0.25">
      <c r="A53" s="170">
        <v>42076</v>
      </c>
      <c r="B53" s="116">
        <v>1356.25</v>
      </c>
      <c r="C53" s="116">
        <v>1320.35</v>
      </c>
      <c r="D53" s="116">
        <v>1315</v>
      </c>
      <c r="E53" s="116">
        <v>1320</v>
      </c>
      <c r="F53" s="116">
        <v>1320.35</v>
      </c>
      <c r="G53">
        <v>14161</v>
      </c>
      <c r="H53" s="116"/>
      <c r="I53" s="116"/>
      <c r="L53" s="170">
        <v>42076</v>
      </c>
      <c r="M53" s="116">
        <v>1318.45</v>
      </c>
      <c r="N53" s="116">
        <v>1354.7</v>
      </c>
      <c r="O53" s="116">
        <v>1311.15</v>
      </c>
      <c r="P53" s="116">
        <v>1324.95</v>
      </c>
      <c r="Q53" s="116">
        <v>1318.45</v>
      </c>
      <c r="R53">
        <v>71901</v>
      </c>
    </row>
    <row r="54" spans="1:18" x14ac:dyDescent="0.25">
      <c r="A54" s="170">
        <v>42079</v>
      </c>
      <c r="B54" s="116">
        <v>1350</v>
      </c>
      <c r="C54" s="116">
        <v>1284.8</v>
      </c>
      <c r="D54" s="116">
        <v>1282</v>
      </c>
      <c r="E54" s="116">
        <v>1349.45</v>
      </c>
      <c r="F54" s="116">
        <v>1284.8</v>
      </c>
      <c r="G54">
        <v>11912</v>
      </c>
      <c r="H54" s="116"/>
      <c r="I54" s="116"/>
      <c r="L54" s="170">
        <v>42079</v>
      </c>
      <c r="M54" s="116">
        <v>1283.1500000000001</v>
      </c>
      <c r="N54" s="116">
        <v>1331.4</v>
      </c>
      <c r="O54" s="116">
        <v>1280.2</v>
      </c>
      <c r="P54" s="116">
        <v>1323</v>
      </c>
      <c r="Q54" s="116">
        <v>1283.1500000000001</v>
      </c>
      <c r="R54">
        <v>159204</v>
      </c>
    </row>
    <row r="55" spans="1:18" x14ac:dyDescent="0.25">
      <c r="A55" s="170">
        <v>42080</v>
      </c>
      <c r="B55" s="116">
        <v>1295</v>
      </c>
      <c r="C55" s="116">
        <v>1281.95</v>
      </c>
      <c r="D55" s="116">
        <v>1275</v>
      </c>
      <c r="E55" s="116">
        <v>1288</v>
      </c>
      <c r="F55" s="116">
        <v>1281.95</v>
      </c>
      <c r="G55">
        <v>7244</v>
      </c>
      <c r="H55" s="116"/>
      <c r="I55" s="116"/>
      <c r="L55" s="170">
        <v>42080</v>
      </c>
      <c r="M55" s="116">
        <v>1277.45</v>
      </c>
      <c r="N55" s="116">
        <v>1295</v>
      </c>
      <c r="O55" s="116">
        <v>1273.55</v>
      </c>
      <c r="P55" s="116">
        <v>1290.05</v>
      </c>
      <c r="Q55" s="116">
        <v>1277.45</v>
      </c>
      <c r="R55">
        <v>58186</v>
      </c>
    </row>
    <row r="56" spans="1:18" x14ac:dyDescent="0.25">
      <c r="A56" s="170">
        <v>42081</v>
      </c>
      <c r="B56" s="116">
        <v>1291.7</v>
      </c>
      <c r="C56" s="116">
        <v>1268.45</v>
      </c>
      <c r="D56" s="116">
        <v>1265</v>
      </c>
      <c r="E56" s="116">
        <v>1284.3</v>
      </c>
      <c r="F56" s="116">
        <v>1268.45</v>
      </c>
      <c r="G56">
        <v>7171</v>
      </c>
      <c r="H56" s="116"/>
      <c r="I56" s="116"/>
      <c r="L56" s="170">
        <v>42081</v>
      </c>
      <c r="M56" s="116">
        <v>1268.3499999999999</v>
      </c>
      <c r="N56" s="116">
        <v>1289.5</v>
      </c>
      <c r="O56" s="116">
        <v>1265.0999999999999</v>
      </c>
      <c r="P56" s="116">
        <v>1288.3</v>
      </c>
      <c r="Q56" s="116">
        <v>1268.3499999999999</v>
      </c>
      <c r="R56">
        <v>51248</v>
      </c>
    </row>
    <row r="57" spans="1:18" x14ac:dyDescent="0.25">
      <c r="A57" s="170">
        <v>42082</v>
      </c>
      <c r="B57" s="116">
        <v>1315.95</v>
      </c>
      <c r="C57" s="116">
        <v>1278.25</v>
      </c>
      <c r="D57" s="116">
        <v>1270.9000000000001</v>
      </c>
      <c r="E57" s="116">
        <v>1280.7</v>
      </c>
      <c r="F57" s="116">
        <v>1278.25</v>
      </c>
      <c r="G57">
        <v>10335</v>
      </c>
      <c r="H57" s="116"/>
      <c r="I57" s="116"/>
      <c r="L57" s="170">
        <v>42082</v>
      </c>
      <c r="M57" s="116">
        <v>1280.3499999999999</v>
      </c>
      <c r="N57" s="116">
        <v>1316.15</v>
      </c>
      <c r="O57" s="116">
        <v>1270</v>
      </c>
      <c r="P57" s="116">
        <v>1280</v>
      </c>
      <c r="Q57" s="116">
        <v>1280.3499999999999</v>
      </c>
      <c r="R57">
        <v>156626</v>
      </c>
    </row>
    <row r="58" spans="1:18" x14ac:dyDescent="0.25">
      <c r="A58" s="170">
        <v>42083</v>
      </c>
      <c r="B58" s="116">
        <v>1282</v>
      </c>
      <c r="C58" s="116">
        <v>1268.4000000000001</v>
      </c>
      <c r="D58" s="116">
        <v>1259</v>
      </c>
      <c r="E58" s="116">
        <v>1282</v>
      </c>
      <c r="F58" s="116">
        <v>1268.4000000000001</v>
      </c>
      <c r="G58">
        <v>7487</v>
      </c>
      <c r="H58" s="116"/>
      <c r="I58" s="116"/>
      <c r="L58" s="170">
        <v>42083</v>
      </c>
      <c r="M58" s="116">
        <v>1272.75</v>
      </c>
      <c r="N58" s="116">
        <v>1288.8</v>
      </c>
      <c r="O58" s="116">
        <v>1260</v>
      </c>
      <c r="P58" s="116">
        <v>1288.8</v>
      </c>
      <c r="Q58" s="116">
        <v>1272.75</v>
      </c>
      <c r="R58">
        <v>100741</v>
      </c>
    </row>
    <row r="59" spans="1:18" x14ac:dyDescent="0.25">
      <c r="A59" s="170">
        <v>42086</v>
      </c>
      <c r="B59" s="116">
        <v>1275.05</v>
      </c>
      <c r="C59" s="116">
        <v>1244.45</v>
      </c>
      <c r="D59" s="116">
        <v>1234.05</v>
      </c>
      <c r="E59" s="116">
        <v>1267.0999999999999</v>
      </c>
      <c r="F59" s="116">
        <v>1244.45</v>
      </c>
      <c r="G59">
        <v>9006</v>
      </c>
      <c r="H59" s="116"/>
      <c r="I59" s="116"/>
      <c r="L59" s="170">
        <v>42086</v>
      </c>
      <c r="M59" s="116">
        <v>1244.5</v>
      </c>
      <c r="N59" s="116">
        <v>1274.95</v>
      </c>
      <c r="O59" s="116">
        <v>1236.05</v>
      </c>
      <c r="P59" s="116">
        <v>1274</v>
      </c>
      <c r="Q59" s="116">
        <v>1244.5</v>
      </c>
      <c r="R59">
        <v>50854</v>
      </c>
    </row>
    <row r="60" spans="1:18" x14ac:dyDescent="0.25">
      <c r="A60" s="170">
        <v>42087</v>
      </c>
      <c r="B60" s="116">
        <v>1248</v>
      </c>
      <c r="C60" s="116">
        <v>1218.05</v>
      </c>
      <c r="D60" s="116">
        <v>1211</v>
      </c>
      <c r="E60" s="116">
        <v>1248</v>
      </c>
      <c r="F60" s="116">
        <v>1218.05</v>
      </c>
      <c r="G60">
        <v>7755</v>
      </c>
      <c r="H60" s="116"/>
      <c r="I60" s="116"/>
      <c r="L60" s="170">
        <v>42087</v>
      </c>
      <c r="M60" s="116">
        <v>1220.25</v>
      </c>
      <c r="N60" s="116">
        <v>1249.9000000000001</v>
      </c>
      <c r="O60" s="116">
        <v>1216</v>
      </c>
      <c r="P60" s="116">
        <v>1249.9000000000001</v>
      </c>
      <c r="Q60" s="116">
        <v>1220.25</v>
      </c>
      <c r="R60">
        <v>60733</v>
      </c>
    </row>
    <row r="61" spans="1:18" x14ac:dyDescent="0.25">
      <c r="A61" s="170">
        <v>42088</v>
      </c>
      <c r="B61" s="116">
        <v>1238.1500000000001</v>
      </c>
      <c r="C61" s="116">
        <v>1195.8</v>
      </c>
      <c r="D61" s="116">
        <v>1191.05</v>
      </c>
      <c r="E61" s="116">
        <v>1228.95</v>
      </c>
      <c r="F61" s="116">
        <v>1195.8</v>
      </c>
      <c r="G61">
        <v>166785</v>
      </c>
      <c r="H61" s="116"/>
      <c r="I61" s="116"/>
      <c r="L61" s="170">
        <v>42088</v>
      </c>
      <c r="M61" s="116">
        <v>1196.5999999999999</v>
      </c>
      <c r="N61" s="116">
        <v>1238</v>
      </c>
      <c r="O61" s="116">
        <v>1193.05</v>
      </c>
      <c r="P61" s="116">
        <v>1223</v>
      </c>
      <c r="Q61" s="116">
        <v>1196.5999999999999</v>
      </c>
      <c r="R61">
        <v>59561</v>
      </c>
    </row>
    <row r="62" spans="1:18" x14ac:dyDescent="0.25">
      <c r="A62" s="170">
        <v>42089</v>
      </c>
      <c r="B62" s="116">
        <v>1245</v>
      </c>
      <c r="C62" s="116">
        <v>1216.05</v>
      </c>
      <c r="D62" s="116">
        <v>1184</v>
      </c>
      <c r="E62" s="116">
        <v>1186</v>
      </c>
      <c r="F62" s="116">
        <v>1216.05</v>
      </c>
      <c r="G62">
        <v>9827</v>
      </c>
      <c r="H62" s="116"/>
      <c r="I62" s="116"/>
      <c r="L62" s="170">
        <v>42089</v>
      </c>
      <c r="M62" s="116">
        <v>1217.8</v>
      </c>
      <c r="N62" s="116">
        <v>1239.95</v>
      </c>
      <c r="O62" s="116">
        <v>1181.7</v>
      </c>
      <c r="P62" s="116">
        <v>1201</v>
      </c>
      <c r="Q62" s="116">
        <v>1217.8</v>
      </c>
      <c r="R62">
        <v>63996</v>
      </c>
    </row>
    <row r="63" spans="1:18" x14ac:dyDescent="0.25">
      <c r="A63" s="170">
        <v>42090</v>
      </c>
      <c r="B63" s="116">
        <v>1228.95</v>
      </c>
      <c r="C63" s="116">
        <v>1198.9000000000001</v>
      </c>
      <c r="D63" s="116">
        <v>1188.05</v>
      </c>
      <c r="E63" s="116">
        <v>1214</v>
      </c>
      <c r="F63" s="116">
        <v>1198.9000000000001</v>
      </c>
      <c r="G63">
        <v>10070</v>
      </c>
      <c r="H63" s="116"/>
      <c r="I63" s="116"/>
      <c r="L63" s="170">
        <v>42090</v>
      </c>
      <c r="M63" s="116">
        <v>1200.6500000000001</v>
      </c>
      <c r="N63" s="116">
        <v>1229.5999999999999</v>
      </c>
      <c r="O63" s="116">
        <v>1185.8499999999999</v>
      </c>
      <c r="P63" s="116">
        <v>1227</v>
      </c>
      <c r="Q63" s="116">
        <v>1200.6500000000001</v>
      </c>
      <c r="R63">
        <v>50290</v>
      </c>
    </row>
    <row r="64" spans="1:18" x14ac:dyDescent="0.25">
      <c r="A64" s="170">
        <v>42093</v>
      </c>
      <c r="B64" s="116">
        <v>1235</v>
      </c>
      <c r="C64" s="116">
        <v>1211.95</v>
      </c>
      <c r="D64" s="116">
        <v>1196.3499999999999</v>
      </c>
      <c r="E64" s="116">
        <v>1209.8</v>
      </c>
      <c r="F64" s="116">
        <v>1211.95</v>
      </c>
      <c r="G64">
        <v>8834</v>
      </c>
      <c r="H64" s="116"/>
      <c r="I64" s="116"/>
      <c r="L64" s="170">
        <v>42093</v>
      </c>
      <c r="M64" s="116">
        <v>1215.6500000000001</v>
      </c>
      <c r="N64" s="116">
        <v>1235.2</v>
      </c>
      <c r="O64" s="116">
        <v>1197</v>
      </c>
      <c r="P64" s="116">
        <v>1210</v>
      </c>
      <c r="Q64" s="116">
        <v>1215.6500000000001</v>
      </c>
      <c r="R64">
        <v>117181</v>
      </c>
    </row>
    <row r="65" spans="1:18" x14ac:dyDescent="0.25">
      <c r="A65" s="170">
        <v>42094</v>
      </c>
      <c r="B65" s="116">
        <v>1265.9000000000001</v>
      </c>
      <c r="C65" s="116">
        <v>1257</v>
      </c>
      <c r="D65" s="116">
        <v>1222.5</v>
      </c>
      <c r="E65" s="116">
        <v>1229.95</v>
      </c>
      <c r="F65" s="116">
        <v>1257</v>
      </c>
      <c r="G65">
        <v>11441</v>
      </c>
      <c r="H65" s="116"/>
      <c r="I65" s="116"/>
      <c r="L65" s="170">
        <v>42094</v>
      </c>
      <c r="M65" s="116">
        <v>1260.0999999999999</v>
      </c>
      <c r="N65" s="116">
        <v>1268.4000000000001</v>
      </c>
      <c r="O65" s="116">
        <v>1216</v>
      </c>
      <c r="P65" s="116">
        <v>1220.0999999999999</v>
      </c>
      <c r="Q65" s="116">
        <v>1260.0999999999999</v>
      </c>
      <c r="R65">
        <v>85090</v>
      </c>
    </row>
    <row r="66" spans="1:18" x14ac:dyDescent="0.25">
      <c r="A66" s="170">
        <v>42095</v>
      </c>
      <c r="B66" s="116">
        <v>1281</v>
      </c>
      <c r="C66" s="116">
        <v>1275.8499999999999</v>
      </c>
      <c r="D66" s="116">
        <v>1264.5</v>
      </c>
      <c r="E66" s="116">
        <v>1264.5</v>
      </c>
      <c r="F66" s="116">
        <v>1275.8499999999999</v>
      </c>
      <c r="G66">
        <v>4925</v>
      </c>
      <c r="H66" s="116"/>
      <c r="I66" s="116"/>
      <c r="L66" s="170">
        <v>42095</v>
      </c>
      <c r="M66" s="116">
        <v>1277.45</v>
      </c>
      <c r="N66" s="116">
        <v>1284</v>
      </c>
      <c r="O66" s="116">
        <v>1266</v>
      </c>
      <c r="P66" s="116">
        <v>1266.05</v>
      </c>
      <c r="Q66" s="116">
        <v>1277.45</v>
      </c>
      <c r="R66">
        <v>70294</v>
      </c>
    </row>
    <row r="67" spans="1:18" x14ac:dyDescent="0.25">
      <c r="A67" s="170">
        <v>42100</v>
      </c>
      <c r="B67" s="116">
        <v>1380.2</v>
      </c>
      <c r="C67" s="116">
        <v>1342.45</v>
      </c>
      <c r="D67" s="116">
        <v>1278.3</v>
      </c>
      <c r="E67" s="116">
        <v>1285</v>
      </c>
      <c r="F67" s="116">
        <v>1342.45</v>
      </c>
      <c r="G67">
        <v>21919</v>
      </c>
      <c r="H67" s="116"/>
      <c r="I67" s="116"/>
      <c r="L67" s="170">
        <v>42100</v>
      </c>
      <c r="M67" s="116">
        <v>1344.15</v>
      </c>
      <c r="N67" s="116">
        <v>1380</v>
      </c>
      <c r="O67" s="116">
        <v>1275.8</v>
      </c>
      <c r="P67" s="116">
        <v>1283</v>
      </c>
      <c r="Q67" s="116">
        <v>1344.15</v>
      </c>
      <c r="R67">
        <v>143779</v>
      </c>
    </row>
    <row r="68" spans="1:18" x14ac:dyDescent="0.25">
      <c r="A68" s="170">
        <v>42101</v>
      </c>
      <c r="B68" s="116">
        <v>1369</v>
      </c>
      <c r="C68" s="116">
        <v>1346.75</v>
      </c>
      <c r="D68" s="116">
        <v>1335</v>
      </c>
      <c r="E68" s="116">
        <v>1355</v>
      </c>
      <c r="F68" s="116">
        <v>1346.75</v>
      </c>
      <c r="G68">
        <v>9793</v>
      </c>
      <c r="H68" s="116"/>
      <c r="I68" s="116"/>
      <c r="L68" s="170">
        <v>42101</v>
      </c>
      <c r="M68" s="116">
        <v>1345.95</v>
      </c>
      <c r="N68" s="116">
        <v>1369.8</v>
      </c>
      <c r="O68" s="116">
        <v>1325</v>
      </c>
      <c r="P68" s="116">
        <v>1348</v>
      </c>
      <c r="Q68" s="116">
        <v>1345.95</v>
      </c>
      <c r="R68">
        <v>72901</v>
      </c>
    </row>
    <row r="69" spans="1:18" x14ac:dyDescent="0.25">
      <c r="A69" s="170">
        <v>42102</v>
      </c>
      <c r="B69" s="116">
        <v>1400</v>
      </c>
      <c r="C69" s="116">
        <v>1383.35</v>
      </c>
      <c r="D69" s="116">
        <v>1345.1</v>
      </c>
      <c r="E69" s="116">
        <v>1351.25</v>
      </c>
      <c r="F69" s="116">
        <v>1383.35</v>
      </c>
      <c r="G69">
        <v>28318</v>
      </c>
      <c r="H69" s="116"/>
      <c r="I69" s="116"/>
      <c r="L69" s="170">
        <v>42102</v>
      </c>
      <c r="M69" s="116">
        <v>1382.85</v>
      </c>
      <c r="N69" s="116">
        <v>1400</v>
      </c>
      <c r="O69" s="116">
        <v>1343.5</v>
      </c>
      <c r="P69" s="116">
        <v>1347</v>
      </c>
      <c r="Q69" s="116">
        <v>1382.85</v>
      </c>
      <c r="R69">
        <v>167377</v>
      </c>
    </row>
    <row r="70" spans="1:18" x14ac:dyDescent="0.25">
      <c r="A70" s="170">
        <v>42103</v>
      </c>
      <c r="B70" s="116">
        <v>1386.05</v>
      </c>
      <c r="C70" s="116">
        <v>1363.1</v>
      </c>
      <c r="D70" s="116">
        <v>1350.1</v>
      </c>
      <c r="E70" s="116">
        <v>1383.35</v>
      </c>
      <c r="F70" s="116">
        <v>1363.1</v>
      </c>
      <c r="G70">
        <v>8684</v>
      </c>
      <c r="H70" s="116"/>
      <c r="I70" s="116"/>
      <c r="L70" s="170">
        <v>42103</v>
      </c>
      <c r="M70" s="116">
        <v>1361.4</v>
      </c>
      <c r="N70" s="116">
        <v>1389.9</v>
      </c>
      <c r="O70" s="116">
        <v>1355.45</v>
      </c>
      <c r="P70" s="116">
        <v>1386.65</v>
      </c>
      <c r="Q70" s="116">
        <v>1361.4</v>
      </c>
      <c r="R70">
        <v>33283</v>
      </c>
    </row>
    <row r="71" spans="1:18" x14ac:dyDescent="0.25">
      <c r="A71" s="170">
        <v>42104</v>
      </c>
      <c r="B71" s="116">
        <v>1375.95</v>
      </c>
      <c r="C71" s="116">
        <v>1353.55</v>
      </c>
      <c r="D71" s="116">
        <v>1340</v>
      </c>
      <c r="E71" s="116">
        <v>1355.5</v>
      </c>
      <c r="F71" s="116">
        <v>1353.55</v>
      </c>
      <c r="G71">
        <v>7404</v>
      </c>
      <c r="H71" s="116"/>
      <c r="I71" s="116"/>
      <c r="L71" s="170">
        <v>42104</v>
      </c>
      <c r="M71" s="116">
        <v>1354.45</v>
      </c>
      <c r="N71" s="116">
        <v>1374.4</v>
      </c>
      <c r="O71" s="116">
        <v>1339.7</v>
      </c>
      <c r="P71" s="116">
        <v>1355</v>
      </c>
      <c r="Q71" s="116">
        <v>1354.45</v>
      </c>
      <c r="R71">
        <v>37348</v>
      </c>
    </row>
    <row r="72" spans="1:18" x14ac:dyDescent="0.25">
      <c r="A72" s="170">
        <v>42107</v>
      </c>
      <c r="B72" s="116">
        <v>1420.9</v>
      </c>
      <c r="C72" s="116">
        <v>1392.45</v>
      </c>
      <c r="D72" s="116">
        <v>1341</v>
      </c>
      <c r="E72" s="116">
        <v>1341</v>
      </c>
      <c r="F72" s="116">
        <v>1392.45</v>
      </c>
      <c r="G72">
        <v>19403</v>
      </c>
      <c r="H72" s="116"/>
      <c r="I72" s="116"/>
      <c r="L72" s="170">
        <v>42107</v>
      </c>
      <c r="M72" s="116">
        <v>1394.45</v>
      </c>
      <c r="N72" s="116">
        <v>1422.2</v>
      </c>
      <c r="O72" s="116">
        <v>1355.1</v>
      </c>
      <c r="P72" s="116">
        <v>1365</v>
      </c>
      <c r="Q72" s="116">
        <v>1394.45</v>
      </c>
      <c r="R72">
        <v>104315</v>
      </c>
    </row>
    <row r="73" spans="1:18" x14ac:dyDescent="0.25">
      <c r="A73" s="170">
        <v>42109</v>
      </c>
      <c r="B73" s="116">
        <v>1431.85</v>
      </c>
      <c r="C73" s="116">
        <v>1393.65</v>
      </c>
      <c r="D73" s="116">
        <v>1383.65</v>
      </c>
      <c r="E73" s="116">
        <v>1394.45</v>
      </c>
      <c r="F73" s="116">
        <v>1393.65</v>
      </c>
      <c r="G73">
        <v>21542</v>
      </c>
      <c r="H73" s="116"/>
      <c r="I73" s="116"/>
      <c r="L73" s="170">
        <v>42109</v>
      </c>
      <c r="M73" s="116">
        <v>1394.9</v>
      </c>
      <c r="N73" s="116">
        <v>1432.5</v>
      </c>
      <c r="O73" s="116">
        <v>1390.05</v>
      </c>
      <c r="P73" s="116">
        <v>1397</v>
      </c>
      <c r="Q73" s="116">
        <v>1394.9</v>
      </c>
      <c r="R73">
        <v>89916</v>
      </c>
    </row>
    <row r="74" spans="1:18" x14ac:dyDescent="0.25">
      <c r="A74" s="170">
        <v>42110</v>
      </c>
      <c r="B74" s="116">
        <v>1415</v>
      </c>
      <c r="C74" s="116">
        <v>1379.15</v>
      </c>
      <c r="D74" s="116">
        <v>1361</v>
      </c>
      <c r="E74" s="116">
        <v>1415</v>
      </c>
      <c r="F74" s="116">
        <v>1379.15</v>
      </c>
      <c r="G74">
        <v>10321</v>
      </c>
      <c r="H74" s="116"/>
      <c r="I74" s="116"/>
      <c r="L74" s="170">
        <v>42110</v>
      </c>
      <c r="M74" s="116">
        <v>1382.75</v>
      </c>
      <c r="N74" s="116">
        <v>1412</v>
      </c>
      <c r="O74" s="116">
        <v>1359.35</v>
      </c>
      <c r="P74" s="116">
        <v>1400</v>
      </c>
      <c r="Q74" s="116">
        <v>1382.75</v>
      </c>
      <c r="R74">
        <v>38072</v>
      </c>
    </row>
    <row r="75" spans="1:18" x14ac:dyDescent="0.25">
      <c r="A75" s="170">
        <v>42111</v>
      </c>
      <c r="B75" s="116">
        <v>1379.35</v>
      </c>
      <c r="C75" s="116">
        <v>1357.4</v>
      </c>
      <c r="D75" s="116">
        <v>1347</v>
      </c>
      <c r="E75" s="116">
        <v>1372.9</v>
      </c>
      <c r="F75" s="116">
        <v>1357.4</v>
      </c>
      <c r="G75">
        <v>7406</v>
      </c>
      <c r="H75" s="116"/>
      <c r="I75" s="116"/>
      <c r="L75" s="170">
        <v>42111</v>
      </c>
      <c r="M75" s="116">
        <v>1355.55</v>
      </c>
      <c r="N75" s="116">
        <v>1380.55</v>
      </c>
      <c r="O75" s="116">
        <v>1345</v>
      </c>
      <c r="P75" s="116">
        <v>1380.55</v>
      </c>
      <c r="Q75" s="116">
        <v>1355.55</v>
      </c>
      <c r="R75">
        <v>26437</v>
      </c>
    </row>
    <row r="76" spans="1:18" x14ac:dyDescent="0.25">
      <c r="A76" s="170">
        <v>42114</v>
      </c>
      <c r="B76" s="116">
        <v>1359.7</v>
      </c>
      <c r="C76" s="116">
        <v>1324.15</v>
      </c>
      <c r="D76" s="116">
        <v>1315</v>
      </c>
      <c r="E76" s="116">
        <v>1358.9</v>
      </c>
      <c r="F76" s="116">
        <v>1324.15</v>
      </c>
      <c r="G76">
        <v>6551</v>
      </c>
      <c r="H76" s="116"/>
      <c r="I76" s="116"/>
      <c r="L76" s="170">
        <v>42114</v>
      </c>
      <c r="M76" s="116">
        <v>1324.6</v>
      </c>
      <c r="N76" s="116">
        <v>1358.9</v>
      </c>
      <c r="O76" s="116">
        <v>1310.1500000000001</v>
      </c>
      <c r="P76" s="116">
        <v>1358.9</v>
      </c>
      <c r="Q76" s="116">
        <v>1324.6</v>
      </c>
      <c r="R76">
        <v>25902</v>
      </c>
    </row>
    <row r="77" spans="1:18" x14ac:dyDescent="0.25">
      <c r="A77" s="170">
        <v>42115</v>
      </c>
      <c r="B77" s="116">
        <v>1378.9</v>
      </c>
      <c r="C77" s="116">
        <v>1362.5</v>
      </c>
      <c r="D77" s="116">
        <v>1297.7</v>
      </c>
      <c r="E77" s="116">
        <v>1322.9</v>
      </c>
      <c r="F77" s="116">
        <v>1362.5</v>
      </c>
      <c r="G77">
        <v>12713</v>
      </c>
      <c r="H77" s="116"/>
      <c r="I77" s="116"/>
      <c r="L77" s="170">
        <v>42115</v>
      </c>
      <c r="M77" s="116">
        <v>1366.1</v>
      </c>
      <c r="N77" s="116">
        <v>1382</v>
      </c>
      <c r="O77" s="116">
        <v>1297</v>
      </c>
      <c r="P77" s="116">
        <v>1322</v>
      </c>
      <c r="Q77" s="116">
        <v>1366.1</v>
      </c>
      <c r="R77">
        <v>61428</v>
      </c>
    </row>
    <row r="78" spans="1:18" x14ac:dyDescent="0.25">
      <c r="A78" s="170">
        <v>42116</v>
      </c>
      <c r="B78" s="116">
        <v>1393</v>
      </c>
      <c r="C78" s="116">
        <v>1364.05</v>
      </c>
      <c r="D78" s="116">
        <v>1340.15</v>
      </c>
      <c r="E78" s="116">
        <v>1362</v>
      </c>
      <c r="F78" s="116">
        <v>1364.05</v>
      </c>
      <c r="G78">
        <v>8088</v>
      </c>
      <c r="H78" s="116"/>
      <c r="I78" s="116"/>
      <c r="L78" s="170">
        <v>42116</v>
      </c>
      <c r="M78" s="116">
        <v>1362.45</v>
      </c>
      <c r="N78" s="116">
        <v>1394</v>
      </c>
      <c r="O78" s="116">
        <v>1340.55</v>
      </c>
      <c r="P78" s="116">
        <v>1370</v>
      </c>
      <c r="Q78" s="116">
        <v>1362.45</v>
      </c>
      <c r="R78">
        <v>37671</v>
      </c>
    </row>
    <row r="79" spans="1:18" x14ac:dyDescent="0.25">
      <c r="A79" s="170">
        <v>42117</v>
      </c>
      <c r="B79" s="116">
        <v>1388</v>
      </c>
      <c r="C79" s="116">
        <v>1362.4</v>
      </c>
      <c r="D79" s="116">
        <v>1342.15</v>
      </c>
      <c r="E79" s="116">
        <v>1374</v>
      </c>
      <c r="F79" s="116">
        <v>1362.4</v>
      </c>
      <c r="G79">
        <v>6158</v>
      </c>
      <c r="H79" s="116"/>
      <c r="I79" s="116"/>
      <c r="L79" s="170">
        <v>42117</v>
      </c>
      <c r="M79" s="116">
        <v>1360.45</v>
      </c>
      <c r="N79" s="116">
        <v>1387.25</v>
      </c>
      <c r="O79" s="116">
        <v>1340</v>
      </c>
      <c r="P79" s="116">
        <v>1374</v>
      </c>
      <c r="Q79" s="116">
        <v>1360.45</v>
      </c>
      <c r="R79">
        <v>30450</v>
      </c>
    </row>
    <row r="80" spans="1:18" x14ac:dyDescent="0.25">
      <c r="A80" s="170">
        <v>42118</v>
      </c>
      <c r="B80" s="116">
        <v>1372</v>
      </c>
      <c r="C80" s="116">
        <v>1330.15</v>
      </c>
      <c r="D80" s="116">
        <v>1308</v>
      </c>
      <c r="E80" s="116">
        <v>1342.55</v>
      </c>
      <c r="F80" s="116">
        <v>1330.15</v>
      </c>
      <c r="G80">
        <v>8591</v>
      </c>
      <c r="H80" s="116"/>
      <c r="I80" s="116"/>
      <c r="L80" s="170">
        <v>42118</v>
      </c>
      <c r="M80" s="116">
        <v>1332.75</v>
      </c>
      <c r="N80" s="116">
        <v>1372.95</v>
      </c>
      <c r="O80" s="116">
        <v>1309.9000000000001</v>
      </c>
      <c r="P80" s="116">
        <v>1354</v>
      </c>
      <c r="Q80" s="116">
        <v>1332.75</v>
      </c>
      <c r="R80">
        <v>48347</v>
      </c>
    </row>
    <row r="81" spans="1:18" x14ac:dyDescent="0.25">
      <c r="A81" s="170">
        <v>42121</v>
      </c>
      <c r="B81" s="116">
        <v>1339</v>
      </c>
      <c r="C81" s="116">
        <v>1318.4</v>
      </c>
      <c r="D81" s="116">
        <v>1301</v>
      </c>
      <c r="E81" s="116">
        <v>1325.65</v>
      </c>
      <c r="F81" s="116">
        <v>1318.4</v>
      </c>
      <c r="G81">
        <v>5456</v>
      </c>
      <c r="H81" s="116"/>
      <c r="I81" s="116"/>
      <c r="L81" s="170">
        <v>42121</v>
      </c>
      <c r="M81" s="116">
        <v>1318</v>
      </c>
      <c r="N81" s="116">
        <v>1340.25</v>
      </c>
      <c r="O81" s="116">
        <v>1300.2</v>
      </c>
      <c r="P81" s="116">
        <v>1336.4</v>
      </c>
      <c r="Q81" s="116">
        <v>1318</v>
      </c>
      <c r="R81">
        <v>22190</v>
      </c>
    </row>
    <row r="82" spans="1:18" x14ac:dyDescent="0.25">
      <c r="A82" s="170">
        <v>42122</v>
      </c>
      <c r="B82" s="116">
        <v>1343.2</v>
      </c>
      <c r="C82" s="116">
        <v>1340.05</v>
      </c>
      <c r="D82" s="116">
        <v>1313.65</v>
      </c>
      <c r="E82" s="116">
        <v>1316.2</v>
      </c>
      <c r="F82" s="116">
        <v>1340.05</v>
      </c>
      <c r="G82">
        <v>4929</v>
      </c>
      <c r="H82" s="116"/>
      <c r="I82" s="116"/>
      <c r="L82" s="170">
        <v>42122</v>
      </c>
      <c r="M82" s="116">
        <v>1339.95</v>
      </c>
      <c r="N82" s="116">
        <v>1343.35</v>
      </c>
      <c r="O82" s="116">
        <v>1310.8</v>
      </c>
      <c r="P82" s="116">
        <v>1323.9</v>
      </c>
      <c r="Q82" s="116">
        <v>1339.95</v>
      </c>
      <c r="R82">
        <v>49463</v>
      </c>
    </row>
    <row r="83" spans="1:18" x14ac:dyDescent="0.25">
      <c r="A83" s="170">
        <v>42123</v>
      </c>
      <c r="B83" s="116">
        <v>1345</v>
      </c>
      <c r="C83" s="116">
        <v>1339.6</v>
      </c>
      <c r="D83" s="116">
        <v>1301</v>
      </c>
      <c r="E83" s="116">
        <v>1342</v>
      </c>
      <c r="F83" s="116">
        <v>1339.6</v>
      </c>
      <c r="G83">
        <v>6925</v>
      </c>
      <c r="H83" s="116"/>
      <c r="I83" s="116"/>
      <c r="L83" s="170">
        <v>42123</v>
      </c>
      <c r="M83" s="116">
        <v>1339.85</v>
      </c>
      <c r="N83" s="116">
        <v>1350</v>
      </c>
      <c r="O83" s="116">
        <v>1300</v>
      </c>
      <c r="P83" s="116">
        <v>1338.95</v>
      </c>
      <c r="Q83" s="116">
        <v>1339.85</v>
      </c>
      <c r="R83">
        <v>64383</v>
      </c>
    </row>
    <row r="84" spans="1:18" x14ac:dyDescent="0.25">
      <c r="A84" s="170">
        <v>42124</v>
      </c>
      <c r="B84" s="116">
        <v>1340</v>
      </c>
      <c r="C84" s="116">
        <v>1331.95</v>
      </c>
      <c r="D84" s="116">
        <v>1316</v>
      </c>
      <c r="E84" s="116">
        <v>1329.2</v>
      </c>
      <c r="F84" s="116">
        <v>1331.95</v>
      </c>
      <c r="G84">
        <v>4929</v>
      </c>
      <c r="H84" s="116"/>
      <c r="I84" s="116"/>
      <c r="L84" s="170">
        <v>42124</v>
      </c>
      <c r="M84" s="116">
        <v>1335.85</v>
      </c>
      <c r="N84" s="116">
        <v>1344</v>
      </c>
      <c r="O84" s="116">
        <v>1315.2</v>
      </c>
      <c r="P84" s="116">
        <v>1339</v>
      </c>
      <c r="Q84" s="116">
        <v>1335.85</v>
      </c>
      <c r="R84">
        <v>58975</v>
      </c>
    </row>
    <row r="85" spans="1:18" x14ac:dyDescent="0.25">
      <c r="A85" s="170">
        <v>42128</v>
      </c>
      <c r="B85" s="116">
        <v>1393.8</v>
      </c>
      <c r="C85" s="116">
        <v>1377.7</v>
      </c>
      <c r="D85" s="116">
        <v>1337.7</v>
      </c>
      <c r="E85" s="116">
        <v>1340</v>
      </c>
      <c r="F85" s="116">
        <v>1377.7</v>
      </c>
      <c r="G85">
        <v>12887</v>
      </c>
      <c r="H85" s="116"/>
      <c r="I85" s="116"/>
      <c r="L85" s="170">
        <v>42128</v>
      </c>
      <c r="M85" s="116">
        <v>1380.8</v>
      </c>
      <c r="N85" s="116">
        <v>1393.9</v>
      </c>
      <c r="O85" s="116">
        <v>1337.5</v>
      </c>
      <c r="P85" s="116">
        <v>1337.5</v>
      </c>
      <c r="Q85" s="116">
        <v>1380.8</v>
      </c>
      <c r="R85">
        <v>58801</v>
      </c>
    </row>
    <row r="86" spans="1:18" x14ac:dyDescent="0.25">
      <c r="A86" s="170">
        <v>42129</v>
      </c>
      <c r="B86" s="116">
        <v>1410</v>
      </c>
      <c r="C86" s="116">
        <v>1399.85</v>
      </c>
      <c r="D86" s="116">
        <v>1381.45</v>
      </c>
      <c r="E86" s="116">
        <v>1385</v>
      </c>
      <c r="F86" s="116">
        <v>1399.85</v>
      </c>
      <c r="G86">
        <v>22944</v>
      </c>
      <c r="H86" s="116"/>
      <c r="I86" s="116"/>
      <c r="L86" s="170">
        <v>42129</v>
      </c>
      <c r="M86" s="116">
        <v>1402.65</v>
      </c>
      <c r="N86" s="116">
        <v>1415</v>
      </c>
      <c r="O86" s="116">
        <v>1377.6</v>
      </c>
      <c r="P86" s="116">
        <v>1389</v>
      </c>
      <c r="Q86" s="116">
        <v>1402.65</v>
      </c>
      <c r="R86">
        <v>118889</v>
      </c>
    </row>
    <row r="87" spans="1:18" x14ac:dyDescent="0.25">
      <c r="A87" s="170">
        <v>42130</v>
      </c>
      <c r="B87" s="116">
        <v>1389.45</v>
      </c>
      <c r="C87" s="116">
        <v>1364.3</v>
      </c>
      <c r="D87" s="116">
        <v>1314.3</v>
      </c>
      <c r="E87" s="116">
        <v>1369.3</v>
      </c>
      <c r="F87" s="116">
        <v>1364.3</v>
      </c>
      <c r="G87">
        <v>22098</v>
      </c>
      <c r="H87" s="116"/>
      <c r="I87" s="116"/>
      <c r="L87" s="170">
        <v>42130</v>
      </c>
      <c r="M87" s="116">
        <v>1368.05</v>
      </c>
      <c r="N87" s="116">
        <v>1390</v>
      </c>
      <c r="O87" s="116">
        <v>1306.6500000000001</v>
      </c>
      <c r="P87" s="116">
        <v>1350</v>
      </c>
      <c r="Q87" s="116">
        <v>1368.05</v>
      </c>
      <c r="R87">
        <v>108594</v>
      </c>
    </row>
    <row r="88" spans="1:18" x14ac:dyDescent="0.25">
      <c r="A88" s="170">
        <v>42131</v>
      </c>
      <c r="B88" s="116">
        <v>1382.45</v>
      </c>
      <c r="C88" s="116">
        <v>1374.95</v>
      </c>
      <c r="D88" s="116">
        <v>1335.55</v>
      </c>
      <c r="E88" s="116">
        <v>1340</v>
      </c>
      <c r="F88" s="116">
        <v>1374.95</v>
      </c>
      <c r="G88">
        <v>16292</v>
      </c>
      <c r="H88" s="116"/>
      <c r="I88" s="116"/>
      <c r="L88" s="170">
        <v>42131</v>
      </c>
      <c r="M88" s="116">
        <v>1376.1</v>
      </c>
      <c r="N88" s="116">
        <v>1383.7</v>
      </c>
      <c r="O88" s="116">
        <v>1333.3</v>
      </c>
      <c r="P88" s="116">
        <v>1333.3</v>
      </c>
      <c r="Q88" s="116">
        <v>1376.1</v>
      </c>
      <c r="R88">
        <v>74647</v>
      </c>
    </row>
    <row r="89" spans="1:18" x14ac:dyDescent="0.25">
      <c r="A89" s="170">
        <v>42132</v>
      </c>
      <c r="B89" s="116">
        <v>1395.95</v>
      </c>
      <c r="C89" s="116">
        <v>1360.3</v>
      </c>
      <c r="D89" s="116">
        <v>1330</v>
      </c>
      <c r="E89" s="116">
        <v>1385</v>
      </c>
      <c r="F89" s="116">
        <v>1360.3</v>
      </c>
      <c r="G89">
        <v>8404</v>
      </c>
      <c r="H89" s="116"/>
      <c r="I89" s="116"/>
      <c r="L89" s="170">
        <v>42132</v>
      </c>
      <c r="M89" s="116">
        <v>1361.25</v>
      </c>
      <c r="N89" s="116">
        <v>1398</v>
      </c>
      <c r="O89" s="116">
        <v>1350.15</v>
      </c>
      <c r="P89" s="116">
        <v>1378</v>
      </c>
      <c r="Q89" s="116">
        <v>1361.25</v>
      </c>
      <c r="R89">
        <v>41335</v>
      </c>
    </row>
    <row r="90" spans="1:18" x14ac:dyDescent="0.25">
      <c r="A90" s="170">
        <v>42135</v>
      </c>
      <c r="B90" s="116">
        <v>1376.4</v>
      </c>
      <c r="C90" s="116">
        <v>1333.85</v>
      </c>
      <c r="D90" s="116">
        <v>1328</v>
      </c>
      <c r="E90" s="116">
        <v>1370.4</v>
      </c>
      <c r="F90" s="116">
        <v>1333.85</v>
      </c>
      <c r="G90">
        <v>5926</v>
      </c>
      <c r="H90" s="116"/>
      <c r="I90" s="116"/>
      <c r="L90" s="170">
        <v>42135</v>
      </c>
      <c r="M90" s="116">
        <v>1329.7</v>
      </c>
      <c r="N90" s="116">
        <v>1375</v>
      </c>
      <c r="O90" s="116">
        <v>1325</v>
      </c>
      <c r="P90" s="116">
        <v>1362.1</v>
      </c>
      <c r="Q90" s="116">
        <v>1329.7</v>
      </c>
      <c r="R90">
        <v>36667</v>
      </c>
    </row>
    <row r="91" spans="1:18" x14ac:dyDescent="0.25">
      <c r="A91" s="170">
        <v>42136</v>
      </c>
      <c r="B91" s="116">
        <v>1345</v>
      </c>
      <c r="C91" s="116">
        <v>1318.95</v>
      </c>
      <c r="D91" s="116">
        <v>1283.55</v>
      </c>
      <c r="E91" s="116">
        <v>1343.75</v>
      </c>
      <c r="F91" s="116">
        <v>1318.95</v>
      </c>
      <c r="G91">
        <v>12404</v>
      </c>
      <c r="H91" s="116"/>
      <c r="I91" s="116"/>
      <c r="L91" s="170">
        <v>42136</v>
      </c>
      <c r="M91" s="116">
        <v>1322.7</v>
      </c>
      <c r="N91" s="116">
        <v>1346.75</v>
      </c>
      <c r="O91" s="116">
        <v>1284</v>
      </c>
      <c r="P91" s="116">
        <v>1336</v>
      </c>
      <c r="Q91" s="116">
        <v>1322.7</v>
      </c>
      <c r="R91">
        <v>46565</v>
      </c>
    </row>
    <row r="92" spans="1:18" x14ac:dyDescent="0.25">
      <c r="A92" s="170">
        <v>42137</v>
      </c>
      <c r="B92" s="116">
        <v>1355</v>
      </c>
      <c r="C92" s="116">
        <v>1344.1</v>
      </c>
      <c r="D92" s="116">
        <v>1308.0999999999999</v>
      </c>
      <c r="E92" s="116">
        <v>1328.4</v>
      </c>
      <c r="F92" s="116">
        <v>1344.1</v>
      </c>
      <c r="G92">
        <v>8030</v>
      </c>
      <c r="H92" s="116"/>
      <c r="I92" s="116"/>
      <c r="L92" s="170">
        <v>42137</v>
      </c>
      <c r="M92" s="116">
        <v>1349.85</v>
      </c>
      <c r="N92" s="116">
        <v>1359</v>
      </c>
      <c r="O92" s="116">
        <v>1310</v>
      </c>
      <c r="P92" s="116">
        <v>1327.8</v>
      </c>
      <c r="Q92" s="116">
        <v>1349.85</v>
      </c>
      <c r="R92">
        <v>40256</v>
      </c>
    </row>
    <row r="93" spans="1:18" x14ac:dyDescent="0.25">
      <c r="A93" s="170">
        <v>42138</v>
      </c>
      <c r="B93" s="116">
        <v>1350.25</v>
      </c>
      <c r="C93" s="116">
        <v>1347.05</v>
      </c>
      <c r="D93" s="116">
        <v>1334.5</v>
      </c>
      <c r="E93" s="116">
        <v>1347.8</v>
      </c>
      <c r="F93" s="116">
        <v>1347.05</v>
      </c>
      <c r="G93">
        <v>4960</v>
      </c>
      <c r="H93" s="116"/>
      <c r="I93" s="116"/>
      <c r="L93" s="170">
        <v>42138</v>
      </c>
      <c r="M93" s="116">
        <v>1344.05</v>
      </c>
      <c r="N93" s="116">
        <v>1353.85</v>
      </c>
      <c r="O93" s="116">
        <v>1333</v>
      </c>
      <c r="P93" s="116">
        <v>1348.9</v>
      </c>
      <c r="Q93" s="116">
        <v>1344.05</v>
      </c>
      <c r="R93">
        <v>15575</v>
      </c>
    </row>
    <row r="94" spans="1:18" x14ac:dyDescent="0.25">
      <c r="A94" s="170">
        <v>42139</v>
      </c>
      <c r="B94" s="116">
        <v>1370</v>
      </c>
      <c r="C94" s="116">
        <v>1347</v>
      </c>
      <c r="D94" s="116">
        <v>1329.85</v>
      </c>
      <c r="E94" s="116">
        <v>1351.85</v>
      </c>
      <c r="F94" s="116">
        <v>1347</v>
      </c>
      <c r="G94">
        <v>6078</v>
      </c>
      <c r="H94" s="116"/>
      <c r="I94" s="116"/>
      <c r="L94" s="170">
        <v>42139</v>
      </c>
      <c r="M94" s="116">
        <v>1352.45</v>
      </c>
      <c r="N94" s="116">
        <v>1360</v>
      </c>
      <c r="O94" s="116">
        <v>1330.95</v>
      </c>
      <c r="P94" s="116">
        <v>1345.15</v>
      </c>
      <c r="Q94" s="116">
        <v>1352.45</v>
      </c>
      <c r="R94">
        <v>32507</v>
      </c>
    </row>
    <row r="95" spans="1:18" x14ac:dyDescent="0.25">
      <c r="A95" s="170">
        <v>42142</v>
      </c>
      <c r="B95" s="116">
        <v>1350.5</v>
      </c>
      <c r="C95" s="116">
        <v>1338.35</v>
      </c>
      <c r="D95" s="116">
        <v>1331.7</v>
      </c>
      <c r="E95" s="116">
        <v>1350</v>
      </c>
      <c r="F95" s="116">
        <v>1338.35</v>
      </c>
      <c r="G95">
        <v>3396</v>
      </c>
      <c r="H95" s="116"/>
      <c r="I95" s="116"/>
      <c r="L95" s="170">
        <v>42142</v>
      </c>
      <c r="M95" s="116">
        <v>1341</v>
      </c>
      <c r="N95" s="116">
        <v>1355</v>
      </c>
      <c r="O95" s="116">
        <v>1331.9</v>
      </c>
      <c r="P95" s="116">
        <v>1355</v>
      </c>
      <c r="Q95" s="116">
        <v>1341</v>
      </c>
      <c r="R95">
        <v>23788</v>
      </c>
    </row>
    <row r="96" spans="1:18" x14ac:dyDescent="0.25">
      <c r="A96" s="170">
        <v>42143</v>
      </c>
      <c r="B96" s="116">
        <v>1353</v>
      </c>
      <c r="C96" s="116">
        <v>1341.55</v>
      </c>
      <c r="D96" s="116">
        <v>1335</v>
      </c>
      <c r="E96" s="116">
        <v>1335</v>
      </c>
      <c r="F96" s="116">
        <v>1341.55</v>
      </c>
      <c r="G96">
        <v>4212</v>
      </c>
      <c r="H96" s="116"/>
      <c r="I96" s="116"/>
      <c r="L96" s="170">
        <v>42143</v>
      </c>
      <c r="M96" s="116">
        <v>1343.9</v>
      </c>
      <c r="N96" s="116">
        <v>1354</v>
      </c>
      <c r="O96" s="116">
        <v>1334</v>
      </c>
      <c r="P96" s="116">
        <v>1334</v>
      </c>
      <c r="Q96" s="116">
        <v>1343.9</v>
      </c>
      <c r="R96">
        <v>18454</v>
      </c>
    </row>
    <row r="97" spans="1:18" x14ac:dyDescent="0.25">
      <c r="A97" s="170">
        <v>42144</v>
      </c>
      <c r="B97" s="116">
        <v>1357</v>
      </c>
      <c r="C97" s="116">
        <v>1340.3</v>
      </c>
      <c r="D97" s="116">
        <v>1328.05</v>
      </c>
      <c r="E97" s="116">
        <v>1348.1</v>
      </c>
      <c r="F97" s="116">
        <v>1340.3</v>
      </c>
      <c r="G97">
        <v>4892</v>
      </c>
      <c r="H97" s="116"/>
      <c r="I97" s="116"/>
      <c r="L97" s="170">
        <v>42144</v>
      </c>
      <c r="M97" s="116">
        <v>1340.6</v>
      </c>
      <c r="N97" s="116">
        <v>1361.9</v>
      </c>
      <c r="O97" s="116">
        <v>1324.4</v>
      </c>
      <c r="P97" s="116">
        <v>1348.1</v>
      </c>
      <c r="Q97" s="116">
        <v>1340.6</v>
      </c>
      <c r="R97">
        <v>24276</v>
      </c>
    </row>
    <row r="98" spans="1:18" x14ac:dyDescent="0.25">
      <c r="A98" s="170">
        <v>42145</v>
      </c>
      <c r="B98" s="116">
        <v>1354.3</v>
      </c>
      <c r="C98" s="116">
        <v>1339.6</v>
      </c>
      <c r="D98" s="116">
        <v>1333</v>
      </c>
      <c r="E98" s="116">
        <v>1348.3</v>
      </c>
      <c r="F98" s="116">
        <v>1339.6</v>
      </c>
      <c r="G98">
        <v>4998</v>
      </c>
      <c r="H98" s="116"/>
      <c r="I98" s="116"/>
      <c r="L98" s="170">
        <v>42145</v>
      </c>
      <c r="M98" s="116">
        <v>1342.75</v>
      </c>
      <c r="N98" s="116">
        <v>1354</v>
      </c>
      <c r="O98" s="116">
        <v>1333</v>
      </c>
      <c r="P98" s="116">
        <v>1342.7</v>
      </c>
      <c r="Q98" s="116">
        <v>1342.75</v>
      </c>
      <c r="R98">
        <v>15711</v>
      </c>
    </row>
    <row r="99" spans="1:18" x14ac:dyDescent="0.25">
      <c r="A99" s="170">
        <v>42146</v>
      </c>
      <c r="B99" s="116">
        <v>1403.95</v>
      </c>
      <c r="C99" s="116">
        <v>1394.45</v>
      </c>
      <c r="D99" s="116">
        <v>1334.15</v>
      </c>
      <c r="E99" s="116">
        <v>1350</v>
      </c>
      <c r="F99" s="116">
        <v>1394.45</v>
      </c>
      <c r="G99">
        <v>11353</v>
      </c>
      <c r="H99" s="116"/>
      <c r="I99" s="116"/>
      <c r="L99" s="170">
        <v>42146</v>
      </c>
      <c r="M99" s="116">
        <v>1397</v>
      </c>
      <c r="N99" s="116">
        <v>1404.65</v>
      </c>
      <c r="O99" s="116">
        <v>1338.45</v>
      </c>
      <c r="P99" s="116">
        <v>1350</v>
      </c>
      <c r="Q99" s="116">
        <v>1397</v>
      </c>
      <c r="R99">
        <v>71441</v>
      </c>
    </row>
    <row r="100" spans="1:18" x14ac:dyDescent="0.25">
      <c r="A100" s="170">
        <v>42149</v>
      </c>
      <c r="B100" s="116">
        <v>1423</v>
      </c>
      <c r="C100" s="116">
        <v>1386.25</v>
      </c>
      <c r="D100" s="116">
        <v>1380.1</v>
      </c>
      <c r="E100" s="116">
        <v>1397</v>
      </c>
      <c r="F100" s="116">
        <v>1386.25</v>
      </c>
      <c r="G100">
        <v>12687</v>
      </c>
      <c r="H100" s="116"/>
      <c r="I100" s="116"/>
      <c r="L100" s="170">
        <v>42149</v>
      </c>
      <c r="M100" s="116">
        <v>1385.35</v>
      </c>
      <c r="N100" s="116">
        <v>1421.7</v>
      </c>
      <c r="O100" s="116">
        <v>1376.4</v>
      </c>
      <c r="P100" s="116">
        <v>1396</v>
      </c>
      <c r="Q100" s="116">
        <v>1385.35</v>
      </c>
      <c r="R100">
        <v>144404</v>
      </c>
    </row>
    <row r="101" spans="1:18" x14ac:dyDescent="0.25">
      <c r="A101" s="170">
        <v>42150</v>
      </c>
      <c r="B101" s="116">
        <v>1386</v>
      </c>
      <c r="C101" s="116">
        <v>1369.2</v>
      </c>
      <c r="D101" s="116">
        <v>1359</v>
      </c>
      <c r="E101" s="116">
        <v>1381.95</v>
      </c>
      <c r="F101" s="116">
        <v>1369.2</v>
      </c>
      <c r="G101">
        <v>3578</v>
      </c>
      <c r="H101" s="116"/>
      <c r="I101" s="116"/>
      <c r="L101" s="170">
        <v>42150</v>
      </c>
      <c r="M101" s="116">
        <v>1368.35</v>
      </c>
      <c r="N101" s="116">
        <v>1389.95</v>
      </c>
      <c r="O101" s="116">
        <v>1356.05</v>
      </c>
      <c r="P101" s="116">
        <v>1375.1</v>
      </c>
      <c r="Q101" s="116">
        <v>1368.35</v>
      </c>
      <c r="R101">
        <v>18079</v>
      </c>
    </row>
    <row r="102" spans="1:18" x14ac:dyDescent="0.25">
      <c r="A102" s="170">
        <v>42151</v>
      </c>
      <c r="B102" s="116">
        <v>1367.8</v>
      </c>
      <c r="C102" s="116">
        <v>1355.9</v>
      </c>
      <c r="D102" s="116">
        <v>1346</v>
      </c>
      <c r="E102" s="116">
        <v>1365.6</v>
      </c>
      <c r="F102" s="116">
        <v>1355.9</v>
      </c>
      <c r="G102">
        <v>4674</v>
      </c>
      <c r="H102" s="116"/>
      <c r="I102" s="116"/>
      <c r="L102" s="170">
        <v>42151</v>
      </c>
      <c r="M102" s="116">
        <v>1355.7</v>
      </c>
      <c r="N102" s="116">
        <v>1368.95</v>
      </c>
      <c r="O102" s="116">
        <v>1345</v>
      </c>
      <c r="P102" s="116">
        <v>1368</v>
      </c>
      <c r="Q102" s="116">
        <v>1355.7</v>
      </c>
      <c r="R102">
        <v>27037</v>
      </c>
    </row>
    <row r="103" spans="1:18" x14ac:dyDescent="0.25">
      <c r="A103" s="170">
        <v>42152</v>
      </c>
      <c r="B103" s="116">
        <v>1390</v>
      </c>
      <c r="C103" s="116">
        <v>1345.75</v>
      </c>
      <c r="D103" s="116">
        <v>1335.55</v>
      </c>
      <c r="E103" s="116">
        <v>1366.85</v>
      </c>
      <c r="F103" s="116">
        <v>1345.75</v>
      </c>
      <c r="G103">
        <v>5279</v>
      </c>
      <c r="H103" s="116"/>
      <c r="I103" s="116"/>
      <c r="L103" s="170">
        <v>42152</v>
      </c>
      <c r="M103" s="116">
        <v>1342.35</v>
      </c>
      <c r="N103" s="116">
        <v>1390</v>
      </c>
      <c r="O103" s="116">
        <v>1332</v>
      </c>
      <c r="P103" s="116">
        <v>1360</v>
      </c>
      <c r="Q103" s="116">
        <v>1342.35</v>
      </c>
      <c r="R103">
        <v>22475</v>
      </c>
    </row>
    <row r="104" spans="1:18" x14ac:dyDescent="0.25">
      <c r="A104" s="170">
        <v>42153</v>
      </c>
      <c r="B104" s="116">
        <v>1386.8</v>
      </c>
      <c r="C104" s="116">
        <v>1340</v>
      </c>
      <c r="D104" s="116">
        <v>1332.5</v>
      </c>
      <c r="E104" s="116">
        <v>1386.8</v>
      </c>
      <c r="F104" s="116">
        <v>1340</v>
      </c>
      <c r="G104">
        <v>5667</v>
      </c>
      <c r="H104" s="116"/>
      <c r="I104" s="116"/>
      <c r="L104" s="170">
        <v>42153</v>
      </c>
      <c r="M104" s="116">
        <v>1336.1</v>
      </c>
      <c r="N104" s="116">
        <v>1358.65</v>
      </c>
      <c r="O104" s="116">
        <v>1331.3</v>
      </c>
      <c r="P104" s="116">
        <v>1354.9</v>
      </c>
      <c r="Q104" s="116">
        <v>1336.1</v>
      </c>
      <c r="R104">
        <v>17928</v>
      </c>
    </row>
    <row r="105" spans="1:18" x14ac:dyDescent="0.25">
      <c r="A105" s="170">
        <v>42156</v>
      </c>
      <c r="B105" s="116">
        <v>1344.95</v>
      </c>
      <c r="C105" s="116">
        <v>1329.55</v>
      </c>
      <c r="D105" s="116">
        <v>1313</v>
      </c>
      <c r="E105" s="116">
        <v>1330</v>
      </c>
      <c r="F105" s="116">
        <v>1329.55</v>
      </c>
      <c r="G105">
        <v>2945</v>
      </c>
      <c r="H105" s="116"/>
      <c r="I105" s="116"/>
      <c r="L105" s="170">
        <v>42156</v>
      </c>
      <c r="M105" s="116">
        <v>1331.75</v>
      </c>
      <c r="N105" s="116">
        <v>1350</v>
      </c>
      <c r="O105" s="116">
        <v>1324.2</v>
      </c>
      <c r="P105" s="116">
        <v>1350</v>
      </c>
      <c r="Q105" s="116">
        <v>1331.75</v>
      </c>
      <c r="R105">
        <v>12679</v>
      </c>
    </row>
    <row r="106" spans="1:18" x14ac:dyDescent="0.25">
      <c r="A106" s="170">
        <v>42157</v>
      </c>
      <c r="B106" s="116">
        <v>1350</v>
      </c>
      <c r="C106" s="116">
        <v>1320.8</v>
      </c>
      <c r="D106" s="116">
        <v>1311</v>
      </c>
      <c r="E106" s="116">
        <v>1341.3</v>
      </c>
      <c r="F106" s="116">
        <v>1320.8</v>
      </c>
      <c r="G106">
        <v>4309</v>
      </c>
      <c r="H106" s="116"/>
      <c r="I106" s="116"/>
      <c r="L106" s="170">
        <v>42157</v>
      </c>
      <c r="M106" s="116">
        <v>1316.65</v>
      </c>
      <c r="N106" s="116">
        <v>1349</v>
      </c>
      <c r="O106" s="116">
        <v>1310.0999999999999</v>
      </c>
      <c r="P106" s="116">
        <v>1339.4</v>
      </c>
      <c r="Q106" s="116">
        <v>1316.65</v>
      </c>
      <c r="R106">
        <v>16966</v>
      </c>
    </row>
    <row r="107" spans="1:18" x14ac:dyDescent="0.25">
      <c r="A107" s="170">
        <v>42158</v>
      </c>
      <c r="B107" s="116">
        <v>1333</v>
      </c>
      <c r="C107" s="116">
        <v>1272.8499999999999</v>
      </c>
      <c r="D107" s="116">
        <v>1257.05</v>
      </c>
      <c r="E107" s="116">
        <v>1308.8</v>
      </c>
      <c r="F107" s="116">
        <v>1272.8499999999999</v>
      </c>
      <c r="G107">
        <v>8942</v>
      </c>
      <c r="H107" s="116"/>
      <c r="I107" s="116"/>
      <c r="L107" s="170">
        <v>42158</v>
      </c>
      <c r="M107" s="116">
        <v>1266.8499999999999</v>
      </c>
      <c r="N107" s="116">
        <v>1316.4</v>
      </c>
      <c r="O107" s="116">
        <v>1260</v>
      </c>
      <c r="P107" s="116">
        <v>1302.0999999999999</v>
      </c>
      <c r="Q107" s="116">
        <v>1266.8499999999999</v>
      </c>
      <c r="R107">
        <v>28297</v>
      </c>
    </row>
    <row r="108" spans="1:18" x14ac:dyDescent="0.25">
      <c r="A108" s="170">
        <v>42159</v>
      </c>
      <c r="B108" s="116">
        <v>1295</v>
      </c>
      <c r="C108" s="116">
        <v>1280.8499999999999</v>
      </c>
      <c r="D108" s="116">
        <v>1270</v>
      </c>
      <c r="E108" s="116">
        <v>1275</v>
      </c>
      <c r="F108" s="116">
        <v>1280.8499999999999</v>
      </c>
      <c r="G108">
        <v>3598</v>
      </c>
      <c r="H108" s="116"/>
      <c r="I108" s="116"/>
      <c r="L108" s="170">
        <v>42159</v>
      </c>
      <c r="M108" s="116">
        <v>1279.75</v>
      </c>
      <c r="N108" s="116">
        <v>1298</v>
      </c>
      <c r="O108" s="116">
        <v>1269.05</v>
      </c>
      <c r="P108" s="116">
        <v>1269.05</v>
      </c>
      <c r="Q108" s="116">
        <v>1279.75</v>
      </c>
      <c r="R108">
        <v>26113</v>
      </c>
    </row>
    <row r="109" spans="1:18" x14ac:dyDescent="0.25">
      <c r="A109" s="170">
        <v>42160</v>
      </c>
      <c r="B109" s="116">
        <v>1298.8</v>
      </c>
      <c r="C109" s="116">
        <v>1264.8499999999999</v>
      </c>
      <c r="D109" s="116">
        <v>1255</v>
      </c>
      <c r="E109" s="116">
        <v>1281.4000000000001</v>
      </c>
      <c r="F109" s="116">
        <v>1264.8499999999999</v>
      </c>
      <c r="G109">
        <v>5638</v>
      </c>
      <c r="H109" s="116"/>
      <c r="I109" s="116"/>
      <c r="L109" s="170">
        <v>42160</v>
      </c>
      <c r="M109" s="116">
        <v>1266.05</v>
      </c>
      <c r="N109" s="116">
        <v>1299</v>
      </c>
      <c r="O109" s="116">
        <v>1255.2</v>
      </c>
      <c r="P109" s="116">
        <v>1277</v>
      </c>
      <c r="Q109" s="116">
        <v>1266.05</v>
      </c>
      <c r="R109">
        <v>24820</v>
      </c>
    </row>
    <row r="110" spans="1:18" x14ac:dyDescent="0.25">
      <c r="A110" s="170">
        <v>42163</v>
      </c>
      <c r="B110" s="116">
        <v>1275</v>
      </c>
      <c r="C110" s="116">
        <v>1267.5999999999999</v>
      </c>
      <c r="D110" s="116">
        <v>1245.5</v>
      </c>
      <c r="E110" s="116">
        <v>1269.2</v>
      </c>
      <c r="F110" s="116">
        <v>1267.5999999999999</v>
      </c>
      <c r="G110">
        <v>3520</v>
      </c>
      <c r="H110" s="116"/>
      <c r="I110" s="116"/>
      <c r="L110" s="170">
        <v>42163</v>
      </c>
      <c r="M110" s="116">
        <v>1261.8499999999999</v>
      </c>
      <c r="N110" s="116">
        <v>1276</v>
      </c>
      <c r="O110" s="116">
        <v>1245</v>
      </c>
      <c r="P110" s="116">
        <v>1266.05</v>
      </c>
      <c r="Q110" s="116">
        <v>1261.8499999999999</v>
      </c>
      <c r="R110">
        <v>15467</v>
      </c>
    </row>
    <row r="111" spans="1:18" x14ac:dyDescent="0.25">
      <c r="A111" s="170">
        <v>42164</v>
      </c>
      <c r="B111" s="116">
        <v>1310</v>
      </c>
      <c r="C111" s="116">
        <v>1295.9000000000001</v>
      </c>
      <c r="D111" s="116">
        <v>1257.25</v>
      </c>
      <c r="E111" s="116">
        <v>1267</v>
      </c>
      <c r="F111" s="116">
        <v>1295.9000000000001</v>
      </c>
      <c r="G111">
        <v>7315</v>
      </c>
      <c r="H111" s="116"/>
      <c r="I111" s="116"/>
      <c r="L111" s="170">
        <v>42164</v>
      </c>
      <c r="M111" s="116">
        <v>1301.2</v>
      </c>
      <c r="N111" s="116">
        <v>1320</v>
      </c>
      <c r="O111" s="116">
        <v>1250</v>
      </c>
      <c r="P111" s="116">
        <v>1263.1500000000001</v>
      </c>
      <c r="Q111" s="116">
        <v>1301.2</v>
      </c>
      <c r="R111">
        <v>27416</v>
      </c>
    </row>
    <row r="112" spans="1:18" x14ac:dyDescent="0.25">
      <c r="A112" s="170">
        <v>42165</v>
      </c>
      <c r="B112" s="116">
        <v>1322.85</v>
      </c>
      <c r="C112" s="116">
        <v>1294.4000000000001</v>
      </c>
      <c r="D112" s="116">
        <v>1288.4000000000001</v>
      </c>
      <c r="E112" s="116">
        <v>1310.95</v>
      </c>
      <c r="F112" s="116">
        <v>1294.4000000000001</v>
      </c>
      <c r="G112">
        <v>5047</v>
      </c>
      <c r="H112" s="116"/>
      <c r="I112" s="116"/>
      <c r="L112" s="170">
        <v>42165</v>
      </c>
      <c r="M112" s="116">
        <v>1293.0999999999999</v>
      </c>
      <c r="N112" s="116">
        <v>1325</v>
      </c>
      <c r="O112" s="116">
        <v>1285</v>
      </c>
      <c r="P112" s="116">
        <v>1302</v>
      </c>
      <c r="Q112" s="116">
        <v>1293.0999999999999</v>
      </c>
      <c r="R112">
        <v>32100</v>
      </c>
    </row>
    <row r="113" spans="1:18" x14ac:dyDescent="0.25">
      <c r="A113" s="170">
        <v>42166</v>
      </c>
      <c r="B113" s="116">
        <v>1315.15</v>
      </c>
      <c r="C113" s="116">
        <v>1267.55</v>
      </c>
      <c r="D113" s="116">
        <v>1261</v>
      </c>
      <c r="E113" s="116">
        <v>1296.6500000000001</v>
      </c>
      <c r="F113" s="116">
        <v>1267.55</v>
      </c>
      <c r="G113">
        <v>3922</v>
      </c>
      <c r="H113" s="116"/>
      <c r="I113" s="116"/>
      <c r="L113" s="170">
        <v>42166</v>
      </c>
      <c r="M113" s="116">
        <v>1264.75</v>
      </c>
      <c r="N113" s="116">
        <v>1314.95</v>
      </c>
      <c r="O113" s="116">
        <v>1255</v>
      </c>
      <c r="P113" s="116">
        <v>1302</v>
      </c>
      <c r="Q113" s="116">
        <v>1264.75</v>
      </c>
      <c r="R113">
        <v>24003</v>
      </c>
    </row>
    <row r="114" spans="1:18" x14ac:dyDescent="0.25">
      <c r="A114" s="170">
        <v>42167</v>
      </c>
      <c r="B114" s="116">
        <v>1350.2</v>
      </c>
      <c r="C114" s="116">
        <v>1262.4000000000001</v>
      </c>
      <c r="D114" s="116">
        <v>1254.05</v>
      </c>
      <c r="E114" s="116">
        <v>1350.2</v>
      </c>
      <c r="F114" s="116">
        <v>1262.4000000000001</v>
      </c>
      <c r="G114">
        <v>2941</v>
      </c>
      <c r="H114" s="116"/>
      <c r="I114" s="116"/>
      <c r="L114" s="170">
        <v>42167</v>
      </c>
      <c r="M114" s="116">
        <v>1263.3499999999999</v>
      </c>
      <c r="N114" s="116">
        <v>1283.8</v>
      </c>
      <c r="O114" s="116">
        <v>1252</v>
      </c>
      <c r="P114" s="116">
        <v>1259.5999999999999</v>
      </c>
      <c r="Q114" s="116">
        <v>1263.3499999999999</v>
      </c>
      <c r="R114">
        <v>14369</v>
      </c>
    </row>
    <row r="115" spans="1:18" x14ac:dyDescent="0.25">
      <c r="A115" s="170">
        <v>42170</v>
      </c>
      <c r="B115" s="116">
        <v>1280</v>
      </c>
      <c r="C115" s="116">
        <v>1261.8499999999999</v>
      </c>
      <c r="D115" s="116">
        <v>1250</v>
      </c>
      <c r="E115" s="116">
        <v>1268.0999999999999</v>
      </c>
      <c r="F115" s="116">
        <v>1261.8499999999999</v>
      </c>
      <c r="G115">
        <v>2170</v>
      </c>
      <c r="H115" s="116"/>
      <c r="I115" s="116"/>
      <c r="L115" s="170">
        <v>42170</v>
      </c>
      <c r="M115" s="116">
        <v>1264.7</v>
      </c>
      <c r="N115" s="116">
        <v>1275</v>
      </c>
      <c r="O115" s="116">
        <v>1255</v>
      </c>
      <c r="P115" s="116">
        <v>1269.95</v>
      </c>
      <c r="Q115" s="116">
        <v>1264.7</v>
      </c>
      <c r="R115">
        <v>8253</v>
      </c>
    </row>
    <row r="116" spans="1:18" x14ac:dyDescent="0.25">
      <c r="A116" s="170">
        <v>42171</v>
      </c>
      <c r="B116" s="116">
        <v>1270.95</v>
      </c>
      <c r="C116" s="116">
        <v>1264.8</v>
      </c>
      <c r="D116" s="116">
        <v>1245</v>
      </c>
      <c r="E116" s="116">
        <v>1268.7</v>
      </c>
      <c r="F116" s="116">
        <v>1264.8</v>
      </c>
      <c r="G116">
        <v>4699</v>
      </c>
      <c r="H116" s="116"/>
      <c r="I116" s="116"/>
      <c r="L116" s="170">
        <v>42171</v>
      </c>
      <c r="M116" s="116">
        <v>1261.25</v>
      </c>
      <c r="N116" s="116">
        <v>1270</v>
      </c>
      <c r="O116" s="116">
        <v>1240.0999999999999</v>
      </c>
      <c r="P116" s="116">
        <v>1262.05</v>
      </c>
      <c r="Q116" s="116">
        <v>1261.25</v>
      </c>
      <c r="R116">
        <v>11775</v>
      </c>
    </row>
    <row r="117" spans="1:18" x14ac:dyDescent="0.25">
      <c r="A117" s="170">
        <v>42172</v>
      </c>
      <c r="B117" s="116">
        <v>1328.5</v>
      </c>
      <c r="C117" s="116">
        <v>1311</v>
      </c>
      <c r="D117" s="116">
        <v>1265.05</v>
      </c>
      <c r="E117" s="116">
        <v>1274.05</v>
      </c>
      <c r="F117" s="116">
        <v>1311</v>
      </c>
      <c r="G117">
        <v>5948</v>
      </c>
      <c r="H117" s="116"/>
      <c r="I117" s="116"/>
      <c r="L117" s="170">
        <v>42172</v>
      </c>
      <c r="M117" s="116">
        <v>1315.35</v>
      </c>
      <c r="N117" s="116">
        <v>1330</v>
      </c>
      <c r="O117" s="116">
        <v>1261.25</v>
      </c>
      <c r="P117" s="116">
        <v>1261.25</v>
      </c>
      <c r="Q117" s="116">
        <v>1315.35</v>
      </c>
      <c r="R117">
        <v>43497</v>
      </c>
    </row>
    <row r="118" spans="1:18" x14ac:dyDescent="0.25">
      <c r="A118" s="170">
        <v>42173</v>
      </c>
      <c r="B118" s="116">
        <v>1330</v>
      </c>
      <c r="C118" s="116">
        <v>1316.75</v>
      </c>
      <c r="D118" s="116">
        <v>1301.75</v>
      </c>
      <c r="E118" s="116">
        <v>1316.15</v>
      </c>
      <c r="F118" s="116">
        <v>1316.75</v>
      </c>
      <c r="G118">
        <v>3818</v>
      </c>
      <c r="H118" s="116"/>
      <c r="I118" s="116"/>
      <c r="L118" s="170">
        <v>42173</v>
      </c>
      <c r="M118" s="116">
        <v>1311.3</v>
      </c>
      <c r="N118" s="116">
        <v>1329.8</v>
      </c>
      <c r="O118" s="116">
        <v>1300.3</v>
      </c>
      <c r="P118" s="116">
        <v>1305.5</v>
      </c>
      <c r="Q118" s="116">
        <v>1311.3</v>
      </c>
      <c r="R118">
        <v>17393</v>
      </c>
    </row>
    <row r="119" spans="1:18" x14ac:dyDescent="0.25">
      <c r="A119" s="170">
        <v>42174</v>
      </c>
      <c r="B119" s="116">
        <v>1345</v>
      </c>
      <c r="C119" s="116">
        <v>1326.85</v>
      </c>
      <c r="D119" s="116">
        <v>1314.5</v>
      </c>
      <c r="E119" s="116">
        <v>1314.5</v>
      </c>
      <c r="F119" s="116">
        <v>1326.85</v>
      </c>
      <c r="G119">
        <v>5088</v>
      </c>
      <c r="H119" s="116"/>
      <c r="I119" s="116"/>
      <c r="L119" s="170">
        <v>42174</v>
      </c>
      <c r="M119" s="116">
        <v>1327.1</v>
      </c>
      <c r="N119" s="116">
        <v>1345</v>
      </c>
      <c r="O119" s="116">
        <v>1311</v>
      </c>
      <c r="P119" s="116">
        <v>1311</v>
      </c>
      <c r="Q119" s="116">
        <v>1327.1</v>
      </c>
      <c r="R119">
        <v>41109</v>
      </c>
    </row>
    <row r="120" spans="1:18" x14ac:dyDescent="0.25">
      <c r="A120" s="170">
        <v>42177</v>
      </c>
      <c r="B120" s="116">
        <v>1345</v>
      </c>
      <c r="C120" s="116">
        <v>1334.1</v>
      </c>
      <c r="D120" s="116">
        <v>1325</v>
      </c>
      <c r="E120" s="116">
        <v>1337.15</v>
      </c>
      <c r="F120" s="116">
        <v>1334.1</v>
      </c>
      <c r="G120">
        <v>6050</v>
      </c>
      <c r="H120" s="116"/>
      <c r="I120" s="116"/>
      <c r="L120" s="170">
        <v>42177</v>
      </c>
      <c r="M120" s="116">
        <v>1336.75</v>
      </c>
      <c r="N120" s="116">
        <v>1344.9</v>
      </c>
      <c r="O120" s="116">
        <v>1325.85</v>
      </c>
      <c r="P120" s="116">
        <v>1336</v>
      </c>
      <c r="Q120" s="116">
        <v>1336.75</v>
      </c>
      <c r="R120">
        <v>19096</v>
      </c>
    </row>
    <row r="121" spans="1:18" x14ac:dyDescent="0.25">
      <c r="A121" s="170">
        <v>42178</v>
      </c>
      <c r="B121" s="116">
        <v>1370</v>
      </c>
      <c r="C121" s="116">
        <v>1343.8</v>
      </c>
      <c r="D121" s="116">
        <v>1331</v>
      </c>
      <c r="E121" s="116">
        <v>1333</v>
      </c>
      <c r="F121" s="116">
        <v>1343.8</v>
      </c>
      <c r="G121">
        <v>5575</v>
      </c>
      <c r="H121" s="116"/>
      <c r="I121" s="116"/>
      <c r="L121" s="170">
        <v>42178</v>
      </c>
      <c r="M121" s="116">
        <v>1341.05</v>
      </c>
      <c r="N121" s="116">
        <v>1370</v>
      </c>
      <c r="O121" s="116">
        <v>1330.2</v>
      </c>
      <c r="P121" s="116">
        <v>1336.5</v>
      </c>
      <c r="Q121" s="116">
        <v>1341.05</v>
      </c>
      <c r="R121">
        <v>37425</v>
      </c>
    </row>
    <row r="122" spans="1:18" x14ac:dyDescent="0.25">
      <c r="A122" s="170">
        <v>42179</v>
      </c>
      <c r="B122" s="116">
        <v>1357.4</v>
      </c>
      <c r="C122" s="116">
        <v>1323.1</v>
      </c>
      <c r="D122" s="116">
        <v>1315.95</v>
      </c>
      <c r="E122" s="116">
        <v>1345.1</v>
      </c>
      <c r="F122" s="116">
        <v>1323.1</v>
      </c>
      <c r="G122">
        <v>2728</v>
      </c>
      <c r="H122" s="116"/>
      <c r="I122" s="116"/>
      <c r="L122" s="170">
        <v>42179</v>
      </c>
      <c r="M122" s="116">
        <v>1320.75</v>
      </c>
      <c r="N122" s="116">
        <v>1359</v>
      </c>
      <c r="O122" s="116">
        <v>1311.85</v>
      </c>
      <c r="P122" s="116">
        <v>1337</v>
      </c>
      <c r="Q122" s="116">
        <v>1320.75</v>
      </c>
      <c r="R122">
        <v>28129</v>
      </c>
    </row>
    <row r="123" spans="1:18" x14ac:dyDescent="0.25">
      <c r="A123" s="170">
        <v>42180</v>
      </c>
      <c r="B123" s="116">
        <v>1368</v>
      </c>
      <c r="C123" s="116">
        <v>1361.75</v>
      </c>
      <c r="D123" s="116">
        <v>1319.5</v>
      </c>
      <c r="E123" s="116">
        <v>1330.5</v>
      </c>
      <c r="F123" s="116">
        <v>1361.75</v>
      </c>
      <c r="G123">
        <v>11254</v>
      </c>
      <c r="H123" s="116"/>
      <c r="I123" s="116"/>
      <c r="L123" s="170">
        <v>42180</v>
      </c>
      <c r="M123" s="116">
        <v>1366.25</v>
      </c>
      <c r="N123" s="116">
        <v>1379</v>
      </c>
      <c r="O123" s="116">
        <v>1316.1</v>
      </c>
      <c r="P123" s="116">
        <v>1321</v>
      </c>
      <c r="Q123" s="116">
        <v>1366.25</v>
      </c>
      <c r="R123">
        <v>78788</v>
      </c>
    </row>
    <row r="124" spans="1:18" x14ac:dyDescent="0.25">
      <c r="A124" s="170">
        <v>42181</v>
      </c>
      <c r="B124" s="116">
        <v>1368.4</v>
      </c>
      <c r="C124" s="116">
        <v>1350.65</v>
      </c>
      <c r="D124" s="116">
        <v>1340.05</v>
      </c>
      <c r="E124" s="116">
        <v>1368.4</v>
      </c>
      <c r="F124" s="116">
        <v>1350.65</v>
      </c>
      <c r="G124">
        <v>6894</v>
      </c>
      <c r="H124" s="116"/>
      <c r="I124" s="116"/>
      <c r="L124" s="170">
        <v>42181</v>
      </c>
      <c r="M124" s="116">
        <v>1354.8</v>
      </c>
      <c r="N124" s="116">
        <v>1374</v>
      </c>
      <c r="O124" s="116">
        <v>1344</v>
      </c>
      <c r="P124" s="116">
        <v>1374</v>
      </c>
      <c r="Q124" s="116">
        <v>1354.8</v>
      </c>
      <c r="R124">
        <v>25675</v>
      </c>
    </row>
    <row r="125" spans="1:18" x14ac:dyDescent="0.25">
      <c r="A125" s="170">
        <v>42184</v>
      </c>
      <c r="B125" s="116">
        <v>1329</v>
      </c>
      <c r="C125" s="116">
        <v>1321.1</v>
      </c>
      <c r="D125" s="116">
        <v>1294</v>
      </c>
      <c r="E125" s="116">
        <v>1313</v>
      </c>
      <c r="F125" s="116">
        <v>1321.1</v>
      </c>
      <c r="G125">
        <v>4711</v>
      </c>
      <c r="H125" s="116"/>
      <c r="I125" s="116"/>
      <c r="L125" s="170">
        <v>42184</v>
      </c>
      <c r="M125" s="116">
        <v>1320.9</v>
      </c>
      <c r="N125" s="116">
        <v>1330</v>
      </c>
      <c r="O125" s="116">
        <v>1291.95</v>
      </c>
      <c r="P125" s="116">
        <v>1330</v>
      </c>
      <c r="Q125" s="116">
        <v>1320.9</v>
      </c>
      <c r="R125">
        <v>17561</v>
      </c>
    </row>
    <row r="126" spans="1:18" x14ac:dyDescent="0.25">
      <c r="A126" s="170">
        <v>42185</v>
      </c>
      <c r="B126" s="116">
        <v>1336</v>
      </c>
      <c r="C126" s="116">
        <v>1322.75</v>
      </c>
      <c r="D126" s="116">
        <v>1320.1</v>
      </c>
      <c r="E126" s="116">
        <v>1325</v>
      </c>
      <c r="F126" s="116">
        <v>1322.75</v>
      </c>
      <c r="G126">
        <v>5848</v>
      </c>
      <c r="H126" s="116"/>
      <c r="I126" s="116"/>
      <c r="L126" s="170">
        <v>42185</v>
      </c>
      <c r="M126" s="116">
        <v>1324.3</v>
      </c>
      <c r="N126" s="116">
        <v>1339</v>
      </c>
      <c r="O126" s="116">
        <v>1320</v>
      </c>
      <c r="P126" s="116">
        <v>1320</v>
      </c>
      <c r="Q126" s="116">
        <v>1324.3</v>
      </c>
      <c r="R126">
        <v>81292</v>
      </c>
    </row>
    <row r="127" spans="1:18" x14ac:dyDescent="0.25">
      <c r="A127" s="170">
        <v>42186</v>
      </c>
      <c r="B127" s="116">
        <v>1338.05</v>
      </c>
      <c r="C127" s="116">
        <v>1330.2</v>
      </c>
      <c r="D127" s="116">
        <v>1325</v>
      </c>
      <c r="E127" s="116">
        <v>1325.2</v>
      </c>
      <c r="F127" s="116">
        <v>1330.2</v>
      </c>
      <c r="G127">
        <v>3308</v>
      </c>
      <c r="H127" s="116"/>
      <c r="I127" s="116"/>
      <c r="L127" s="170">
        <v>42186</v>
      </c>
      <c r="M127" s="116">
        <v>1328.35</v>
      </c>
      <c r="N127" s="116">
        <v>1338.4</v>
      </c>
      <c r="O127" s="116">
        <v>1305.2</v>
      </c>
      <c r="P127" s="116">
        <v>1305.2</v>
      </c>
      <c r="Q127" s="116">
        <v>1328.35</v>
      </c>
      <c r="R127">
        <v>16095</v>
      </c>
    </row>
    <row r="128" spans="1:18" x14ac:dyDescent="0.25">
      <c r="A128" s="170">
        <v>42187</v>
      </c>
      <c r="B128" s="116">
        <v>1366</v>
      </c>
      <c r="C128" s="116">
        <v>1362.5</v>
      </c>
      <c r="D128" s="116">
        <v>1325.05</v>
      </c>
      <c r="E128" s="116">
        <v>1332.2</v>
      </c>
      <c r="F128" s="116">
        <v>1362.5</v>
      </c>
      <c r="G128">
        <v>10198</v>
      </c>
      <c r="H128" s="116"/>
      <c r="I128" s="116"/>
      <c r="L128" s="170">
        <v>42187</v>
      </c>
      <c r="M128" s="116">
        <v>1361.3</v>
      </c>
      <c r="N128" s="116">
        <v>1371</v>
      </c>
      <c r="O128" s="116">
        <v>1314.25</v>
      </c>
      <c r="P128" s="116">
        <v>1333</v>
      </c>
      <c r="Q128" s="116">
        <v>1361.3</v>
      </c>
      <c r="R128">
        <v>58389</v>
      </c>
    </row>
    <row r="129" spans="1:18" x14ac:dyDescent="0.25">
      <c r="A129" s="170">
        <v>42188</v>
      </c>
      <c r="B129" s="116">
        <v>1400</v>
      </c>
      <c r="C129" s="116">
        <v>1394</v>
      </c>
      <c r="D129" s="116">
        <v>1367.6</v>
      </c>
      <c r="E129" s="116">
        <v>1371.1</v>
      </c>
      <c r="F129" s="116">
        <v>1394</v>
      </c>
      <c r="G129">
        <v>19139</v>
      </c>
      <c r="H129" s="116"/>
      <c r="I129" s="116"/>
      <c r="L129" s="170">
        <v>42188</v>
      </c>
      <c r="M129" s="116">
        <v>1395.45</v>
      </c>
      <c r="N129" s="116">
        <v>1400.5</v>
      </c>
      <c r="O129" s="116">
        <v>1365.3</v>
      </c>
      <c r="P129" s="116">
        <v>1371</v>
      </c>
      <c r="Q129" s="116">
        <v>1395.45</v>
      </c>
      <c r="R129">
        <v>79180</v>
      </c>
    </row>
    <row r="130" spans="1:18" x14ac:dyDescent="0.25">
      <c r="A130" s="170">
        <v>42191</v>
      </c>
      <c r="B130" s="116">
        <v>1417.3</v>
      </c>
      <c r="C130" s="116">
        <v>1400.6</v>
      </c>
      <c r="D130" s="116">
        <v>1377</v>
      </c>
      <c r="E130" s="116">
        <v>1380</v>
      </c>
      <c r="F130" s="116">
        <v>1400.6</v>
      </c>
      <c r="G130">
        <v>6703</v>
      </c>
      <c r="H130" s="116"/>
      <c r="I130" s="116"/>
      <c r="L130" s="170">
        <v>42191</v>
      </c>
      <c r="M130" s="116">
        <v>1402.15</v>
      </c>
      <c r="N130" s="116">
        <v>1418</v>
      </c>
      <c r="O130" s="116">
        <v>1372</v>
      </c>
      <c r="P130" s="116">
        <v>1387</v>
      </c>
      <c r="Q130" s="116">
        <v>1402.15</v>
      </c>
      <c r="R130">
        <v>59213</v>
      </c>
    </row>
    <row r="131" spans="1:18" x14ac:dyDescent="0.25">
      <c r="A131" s="170">
        <v>42192</v>
      </c>
      <c r="B131" s="116">
        <v>1410</v>
      </c>
      <c r="C131" s="116">
        <v>1395.45</v>
      </c>
      <c r="D131" s="116">
        <v>1382.05</v>
      </c>
      <c r="E131" s="116">
        <v>1406</v>
      </c>
      <c r="F131" s="116">
        <v>1395.45</v>
      </c>
      <c r="G131">
        <v>4458</v>
      </c>
      <c r="H131" s="116"/>
      <c r="I131" s="116"/>
      <c r="L131" s="170">
        <v>42192</v>
      </c>
      <c r="M131" s="116">
        <v>1395.4</v>
      </c>
      <c r="N131" s="116">
        <v>1412.9</v>
      </c>
      <c r="O131" s="116">
        <v>1380</v>
      </c>
      <c r="P131" s="116">
        <v>1406</v>
      </c>
      <c r="Q131" s="116">
        <v>1395.4</v>
      </c>
      <c r="R131">
        <v>63824</v>
      </c>
    </row>
    <row r="132" spans="1:18" x14ac:dyDescent="0.25">
      <c r="A132" s="170">
        <v>42193</v>
      </c>
      <c r="B132" s="116">
        <v>1431.7</v>
      </c>
      <c r="C132" s="116">
        <v>1421.25</v>
      </c>
      <c r="D132" s="116">
        <v>1366.4</v>
      </c>
      <c r="E132" s="116">
        <v>1375.75</v>
      </c>
      <c r="F132" s="116">
        <v>1421.25</v>
      </c>
      <c r="G132">
        <v>9363</v>
      </c>
      <c r="H132" s="116"/>
      <c r="I132" s="116"/>
      <c r="L132" s="170">
        <v>42193</v>
      </c>
      <c r="M132" s="116">
        <v>1423.3</v>
      </c>
      <c r="N132" s="116">
        <v>1430</v>
      </c>
      <c r="O132" s="116">
        <v>1366.05</v>
      </c>
      <c r="P132" s="116">
        <v>1380</v>
      </c>
      <c r="Q132" s="116">
        <v>1423.3</v>
      </c>
      <c r="R132">
        <v>110877</v>
      </c>
    </row>
    <row r="133" spans="1:18" x14ac:dyDescent="0.25">
      <c r="A133" s="170">
        <v>42194</v>
      </c>
      <c r="B133" s="116">
        <v>1425</v>
      </c>
      <c r="C133" s="116">
        <v>1389.4</v>
      </c>
      <c r="D133" s="116">
        <v>1380</v>
      </c>
      <c r="E133" s="116">
        <v>1421</v>
      </c>
      <c r="F133" s="116">
        <v>1389.4</v>
      </c>
      <c r="G133">
        <v>7728</v>
      </c>
      <c r="H133" s="116"/>
      <c r="I133" s="116"/>
      <c r="L133" s="170">
        <v>42194</v>
      </c>
      <c r="M133" s="116">
        <v>1389.65</v>
      </c>
      <c r="N133" s="116">
        <v>1430</v>
      </c>
      <c r="O133" s="116">
        <v>1379.8</v>
      </c>
      <c r="P133" s="116">
        <v>1430</v>
      </c>
      <c r="Q133" s="116">
        <v>1389.65</v>
      </c>
      <c r="R133">
        <v>45300</v>
      </c>
    </row>
    <row r="134" spans="1:18" x14ac:dyDescent="0.25">
      <c r="A134" s="170">
        <v>42195</v>
      </c>
      <c r="B134" s="116">
        <v>1406.5</v>
      </c>
      <c r="C134" s="116">
        <v>1372.3</v>
      </c>
      <c r="D134" s="116">
        <v>1364.95</v>
      </c>
      <c r="E134" s="116">
        <v>1402.75</v>
      </c>
      <c r="F134" s="116">
        <v>1372.3</v>
      </c>
      <c r="G134">
        <v>4657</v>
      </c>
      <c r="H134" s="116"/>
      <c r="I134" s="116"/>
      <c r="L134" s="170">
        <v>42195</v>
      </c>
      <c r="M134" s="116">
        <v>1375.25</v>
      </c>
      <c r="N134" s="116">
        <v>1409.35</v>
      </c>
      <c r="O134" s="116">
        <v>1361</v>
      </c>
      <c r="P134" s="116">
        <v>1380.5</v>
      </c>
      <c r="Q134" s="116">
        <v>1375.25</v>
      </c>
      <c r="R134">
        <v>49795</v>
      </c>
    </row>
    <row r="135" spans="1:18" x14ac:dyDescent="0.25">
      <c r="A135" s="170">
        <v>42198</v>
      </c>
      <c r="B135" s="116">
        <v>1399</v>
      </c>
      <c r="C135" s="116">
        <v>1392.35</v>
      </c>
      <c r="D135" s="116">
        <v>1378</v>
      </c>
      <c r="E135" s="116">
        <v>1378</v>
      </c>
      <c r="F135" s="116">
        <v>1392.35</v>
      </c>
      <c r="G135">
        <v>6301</v>
      </c>
      <c r="H135" s="116"/>
      <c r="I135" s="116"/>
      <c r="L135" s="170">
        <v>42198</v>
      </c>
      <c r="M135" s="116">
        <v>1393.3</v>
      </c>
      <c r="N135" s="116">
        <v>1399.7</v>
      </c>
      <c r="O135" s="116">
        <v>1375</v>
      </c>
      <c r="P135" s="116">
        <v>1384</v>
      </c>
      <c r="Q135" s="116">
        <v>1393.3</v>
      </c>
      <c r="R135">
        <v>36164</v>
      </c>
    </row>
    <row r="136" spans="1:18" x14ac:dyDescent="0.25">
      <c r="A136" s="170">
        <v>42199</v>
      </c>
      <c r="B136" s="116">
        <v>1410</v>
      </c>
      <c r="C136" s="116">
        <v>1382.15</v>
      </c>
      <c r="D136" s="116">
        <v>1378.05</v>
      </c>
      <c r="E136" s="116">
        <v>1410</v>
      </c>
      <c r="F136" s="116">
        <v>1382.15</v>
      </c>
      <c r="G136">
        <v>4178</v>
      </c>
      <c r="H136" s="116"/>
      <c r="I136" s="116"/>
      <c r="L136" s="170">
        <v>42199</v>
      </c>
      <c r="M136" s="116">
        <v>1383.75</v>
      </c>
      <c r="N136" s="116">
        <v>1403</v>
      </c>
      <c r="O136" s="116">
        <v>1375</v>
      </c>
      <c r="P136" s="116">
        <v>1394</v>
      </c>
      <c r="Q136" s="116">
        <v>1383.75</v>
      </c>
      <c r="R136">
        <v>19085</v>
      </c>
    </row>
    <row r="137" spans="1:18" x14ac:dyDescent="0.25">
      <c r="A137" s="170">
        <v>42200</v>
      </c>
      <c r="B137" s="116">
        <v>1414.3</v>
      </c>
      <c r="C137" s="116">
        <v>1404.1</v>
      </c>
      <c r="D137" s="116">
        <v>1390</v>
      </c>
      <c r="E137" s="116">
        <v>1390</v>
      </c>
      <c r="F137" s="116">
        <v>1404.1</v>
      </c>
      <c r="G137">
        <v>5517</v>
      </c>
      <c r="H137" s="116"/>
      <c r="I137" s="116"/>
      <c r="L137" s="170">
        <v>42200</v>
      </c>
      <c r="M137" s="116">
        <v>1404.75</v>
      </c>
      <c r="N137" s="116">
        <v>1415</v>
      </c>
      <c r="O137" s="116">
        <v>1385.95</v>
      </c>
      <c r="P137" s="116">
        <v>1389</v>
      </c>
      <c r="Q137" s="116">
        <v>1404.75</v>
      </c>
      <c r="R137">
        <v>142162</v>
      </c>
    </row>
    <row r="138" spans="1:18" x14ac:dyDescent="0.25">
      <c r="A138" s="170">
        <v>42201</v>
      </c>
      <c r="B138" s="116">
        <v>1440.9</v>
      </c>
      <c r="C138" s="116">
        <v>1431.25</v>
      </c>
      <c r="D138" s="116">
        <v>1407.9</v>
      </c>
      <c r="E138" s="116">
        <v>1409</v>
      </c>
      <c r="F138" s="116">
        <v>1431.25</v>
      </c>
      <c r="G138">
        <v>9015</v>
      </c>
      <c r="H138" s="116"/>
      <c r="I138" s="116"/>
      <c r="L138" s="170">
        <v>42201</v>
      </c>
      <c r="M138" s="116">
        <v>1428.7</v>
      </c>
      <c r="N138" s="116">
        <v>1436.6</v>
      </c>
      <c r="O138" s="116">
        <v>1404</v>
      </c>
      <c r="P138" s="116">
        <v>1404</v>
      </c>
      <c r="Q138" s="116">
        <v>1428.7</v>
      </c>
      <c r="R138">
        <v>88582</v>
      </c>
    </row>
    <row r="139" spans="1:18" x14ac:dyDescent="0.25">
      <c r="A139" s="170">
        <v>42202</v>
      </c>
      <c r="B139" s="116">
        <v>1444.4</v>
      </c>
      <c r="C139" s="116">
        <v>1412.75</v>
      </c>
      <c r="D139" s="116">
        <v>1406</v>
      </c>
      <c r="E139" s="116">
        <v>1436.7</v>
      </c>
      <c r="F139" s="116">
        <v>1412.75</v>
      </c>
      <c r="G139">
        <v>5238</v>
      </c>
      <c r="H139" s="116"/>
      <c r="I139" s="116"/>
      <c r="L139" s="170">
        <v>42202</v>
      </c>
      <c r="M139" s="116">
        <v>1412.25</v>
      </c>
      <c r="N139" s="116">
        <v>1445</v>
      </c>
      <c r="O139" s="116">
        <v>1403</v>
      </c>
      <c r="P139" s="116">
        <v>1431</v>
      </c>
      <c r="Q139" s="116">
        <v>1412.25</v>
      </c>
      <c r="R139">
        <v>47996</v>
      </c>
    </row>
    <row r="140" spans="1:18" x14ac:dyDescent="0.25">
      <c r="A140" s="170">
        <v>42205</v>
      </c>
      <c r="B140" s="116">
        <v>1415</v>
      </c>
      <c r="C140" s="116">
        <v>1395.5</v>
      </c>
      <c r="D140" s="116">
        <v>1387.3</v>
      </c>
      <c r="E140" s="116">
        <v>1415</v>
      </c>
      <c r="F140" s="116">
        <v>1395.5</v>
      </c>
      <c r="G140">
        <v>5656</v>
      </c>
      <c r="H140" s="116"/>
      <c r="I140" s="116"/>
      <c r="L140" s="170">
        <v>42205</v>
      </c>
      <c r="M140" s="116">
        <v>1394.25</v>
      </c>
      <c r="N140" s="116">
        <v>1420</v>
      </c>
      <c r="O140" s="116">
        <v>1389.05</v>
      </c>
      <c r="P140" s="116">
        <v>1416</v>
      </c>
      <c r="Q140" s="116">
        <v>1394.25</v>
      </c>
      <c r="R140">
        <v>25549</v>
      </c>
    </row>
    <row r="141" spans="1:18" x14ac:dyDescent="0.25">
      <c r="A141" s="170">
        <v>42206</v>
      </c>
      <c r="B141" s="116">
        <v>1432.8</v>
      </c>
      <c r="C141" s="116">
        <v>1390.4</v>
      </c>
      <c r="D141" s="116">
        <v>1382</v>
      </c>
      <c r="E141" s="116">
        <v>1395.5</v>
      </c>
      <c r="F141" s="116">
        <v>1390.4</v>
      </c>
      <c r="G141">
        <v>5835</v>
      </c>
      <c r="H141" s="116"/>
      <c r="I141" s="116"/>
      <c r="L141" s="170">
        <v>42206</v>
      </c>
      <c r="M141" s="116">
        <v>1389.9</v>
      </c>
      <c r="N141" s="116">
        <v>1429.85</v>
      </c>
      <c r="O141" s="116">
        <v>1381.5</v>
      </c>
      <c r="P141" s="116">
        <v>1395</v>
      </c>
      <c r="Q141" s="116">
        <v>1389.9</v>
      </c>
      <c r="R141">
        <v>37387</v>
      </c>
    </row>
    <row r="142" spans="1:18" x14ac:dyDescent="0.25">
      <c r="A142" s="170">
        <v>42207</v>
      </c>
      <c r="B142" s="116">
        <v>1415</v>
      </c>
      <c r="C142" s="116">
        <v>1387.9</v>
      </c>
      <c r="D142" s="116">
        <v>1382.25</v>
      </c>
      <c r="E142" s="116">
        <v>1410</v>
      </c>
      <c r="F142" s="116">
        <v>1387.9</v>
      </c>
      <c r="G142">
        <v>2448</v>
      </c>
      <c r="H142" s="116"/>
      <c r="I142" s="116"/>
      <c r="L142" s="170">
        <v>42207</v>
      </c>
      <c r="M142" s="116">
        <v>1390.15</v>
      </c>
      <c r="N142" s="116">
        <v>1417.95</v>
      </c>
      <c r="O142" s="116">
        <v>1385</v>
      </c>
      <c r="P142" s="116">
        <v>1408</v>
      </c>
      <c r="Q142" s="116">
        <v>1390.15</v>
      </c>
      <c r="R142">
        <v>12770</v>
      </c>
    </row>
    <row r="143" spans="1:18" x14ac:dyDescent="0.25">
      <c r="A143" s="170">
        <v>42208</v>
      </c>
      <c r="B143" s="116">
        <v>1427.3</v>
      </c>
      <c r="C143" s="116">
        <v>1406.15</v>
      </c>
      <c r="D143" s="116">
        <v>1394.15</v>
      </c>
      <c r="E143" s="116">
        <v>1400</v>
      </c>
      <c r="F143" s="116">
        <v>1406.15</v>
      </c>
      <c r="G143">
        <v>5764</v>
      </c>
      <c r="H143" s="116"/>
      <c r="I143" s="116"/>
      <c r="L143" s="170">
        <v>42208</v>
      </c>
      <c r="M143" s="116">
        <v>1409.75</v>
      </c>
      <c r="N143" s="116">
        <v>1427.9</v>
      </c>
      <c r="O143" s="116">
        <v>1390</v>
      </c>
      <c r="P143" s="116">
        <v>1399.95</v>
      </c>
      <c r="Q143" s="116">
        <v>1409.75</v>
      </c>
      <c r="R143">
        <v>42209</v>
      </c>
    </row>
    <row r="144" spans="1:18" x14ac:dyDescent="0.25">
      <c r="A144" s="170">
        <v>42209</v>
      </c>
      <c r="B144" s="116">
        <v>1428.3</v>
      </c>
      <c r="C144" s="116">
        <v>1368.4</v>
      </c>
      <c r="D144" s="116">
        <v>1360</v>
      </c>
      <c r="E144" s="116">
        <v>1418.95</v>
      </c>
      <c r="F144" s="116">
        <v>1368.4</v>
      </c>
      <c r="G144">
        <v>26463</v>
      </c>
      <c r="H144" s="116"/>
      <c r="I144" s="116"/>
      <c r="L144" s="170">
        <v>42209</v>
      </c>
      <c r="M144" s="116">
        <v>1370</v>
      </c>
      <c r="N144" s="116">
        <v>1428</v>
      </c>
      <c r="O144" s="116">
        <v>1360</v>
      </c>
      <c r="P144" s="116">
        <v>1411.6</v>
      </c>
      <c r="Q144" s="116">
        <v>1370</v>
      </c>
      <c r="R144">
        <v>227393</v>
      </c>
    </row>
    <row r="145" spans="1:18" x14ac:dyDescent="0.25">
      <c r="A145" s="170">
        <v>42212</v>
      </c>
      <c r="B145" s="116">
        <v>1392.85</v>
      </c>
      <c r="C145" s="116">
        <v>1317.7</v>
      </c>
      <c r="D145" s="116">
        <v>1310</v>
      </c>
      <c r="E145" s="116">
        <v>1372</v>
      </c>
      <c r="F145" s="116">
        <v>1317.7</v>
      </c>
      <c r="G145">
        <v>8724</v>
      </c>
      <c r="H145" s="116"/>
      <c r="I145" s="116"/>
      <c r="L145" s="170">
        <v>42212</v>
      </c>
      <c r="M145" s="116">
        <v>1313.65</v>
      </c>
      <c r="N145" s="116">
        <v>1405</v>
      </c>
      <c r="O145" s="116">
        <v>1310</v>
      </c>
      <c r="P145" s="116">
        <v>1370</v>
      </c>
      <c r="Q145" s="116">
        <v>1313.65</v>
      </c>
      <c r="R145">
        <v>46989</v>
      </c>
    </row>
    <row r="146" spans="1:18" x14ac:dyDescent="0.25">
      <c r="A146" s="170">
        <v>42213</v>
      </c>
      <c r="B146" s="116">
        <v>1353</v>
      </c>
      <c r="C146" s="116">
        <v>1320.35</v>
      </c>
      <c r="D146" s="116">
        <v>1284</v>
      </c>
      <c r="E146" s="116">
        <v>1324</v>
      </c>
      <c r="F146" s="116">
        <v>1320.35</v>
      </c>
      <c r="G146">
        <v>4333</v>
      </c>
      <c r="H146" s="116"/>
      <c r="I146" s="116"/>
      <c r="L146" s="170">
        <v>42213</v>
      </c>
      <c r="M146" s="116">
        <v>1320.7</v>
      </c>
      <c r="N146" s="116">
        <v>1354.55</v>
      </c>
      <c r="O146" s="116">
        <v>1309.05</v>
      </c>
      <c r="P146" s="116">
        <v>1324.9</v>
      </c>
      <c r="Q146" s="116">
        <v>1320.7</v>
      </c>
      <c r="R146">
        <v>32057</v>
      </c>
    </row>
    <row r="147" spans="1:18" x14ac:dyDescent="0.25">
      <c r="A147" s="170">
        <v>42214</v>
      </c>
      <c r="B147" s="116">
        <v>1373.2</v>
      </c>
      <c r="C147" s="116">
        <v>1368.7</v>
      </c>
      <c r="D147" s="116">
        <v>1325.85</v>
      </c>
      <c r="E147" s="116">
        <v>1327.25</v>
      </c>
      <c r="F147" s="116">
        <v>1368.7</v>
      </c>
      <c r="G147">
        <v>8249</v>
      </c>
      <c r="H147" s="116"/>
      <c r="I147" s="116"/>
      <c r="L147" s="170">
        <v>42214</v>
      </c>
      <c r="M147" s="116">
        <v>1369.8</v>
      </c>
      <c r="N147" s="116">
        <v>1375</v>
      </c>
      <c r="O147" s="116">
        <v>1321.7</v>
      </c>
      <c r="P147" s="116">
        <v>1329.9</v>
      </c>
      <c r="Q147" s="116">
        <v>1369.8</v>
      </c>
      <c r="R147">
        <v>45929</v>
      </c>
    </row>
    <row r="148" spans="1:18" x14ac:dyDescent="0.25">
      <c r="A148" s="170">
        <v>42215</v>
      </c>
      <c r="B148" s="116">
        <v>1398.7</v>
      </c>
      <c r="C148" s="116">
        <v>1371.4</v>
      </c>
      <c r="D148" s="116">
        <v>1365</v>
      </c>
      <c r="E148" s="116">
        <v>1384.45</v>
      </c>
      <c r="F148" s="116">
        <v>1371.4</v>
      </c>
      <c r="G148">
        <v>7356</v>
      </c>
      <c r="H148" s="116"/>
      <c r="I148" s="116"/>
      <c r="L148" s="170">
        <v>42215</v>
      </c>
      <c r="M148" s="116">
        <v>1377.35</v>
      </c>
      <c r="N148" s="116">
        <v>1397.9</v>
      </c>
      <c r="O148" s="116">
        <v>1365.25</v>
      </c>
      <c r="P148" s="116">
        <v>1380</v>
      </c>
      <c r="Q148" s="116">
        <v>1377.35</v>
      </c>
      <c r="R148">
        <v>28310</v>
      </c>
    </row>
    <row r="149" spans="1:18" x14ac:dyDescent="0.25">
      <c r="A149" s="170">
        <v>42216</v>
      </c>
      <c r="B149" s="116">
        <v>1406.95</v>
      </c>
      <c r="C149" s="116">
        <v>1383.55</v>
      </c>
      <c r="D149" s="116">
        <v>1378.8</v>
      </c>
      <c r="E149" s="116">
        <v>1385</v>
      </c>
      <c r="F149" s="116">
        <v>1383.55</v>
      </c>
      <c r="G149">
        <v>5509</v>
      </c>
      <c r="H149" s="116"/>
      <c r="I149" s="116"/>
      <c r="L149" s="170">
        <v>42216</v>
      </c>
      <c r="M149" s="116">
        <v>1386.6</v>
      </c>
      <c r="N149" s="116">
        <v>1409</v>
      </c>
      <c r="O149" s="116">
        <v>1380</v>
      </c>
      <c r="P149" s="116">
        <v>1380</v>
      </c>
      <c r="Q149" s="116">
        <v>1386.6</v>
      </c>
      <c r="R149">
        <v>38885</v>
      </c>
    </row>
    <row r="150" spans="1:18" x14ac:dyDescent="0.25">
      <c r="A150" s="170">
        <v>42219</v>
      </c>
      <c r="B150" s="116">
        <v>1392</v>
      </c>
      <c r="C150" s="116">
        <v>1373.95</v>
      </c>
      <c r="D150" s="116">
        <v>1367</v>
      </c>
      <c r="E150" s="116">
        <v>1386.7</v>
      </c>
      <c r="F150" s="116">
        <v>1373.95</v>
      </c>
      <c r="G150">
        <v>3945</v>
      </c>
      <c r="H150" s="116"/>
      <c r="I150" s="116"/>
      <c r="L150" s="170">
        <v>42219</v>
      </c>
      <c r="M150" s="116">
        <v>1373.4</v>
      </c>
      <c r="N150" s="116">
        <v>1395</v>
      </c>
      <c r="O150" s="116">
        <v>1365</v>
      </c>
      <c r="P150" s="116">
        <v>1375.3</v>
      </c>
      <c r="Q150" s="116">
        <v>1373.4</v>
      </c>
      <c r="R150">
        <v>17200</v>
      </c>
    </row>
    <row r="151" spans="1:18" x14ac:dyDescent="0.25">
      <c r="A151" s="170">
        <v>42220</v>
      </c>
      <c r="B151" s="116">
        <v>1388.8</v>
      </c>
      <c r="C151" s="116">
        <v>1357.35</v>
      </c>
      <c r="D151" s="116">
        <v>1350</v>
      </c>
      <c r="E151" s="116">
        <v>1385</v>
      </c>
      <c r="F151" s="116">
        <v>1357.35</v>
      </c>
      <c r="G151">
        <v>7303</v>
      </c>
      <c r="H151" s="116"/>
      <c r="I151" s="116"/>
      <c r="L151" s="170">
        <v>42220</v>
      </c>
      <c r="M151" s="116">
        <v>1361.65</v>
      </c>
      <c r="N151" s="116">
        <v>1389</v>
      </c>
      <c r="O151" s="116">
        <v>1352</v>
      </c>
      <c r="P151" s="116">
        <v>1383</v>
      </c>
      <c r="Q151" s="116">
        <v>1361.65</v>
      </c>
      <c r="R151">
        <v>40695</v>
      </c>
    </row>
    <row r="152" spans="1:18" x14ac:dyDescent="0.25">
      <c r="A152" s="170">
        <v>42221</v>
      </c>
      <c r="B152" s="116">
        <v>1398.7</v>
      </c>
      <c r="C152" s="116">
        <v>1369.8</v>
      </c>
      <c r="D152" s="116">
        <v>1365.05</v>
      </c>
      <c r="E152" s="116">
        <v>1382.6</v>
      </c>
      <c r="F152" s="116">
        <v>1369.8</v>
      </c>
      <c r="G152">
        <v>3211</v>
      </c>
      <c r="H152" s="116"/>
      <c r="I152" s="116"/>
      <c r="L152" s="170">
        <v>42221</v>
      </c>
      <c r="M152" s="116">
        <v>1373.7</v>
      </c>
      <c r="N152" s="116">
        <v>1399</v>
      </c>
      <c r="O152" s="116">
        <v>1367</v>
      </c>
      <c r="P152" s="116">
        <v>1373</v>
      </c>
      <c r="Q152" s="116">
        <v>1373.7</v>
      </c>
      <c r="R152">
        <v>30685</v>
      </c>
    </row>
    <row r="153" spans="1:18" x14ac:dyDescent="0.25">
      <c r="A153" s="170">
        <v>42222</v>
      </c>
      <c r="B153" s="116">
        <v>1396.7</v>
      </c>
      <c r="C153" s="116">
        <v>1377.25</v>
      </c>
      <c r="D153" s="116">
        <v>1369</v>
      </c>
      <c r="E153" s="116">
        <v>1390</v>
      </c>
      <c r="F153" s="116">
        <v>1377.25</v>
      </c>
      <c r="G153">
        <v>3474</v>
      </c>
      <c r="H153" s="116"/>
      <c r="I153" s="116"/>
      <c r="L153" s="170">
        <v>42222</v>
      </c>
      <c r="M153" s="116">
        <v>1376.7</v>
      </c>
      <c r="N153" s="116">
        <v>1398.6</v>
      </c>
      <c r="O153" s="116">
        <v>1367.8</v>
      </c>
      <c r="P153" s="116">
        <v>1383.5</v>
      </c>
      <c r="Q153" s="116">
        <v>1376.7</v>
      </c>
      <c r="R153">
        <v>27994</v>
      </c>
    </row>
    <row r="154" spans="1:18" x14ac:dyDescent="0.25">
      <c r="A154" s="170">
        <v>42223</v>
      </c>
      <c r="B154" s="116">
        <v>1405</v>
      </c>
      <c r="C154" s="116">
        <v>1384.95</v>
      </c>
      <c r="D154" s="116">
        <v>1380</v>
      </c>
      <c r="E154" s="116">
        <v>1388</v>
      </c>
      <c r="F154" s="116">
        <v>1384.95</v>
      </c>
      <c r="G154">
        <v>5099</v>
      </c>
      <c r="H154" s="116"/>
      <c r="I154" s="116"/>
      <c r="L154" s="170">
        <v>42223</v>
      </c>
      <c r="M154" s="116">
        <v>1383.8</v>
      </c>
      <c r="N154" s="116">
        <v>1408.9</v>
      </c>
      <c r="O154" s="116">
        <v>1376</v>
      </c>
      <c r="P154" s="116">
        <v>1378</v>
      </c>
      <c r="Q154" s="116">
        <v>1383.8</v>
      </c>
      <c r="R154">
        <v>47575</v>
      </c>
    </row>
    <row r="155" spans="1:18" x14ac:dyDescent="0.25">
      <c r="A155" s="170">
        <v>42226</v>
      </c>
      <c r="B155" s="116">
        <v>1393.85</v>
      </c>
      <c r="C155" s="116">
        <v>1369.35</v>
      </c>
      <c r="D155" s="116">
        <v>1362</v>
      </c>
      <c r="E155" s="116">
        <v>1379.05</v>
      </c>
      <c r="F155" s="116">
        <v>1369.35</v>
      </c>
      <c r="G155">
        <v>2242</v>
      </c>
      <c r="H155" s="116"/>
      <c r="I155" s="116"/>
      <c r="L155" s="170">
        <v>42226</v>
      </c>
      <c r="M155" s="116">
        <v>1367.05</v>
      </c>
      <c r="N155" s="116">
        <v>1395</v>
      </c>
      <c r="O155" s="116">
        <v>1358</v>
      </c>
      <c r="P155" s="116">
        <v>1383</v>
      </c>
      <c r="Q155" s="116">
        <v>1367.05</v>
      </c>
      <c r="R155">
        <v>14528</v>
      </c>
    </row>
    <row r="156" spans="1:18" x14ac:dyDescent="0.25">
      <c r="A156" s="170">
        <v>42227</v>
      </c>
      <c r="B156" s="116">
        <v>1384.8</v>
      </c>
      <c r="C156" s="116">
        <v>1355.35</v>
      </c>
      <c r="D156" s="116">
        <v>1352.1</v>
      </c>
      <c r="E156" s="116">
        <v>1381.35</v>
      </c>
      <c r="F156" s="116">
        <v>1355.35</v>
      </c>
      <c r="G156">
        <v>2850</v>
      </c>
      <c r="H156" s="116"/>
      <c r="I156" s="116"/>
      <c r="L156" s="170">
        <v>42227</v>
      </c>
      <c r="M156" s="116">
        <v>1352.55</v>
      </c>
      <c r="N156" s="116">
        <v>1390</v>
      </c>
      <c r="O156" s="116">
        <v>1350</v>
      </c>
      <c r="P156" s="116">
        <v>1380.5</v>
      </c>
      <c r="Q156" s="116">
        <v>1352.55</v>
      </c>
      <c r="R156">
        <v>11488</v>
      </c>
    </row>
    <row r="157" spans="1:18" x14ac:dyDescent="0.25">
      <c r="A157" s="170">
        <v>42228</v>
      </c>
      <c r="B157" s="116">
        <v>1356</v>
      </c>
      <c r="C157" s="116">
        <v>1327.4</v>
      </c>
      <c r="D157" s="116">
        <v>1325</v>
      </c>
      <c r="E157" s="116">
        <v>1356</v>
      </c>
      <c r="F157" s="116">
        <v>1327.4</v>
      </c>
      <c r="G157">
        <v>3717</v>
      </c>
      <c r="H157" s="116"/>
      <c r="I157" s="116"/>
      <c r="L157" s="170">
        <v>42228</v>
      </c>
      <c r="M157" s="116">
        <v>1327.8</v>
      </c>
      <c r="N157" s="116">
        <v>1356.6</v>
      </c>
      <c r="O157" s="116">
        <v>1322.3</v>
      </c>
      <c r="P157" s="116">
        <v>1352</v>
      </c>
      <c r="Q157" s="116">
        <v>1327.8</v>
      </c>
      <c r="R157">
        <v>45762</v>
      </c>
    </row>
    <row r="158" spans="1:18" x14ac:dyDescent="0.25">
      <c r="A158" s="170">
        <v>42229</v>
      </c>
      <c r="B158" s="116">
        <v>1375.25</v>
      </c>
      <c r="C158" s="116">
        <v>1286.45</v>
      </c>
      <c r="D158" s="116">
        <v>1284.2</v>
      </c>
      <c r="E158" s="116">
        <v>1340.95</v>
      </c>
      <c r="F158" s="116">
        <v>1286.45</v>
      </c>
      <c r="G158">
        <v>6839</v>
      </c>
      <c r="H158" s="116"/>
      <c r="I158" s="116"/>
      <c r="L158" s="170">
        <v>42229</v>
      </c>
      <c r="M158" s="116">
        <v>1286.0999999999999</v>
      </c>
      <c r="N158" s="116">
        <v>1348.95</v>
      </c>
      <c r="O158" s="116">
        <v>1282</v>
      </c>
      <c r="P158" s="116">
        <v>1330</v>
      </c>
      <c r="Q158" s="116">
        <v>1286.0999999999999</v>
      </c>
      <c r="R158">
        <v>43001</v>
      </c>
    </row>
    <row r="159" spans="1:18" x14ac:dyDescent="0.25">
      <c r="A159" s="170">
        <v>42230</v>
      </c>
      <c r="B159" s="116">
        <v>1309.1500000000001</v>
      </c>
      <c r="C159" s="116">
        <v>1292.2</v>
      </c>
      <c r="D159" s="116">
        <v>1275.1500000000001</v>
      </c>
      <c r="E159" s="116">
        <v>1299.45</v>
      </c>
      <c r="F159" s="116">
        <v>1292.2</v>
      </c>
      <c r="G159">
        <v>5157</v>
      </c>
      <c r="H159" s="116"/>
      <c r="I159" s="116"/>
      <c r="L159" s="170">
        <v>42230</v>
      </c>
      <c r="M159" s="116">
        <v>1287.45</v>
      </c>
      <c r="N159" s="116">
        <v>1309.9000000000001</v>
      </c>
      <c r="O159" s="116">
        <v>1270.0999999999999</v>
      </c>
      <c r="P159" s="116">
        <v>1298</v>
      </c>
      <c r="Q159" s="116">
        <v>1287.45</v>
      </c>
      <c r="R159">
        <v>28432</v>
      </c>
    </row>
    <row r="160" spans="1:18" x14ac:dyDescent="0.25">
      <c r="A160" s="170">
        <v>42233</v>
      </c>
      <c r="B160" s="116">
        <v>1313.2</v>
      </c>
      <c r="C160" s="116">
        <v>1282.05</v>
      </c>
      <c r="D160" s="116">
        <v>1277</v>
      </c>
      <c r="E160" s="116">
        <v>1287</v>
      </c>
      <c r="F160" s="116">
        <v>1282.05</v>
      </c>
      <c r="G160">
        <v>4172</v>
      </c>
      <c r="H160" s="116"/>
      <c r="I160" s="116"/>
      <c r="L160" s="170">
        <v>42233</v>
      </c>
      <c r="M160" s="116">
        <v>1280.05</v>
      </c>
      <c r="N160" s="116">
        <v>1320</v>
      </c>
      <c r="O160" s="116">
        <v>1276.25</v>
      </c>
      <c r="P160" s="116">
        <v>1290</v>
      </c>
      <c r="Q160" s="116">
        <v>1280.05</v>
      </c>
      <c r="R160">
        <v>13989</v>
      </c>
    </row>
    <row r="161" spans="1:18" x14ac:dyDescent="0.25">
      <c r="A161" s="170">
        <v>42234</v>
      </c>
      <c r="B161" s="116">
        <v>1318</v>
      </c>
      <c r="C161" s="116">
        <v>1308.95</v>
      </c>
      <c r="D161" s="116">
        <v>1277</v>
      </c>
      <c r="E161" s="116">
        <v>1280</v>
      </c>
      <c r="F161" s="116">
        <v>1308.95</v>
      </c>
      <c r="G161">
        <v>3816</v>
      </c>
      <c r="H161" s="116"/>
      <c r="I161" s="116"/>
      <c r="L161" s="170">
        <v>42234</v>
      </c>
      <c r="M161" s="116">
        <v>1307.5999999999999</v>
      </c>
      <c r="N161" s="116">
        <v>1320</v>
      </c>
      <c r="O161" s="116">
        <v>1282.1500000000001</v>
      </c>
      <c r="P161" s="116">
        <v>1294</v>
      </c>
      <c r="Q161" s="116">
        <v>1307.5999999999999</v>
      </c>
      <c r="R161">
        <v>17604</v>
      </c>
    </row>
    <row r="162" spans="1:18" x14ac:dyDescent="0.25">
      <c r="A162" s="170">
        <v>42235</v>
      </c>
      <c r="B162" s="116">
        <v>1345.4</v>
      </c>
      <c r="C162" s="116">
        <v>1331.5</v>
      </c>
      <c r="D162" s="116">
        <v>1296.5</v>
      </c>
      <c r="E162" s="116">
        <v>1300</v>
      </c>
      <c r="F162" s="116">
        <v>1331.5</v>
      </c>
      <c r="G162">
        <v>6584</v>
      </c>
      <c r="H162" s="116"/>
      <c r="I162" s="116"/>
      <c r="L162" s="170">
        <v>42235</v>
      </c>
      <c r="M162" s="116">
        <v>1321.85</v>
      </c>
      <c r="N162" s="116">
        <v>1347.95</v>
      </c>
      <c r="O162" s="116">
        <v>1295.1500000000001</v>
      </c>
      <c r="P162" s="116">
        <v>1312</v>
      </c>
      <c r="Q162" s="116">
        <v>1321.85</v>
      </c>
      <c r="R162">
        <v>37376</v>
      </c>
    </row>
    <row r="163" spans="1:18" x14ac:dyDescent="0.25">
      <c r="A163" s="170">
        <v>42236</v>
      </c>
      <c r="B163" s="116">
        <v>1332.5</v>
      </c>
      <c r="C163" s="116">
        <v>1280.3</v>
      </c>
      <c r="D163" s="116">
        <v>1275</v>
      </c>
      <c r="E163" s="116">
        <v>1326.05</v>
      </c>
      <c r="F163" s="116">
        <v>1280.3</v>
      </c>
      <c r="G163">
        <v>6940</v>
      </c>
      <c r="H163" s="116"/>
      <c r="I163" s="116"/>
      <c r="L163" s="170">
        <v>42236</v>
      </c>
      <c r="M163" s="116">
        <v>1276.5999999999999</v>
      </c>
      <c r="N163" s="116">
        <v>1334</v>
      </c>
      <c r="O163" s="116">
        <v>1275</v>
      </c>
      <c r="P163" s="116">
        <v>1331</v>
      </c>
      <c r="Q163" s="116">
        <v>1276.5999999999999</v>
      </c>
      <c r="R163">
        <v>51641</v>
      </c>
    </row>
    <row r="164" spans="1:18" x14ac:dyDescent="0.25">
      <c r="A164" s="170">
        <v>42237</v>
      </c>
      <c r="B164" s="116">
        <v>1278.2</v>
      </c>
      <c r="C164" s="116">
        <v>1273.2</v>
      </c>
      <c r="D164" s="116">
        <v>1249.55</v>
      </c>
      <c r="E164" s="116">
        <v>1278</v>
      </c>
      <c r="F164" s="116">
        <v>1273.2</v>
      </c>
      <c r="G164">
        <v>4409</v>
      </c>
      <c r="H164" s="116"/>
      <c r="I164" s="116"/>
      <c r="L164" s="170">
        <v>42237</v>
      </c>
      <c r="M164" s="116">
        <v>1270.7</v>
      </c>
      <c r="N164" s="116">
        <v>1278.45</v>
      </c>
      <c r="O164" s="116">
        <v>1247.4000000000001</v>
      </c>
      <c r="P164" s="116">
        <v>1273</v>
      </c>
      <c r="Q164" s="116">
        <v>1270.7</v>
      </c>
      <c r="R164">
        <v>46352</v>
      </c>
    </row>
    <row r="165" spans="1:18" x14ac:dyDescent="0.25">
      <c r="A165" s="170">
        <v>42240</v>
      </c>
      <c r="B165" s="116">
        <v>1274.9000000000001</v>
      </c>
      <c r="C165" s="116">
        <v>1178.8499999999999</v>
      </c>
      <c r="D165" s="116">
        <v>1155</v>
      </c>
      <c r="E165" s="116">
        <v>1270</v>
      </c>
      <c r="F165" s="116">
        <v>1178.8499999999999</v>
      </c>
      <c r="G165">
        <v>10104</v>
      </c>
      <c r="H165" s="116"/>
      <c r="I165" s="116"/>
      <c r="L165" s="170">
        <v>42240</v>
      </c>
      <c r="M165" s="116">
        <v>1181.5</v>
      </c>
      <c r="N165" s="116">
        <v>1252.25</v>
      </c>
      <c r="O165" s="116">
        <v>1124</v>
      </c>
      <c r="P165" s="116">
        <v>1248</v>
      </c>
      <c r="Q165" s="116">
        <v>1181.5</v>
      </c>
      <c r="R165">
        <v>60068</v>
      </c>
    </row>
    <row r="166" spans="1:18" x14ac:dyDescent="0.25">
      <c r="A166" s="170">
        <v>42241</v>
      </c>
      <c r="B166" s="116">
        <v>1219.8499999999999</v>
      </c>
      <c r="C166" s="116">
        <v>1192.7</v>
      </c>
      <c r="D166" s="116">
        <v>1146.3</v>
      </c>
      <c r="E166" s="116">
        <v>1218</v>
      </c>
      <c r="F166" s="116">
        <v>1192.7</v>
      </c>
      <c r="G166">
        <v>20204</v>
      </c>
      <c r="H166" s="116"/>
      <c r="I166" s="116"/>
      <c r="L166" s="170">
        <v>42241</v>
      </c>
      <c r="M166" s="116">
        <v>1194.75</v>
      </c>
      <c r="N166" s="116">
        <v>1221.95</v>
      </c>
      <c r="O166" s="116">
        <v>1149.25</v>
      </c>
      <c r="P166" s="116">
        <v>1201</v>
      </c>
      <c r="Q166" s="116">
        <v>1194.75</v>
      </c>
      <c r="R166">
        <v>60153</v>
      </c>
    </row>
    <row r="167" spans="1:18" x14ac:dyDescent="0.25">
      <c r="A167" s="170">
        <v>42242</v>
      </c>
      <c r="B167" s="116">
        <v>1197.3499999999999</v>
      </c>
      <c r="C167" s="116">
        <v>1192.8499999999999</v>
      </c>
      <c r="D167" s="116">
        <v>1170</v>
      </c>
      <c r="E167" s="116">
        <v>1175.1500000000001</v>
      </c>
      <c r="F167" s="116">
        <v>1192.8499999999999</v>
      </c>
      <c r="G167">
        <v>2957</v>
      </c>
      <c r="H167" s="116"/>
      <c r="I167" s="116"/>
      <c r="L167" s="170">
        <v>42242</v>
      </c>
      <c r="M167" s="116">
        <v>1190.05</v>
      </c>
      <c r="N167" s="116">
        <v>1199</v>
      </c>
      <c r="O167" s="116">
        <v>1175.1500000000001</v>
      </c>
      <c r="P167" s="116">
        <v>1195</v>
      </c>
      <c r="Q167" s="116">
        <v>1190.05</v>
      </c>
      <c r="R167">
        <v>25738</v>
      </c>
    </row>
    <row r="168" spans="1:18" x14ac:dyDescent="0.25">
      <c r="A168" s="170">
        <v>42243</v>
      </c>
      <c r="B168" s="116">
        <v>1215.2</v>
      </c>
      <c r="C168" s="116">
        <v>1200.2</v>
      </c>
      <c r="D168" s="116">
        <v>1175.3</v>
      </c>
      <c r="E168" s="116">
        <v>1209.55</v>
      </c>
      <c r="F168" s="116">
        <v>1200.2</v>
      </c>
      <c r="G168">
        <v>2062</v>
      </c>
      <c r="H168" s="116"/>
      <c r="I168" s="116"/>
      <c r="L168" s="170">
        <v>42243</v>
      </c>
      <c r="M168" s="116">
        <v>1199.95</v>
      </c>
      <c r="N168" s="116">
        <v>1219.95</v>
      </c>
      <c r="O168" s="116">
        <v>1176</v>
      </c>
      <c r="P168" s="116">
        <v>1200.0999999999999</v>
      </c>
      <c r="Q168" s="116">
        <v>1199.95</v>
      </c>
      <c r="R168">
        <v>124438</v>
      </c>
    </row>
    <row r="169" spans="1:18" x14ac:dyDescent="0.25">
      <c r="A169" s="170">
        <v>42244</v>
      </c>
      <c r="B169" s="116">
        <v>1257.45</v>
      </c>
      <c r="C169" s="116">
        <v>1242.25</v>
      </c>
      <c r="D169" s="116">
        <v>1216</v>
      </c>
      <c r="E169" s="116">
        <v>1220</v>
      </c>
      <c r="F169" s="116">
        <v>1242.25</v>
      </c>
      <c r="G169">
        <v>200112</v>
      </c>
      <c r="H169" s="116"/>
      <c r="I169" s="116"/>
      <c r="L169" s="170">
        <v>42244</v>
      </c>
      <c r="M169" s="116">
        <v>1242.5999999999999</v>
      </c>
      <c r="N169" s="116">
        <v>1262</v>
      </c>
      <c r="O169" s="116">
        <v>1206.45</v>
      </c>
      <c r="P169" s="116">
        <v>1212</v>
      </c>
      <c r="Q169" s="116">
        <v>1242.5999999999999</v>
      </c>
      <c r="R169">
        <v>85083</v>
      </c>
    </row>
    <row r="170" spans="1:18" x14ac:dyDescent="0.25">
      <c r="A170" s="170">
        <v>42247</v>
      </c>
      <c r="B170" s="116">
        <v>1260.3499999999999</v>
      </c>
      <c r="C170" s="116">
        <v>1226.9000000000001</v>
      </c>
      <c r="D170" s="116">
        <v>1210.5</v>
      </c>
      <c r="E170" s="116">
        <v>1246.2</v>
      </c>
      <c r="F170" s="116">
        <v>1226.9000000000001</v>
      </c>
      <c r="G170">
        <v>3466</v>
      </c>
      <c r="H170" s="116"/>
      <c r="I170" s="116"/>
      <c r="L170" s="170">
        <v>42247</v>
      </c>
      <c r="M170" s="116">
        <v>1227.55</v>
      </c>
      <c r="N170" s="116">
        <v>1262</v>
      </c>
      <c r="O170" s="116">
        <v>1220.05</v>
      </c>
      <c r="P170" s="116">
        <v>1240</v>
      </c>
      <c r="Q170" s="116">
        <v>1227.55</v>
      </c>
      <c r="R170">
        <v>33317</v>
      </c>
    </row>
    <row r="171" spans="1:18" x14ac:dyDescent="0.25">
      <c r="A171" s="170">
        <v>42248</v>
      </c>
      <c r="B171" s="116">
        <v>1232.3</v>
      </c>
      <c r="C171" s="116">
        <v>1195.3499999999999</v>
      </c>
      <c r="D171" s="116">
        <v>1182.5999999999999</v>
      </c>
      <c r="E171" s="116">
        <v>1224.6500000000001</v>
      </c>
      <c r="F171" s="116">
        <v>1195.3499999999999</v>
      </c>
      <c r="G171">
        <v>2678</v>
      </c>
      <c r="H171" s="116"/>
      <c r="I171" s="116"/>
      <c r="L171" s="170">
        <v>42248</v>
      </c>
      <c r="M171" s="116">
        <v>1193.1500000000001</v>
      </c>
      <c r="N171" s="116">
        <v>1235</v>
      </c>
      <c r="O171" s="116">
        <v>1178.5999999999999</v>
      </c>
      <c r="P171" s="116">
        <v>1200</v>
      </c>
      <c r="Q171" s="116">
        <v>1193.1500000000001</v>
      </c>
      <c r="R171">
        <v>23386</v>
      </c>
    </row>
    <row r="172" spans="1:18" x14ac:dyDescent="0.25">
      <c r="A172" s="170">
        <v>42249</v>
      </c>
      <c r="B172" s="116">
        <v>1231</v>
      </c>
      <c r="C172" s="116">
        <v>1158.8499999999999</v>
      </c>
      <c r="D172" s="116">
        <v>1155.95</v>
      </c>
      <c r="E172" s="116">
        <v>1229</v>
      </c>
      <c r="F172" s="116">
        <v>1158.8499999999999</v>
      </c>
      <c r="G172">
        <v>3889</v>
      </c>
      <c r="H172" s="116"/>
      <c r="I172" s="116"/>
      <c r="L172" s="170">
        <v>42249</v>
      </c>
      <c r="M172" s="116">
        <v>1159.5</v>
      </c>
      <c r="N172" s="116">
        <v>1250</v>
      </c>
      <c r="O172" s="116">
        <v>1153.3499999999999</v>
      </c>
      <c r="P172" s="116">
        <v>1200</v>
      </c>
      <c r="Q172" s="116">
        <v>1159.5</v>
      </c>
      <c r="R172">
        <v>34416</v>
      </c>
    </row>
    <row r="173" spans="1:18" x14ac:dyDescent="0.25">
      <c r="A173" s="170">
        <v>42250</v>
      </c>
      <c r="B173" s="116">
        <v>1199</v>
      </c>
      <c r="C173" s="116">
        <v>1190.4000000000001</v>
      </c>
      <c r="D173" s="116">
        <v>1166.6500000000001</v>
      </c>
      <c r="E173" s="116">
        <v>1176.7</v>
      </c>
      <c r="F173" s="116">
        <v>1190.4000000000001</v>
      </c>
      <c r="G173">
        <v>4715</v>
      </c>
      <c r="H173" s="116"/>
      <c r="I173" s="116"/>
      <c r="L173" s="170">
        <v>42250</v>
      </c>
      <c r="M173" s="116">
        <v>1191.95</v>
      </c>
      <c r="N173" s="116">
        <v>1198</v>
      </c>
      <c r="O173" s="116">
        <v>1160.0999999999999</v>
      </c>
      <c r="P173" s="116">
        <v>1198</v>
      </c>
      <c r="Q173" s="116">
        <v>1191.95</v>
      </c>
      <c r="R173">
        <v>30280</v>
      </c>
    </row>
    <row r="174" spans="1:18" x14ac:dyDescent="0.25">
      <c r="A174" s="170">
        <v>42251</v>
      </c>
      <c r="B174" s="116">
        <v>1202.8499999999999</v>
      </c>
      <c r="C174" s="116">
        <v>1192.3</v>
      </c>
      <c r="D174" s="116">
        <v>1158.25</v>
      </c>
      <c r="E174" s="116">
        <v>1200</v>
      </c>
      <c r="F174" s="116">
        <v>1192.3</v>
      </c>
      <c r="G174">
        <v>5960</v>
      </c>
      <c r="H174" s="116"/>
      <c r="I174" s="116"/>
      <c r="L174" s="170">
        <v>42251</v>
      </c>
      <c r="M174" s="116">
        <v>1190.6500000000001</v>
      </c>
      <c r="N174" s="116">
        <v>1202.45</v>
      </c>
      <c r="O174" s="116">
        <v>1158</v>
      </c>
      <c r="P174" s="116">
        <v>1195</v>
      </c>
      <c r="Q174" s="116">
        <v>1190.6500000000001</v>
      </c>
      <c r="R174">
        <v>34441</v>
      </c>
    </row>
    <row r="175" spans="1:18" x14ac:dyDescent="0.25">
      <c r="A175" s="170">
        <v>42254</v>
      </c>
      <c r="B175" s="116">
        <v>1203.6500000000001</v>
      </c>
      <c r="C175" s="116">
        <v>1165.3</v>
      </c>
      <c r="D175" s="116">
        <v>1160</v>
      </c>
      <c r="E175" s="116">
        <v>1203.6500000000001</v>
      </c>
      <c r="F175" s="116">
        <v>1165.3</v>
      </c>
      <c r="G175">
        <v>1615</v>
      </c>
      <c r="H175" s="116"/>
      <c r="I175" s="116"/>
      <c r="L175" s="170">
        <v>42254</v>
      </c>
      <c r="M175" s="116">
        <v>1161.6500000000001</v>
      </c>
      <c r="N175" s="116">
        <v>1206</v>
      </c>
      <c r="O175" s="116">
        <v>1158</v>
      </c>
      <c r="P175" s="116">
        <v>1201</v>
      </c>
      <c r="Q175" s="116">
        <v>1161.6500000000001</v>
      </c>
      <c r="R175">
        <v>11482</v>
      </c>
    </row>
    <row r="176" spans="1:18" x14ac:dyDescent="0.25">
      <c r="A176" s="170">
        <v>42255</v>
      </c>
      <c r="B176" s="116">
        <v>1194.6500000000001</v>
      </c>
      <c r="C176" s="116">
        <v>1165.7</v>
      </c>
      <c r="D176" s="116">
        <v>1136.05</v>
      </c>
      <c r="E176" s="116">
        <v>1165</v>
      </c>
      <c r="F176" s="116">
        <v>1165.7</v>
      </c>
      <c r="G176">
        <v>25188</v>
      </c>
      <c r="H176" s="116"/>
      <c r="I176" s="116"/>
      <c r="L176" s="170">
        <v>42255</v>
      </c>
      <c r="M176" s="116">
        <v>1157.55</v>
      </c>
      <c r="N176" s="116">
        <v>1179.9000000000001</v>
      </c>
      <c r="O176" s="116">
        <v>1135</v>
      </c>
      <c r="P176" s="116">
        <v>1151.25</v>
      </c>
      <c r="Q176" s="116">
        <v>1157.55</v>
      </c>
      <c r="R176">
        <v>35387</v>
      </c>
    </row>
    <row r="177" spans="1:18" x14ac:dyDescent="0.25">
      <c r="A177" s="170">
        <v>42256</v>
      </c>
      <c r="B177" s="116">
        <v>1187</v>
      </c>
      <c r="C177" s="116">
        <v>1183.3</v>
      </c>
      <c r="D177" s="116">
        <v>1167.1500000000001</v>
      </c>
      <c r="E177" s="116">
        <v>1179.25</v>
      </c>
      <c r="F177" s="116">
        <v>1183.3</v>
      </c>
      <c r="G177">
        <v>28797</v>
      </c>
      <c r="H177" s="116"/>
      <c r="I177" s="116"/>
      <c r="L177" s="170">
        <v>42256</v>
      </c>
      <c r="M177" s="116">
        <v>1180.95</v>
      </c>
      <c r="N177" s="116">
        <v>1188</v>
      </c>
      <c r="O177" s="116">
        <v>1163.7</v>
      </c>
      <c r="P177" s="116">
        <v>1175.95</v>
      </c>
      <c r="Q177" s="116">
        <v>1180.95</v>
      </c>
      <c r="R177">
        <v>19924</v>
      </c>
    </row>
    <row r="178" spans="1:18" x14ac:dyDescent="0.25">
      <c r="A178" s="170">
        <v>42257</v>
      </c>
      <c r="B178" s="116">
        <v>1184</v>
      </c>
      <c r="C178" s="116">
        <v>1165.0999999999999</v>
      </c>
      <c r="D178" s="116">
        <v>1159.25</v>
      </c>
      <c r="E178" s="116">
        <v>1184</v>
      </c>
      <c r="F178" s="116">
        <v>1165.0999999999999</v>
      </c>
      <c r="G178">
        <v>2637</v>
      </c>
      <c r="H178" s="116"/>
      <c r="I178" s="116"/>
      <c r="L178" s="170">
        <v>42257</v>
      </c>
      <c r="M178" s="116">
        <v>1166.75</v>
      </c>
      <c r="N178" s="116">
        <v>1172</v>
      </c>
      <c r="O178" s="116">
        <v>1156.25</v>
      </c>
      <c r="P178" s="116">
        <v>1167</v>
      </c>
      <c r="Q178" s="116">
        <v>1166.75</v>
      </c>
      <c r="R178">
        <v>56150</v>
      </c>
    </row>
    <row r="179" spans="1:18" x14ac:dyDescent="0.25">
      <c r="A179" s="170">
        <v>42258</v>
      </c>
      <c r="B179" s="116">
        <v>1180</v>
      </c>
      <c r="C179" s="116">
        <v>1153.3</v>
      </c>
      <c r="D179" s="116">
        <v>1150</v>
      </c>
      <c r="E179" s="116">
        <v>1165.55</v>
      </c>
      <c r="F179" s="116">
        <v>1153.3</v>
      </c>
      <c r="G179">
        <v>3430</v>
      </c>
      <c r="H179" s="116"/>
      <c r="I179" s="116"/>
      <c r="L179" s="170">
        <v>42258</v>
      </c>
      <c r="M179" s="116">
        <v>1150.2</v>
      </c>
      <c r="N179" s="116">
        <v>1180.05</v>
      </c>
      <c r="O179" s="116">
        <v>1144.9000000000001</v>
      </c>
      <c r="P179" s="116">
        <v>1168</v>
      </c>
      <c r="Q179" s="116">
        <v>1150.2</v>
      </c>
      <c r="R179">
        <v>151328</v>
      </c>
    </row>
    <row r="180" spans="1:18" x14ac:dyDescent="0.25">
      <c r="A180" s="170">
        <v>42261</v>
      </c>
      <c r="B180" s="116">
        <v>1164.0999999999999</v>
      </c>
      <c r="C180" s="116">
        <v>1153</v>
      </c>
      <c r="D180" s="116">
        <v>1140</v>
      </c>
      <c r="E180" s="116">
        <v>1140</v>
      </c>
      <c r="F180" s="116">
        <v>1153</v>
      </c>
      <c r="G180">
        <v>2171</v>
      </c>
      <c r="H180" s="116"/>
      <c r="I180" s="116"/>
      <c r="L180" s="170">
        <v>42261</v>
      </c>
      <c r="M180" s="116">
        <v>1151.0999999999999</v>
      </c>
      <c r="N180" s="116">
        <v>1161</v>
      </c>
      <c r="O180" s="116">
        <v>1145</v>
      </c>
      <c r="P180" s="116">
        <v>1160</v>
      </c>
      <c r="Q180" s="116">
        <v>1151.0999999999999</v>
      </c>
      <c r="R180">
        <v>25200</v>
      </c>
    </row>
    <row r="181" spans="1:18" x14ac:dyDescent="0.25">
      <c r="A181" s="170">
        <v>42262</v>
      </c>
      <c r="B181" s="116">
        <v>1155</v>
      </c>
      <c r="C181" s="116">
        <v>1108.5</v>
      </c>
      <c r="D181" s="116">
        <v>1076</v>
      </c>
      <c r="E181" s="116">
        <v>1154</v>
      </c>
      <c r="F181" s="116">
        <v>1108.5</v>
      </c>
      <c r="G181">
        <v>8199</v>
      </c>
      <c r="H181" s="116"/>
      <c r="I181" s="116"/>
      <c r="L181" s="170">
        <v>42262</v>
      </c>
      <c r="M181" s="116">
        <v>1110.8499999999999</v>
      </c>
      <c r="N181" s="116">
        <v>1154</v>
      </c>
      <c r="O181" s="116">
        <v>1102</v>
      </c>
      <c r="P181" s="116">
        <v>1151</v>
      </c>
      <c r="Q181" s="116">
        <v>1110.8499999999999</v>
      </c>
      <c r="R181">
        <v>61437</v>
      </c>
    </row>
    <row r="182" spans="1:18" x14ac:dyDescent="0.25">
      <c r="A182" s="170">
        <v>42263</v>
      </c>
      <c r="B182" s="116">
        <v>1140</v>
      </c>
      <c r="C182" s="116">
        <v>1095.0999999999999</v>
      </c>
      <c r="D182" s="116">
        <v>1075.5</v>
      </c>
      <c r="E182" s="116">
        <v>1124.95</v>
      </c>
      <c r="F182" s="116">
        <v>1095.0999999999999</v>
      </c>
      <c r="G182">
        <v>4305</v>
      </c>
      <c r="H182" s="116"/>
      <c r="I182" s="116"/>
      <c r="L182" s="170">
        <v>42263</v>
      </c>
      <c r="M182" s="116">
        <v>1097.3</v>
      </c>
      <c r="N182" s="116">
        <v>1133</v>
      </c>
      <c r="O182" s="116">
        <v>1090</v>
      </c>
      <c r="P182" s="116">
        <v>1119.95</v>
      </c>
      <c r="Q182" s="116">
        <v>1097.3</v>
      </c>
      <c r="R182">
        <v>41812</v>
      </c>
    </row>
    <row r="183" spans="1:18" x14ac:dyDescent="0.25">
      <c r="A183" s="170">
        <v>42265</v>
      </c>
      <c r="B183" s="116">
        <v>1132.6500000000001</v>
      </c>
      <c r="C183" s="116">
        <v>1121.3499999999999</v>
      </c>
      <c r="D183" s="116">
        <v>1099.8</v>
      </c>
      <c r="E183" s="116">
        <v>1110.05</v>
      </c>
      <c r="F183" s="116">
        <v>1121.3499999999999</v>
      </c>
      <c r="G183">
        <v>5650</v>
      </c>
      <c r="H183" s="116"/>
      <c r="I183" s="116"/>
      <c r="L183" s="170">
        <v>42265</v>
      </c>
      <c r="M183" s="116">
        <v>1121.5</v>
      </c>
      <c r="N183" s="116">
        <v>1131.1500000000001</v>
      </c>
      <c r="O183" s="116">
        <v>1097.2</v>
      </c>
      <c r="P183" s="116">
        <v>1119.95</v>
      </c>
      <c r="Q183" s="116">
        <v>1121.5</v>
      </c>
      <c r="R183">
        <v>117611</v>
      </c>
    </row>
    <row r="184" spans="1:18" x14ac:dyDescent="0.25">
      <c r="A184" s="170">
        <v>42268</v>
      </c>
      <c r="B184" s="116">
        <v>1135</v>
      </c>
      <c r="C184" s="116">
        <v>1110.9000000000001</v>
      </c>
      <c r="D184" s="116">
        <v>1107</v>
      </c>
      <c r="E184" s="116">
        <v>1123.3</v>
      </c>
      <c r="F184" s="116">
        <v>1110.9000000000001</v>
      </c>
      <c r="G184">
        <v>2806</v>
      </c>
      <c r="H184" s="116"/>
      <c r="I184" s="116"/>
      <c r="L184" s="170">
        <v>42268</v>
      </c>
      <c r="M184" s="116">
        <v>1107.2</v>
      </c>
      <c r="N184" s="116">
        <v>1135.9000000000001</v>
      </c>
      <c r="O184" s="116">
        <v>1105</v>
      </c>
      <c r="P184" s="116">
        <v>1115</v>
      </c>
      <c r="Q184" s="116">
        <v>1107.2</v>
      </c>
      <c r="R184">
        <v>31370</v>
      </c>
    </row>
    <row r="185" spans="1:18" x14ac:dyDescent="0.25">
      <c r="A185" s="170">
        <v>42269</v>
      </c>
      <c r="B185" s="116">
        <v>1121.05</v>
      </c>
      <c r="C185" s="116">
        <v>1106</v>
      </c>
      <c r="D185" s="116">
        <v>1100</v>
      </c>
      <c r="E185" s="116">
        <v>1110</v>
      </c>
      <c r="F185" s="116">
        <v>1106</v>
      </c>
      <c r="G185">
        <v>2820</v>
      </c>
      <c r="H185" s="116"/>
      <c r="I185" s="116"/>
      <c r="L185" s="170">
        <v>42269</v>
      </c>
      <c r="M185" s="116">
        <v>1102.75</v>
      </c>
      <c r="N185" s="116">
        <v>1121.95</v>
      </c>
      <c r="O185" s="116">
        <v>1100</v>
      </c>
      <c r="P185" s="116">
        <v>1121.95</v>
      </c>
      <c r="Q185" s="116">
        <v>1102.75</v>
      </c>
      <c r="R185">
        <v>12354</v>
      </c>
    </row>
    <row r="186" spans="1:18" x14ac:dyDescent="0.25">
      <c r="A186" s="170">
        <v>42270</v>
      </c>
      <c r="B186" s="116">
        <v>1105.0999999999999</v>
      </c>
      <c r="C186" s="116">
        <v>1097.2</v>
      </c>
      <c r="D186" s="116">
        <v>1080.75</v>
      </c>
      <c r="E186" s="116">
        <v>1101</v>
      </c>
      <c r="F186" s="116">
        <v>1097.2</v>
      </c>
      <c r="G186">
        <v>2599</v>
      </c>
      <c r="H186" s="116"/>
      <c r="I186" s="116"/>
      <c r="L186" s="170">
        <v>42270</v>
      </c>
      <c r="M186" s="116">
        <v>1099.4000000000001</v>
      </c>
      <c r="N186" s="116">
        <v>1104.9000000000001</v>
      </c>
      <c r="O186" s="116">
        <v>1082.4000000000001</v>
      </c>
      <c r="P186" s="116">
        <v>1100</v>
      </c>
      <c r="Q186" s="116">
        <v>1099.4000000000001</v>
      </c>
      <c r="R186">
        <v>13887</v>
      </c>
    </row>
    <row r="187" spans="1:18" x14ac:dyDescent="0.25">
      <c r="A187" s="170">
        <v>42271</v>
      </c>
      <c r="B187" s="116">
        <v>1108.45</v>
      </c>
      <c r="C187" s="116">
        <v>1091.8499999999999</v>
      </c>
      <c r="D187" s="116">
        <v>1088.3</v>
      </c>
      <c r="E187" s="116">
        <v>1101.8499999999999</v>
      </c>
      <c r="F187" s="116">
        <v>1091.8499999999999</v>
      </c>
      <c r="G187">
        <v>106472</v>
      </c>
      <c r="H187" s="116"/>
      <c r="I187" s="116"/>
      <c r="L187" s="170">
        <v>42271</v>
      </c>
      <c r="M187" s="116">
        <v>1088.8</v>
      </c>
      <c r="N187" s="116">
        <v>1107</v>
      </c>
      <c r="O187" s="116">
        <v>1085</v>
      </c>
      <c r="P187" s="116">
        <v>1092</v>
      </c>
      <c r="Q187" s="116">
        <v>1088.8</v>
      </c>
      <c r="R187">
        <v>16050</v>
      </c>
    </row>
    <row r="188" spans="1:18" x14ac:dyDescent="0.25">
      <c r="A188" s="170">
        <v>42275</v>
      </c>
      <c r="B188" s="116">
        <v>1096</v>
      </c>
      <c r="C188" s="116">
        <v>1056.2</v>
      </c>
      <c r="D188" s="116">
        <v>1048</v>
      </c>
      <c r="E188" s="116">
        <v>1090</v>
      </c>
      <c r="F188" s="116">
        <v>1056.2</v>
      </c>
      <c r="G188">
        <v>4578</v>
      </c>
      <c r="H188" s="116"/>
      <c r="I188" s="116"/>
      <c r="L188" s="170">
        <v>42275</v>
      </c>
      <c r="M188" s="116">
        <v>1054.6500000000001</v>
      </c>
      <c r="N188" s="116">
        <v>1096.45</v>
      </c>
      <c r="O188" s="116">
        <v>1050</v>
      </c>
      <c r="P188" s="116">
        <v>1090.05</v>
      </c>
      <c r="Q188" s="116">
        <v>1054.6500000000001</v>
      </c>
      <c r="R188">
        <v>35857</v>
      </c>
    </row>
    <row r="189" spans="1:18" x14ac:dyDescent="0.25">
      <c r="A189" s="170">
        <v>42276</v>
      </c>
      <c r="B189" s="116">
        <v>1048</v>
      </c>
      <c r="C189" s="116">
        <v>1043.8</v>
      </c>
      <c r="D189" s="116">
        <v>1021.05</v>
      </c>
      <c r="E189" s="116">
        <v>1048</v>
      </c>
      <c r="F189" s="116">
        <v>1043.8</v>
      </c>
      <c r="G189">
        <v>6831</v>
      </c>
      <c r="H189" s="116"/>
      <c r="I189" s="116"/>
      <c r="L189" s="170">
        <v>42276</v>
      </c>
      <c r="M189" s="116">
        <v>1045.45</v>
      </c>
      <c r="N189" s="116">
        <v>1050.3499999999999</v>
      </c>
      <c r="O189" s="116">
        <v>1018.6</v>
      </c>
      <c r="P189" s="116">
        <v>1045</v>
      </c>
      <c r="Q189" s="116">
        <v>1045.45</v>
      </c>
      <c r="R189">
        <v>88761</v>
      </c>
    </row>
    <row r="190" spans="1:18" x14ac:dyDescent="0.25">
      <c r="A190" s="170">
        <v>42277</v>
      </c>
      <c r="B190" s="116">
        <v>1065</v>
      </c>
      <c r="C190" s="116">
        <v>1057.9000000000001</v>
      </c>
      <c r="D190" s="116">
        <v>1025</v>
      </c>
      <c r="E190" s="116">
        <v>1056.5</v>
      </c>
      <c r="F190" s="116">
        <v>1057.9000000000001</v>
      </c>
      <c r="G190">
        <v>3916</v>
      </c>
      <c r="H190" s="116"/>
      <c r="I190" s="116"/>
      <c r="L190" s="170">
        <v>42277</v>
      </c>
      <c r="M190" s="116">
        <v>1059.75</v>
      </c>
      <c r="N190" s="116">
        <v>1082.8</v>
      </c>
      <c r="O190" s="116">
        <v>1040.0999999999999</v>
      </c>
      <c r="P190" s="116">
        <v>1082.8</v>
      </c>
      <c r="Q190" s="116">
        <v>1059.75</v>
      </c>
      <c r="R190">
        <v>54457</v>
      </c>
    </row>
    <row r="191" spans="1:18" x14ac:dyDescent="0.25">
      <c r="A191" s="170">
        <v>42278</v>
      </c>
      <c r="B191" s="116">
        <v>1071.95</v>
      </c>
      <c r="C191" s="116">
        <v>1051.3</v>
      </c>
      <c r="D191" s="116">
        <v>1045</v>
      </c>
      <c r="E191" s="116">
        <v>1066.95</v>
      </c>
      <c r="F191" s="116">
        <v>1051.3</v>
      </c>
      <c r="G191">
        <v>4532</v>
      </c>
      <c r="H191" s="116"/>
      <c r="I191" s="116"/>
      <c r="L191" s="170">
        <v>42278</v>
      </c>
      <c r="M191" s="116">
        <v>1055.3499999999999</v>
      </c>
      <c r="N191" s="116">
        <v>1089</v>
      </c>
      <c r="O191" s="116">
        <v>1046.05</v>
      </c>
      <c r="P191" s="116">
        <v>1064.8</v>
      </c>
      <c r="Q191" s="116">
        <v>1055.3499999999999</v>
      </c>
      <c r="R191">
        <v>23125</v>
      </c>
    </row>
    <row r="192" spans="1:18" x14ac:dyDescent="0.25">
      <c r="A192" s="170">
        <v>42282</v>
      </c>
      <c r="B192" s="116">
        <v>1112</v>
      </c>
      <c r="C192" s="116">
        <v>1106.8499999999999</v>
      </c>
      <c r="D192" s="116">
        <v>1061.05</v>
      </c>
      <c r="E192" s="116">
        <v>1061.05</v>
      </c>
      <c r="F192" s="116">
        <v>1106.8499999999999</v>
      </c>
      <c r="G192">
        <v>9939</v>
      </c>
      <c r="H192" s="116"/>
      <c r="I192" s="116"/>
      <c r="L192" s="170">
        <v>42282</v>
      </c>
      <c r="M192" s="116">
        <v>1106.45</v>
      </c>
      <c r="N192" s="116">
        <v>1110</v>
      </c>
      <c r="O192" s="116">
        <v>1055</v>
      </c>
      <c r="P192" s="116">
        <v>1065</v>
      </c>
      <c r="Q192" s="116">
        <v>1106.45</v>
      </c>
      <c r="R192">
        <v>87153</v>
      </c>
    </row>
    <row r="193" spans="1:18" x14ac:dyDescent="0.25">
      <c r="A193" s="170">
        <v>42283</v>
      </c>
      <c r="B193" s="116">
        <v>1133.95</v>
      </c>
      <c r="C193" s="116">
        <v>1098.7</v>
      </c>
      <c r="D193" s="116">
        <v>1091</v>
      </c>
      <c r="E193" s="116">
        <v>1130</v>
      </c>
      <c r="F193" s="116">
        <v>1098.7</v>
      </c>
      <c r="G193">
        <v>8707</v>
      </c>
      <c r="H193" s="116"/>
      <c r="I193" s="116"/>
      <c r="L193" s="170">
        <v>42283</v>
      </c>
      <c r="M193" s="116">
        <v>1094.4000000000001</v>
      </c>
      <c r="N193" s="116">
        <v>1145</v>
      </c>
      <c r="O193" s="116">
        <v>1087.95</v>
      </c>
      <c r="P193" s="116">
        <v>1115</v>
      </c>
      <c r="Q193" s="116">
        <v>1094.4000000000001</v>
      </c>
      <c r="R193">
        <v>57399</v>
      </c>
    </row>
    <row r="194" spans="1:18" x14ac:dyDescent="0.25">
      <c r="A194" s="170">
        <v>42284</v>
      </c>
      <c r="B194" s="116">
        <v>1150</v>
      </c>
      <c r="C194" s="116">
        <v>1142.7</v>
      </c>
      <c r="D194" s="116">
        <v>1096.6500000000001</v>
      </c>
      <c r="E194" s="116">
        <v>1099.95</v>
      </c>
      <c r="F194" s="116">
        <v>1142.7</v>
      </c>
      <c r="G194">
        <v>7370</v>
      </c>
      <c r="H194" s="116"/>
      <c r="I194" s="116"/>
      <c r="L194" s="170">
        <v>42284</v>
      </c>
      <c r="M194" s="116">
        <v>1144.5999999999999</v>
      </c>
      <c r="N194" s="116">
        <v>1154.9000000000001</v>
      </c>
      <c r="O194" s="116">
        <v>1094.3499999999999</v>
      </c>
      <c r="P194" s="116">
        <v>1107.95</v>
      </c>
      <c r="Q194" s="116">
        <v>1144.5999999999999</v>
      </c>
      <c r="R194">
        <v>65609</v>
      </c>
    </row>
    <row r="195" spans="1:18" x14ac:dyDescent="0.25">
      <c r="A195" s="170">
        <v>42285</v>
      </c>
      <c r="B195" s="116">
        <v>1150</v>
      </c>
      <c r="C195" s="116">
        <v>1139.45</v>
      </c>
      <c r="D195" s="116">
        <v>1121.1500000000001</v>
      </c>
      <c r="E195" s="116">
        <v>1149.8</v>
      </c>
      <c r="F195" s="116">
        <v>1139.45</v>
      </c>
      <c r="G195">
        <v>154004</v>
      </c>
      <c r="H195" s="116"/>
      <c r="I195" s="116"/>
      <c r="L195" s="170">
        <v>42285</v>
      </c>
      <c r="M195" s="116">
        <v>1138</v>
      </c>
      <c r="N195" s="116">
        <v>1150</v>
      </c>
      <c r="O195" s="116">
        <v>1122</v>
      </c>
      <c r="P195" s="116">
        <v>1146.05</v>
      </c>
      <c r="Q195" s="116">
        <v>1138</v>
      </c>
      <c r="R195">
        <v>29840</v>
      </c>
    </row>
    <row r="196" spans="1:18" x14ac:dyDescent="0.25">
      <c r="A196" s="170">
        <v>42286</v>
      </c>
      <c r="B196" s="116">
        <v>1161.5</v>
      </c>
      <c r="C196" s="116">
        <v>1117.3</v>
      </c>
      <c r="D196" s="116">
        <v>1110</v>
      </c>
      <c r="E196" s="116">
        <v>1142.1500000000001</v>
      </c>
      <c r="F196" s="116">
        <v>1117.3</v>
      </c>
      <c r="G196">
        <v>8045</v>
      </c>
      <c r="H196" s="116"/>
      <c r="I196" s="116"/>
      <c r="L196" s="170">
        <v>42286</v>
      </c>
      <c r="M196" s="116">
        <v>1119.8499999999999</v>
      </c>
      <c r="N196" s="116">
        <v>1162</v>
      </c>
      <c r="O196" s="116">
        <v>1111</v>
      </c>
      <c r="P196" s="116">
        <v>1141</v>
      </c>
      <c r="Q196" s="116">
        <v>1119.8499999999999</v>
      </c>
      <c r="R196">
        <v>81943</v>
      </c>
    </row>
    <row r="197" spans="1:18" x14ac:dyDescent="0.25">
      <c r="A197" s="170">
        <v>42289</v>
      </c>
      <c r="B197" s="116">
        <v>1131.1500000000001</v>
      </c>
      <c r="C197" s="116">
        <v>1104.45</v>
      </c>
      <c r="D197" s="116">
        <v>1097.0999999999999</v>
      </c>
      <c r="E197" s="116">
        <v>1131.1500000000001</v>
      </c>
      <c r="F197" s="116">
        <v>1104.45</v>
      </c>
      <c r="G197">
        <v>2992</v>
      </c>
      <c r="H197" s="116"/>
      <c r="I197" s="116"/>
      <c r="L197" s="170">
        <v>42289</v>
      </c>
      <c r="M197" s="116">
        <v>1100.9000000000001</v>
      </c>
      <c r="N197" s="116">
        <v>1141.2</v>
      </c>
      <c r="O197" s="116">
        <v>1095.0999999999999</v>
      </c>
      <c r="P197" s="116">
        <v>1125</v>
      </c>
      <c r="Q197" s="116">
        <v>1100.9000000000001</v>
      </c>
      <c r="R197">
        <v>19545</v>
      </c>
    </row>
    <row r="198" spans="1:18" x14ac:dyDescent="0.25">
      <c r="A198" s="170">
        <v>42290</v>
      </c>
      <c r="B198" s="116">
        <v>1132</v>
      </c>
      <c r="C198" s="116">
        <v>1117.75</v>
      </c>
      <c r="D198" s="116">
        <v>1100</v>
      </c>
      <c r="E198" s="116">
        <v>1110.95</v>
      </c>
      <c r="F198" s="116">
        <v>1117.75</v>
      </c>
      <c r="G198">
        <v>6018</v>
      </c>
      <c r="H198" s="116"/>
      <c r="I198" s="116"/>
      <c r="L198" s="170">
        <v>42290</v>
      </c>
      <c r="M198" s="116">
        <v>1113.45</v>
      </c>
      <c r="N198" s="116">
        <v>1132</v>
      </c>
      <c r="O198" s="116">
        <v>1097.95</v>
      </c>
      <c r="P198" s="116">
        <v>1109.95</v>
      </c>
      <c r="Q198" s="116">
        <v>1113.45</v>
      </c>
      <c r="R198">
        <v>50221</v>
      </c>
    </row>
    <row r="199" spans="1:18" x14ac:dyDescent="0.25">
      <c r="A199" s="170">
        <v>42291</v>
      </c>
      <c r="B199" s="116">
        <v>1119.9000000000001</v>
      </c>
      <c r="C199" s="116">
        <v>1101.5999999999999</v>
      </c>
      <c r="D199" s="116">
        <v>1089.95</v>
      </c>
      <c r="E199" s="116">
        <v>1116.0999999999999</v>
      </c>
      <c r="F199" s="116">
        <v>1101.5999999999999</v>
      </c>
      <c r="G199">
        <v>3883</v>
      </c>
      <c r="H199" s="116"/>
      <c r="I199" s="116"/>
      <c r="L199" s="170">
        <v>42291</v>
      </c>
      <c r="M199" s="116">
        <v>1101.1500000000001</v>
      </c>
      <c r="N199" s="116">
        <v>1117</v>
      </c>
      <c r="O199" s="116">
        <v>1095.5999999999999</v>
      </c>
      <c r="P199" s="116">
        <v>1113.45</v>
      </c>
      <c r="Q199" s="116">
        <v>1101.1500000000001</v>
      </c>
      <c r="R199">
        <v>14247</v>
      </c>
    </row>
    <row r="200" spans="1:18" x14ac:dyDescent="0.25">
      <c r="A200" s="170">
        <v>42292</v>
      </c>
      <c r="B200" s="116">
        <v>1132.95</v>
      </c>
      <c r="C200" s="116">
        <v>1127.25</v>
      </c>
      <c r="D200" s="116">
        <v>1101.25</v>
      </c>
      <c r="E200" s="116">
        <v>1115.0999999999999</v>
      </c>
      <c r="F200" s="116">
        <v>1127.25</v>
      </c>
      <c r="G200">
        <v>4290</v>
      </c>
      <c r="H200" s="116"/>
      <c r="I200" s="116"/>
      <c r="L200" s="170">
        <v>42292</v>
      </c>
      <c r="M200" s="116">
        <v>1129.2</v>
      </c>
      <c r="N200" s="116">
        <v>1132</v>
      </c>
      <c r="O200" s="116">
        <v>1092.0999999999999</v>
      </c>
      <c r="P200" s="116">
        <v>1116</v>
      </c>
      <c r="Q200" s="116">
        <v>1129.2</v>
      </c>
      <c r="R200">
        <v>25615</v>
      </c>
    </row>
    <row r="201" spans="1:18" x14ac:dyDescent="0.25">
      <c r="A201" s="170">
        <v>42293</v>
      </c>
      <c r="B201" s="116">
        <v>1179</v>
      </c>
      <c r="C201" s="116">
        <v>1167.2</v>
      </c>
      <c r="D201" s="116">
        <v>1130</v>
      </c>
      <c r="E201" s="116">
        <v>1130</v>
      </c>
      <c r="F201" s="116">
        <v>1167.2</v>
      </c>
      <c r="G201">
        <v>11522</v>
      </c>
      <c r="H201" s="116"/>
      <c r="I201" s="116"/>
      <c r="L201" s="170">
        <v>42293</v>
      </c>
      <c r="M201" s="116">
        <v>1170.3</v>
      </c>
      <c r="N201" s="116">
        <v>1182.4000000000001</v>
      </c>
      <c r="O201" s="116">
        <v>1130</v>
      </c>
      <c r="P201" s="116">
        <v>1130</v>
      </c>
      <c r="Q201" s="116">
        <v>1170.3</v>
      </c>
      <c r="R201">
        <v>55094</v>
      </c>
    </row>
    <row r="202" spans="1:18" x14ac:dyDescent="0.25">
      <c r="A202" s="170">
        <v>42296</v>
      </c>
      <c r="B202" s="116">
        <v>1185</v>
      </c>
      <c r="C202" s="116">
        <v>1164.8499999999999</v>
      </c>
      <c r="D202" s="116">
        <v>1153.8</v>
      </c>
      <c r="E202" s="116">
        <v>1170</v>
      </c>
      <c r="F202" s="116">
        <v>1164.8499999999999</v>
      </c>
      <c r="G202">
        <v>8549</v>
      </c>
      <c r="H202" s="116"/>
      <c r="I202" s="116"/>
      <c r="L202" s="170">
        <v>42296</v>
      </c>
      <c r="M202" s="116">
        <v>1162.1500000000001</v>
      </c>
      <c r="N202" s="116">
        <v>1182.2</v>
      </c>
      <c r="O202" s="116">
        <v>1144.5</v>
      </c>
      <c r="P202" s="116">
        <v>1174</v>
      </c>
      <c r="Q202" s="116">
        <v>1162.1500000000001</v>
      </c>
      <c r="R202">
        <v>22798</v>
      </c>
    </row>
    <row r="203" spans="1:18" x14ac:dyDescent="0.25">
      <c r="A203" s="170">
        <v>42297</v>
      </c>
      <c r="B203" s="116">
        <v>1205</v>
      </c>
      <c r="C203" s="116">
        <v>1198.05</v>
      </c>
      <c r="D203" s="116">
        <v>1151</v>
      </c>
      <c r="E203" s="116">
        <v>1170</v>
      </c>
      <c r="F203" s="116">
        <v>1198.05</v>
      </c>
      <c r="G203">
        <v>10310</v>
      </c>
      <c r="H203" s="116"/>
      <c r="I203" s="116"/>
      <c r="L203" s="170">
        <v>42297</v>
      </c>
      <c r="M203" s="116">
        <v>1201.4000000000001</v>
      </c>
      <c r="N203" s="116">
        <v>1208.4000000000001</v>
      </c>
      <c r="O203" s="116">
        <v>1148.05</v>
      </c>
      <c r="P203" s="116">
        <v>1162.5</v>
      </c>
      <c r="Q203" s="116">
        <v>1201.4000000000001</v>
      </c>
      <c r="R203">
        <v>65127</v>
      </c>
    </row>
    <row r="204" spans="1:18" x14ac:dyDescent="0.25">
      <c r="A204" s="170">
        <v>42298</v>
      </c>
      <c r="B204" s="116">
        <v>1244.7</v>
      </c>
      <c r="C204" s="116">
        <v>1237.75</v>
      </c>
      <c r="D204" s="116">
        <v>1195</v>
      </c>
      <c r="E204" s="116">
        <v>1214</v>
      </c>
      <c r="F204" s="116">
        <v>1237.75</v>
      </c>
      <c r="G204">
        <v>21218</v>
      </c>
      <c r="H204" s="116"/>
      <c r="I204" s="116"/>
      <c r="L204" s="170">
        <v>42298</v>
      </c>
      <c r="M204" s="116">
        <v>1241.0999999999999</v>
      </c>
      <c r="N204" s="116">
        <v>1249</v>
      </c>
      <c r="O204" s="116">
        <v>1192.55</v>
      </c>
      <c r="P204" s="116">
        <v>1206</v>
      </c>
      <c r="Q204" s="116">
        <v>1241.0999999999999</v>
      </c>
      <c r="R204">
        <v>66038</v>
      </c>
    </row>
    <row r="205" spans="1:18" x14ac:dyDescent="0.25">
      <c r="A205" s="170">
        <v>42300</v>
      </c>
      <c r="B205" s="116">
        <v>1253.7</v>
      </c>
      <c r="C205" s="116">
        <v>1248.95</v>
      </c>
      <c r="D205" s="116">
        <v>1229</v>
      </c>
      <c r="E205" s="116">
        <v>1241</v>
      </c>
      <c r="F205" s="116">
        <v>1248.95</v>
      </c>
      <c r="G205">
        <v>4410</v>
      </c>
      <c r="H205" s="116"/>
      <c r="I205" s="116"/>
      <c r="L205" s="170">
        <v>42300</v>
      </c>
      <c r="M205" s="116">
        <v>1252.6500000000001</v>
      </c>
      <c r="N205" s="116">
        <v>1256</v>
      </c>
      <c r="O205" s="116">
        <v>1228</v>
      </c>
      <c r="P205" s="116">
        <v>1240</v>
      </c>
      <c r="Q205" s="116">
        <v>1252.6500000000001</v>
      </c>
      <c r="R205">
        <v>58256</v>
      </c>
    </row>
    <row r="206" spans="1:18" x14ac:dyDescent="0.25">
      <c r="A206" s="170">
        <v>42303</v>
      </c>
      <c r="B206" s="116">
        <v>1288.95</v>
      </c>
      <c r="C206" s="116">
        <v>1266.8</v>
      </c>
      <c r="D206" s="116">
        <v>1250.75</v>
      </c>
      <c r="E206" s="116">
        <v>1264.6500000000001</v>
      </c>
      <c r="F206" s="116">
        <v>1266.8</v>
      </c>
      <c r="G206">
        <v>8760</v>
      </c>
      <c r="H206" s="116"/>
      <c r="I206" s="116"/>
      <c r="L206" s="170">
        <v>42303</v>
      </c>
      <c r="M206" s="116">
        <v>1264.9000000000001</v>
      </c>
      <c r="N206" s="116">
        <v>1288</v>
      </c>
      <c r="O206" s="116">
        <v>1245.3499999999999</v>
      </c>
      <c r="P206" s="116">
        <v>1255</v>
      </c>
      <c r="Q206" s="116">
        <v>1264.9000000000001</v>
      </c>
      <c r="R206">
        <v>79734</v>
      </c>
    </row>
    <row r="207" spans="1:18" x14ac:dyDescent="0.25">
      <c r="A207" s="170">
        <v>42304</v>
      </c>
      <c r="B207" s="116">
        <v>1276.95</v>
      </c>
      <c r="C207" s="116">
        <v>1270</v>
      </c>
      <c r="D207" s="116">
        <v>1245</v>
      </c>
      <c r="E207" s="116">
        <v>1264.9000000000001</v>
      </c>
      <c r="F207" s="116">
        <v>1270</v>
      </c>
      <c r="G207">
        <v>8102</v>
      </c>
      <c r="H207" s="116"/>
      <c r="I207" s="116"/>
      <c r="L207" s="170">
        <v>42304</v>
      </c>
      <c r="M207" s="116">
        <v>1272.2</v>
      </c>
      <c r="N207" s="116">
        <v>1279.7</v>
      </c>
      <c r="O207" s="116">
        <v>1242</v>
      </c>
      <c r="P207" s="116">
        <v>1255</v>
      </c>
      <c r="Q207" s="116">
        <v>1272.2</v>
      </c>
      <c r="R207">
        <v>46397</v>
      </c>
    </row>
    <row r="208" spans="1:18" x14ac:dyDescent="0.25">
      <c r="A208" s="170">
        <v>42305</v>
      </c>
      <c r="B208" s="116">
        <v>1280.1500000000001</v>
      </c>
      <c r="C208" s="116">
        <v>1273.8499999999999</v>
      </c>
      <c r="D208" s="116">
        <v>1248</v>
      </c>
      <c r="E208" s="116">
        <v>1267</v>
      </c>
      <c r="F208" s="116">
        <v>1273.8499999999999</v>
      </c>
      <c r="G208">
        <v>4283</v>
      </c>
      <c r="H208" s="116"/>
      <c r="I208" s="116"/>
      <c r="L208" s="170">
        <v>42305</v>
      </c>
      <c r="M208" s="116">
        <v>1273.3499999999999</v>
      </c>
      <c r="N208" s="116">
        <v>1282.45</v>
      </c>
      <c r="O208" s="116">
        <v>1245.5</v>
      </c>
      <c r="P208" s="116">
        <v>1269.95</v>
      </c>
      <c r="Q208" s="116">
        <v>1273.3499999999999</v>
      </c>
      <c r="R208">
        <v>33425</v>
      </c>
    </row>
    <row r="209" spans="1:18" x14ac:dyDescent="0.25">
      <c r="A209" s="170">
        <v>42306</v>
      </c>
      <c r="B209" s="116">
        <v>1290.1500000000001</v>
      </c>
      <c r="C209" s="116">
        <v>1274.3</v>
      </c>
      <c r="D209" s="116">
        <v>1267.0999999999999</v>
      </c>
      <c r="E209" s="116">
        <v>1267.25</v>
      </c>
      <c r="F209" s="116">
        <v>1274.3</v>
      </c>
      <c r="G209">
        <v>2368</v>
      </c>
      <c r="H209" s="116"/>
      <c r="I209" s="116"/>
      <c r="L209" s="170">
        <v>42306</v>
      </c>
      <c r="M209" s="116">
        <v>1275.0999999999999</v>
      </c>
      <c r="N209" s="116">
        <v>1290</v>
      </c>
      <c r="O209" s="116">
        <v>1260</v>
      </c>
      <c r="P209" s="116">
        <v>1269.95</v>
      </c>
      <c r="Q209" s="116">
        <v>1275.0999999999999</v>
      </c>
      <c r="R209">
        <v>41417</v>
      </c>
    </row>
    <row r="210" spans="1:18" x14ac:dyDescent="0.25">
      <c r="A210" s="170">
        <v>42307</v>
      </c>
      <c r="B210" s="116">
        <v>1285.5</v>
      </c>
      <c r="C210" s="116">
        <v>1234.9000000000001</v>
      </c>
      <c r="D210" s="116">
        <v>1223.4000000000001</v>
      </c>
      <c r="E210" s="116">
        <v>1283</v>
      </c>
      <c r="F210" s="116">
        <v>1234.9000000000001</v>
      </c>
      <c r="G210">
        <v>4020</v>
      </c>
      <c r="H210" s="116"/>
      <c r="I210" s="116"/>
      <c r="L210" s="170">
        <v>42307</v>
      </c>
      <c r="M210" s="116">
        <v>1238.05</v>
      </c>
      <c r="N210" s="116">
        <v>1284.3499999999999</v>
      </c>
      <c r="O210" s="116">
        <v>1225</v>
      </c>
      <c r="P210" s="116">
        <v>1270</v>
      </c>
      <c r="Q210" s="116">
        <v>1238.05</v>
      </c>
      <c r="R210">
        <v>14972</v>
      </c>
    </row>
    <row r="211" spans="1:18" x14ac:dyDescent="0.25">
      <c r="A211" s="170">
        <v>42310</v>
      </c>
      <c r="B211" s="116">
        <v>1285</v>
      </c>
      <c r="C211" s="116">
        <v>1273.3</v>
      </c>
      <c r="D211" s="116">
        <v>1239.5999999999999</v>
      </c>
      <c r="E211" s="116">
        <v>1255</v>
      </c>
      <c r="F211" s="116">
        <v>1273.3</v>
      </c>
      <c r="G211">
        <v>10143</v>
      </c>
      <c r="H211" s="116"/>
      <c r="I211" s="116"/>
      <c r="L211" s="170">
        <v>42310</v>
      </c>
      <c r="M211" s="116">
        <v>1275.05</v>
      </c>
      <c r="N211" s="116">
        <v>1288.5</v>
      </c>
      <c r="O211" s="116">
        <v>1230</v>
      </c>
      <c r="P211" s="116">
        <v>1230</v>
      </c>
      <c r="Q211" s="116">
        <v>1275.05</v>
      </c>
      <c r="R211">
        <v>34958</v>
      </c>
    </row>
    <row r="212" spans="1:18" x14ac:dyDescent="0.25">
      <c r="A212" s="170">
        <v>42311</v>
      </c>
      <c r="B212" s="116">
        <v>1299.05</v>
      </c>
      <c r="C212" s="116">
        <v>1263.25</v>
      </c>
      <c r="D212" s="116">
        <v>1221</v>
      </c>
      <c r="E212" s="116">
        <v>1279</v>
      </c>
      <c r="F212" s="116">
        <v>1263.25</v>
      </c>
      <c r="G212">
        <v>50955</v>
      </c>
      <c r="H212" s="116"/>
      <c r="I212" s="116"/>
      <c r="L212" s="170">
        <v>42311</v>
      </c>
      <c r="M212" s="116">
        <v>1266.3</v>
      </c>
      <c r="N212" s="116">
        <v>1295.5</v>
      </c>
      <c r="O212" s="116">
        <v>1217.5</v>
      </c>
      <c r="P212" s="116">
        <v>1286.5</v>
      </c>
      <c r="Q212" s="116">
        <v>1266.3</v>
      </c>
      <c r="R212">
        <v>506024</v>
      </c>
    </row>
    <row r="213" spans="1:18" x14ac:dyDescent="0.25">
      <c r="A213" s="170">
        <v>42312</v>
      </c>
      <c r="B213" s="116">
        <v>1275</v>
      </c>
      <c r="C213" s="116">
        <v>1250.5</v>
      </c>
      <c r="D213" s="116">
        <v>1234.5</v>
      </c>
      <c r="E213" s="116">
        <v>1268</v>
      </c>
      <c r="F213" s="116">
        <v>1250.5</v>
      </c>
      <c r="G213">
        <v>7126</v>
      </c>
      <c r="H213" s="116"/>
      <c r="I213" s="116"/>
      <c r="L213" s="170">
        <v>42312</v>
      </c>
      <c r="M213" s="116">
        <v>1251.2</v>
      </c>
      <c r="N213" s="116">
        <v>1274.8</v>
      </c>
      <c r="O213" s="116">
        <v>1231</v>
      </c>
      <c r="P213" s="116">
        <v>1265.0999999999999</v>
      </c>
      <c r="Q213" s="116">
        <v>1251.2</v>
      </c>
      <c r="R213">
        <v>55122</v>
      </c>
    </row>
    <row r="214" spans="1:18" x14ac:dyDescent="0.25">
      <c r="A214" s="170">
        <v>42313</v>
      </c>
      <c r="B214" s="116">
        <v>1256.45</v>
      </c>
      <c r="C214" s="116">
        <v>1242.75</v>
      </c>
      <c r="D214" s="116">
        <v>1238</v>
      </c>
      <c r="E214" s="116">
        <v>1256.45</v>
      </c>
      <c r="F214" s="116">
        <v>1242.75</v>
      </c>
      <c r="G214">
        <v>5345</v>
      </c>
      <c r="H214" s="116"/>
      <c r="I214" s="116"/>
      <c r="L214" s="170">
        <v>42313</v>
      </c>
      <c r="M214" s="116">
        <v>1240.1500000000001</v>
      </c>
      <c r="N214" s="116">
        <v>1260</v>
      </c>
      <c r="O214" s="116">
        <v>1235</v>
      </c>
      <c r="P214" s="116">
        <v>1260</v>
      </c>
      <c r="Q214" s="116">
        <v>1240.1500000000001</v>
      </c>
      <c r="R214">
        <v>43360</v>
      </c>
    </row>
    <row r="215" spans="1:18" x14ac:dyDescent="0.25">
      <c r="A215" s="170">
        <v>42314</v>
      </c>
      <c r="B215" s="116">
        <v>1270</v>
      </c>
      <c r="C215" s="116">
        <v>1238.75</v>
      </c>
      <c r="D215" s="116">
        <v>1222.25</v>
      </c>
      <c r="E215" s="116">
        <v>1247.4000000000001</v>
      </c>
      <c r="F215" s="116">
        <v>1238.75</v>
      </c>
      <c r="G215">
        <v>2824</v>
      </c>
      <c r="H215" s="116"/>
      <c r="I215" s="116"/>
      <c r="L215" s="170">
        <v>42314</v>
      </c>
      <c r="M215" s="116">
        <v>1241.55</v>
      </c>
      <c r="N215" s="116">
        <v>1249.1500000000001</v>
      </c>
      <c r="O215" s="116">
        <v>1220.45</v>
      </c>
      <c r="P215" s="116">
        <v>1243</v>
      </c>
      <c r="Q215" s="116">
        <v>1241.55</v>
      </c>
      <c r="R215">
        <v>18211</v>
      </c>
    </row>
    <row r="216" spans="1:18" x14ac:dyDescent="0.25">
      <c r="A216" s="170">
        <v>42317</v>
      </c>
      <c r="B216" s="116">
        <v>1253</v>
      </c>
      <c r="C216" s="116">
        <v>1248.6500000000001</v>
      </c>
      <c r="D216" s="116">
        <v>1207</v>
      </c>
      <c r="E216" s="116">
        <v>1216.4000000000001</v>
      </c>
      <c r="F216" s="116">
        <v>1248.6500000000001</v>
      </c>
      <c r="G216">
        <v>4601</v>
      </c>
      <c r="H216" s="116"/>
      <c r="I216" s="116"/>
      <c r="L216" s="170">
        <v>42317</v>
      </c>
      <c r="M216" s="116">
        <v>1248.75</v>
      </c>
      <c r="N216" s="116">
        <v>1254.9000000000001</v>
      </c>
      <c r="O216" s="116">
        <v>1201.8499999999999</v>
      </c>
      <c r="P216" s="116">
        <v>1231</v>
      </c>
      <c r="Q216" s="116">
        <v>1248.75</v>
      </c>
      <c r="R216">
        <v>21054</v>
      </c>
    </row>
    <row r="217" spans="1:18" x14ac:dyDescent="0.25">
      <c r="A217" s="170">
        <v>42318</v>
      </c>
      <c r="B217" s="116">
        <v>1244.6500000000001</v>
      </c>
      <c r="C217" s="116">
        <v>1201.7</v>
      </c>
      <c r="D217" s="116">
        <v>1184.5</v>
      </c>
      <c r="E217" s="116">
        <v>1236.55</v>
      </c>
      <c r="F217" s="116">
        <v>1201.7</v>
      </c>
      <c r="G217">
        <v>5446</v>
      </c>
      <c r="H217" s="116"/>
      <c r="I217" s="116"/>
      <c r="L217" s="170">
        <v>42318</v>
      </c>
      <c r="M217" s="116">
        <v>1199.6500000000001</v>
      </c>
      <c r="N217" s="116">
        <v>1247</v>
      </c>
      <c r="O217" s="116">
        <v>1181.05</v>
      </c>
      <c r="P217" s="116">
        <v>1247</v>
      </c>
      <c r="Q217" s="116">
        <v>1199.6500000000001</v>
      </c>
      <c r="R217">
        <v>32698</v>
      </c>
    </row>
    <row r="218" spans="1:18" x14ac:dyDescent="0.25">
      <c r="A218" s="170">
        <v>42319</v>
      </c>
      <c r="B218" s="116">
        <v>1234.7</v>
      </c>
      <c r="C218" s="116">
        <v>1223.8</v>
      </c>
      <c r="D218" s="116">
        <v>1213.5</v>
      </c>
      <c r="E218" s="116">
        <v>1219</v>
      </c>
      <c r="F218" s="116">
        <v>1223.8</v>
      </c>
      <c r="G218">
        <v>877</v>
      </c>
      <c r="H218" s="116"/>
      <c r="I218" s="116"/>
      <c r="L218" s="170">
        <v>42319</v>
      </c>
      <c r="M218" s="116">
        <v>1224.3</v>
      </c>
      <c r="N218" s="116">
        <v>1234.9000000000001</v>
      </c>
      <c r="O218" s="116">
        <v>1211.05</v>
      </c>
      <c r="P218" s="116">
        <v>1220</v>
      </c>
      <c r="Q218" s="116">
        <v>1224.3</v>
      </c>
      <c r="R218">
        <v>3794</v>
      </c>
    </row>
    <row r="219" spans="1:18" x14ac:dyDescent="0.25">
      <c r="A219" s="170">
        <v>42321</v>
      </c>
      <c r="B219" s="116">
        <v>1224</v>
      </c>
      <c r="C219" s="116">
        <v>1209.4000000000001</v>
      </c>
      <c r="D219" s="116">
        <v>1187.4000000000001</v>
      </c>
      <c r="E219" s="116">
        <v>1224</v>
      </c>
      <c r="F219" s="116">
        <v>1209.4000000000001</v>
      </c>
      <c r="G219">
        <v>2105</v>
      </c>
      <c r="H219" s="116"/>
      <c r="I219" s="116"/>
      <c r="L219" s="170">
        <v>42321</v>
      </c>
      <c r="M219" s="116">
        <v>1206.6500000000001</v>
      </c>
      <c r="N219" s="116">
        <v>1224</v>
      </c>
      <c r="O219" s="116">
        <v>1185</v>
      </c>
      <c r="P219" s="116">
        <v>1224</v>
      </c>
      <c r="Q219" s="116">
        <v>1206.6500000000001</v>
      </c>
      <c r="R219">
        <v>17850</v>
      </c>
    </row>
    <row r="220" spans="1:18" x14ac:dyDescent="0.25">
      <c r="A220" s="170">
        <v>42324</v>
      </c>
      <c r="B220" s="116">
        <v>1216.8</v>
      </c>
      <c r="C220" s="116">
        <v>1201.95</v>
      </c>
      <c r="D220" s="116">
        <v>1190.8499999999999</v>
      </c>
      <c r="E220" s="116">
        <v>1200</v>
      </c>
      <c r="F220" s="116">
        <v>1201.95</v>
      </c>
      <c r="G220">
        <v>1152</v>
      </c>
      <c r="H220" s="116"/>
      <c r="I220" s="116"/>
      <c r="L220" s="170">
        <v>42324</v>
      </c>
      <c r="M220" s="116">
        <v>1200.9000000000001</v>
      </c>
      <c r="N220" s="116">
        <v>1215</v>
      </c>
      <c r="O220" s="116">
        <v>1188.95</v>
      </c>
      <c r="P220" s="116">
        <v>1202</v>
      </c>
      <c r="Q220" s="116">
        <v>1200.9000000000001</v>
      </c>
      <c r="R220">
        <v>8529</v>
      </c>
    </row>
    <row r="221" spans="1:18" x14ac:dyDescent="0.25">
      <c r="A221" s="170">
        <v>42325</v>
      </c>
      <c r="B221" s="116">
        <v>1210</v>
      </c>
      <c r="C221" s="116">
        <v>1200.3499999999999</v>
      </c>
      <c r="D221" s="116">
        <v>1194</v>
      </c>
      <c r="E221" s="116">
        <v>1205.55</v>
      </c>
      <c r="F221" s="116">
        <v>1200.3499999999999</v>
      </c>
      <c r="G221">
        <v>2820</v>
      </c>
      <c r="H221" s="116"/>
      <c r="I221" s="116"/>
      <c r="L221" s="170">
        <v>42325</v>
      </c>
      <c r="M221" s="116">
        <v>1194.2</v>
      </c>
      <c r="N221" s="116">
        <v>1215</v>
      </c>
      <c r="O221" s="116">
        <v>1190.8</v>
      </c>
      <c r="P221" s="116">
        <v>1215</v>
      </c>
      <c r="Q221" s="116">
        <v>1194.2</v>
      </c>
      <c r="R221">
        <v>10017</v>
      </c>
    </row>
    <row r="222" spans="1:18" x14ac:dyDescent="0.25">
      <c r="A222" s="170">
        <v>42326</v>
      </c>
      <c r="B222" s="116">
        <v>1211</v>
      </c>
      <c r="C222" s="116">
        <v>1175.3499999999999</v>
      </c>
      <c r="D222" s="116">
        <v>1168.45</v>
      </c>
      <c r="E222" s="116">
        <v>1204.95</v>
      </c>
      <c r="F222" s="116">
        <v>1175.3499999999999</v>
      </c>
      <c r="G222">
        <v>339348</v>
      </c>
      <c r="H222" s="116"/>
      <c r="I222" s="116"/>
      <c r="L222" s="170">
        <v>42326</v>
      </c>
      <c r="M222" s="116">
        <v>1177.0999999999999</v>
      </c>
      <c r="N222" s="116">
        <v>1212</v>
      </c>
      <c r="O222" s="116">
        <v>1170</v>
      </c>
      <c r="P222" s="116">
        <v>1205</v>
      </c>
      <c r="Q222" s="116">
        <v>1177.0999999999999</v>
      </c>
      <c r="R222">
        <v>16442</v>
      </c>
    </row>
    <row r="223" spans="1:18" x14ac:dyDescent="0.25">
      <c r="A223" s="170">
        <v>42327</v>
      </c>
      <c r="B223" s="116">
        <v>1197.25</v>
      </c>
      <c r="C223" s="116">
        <v>1179.4000000000001</v>
      </c>
      <c r="D223" s="116">
        <v>1175.05</v>
      </c>
      <c r="E223" s="116">
        <v>1197.25</v>
      </c>
      <c r="F223" s="116">
        <v>1179.4000000000001</v>
      </c>
      <c r="G223">
        <v>6318</v>
      </c>
      <c r="H223" s="116"/>
      <c r="I223" s="116"/>
      <c r="L223" s="170">
        <v>42327</v>
      </c>
      <c r="M223" s="116">
        <v>1180.2</v>
      </c>
      <c r="N223" s="116">
        <v>1198.95</v>
      </c>
      <c r="O223" s="116">
        <v>1171.5999999999999</v>
      </c>
      <c r="P223" s="116">
        <v>1198.95</v>
      </c>
      <c r="Q223" s="116">
        <v>1180.2</v>
      </c>
      <c r="R223">
        <v>22143</v>
      </c>
    </row>
    <row r="224" spans="1:18" x14ac:dyDescent="0.25">
      <c r="A224" s="170">
        <v>42328</v>
      </c>
      <c r="B224" s="116">
        <v>1190</v>
      </c>
      <c r="C224" s="116">
        <v>1176.95</v>
      </c>
      <c r="D224" s="116">
        <v>1173</v>
      </c>
      <c r="E224" s="116">
        <v>1190</v>
      </c>
      <c r="F224" s="116">
        <v>1176.95</v>
      </c>
      <c r="G224">
        <v>3917</v>
      </c>
      <c r="H224" s="116"/>
      <c r="I224" s="116"/>
      <c r="L224" s="170">
        <v>42328</v>
      </c>
      <c r="M224" s="116">
        <v>1174.55</v>
      </c>
      <c r="N224" s="116">
        <v>1196</v>
      </c>
      <c r="O224" s="116">
        <v>1171</v>
      </c>
      <c r="P224" s="116">
        <v>1196</v>
      </c>
      <c r="Q224" s="116">
        <v>1174.55</v>
      </c>
      <c r="R224">
        <v>34414</v>
      </c>
    </row>
    <row r="225" spans="1:18" x14ac:dyDescent="0.25">
      <c r="A225" s="170">
        <v>42331</v>
      </c>
      <c r="B225" s="116">
        <v>1180.8</v>
      </c>
      <c r="C225" s="116">
        <v>1174.7</v>
      </c>
      <c r="D225" s="116">
        <v>1170.05</v>
      </c>
      <c r="E225" s="116">
        <v>1174</v>
      </c>
      <c r="F225" s="116">
        <v>1174.7</v>
      </c>
      <c r="G225">
        <v>2862</v>
      </c>
      <c r="H225" s="116"/>
      <c r="I225" s="116"/>
      <c r="L225" s="170">
        <v>42331</v>
      </c>
      <c r="M225" s="116">
        <v>1175.25</v>
      </c>
      <c r="N225" s="116">
        <v>1183.55</v>
      </c>
      <c r="O225" s="116">
        <v>1170.5999999999999</v>
      </c>
      <c r="P225" s="116">
        <v>1180</v>
      </c>
      <c r="Q225" s="116">
        <v>1175.25</v>
      </c>
      <c r="R225">
        <v>14400</v>
      </c>
    </row>
    <row r="226" spans="1:18" x14ac:dyDescent="0.25">
      <c r="A226" s="170">
        <v>42332</v>
      </c>
      <c r="B226" s="116">
        <v>1180.05</v>
      </c>
      <c r="C226" s="116">
        <v>1163.3</v>
      </c>
      <c r="D226" s="116">
        <v>1154</v>
      </c>
      <c r="E226" s="116">
        <v>1179.0999999999999</v>
      </c>
      <c r="F226" s="116">
        <v>1163.3</v>
      </c>
      <c r="G226">
        <v>2680</v>
      </c>
      <c r="H226" s="116"/>
      <c r="I226" s="116"/>
      <c r="L226" s="170">
        <v>42332</v>
      </c>
      <c r="M226" s="116">
        <v>1160.0999999999999</v>
      </c>
      <c r="N226" s="116">
        <v>1180</v>
      </c>
      <c r="O226" s="116">
        <v>1152.5</v>
      </c>
      <c r="P226" s="116">
        <v>1180</v>
      </c>
      <c r="Q226" s="116">
        <v>1160.0999999999999</v>
      </c>
      <c r="R226">
        <v>139316</v>
      </c>
    </row>
    <row r="227" spans="1:18" x14ac:dyDescent="0.25">
      <c r="A227" s="170">
        <v>42334</v>
      </c>
      <c r="B227" s="116">
        <v>1170.2</v>
      </c>
      <c r="C227" s="116">
        <v>1156.5999999999999</v>
      </c>
      <c r="D227" s="116">
        <v>1150</v>
      </c>
      <c r="E227" s="116">
        <v>1163</v>
      </c>
      <c r="F227" s="116">
        <v>1156.5999999999999</v>
      </c>
      <c r="G227">
        <v>4205</v>
      </c>
      <c r="H227" s="116"/>
      <c r="I227" s="116"/>
      <c r="L227" s="170">
        <v>42334</v>
      </c>
      <c r="M227" s="116">
        <v>1151.5</v>
      </c>
      <c r="N227" s="116">
        <v>1170</v>
      </c>
      <c r="O227" s="116">
        <v>1146.9000000000001</v>
      </c>
      <c r="P227" s="116">
        <v>1160</v>
      </c>
      <c r="Q227" s="116">
        <v>1151.5</v>
      </c>
      <c r="R227">
        <v>117571</v>
      </c>
    </row>
    <row r="228" spans="1:18" x14ac:dyDescent="0.25">
      <c r="A228" s="170">
        <v>42335</v>
      </c>
      <c r="B228" s="116">
        <v>1185</v>
      </c>
      <c r="C228" s="116">
        <v>1159.75</v>
      </c>
      <c r="D228" s="116">
        <v>1150.7</v>
      </c>
      <c r="E228" s="116">
        <v>1170</v>
      </c>
      <c r="F228" s="116">
        <v>1159.75</v>
      </c>
      <c r="G228">
        <v>7387</v>
      </c>
      <c r="H228" s="116"/>
      <c r="I228" s="116"/>
      <c r="L228" s="170">
        <v>42335</v>
      </c>
      <c r="M228" s="116">
        <v>1158.1500000000001</v>
      </c>
      <c r="N228" s="116">
        <v>1186.95</v>
      </c>
      <c r="O228" s="116">
        <v>1153.0999999999999</v>
      </c>
      <c r="P228" s="116">
        <v>1160</v>
      </c>
      <c r="Q228" s="116">
        <v>1158.1500000000001</v>
      </c>
      <c r="R228">
        <v>99416</v>
      </c>
    </row>
    <row r="229" spans="1:18" x14ac:dyDescent="0.25">
      <c r="A229" s="170">
        <v>42338</v>
      </c>
      <c r="B229" s="116">
        <v>1186.75</v>
      </c>
      <c r="C229" s="116">
        <v>1170.5999999999999</v>
      </c>
      <c r="D229" s="116">
        <v>1164</v>
      </c>
      <c r="E229" s="116">
        <v>1186.75</v>
      </c>
      <c r="F229" s="116">
        <v>1170.5999999999999</v>
      </c>
      <c r="G229">
        <v>5401</v>
      </c>
      <c r="H229" s="116"/>
      <c r="I229" s="116"/>
      <c r="L229" s="170">
        <v>42338</v>
      </c>
      <c r="M229" s="116">
        <v>1170</v>
      </c>
      <c r="N229" s="116">
        <v>1174.8</v>
      </c>
      <c r="O229" s="116">
        <v>1162.0999999999999</v>
      </c>
      <c r="P229" s="116">
        <v>1165</v>
      </c>
      <c r="Q229" s="116">
        <v>1170</v>
      </c>
      <c r="R229">
        <v>38928</v>
      </c>
    </row>
    <row r="230" spans="1:18" x14ac:dyDescent="0.25">
      <c r="A230" s="170">
        <v>42339</v>
      </c>
      <c r="B230" s="116">
        <v>1186.95</v>
      </c>
      <c r="C230" s="116">
        <v>1176.95</v>
      </c>
      <c r="D230" s="116">
        <v>1174.8</v>
      </c>
      <c r="E230" s="116">
        <v>1180</v>
      </c>
      <c r="F230" s="116">
        <v>1176.95</v>
      </c>
      <c r="G230">
        <v>3978</v>
      </c>
      <c r="H230" s="116"/>
      <c r="I230" s="116"/>
      <c r="L230" s="170">
        <v>42339</v>
      </c>
      <c r="M230" s="116">
        <v>1174.1500000000001</v>
      </c>
      <c r="N230" s="116">
        <v>1190</v>
      </c>
      <c r="O230" s="116">
        <v>1170</v>
      </c>
      <c r="P230" s="116">
        <v>1172.5999999999999</v>
      </c>
      <c r="Q230" s="116">
        <v>1174.1500000000001</v>
      </c>
      <c r="R230">
        <v>29683</v>
      </c>
    </row>
    <row r="231" spans="1:18" x14ac:dyDescent="0.25">
      <c r="A231" s="170">
        <v>42340</v>
      </c>
      <c r="B231" s="116">
        <v>1176.5</v>
      </c>
      <c r="C231" s="116">
        <v>1172.2</v>
      </c>
      <c r="D231" s="116">
        <v>1161.45</v>
      </c>
      <c r="E231" s="116">
        <v>1173.5999999999999</v>
      </c>
      <c r="F231" s="116">
        <v>1172.2</v>
      </c>
      <c r="G231">
        <v>3176</v>
      </c>
      <c r="H231" s="116"/>
      <c r="I231" s="116"/>
      <c r="L231" s="170">
        <v>42340</v>
      </c>
      <c r="M231" s="116">
        <v>1174</v>
      </c>
      <c r="N231" s="116">
        <v>1184</v>
      </c>
      <c r="O231" s="116">
        <v>1160.5</v>
      </c>
      <c r="P231" s="116">
        <v>1175</v>
      </c>
      <c r="Q231" s="116">
        <v>1174</v>
      </c>
      <c r="R231">
        <v>55408</v>
      </c>
    </row>
    <row r="232" spans="1:18" x14ac:dyDescent="0.25">
      <c r="A232" s="170">
        <v>42341</v>
      </c>
      <c r="B232" s="116">
        <v>1177.05</v>
      </c>
      <c r="C232" s="116">
        <v>1164.8499999999999</v>
      </c>
      <c r="D232" s="116">
        <v>1160</v>
      </c>
      <c r="E232" s="116">
        <v>1169.6500000000001</v>
      </c>
      <c r="F232" s="116">
        <v>1164.8499999999999</v>
      </c>
      <c r="G232">
        <v>9228</v>
      </c>
      <c r="H232" s="116"/>
      <c r="I232" s="116"/>
      <c r="L232" s="170">
        <v>42341</v>
      </c>
      <c r="M232" s="116">
        <v>1164.6500000000001</v>
      </c>
      <c r="N232" s="116">
        <v>1186</v>
      </c>
      <c r="O232" s="116">
        <v>1158.05</v>
      </c>
      <c r="P232" s="116">
        <v>1163.3</v>
      </c>
      <c r="Q232" s="116">
        <v>1164.6500000000001</v>
      </c>
      <c r="R232">
        <v>59374</v>
      </c>
    </row>
    <row r="233" spans="1:18" x14ac:dyDescent="0.25">
      <c r="A233" s="170">
        <v>42342</v>
      </c>
      <c r="B233" s="116">
        <v>1161.8</v>
      </c>
      <c r="C233" s="116">
        <v>1153.7</v>
      </c>
      <c r="D233" s="116">
        <v>1147.25</v>
      </c>
      <c r="E233" s="116">
        <v>1160.0999999999999</v>
      </c>
      <c r="F233" s="116">
        <v>1153.7</v>
      </c>
      <c r="G233">
        <v>3297</v>
      </c>
      <c r="H233" s="116"/>
      <c r="I233" s="116"/>
      <c r="L233" s="170">
        <v>42342</v>
      </c>
      <c r="M233" s="116">
        <v>1153.8</v>
      </c>
      <c r="N233" s="116">
        <v>1164.95</v>
      </c>
      <c r="O233" s="116">
        <v>1145.55</v>
      </c>
      <c r="P233" s="116">
        <v>1151.05</v>
      </c>
      <c r="Q233" s="116">
        <v>1153.8</v>
      </c>
      <c r="R233">
        <v>40153</v>
      </c>
    </row>
    <row r="234" spans="1:18" x14ac:dyDescent="0.25">
      <c r="A234" s="170">
        <v>42345</v>
      </c>
      <c r="B234" s="116">
        <v>1166.25</v>
      </c>
      <c r="C234" s="116">
        <v>1148</v>
      </c>
      <c r="D234" s="116">
        <v>1145</v>
      </c>
      <c r="E234" s="116">
        <v>1165</v>
      </c>
      <c r="F234" s="116">
        <v>1148</v>
      </c>
      <c r="G234">
        <v>1342</v>
      </c>
      <c r="H234" s="116"/>
      <c r="I234" s="116"/>
      <c r="L234" s="170">
        <v>42345</v>
      </c>
      <c r="M234" s="116">
        <v>1150</v>
      </c>
      <c r="N234" s="116">
        <v>1165</v>
      </c>
      <c r="O234" s="116">
        <v>1145</v>
      </c>
      <c r="P234" s="116">
        <v>1156</v>
      </c>
      <c r="Q234" s="116">
        <v>1150</v>
      </c>
      <c r="R234">
        <v>15166</v>
      </c>
    </row>
    <row r="235" spans="1:18" x14ac:dyDescent="0.25">
      <c r="A235" s="170">
        <v>42346</v>
      </c>
      <c r="B235" s="116">
        <v>1157</v>
      </c>
      <c r="C235" s="116">
        <v>1149.3499999999999</v>
      </c>
      <c r="D235" s="116">
        <v>1145</v>
      </c>
      <c r="E235" s="116">
        <v>1147.0999999999999</v>
      </c>
      <c r="F235" s="116">
        <v>1149.3499999999999</v>
      </c>
      <c r="G235">
        <v>3160</v>
      </c>
      <c r="H235" s="116"/>
      <c r="I235" s="116"/>
      <c r="L235" s="170">
        <v>42346</v>
      </c>
      <c r="M235" s="116">
        <v>1152.25</v>
      </c>
      <c r="N235" s="116">
        <v>1159</v>
      </c>
      <c r="O235" s="116">
        <v>1141</v>
      </c>
      <c r="P235" s="116">
        <v>1141.0999999999999</v>
      </c>
      <c r="Q235" s="116">
        <v>1152.25</v>
      </c>
      <c r="R235">
        <v>16970</v>
      </c>
    </row>
    <row r="236" spans="1:18" x14ac:dyDescent="0.25">
      <c r="A236" s="170">
        <v>42347</v>
      </c>
      <c r="B236" s="116">
        <v>1153</v>
      </c>
      <c r="C236" s="116">
        <v>1129.0999999999999</v>
      </c>
      <c r="D236" s="116">
        <v>1116.4000000000001</v>
      </c>
      <c r="E236" s="116">
        <v>1153</v>
      </c>
      <c r="F236" s="116">
        <v>1129.0999999999999</v>
      </c>
      <c r="G236">
        <v>5828</v>
      </c>
      <c r="H236" s="116"/>
      <c r="I236" s="116"/>
      <c r="L236" s="170">
        <v>42347</v>
      </c>
      <c r="M236" s="116">
        <v>1132.25</v>
      </c>
      <c r="N236" s="116">
        <v>1160</v>
      </c>
      <c r="O236" s="116">
        <v>1115.25</v>
      </c>
      <c r="P236" s="116">
        <v>1160</v>
      </c>
      <c r="Q236" s="116">
        <v>1132.25</v>
      </c>
      <c r="R236">
        <v>15175</v>
      </c>
    </row>
    <row r="237" spans="1:18" x14ac:dyDescent="0.25">
      <c r="A237" s="170">
        <v>42348</v>
      </c>
      <c r="B237" s="116">
        <v>1144</v>
      </c>
      <c r="C237" s="116">
        <v>1128.25</v>
      </c>
      <c r="D237" s="116">
        <v>1107</v>
      </c>
      <c r="E237" s="116">
        <v>1143.6500000000001</v>
      </c>
      <c r="F237" s="116">
        <v>1128.25</v>
      </c>
      <c r="G237">
        <v>2138</v>
      </c>
      <c r="H237" s="116"/>
      <c r="I237" s="116"/>
      <c r="L237" s="170">
        <v>42348</v>
      </c>
      <c r="M237" s="116">
        <v>1126.95</v>
      </c>
      <c r="N237" s="116">
        <v>1144.75</v>
      </c>
      <c r="O237" s="116">
        <v>1103.55</v>
      </c>
      <c r="P237" s="116">
        <v>1138</v>
      </c>
      <c r="Q237" s="116">
        <v>1126.95</v>
      </c>
      <c r="R237">
        <v>16852</v>
      </c>
    </row>
    <row r="238" spans="1:18" x14ac:dyDescent="0.25">
      <c r="A238" s="170">
        <v>42349</v>
      </c>
      <c r="B238" s="116">
        <v>1139</v>
      </c>
      <c r="C238" s="116">
        <v>1109.75</v>
      </c>
      <c r="D238" s="116">
        <v>1105.3</v>
      </c>
      <c r="E238" s="116">
        <v>1131.8</v>
      </c>
      <c r="F238" s="116">
        <v>1109.75</v>
      </c>
      <c r="G238">
        <v>3746</v>
      </c>
      <c r="H238" s="116"/>
      <c r="I238" s="116"/>
      <c r="L238" s="170">
        <v>42349</v>
      </c>
      <c r="M238" s="116">
        <v>1113.05</v>
      </c>
      <c r="N238" s="116">
        <v>1140</v>
      </c>
      <c r="O238" s="116">
        <v>1104</v>
      </c>
      <c r="P238" s="116">
        <v>1129.55</v>
      </c>
      <c r="Q238" s="116">
        <v>1113.05</v>
      </c>
      <c r="R238">
        <v>16575</v>
      </c>
    </row>
    <row r="239" spans="1:18" x14ac:dyDescent="0.25">
      <c r="A239" s="170">
        <v>42352</v>
      </c>
      <c r="B239" s="116">
        <v>1115</v>
      </c>
      <c r="C239" s="116">
        <v>1110.05</v>
      </c>
      <c r="D239" s="116">
        <v>1092</v>
      </c>
      <c r="E239" s="116">
        <v>1110</v>
      </c>
      <c r="F239" s="116">
        <v>1110.05</v>
      </c>
      <c r="G239">
        <v>2705</v>
      </c>
      <c r="H239" s="116"/>
      <c r="I239" s="116"/>
      <c r="L239" s="170">
        <v>42352</v>
      </c>
      <c r="M239" s="116">
        <v>1110.3</v>
      </c>
      <c r="N239" s="116">
        <v>1120</v>
      </c>
      <c r="O239" s="116">
        <v>1093.9000000000001</v>
      </c>
      <c r="P239" s="116">
        <v>1114</v>
      </c>
      <c r="Q239" s="116">
        <v>1110.3</v>
      </c>
      <c r="R239">
        <v>15136</v>
      </c>
    </row>
    <row r="240" spans="1:18" x14ac:dyDescent="0.25">
      <c r="A240" s="170">
        <v>42353</v>
      </c>
      <c r="B240" s="116">
        <v>1195</v>
      </c>
      <c r="C240" s="116">
        <v>1187.2</v>
      </c>
      <c r="D240" s="116">
        <v>1119</v>
      </c>
      <c r="E240" s="116">
        <v>1158</v>
      </c>
      <c r="F240" s="116">
        <v>1187.2</v>
      </c>
      <c r="G240">
        <v>14962</v>
      </c>
      <c r="H240" s="116"/>
      <c r="I240" s="116"/>
      <c r="L240" s="170">
        <v>42353</v>
      </c>
      <c r="M240" s="116">
        <v>1189.75</v>
      </c>
      <c r="N240" s="116">
        <v>1200</v>
      </c>
      <c r="O240" s="116">
        <v>1110</v>
      </c>
      <c r="P240" s="116">
        <v>1110.3</v>
      </c>
      <c r="Q240" s="116">
        <v>1189.75</v>
      </c>
      <c r="R240">
        <v>118900</v>
      </c>
    </row>
    <row r="241" spans="1:18" x14ac:dyDescent="0.25">
      <c r="A241" s="170">
        <v>42354</v>
      </c>
      <c r="B241" s="116">
        <v>1232</v>
      </c>
      <c r="C241" s="116">
        <v>1196.6500000000001</v>
      </c>
      <c r="D241" s="116">
        <v>1179.2</v>
      </c>
      <c r="E241" s="116">
        <v>1197.8</v>
      </c>
      <c r="F241" s="116">
        <v>1196.6500000000001</v>
      </c>
      <c r="G241">
        <v>16282</v>
      </c>
      <c r="H241" s="116"/>
      <c r="I241" s="116"/>
      <c r="L241" s="170">
        <v>42354</v>
      </c>
      <c r="M241" s="116">
        <v>1195.4000000000001</v>
      </c>
      <c r="N241" s="116">
        <v>1233.3</v>
      </c>
      <c r="O241" s="116">
        <v>1171</v>
      </c>
      <c r="P241" s="116">
        <v>1196</v>
      </c>
      <c r="Q241" s="116">
        <v>1195.4000000000001</v>
      </c>
      <c r="R241">
        <v>107798</v>
      </c>
    </row>
    <row r="242" spans="1:18" x14ac:dyDescent="0.25">
      <c r="A242" s="170">
        <v>42355</v>
      </c>
      <c r="B242" s="116">
        <v>1213.3</v>
      </c>
      <c r="C242" s="116">
        <v>1176.6500000000001</v>
      </c>
      <c r="D242" s="116">
        <v>1165</v>
      </c>
      <c r="E242" s="116">
        <v>1212.5999999999999</v>
      </c>
      <c r="F242" s="116">
        <v>1176.6500000000001</v>
      </c>
      <c r="G242">
        <v>6427</v>
      </c>
      <c r="H242" s="116"/>
      <c r="I242" s="116"/>
      <c r="L242" s="170">
        <v>42355</v>
      </c>
      <c r="M242" s="116">
        <v>1179.6500000000001</v>
      </c>
      <c r="N242" s="116">
        <v>1217</v>
      </c>
      <c r="O242" s="116">
        <v>1165</v>
      </c>
      <c r="P242" s="116">
        <v>1200</v>
      </c>
      <c r="Q242" s="116">
        <v>1179.6500000000001</v>
      </c>
      <c r="R242">
        <v>38453</v>
      </c>
    </row>
    <row r="243" spans="1:18" x14ac:dyDescent="0.25">
      <c r="A243" s="170">
        <v>42356</v>
      </c>
      <c r="B243" s="116">
        <v>1206</v>
      </c>
      <c r="C243" s="116">
        <v>1139.6500000000001</v>
      </c>
      <c r="D243" s="116">
        <v>1130</v>
      </c>
      <c r="E243" s="116">
        <v>1182.05</v>
      </c>
      <c r="F243" s="116">
        <v>1139.6500000000001</v>
      </c>
      <c r="G243">
        <v>10685</v>
      </c>
      <c r="H243" s="116"/>
      <c r="I243" s="116"/>
      <c r="L243" s="170">
        <v>42356</v>
      </c>
      <c r="M243" s="116">
        <v>1137.55</v>
      </c>
      <c r="N243" s="116">
        <v>1207</v>
      </c>
      <c r="O243" s="116">
        <v>1130</v>
      </c>
      <c r="P243" s="116">
        <v>1180</v>
      </c>
      <c r="Q243" s="116">
        <v>1137.55</v>
      </c>
      <c r="R243">
        <v>80773</v>
      </c>
    </row>
    <row r="244" spans="1:18" x14ac:dyDescent="0.25">
      <c r="A244" s="170">
        <v>42359</v>
      </c>
      <c r="B244" s="116">
        <v>1155.8</v>
      </c>
      <c r="C244" s="116">
        <v>1141.55</v>
      </c>
      <c r="D244" s="116">
        <v>1129.5999999999999</v>
      </c>
      <c r="E244" s="116">
        <v>1148</v>
      </c>
      <c r="F244" s="116">
        <v>1141.55</v>
      </c>
      <c r="G244">
        <v>7765</v>
      </c>
      <c r="H244" s="116"/>
      <c r="I244" s="116"/>
      <c r="L244" s="170">
        <v>42359</v>
      </c>
      <c r="M244" s="116">
        <v>1142</v>
      </c>
      <c r="N244" s="116">
        <v>1154</v>
      </c>
      <c r="O244" s="116">
        <v>1125</v>
      </c>
      <c r="P244" s="116">
        <v>1144</v>
      </c>
      <c r="Q244" s="116">
        <v>1142</v>
      </c>
      <c r="R244">
        <v>37326</v>
      </c>
    </row>
    <row r="245" spans="1:18" x14ac:dyDescent="0.25">
      <c r="A245" s="170">
        <v>42360</v>
      </c>
      <c r="B245" s="116">
        <v>1152.25</v>
      </c>
      <c r="C245" s="116">
        <v>1130.75</v>
      </c>
      <c r="D245" s="116">
        <v>1129</v>
      </c>
      <c r="E245" s="116">
        <v>1150</v>
      </c>
      <c r="F245" s="116">
        <v>1130.75</v>
      </c>
      <c r="G245">
        <v>2449</v>
      </c>
      <c r="H245" s="116"/>
      <c r="I245" s="116"/>
      <c r="L245" s="170">
        <v>42360</v>
      </c>
      <c r="M245" s="116">
        <v>1132.25</v>
      </c>
      <c r="N245" s="116">
        <v>1153</v>
      </c>
      <c r="O245" s="116">
        <v>1126.2</v>
      </c>
      <c r="P245" s="116">
        <v>1146</v>
      </c>
      <c r="Q245" s="116">
        <v>1132.25</v>
      </c>
      <c r="R245">
        <v>24970</v>
      </c>
    </row>
    <row r="246" spans="1:18" x14ac:dyDescent="0.25">
      <c r="A246" s="170">
        <v>42361</v>
      </c>
      <c r="B246" s="116">
        <v>1147</v>
      </c>
      <c r="C246" s="116">
        <v>1130.8499999999999</v>
      </c>
      <c r="D246" s="116">
        <v>1130</v>
      </c>
      <c r="E246" s="116">
        <v>1140</v>
      </c>
      <c r="F246" s="116">
        <v>1130.8499999999999</v>
      </c>
      <c r="G246">
        <v>4895</v>
      </c>
      <c r="H246" s="116"/>
      <c r="I246" s="116"/>
      <c r="L246" s="170">
        <v>42361</v>
      </c>
      <c r="M246" s="116">
        <v>1132.95</v>
      </c>
      <c r="N246" s="116">
        <v>1148</v>
      </c>
      <c r="O246" s="116">
        <v>1128</v>
      </c>
      <c r="P246" s="116">
        <v>1135</v>
      </c>
      <c r="Q246" s="116">
        <v>1132.95</v>
      </c>
      <c r="R246">
        <v>47708</v>
      </c>
    </row>
    <row r="247" spans="1:18" x14ac:dyDescent="0.25">
      <c r="A247" s="170">
        <v>42362</v>
      </c>
      <c r="B247" s="116">
        <v>1139.3</v>
      </c>
      <c r="C247" s="116">
        <v>1116.8</v>
      </c>
      <c r="D247" s="116">
        <v>1107.5</v>
      </c>
      <c r="E247" s="116">
        <v>1135.9000000000001</v>
      </c>
      <c r="F247" s="116">
        <v>1116.8</v>
      </c>
      <c r="G247">
        <v>5261</v>
      </c>
      <c r="H247" s="116"/>
      <c r="I247" s="116"/>
      <c r="L247" s="170">
        <v>42362</v>
      </c>
      <c r="M247" s="116">
        <v>1118.9000000000001</v>
      </c>
      <c r="N247" s="116">
        <v>1140.5</v>
      </c>
      <c r="O247" s="116">
        <v>1107</v>
      </c>
      <c r="P247" s="116">
        <v>1140</v>
      </c>
      <c r="Q247" s="116">
        <v>1118.9000000000001</v>
      </c>
      <c r="R247">
        <v>42867</v>
      </c>
    </row>
    <row r="248" spans="1:18" x14ac:dyDescent="0.25">
      <c r="A248" s="170">
        <v>42366</v>
      </c>
      <c r="B248" s="116">
        <v>1132</v>
      </c>
      <c r="C248" s="116">
        <v>1119.3499999999999</v>
      </c>
      <c r="D248" s="116">
        <v>1116</v>
      </c>
      <c r="E248" s="116">
        <v>1123.3</v>
      </c>
      <c r="F248" s="116">
        <v>1119.3499999999999</v>
      </c>
      <c r="G248">
        <v>3127</v>
      </c>
      <c r="H248" s="116"/>
      <c r="I248" s="116"/>
      <c r="L248" s="170">
        <v>42366</v>
      </c>
      <c r="M248" s="116">
        <v>1118.9000000000001</v>
      </c>
      <c r="N248" s="116">
        <v>1131.9000000000001</v>
      </c>
      <c r="O248" s="116">
        <v>1115</v>
      </c>
      <c r="P248" s="116">
        <v>1115.3</v>
      </c>
      <c r="Q248" s="116">
        <v>1118.9000000000001</v>
      </c>
      <c r="R248">
        <v>19844</v>
      </c>
    </row>
    <row r="249" spans="1:18" x14ac:dyDescent="0.25">
      <c r="A249" s="170">
        <v>42367</v>
      </c>
      <c r="B249" s="116">
        <v>1125</v>
      </c>
      <c r="C249" s="116">
        <v>1117.0999999999999</v>
      </c>
      <c r="D249" s="116">
        <v>1112.7</v>
      </c>
      <c r="E249" s="116">
        <v>1125</v>
      </c>
      <c r="F249" s="116">
        <v>1117.0999999999999</v>
      </c>
      <c r="G249">
        <v>2698</v>
      </c>
      <c r="H249" s="116"/>
      <c r="I249" s="116"/>
      <c r="L249" s="170">
        <v>42367</v>
      </c>
      <c r="M249" s="116">
        <v>1116.5999999999999</v>
      </c>
      <c r="N249" s="116">
        <v>1126</v>
      </c>
      <c r="O249" s="116">
        <v>1111.8499999999999</v>
      </c>
      <c r="P249" s="116">
        <v>1125</v>
      </c>
      <c r="Q249" s="116">
        <v>1116.5999999999999</v>
      </c>
      <c r="R249">
        <v>46028</v>
      </c>
    </row>
    <row r="250" spans="1:18" x14ac:dyDescent="0.25">
      <c r="A250" s="170">
        <v>42368</v>
      </c>
      <c r="B250" s="116">
        <v>1120.75</v>
      </c>
      <c r="C250" s="116">
        <v>1110.75</v>
      </c>
      <c r="D250" s="116">
        <v>1108.55</v>
      </c>
      <c r="E250" s="116">
        <v>1120.75</v>
      </c>
      <c r="F250" s="116">
        <v>1110.75</v>
      </c>
      <c r="G250">
        <v>2448</v>
      </c>
      <c r="H250" s="116"/>
      <c r="I250" s="116"/>
      <c r="L250" s="170">
        <v>42368</v>
      </c>
      <c r="M250" s="116">
        <v>1113.4000000000001</v>
      </c>
      <c r="N250" s="116">
        <v>1122.55</v>
      </c>
      <c r="O250" s="116">
        <v>1110</v>
      </c>
      <c r="P250" s="116">
        <v>1120.2</v>
      </c>
      <c r="Q250" s="116">
        <v>1113.4000000000001</v>
      </c>
      <c r="R250">
        <v>16818</v>
      </c>
    </row>
    <row r="251" spans="1:18" x14ac:dyDescent="0.25">
      <c r="A251" s="170">
        <v>42369</v>
      </c>
      <c r="B251" s="116">
        <v>1123</v>
      </c>
      <c r="C251" s="116">
        <v>1118.0999999999999</v>
      </c>
      <c r="D251" s="116">
        <v>1111.05</v>
      </c>
      <c r="E251" s="116">
        <v>1118.8499999999999</v>
      </c>
      <c r="F251" s="116">
        <v>1118.0999999999999</v>
      </c>
      <c r="G251">
        <v>3541</v>
      </c>
      <c r="H251" s="116"/>
      <c r="I251" s="116"/>
      <c r="L251" s="170">
        <v>42369</v>
      </c>
      <c r="M251" s="116">
        <v>1114.5</v>
      </c>
      <c r="N251" s="116">
        <v>1124.5</v>
      </c>
      <c r="O251" s="116">
        <v>1111</v>
      </c>
      <c r="P251" s="116">
        <v>1116.25</v>
      </c>
      <c r="Q251" s="116">
        <v>1114.5</v>
      </c>
      <c r="R251">
        <v>21547</v>
      </c>
    </row>
    <row r="252" spans="1:18" x14ac:dyDescent="0.25">
      <c r="A252" s="170">
        <v>42370</v>
      </c>
      <c r="B252" s="116">
        <v>1123.3</v>
      </c>
      <c r="C252" s="116">
        <v>1117.5</v>
      </c>
      <c r="D252" s="116">
        <v>1114</v>
      </c>
      <c r="E252" s="116">
        <v>1122.3499999999999</v>
      </c>
      <c r="F252" s="116">
        <v>1117.5</v>
      </c>
      <c r="G252">
        <v>1435</v>
      </c>
      <c r="H252" s="116"/>
      <c r="I252" s="116"/>
      <c r="L252" s="170">
        <v>42370</v>
      </c>
      <c r="M252" s="116">
        <v>1116.45</v>
      </c>
      <c r="N252" s="116">
        <v>1125</v>
      </c>
      <c r="O252" s="116">
        <v>1111</v>
      </c>
      <c r="P252" s="116">
        <v>1118.75</v>
      </c>
      <c r="Q252" s="116">
        <v>1116.45</v>
      </c>
      <c r="R252">
        <v>16523</v>
      </c>
    </row>
    <row r="253" spans="1:18" x14ac:dyDescent="0.25">
      <c r="A253" s="170">
        <v>42373</v>
      </c>
      <c r="B253" s="116">
        <v>1155</v>
      </c>
      <c r="C253" s="116">
        <v>1118.1500000000001</v>
      </c>
      <c r="D253" s="116">
        <v>1112</v>
      </c>
      <c r="E253" s="116">
        <v>1120</v>
      </c>
      <c r="F253" s="116">
        <v>1118.1500000000001</v>
      </c>
      <c r="G253">
        <v>7531</v>
      </c>
      <c r="H253" s="116"/>
      <c r="I253" s="116"/>
      <c r="L253" s="170">
        <v>42373</v>
      </c>
      <c r="M253" s="116">
        <v>1120.1500000000001</v>
      </c>
      <c r="N253" s="116">
        <v>1125.8499999999999</v>
      </c>
      <c r="O253" s="116">
        <v>1110</v>
      </c>
      <c r="P253" s="116">
        <v>1116</v>
      </c>
      <c r="Q253" s="116">
        <v>1120.1500000000001</v>
      </c>
      <c r="R253">
        <v>57148</v>
      </c>
    </row>
    <row r="254" spans="1:18" x14ac:dyDescent="0.25">
      <c r="A254" s="170">
        <v>42374</v>
      </c>
      <c r="B254" s="116">
        <v>1134</v>
      </c>
      <c r="C254" s="116">
        <v>1093.7</v>
      </c>
      <c r="D254" s="116">
        <v>1084</v>
      </c>
      <c r="E254" s="116">
        <v>1125</v>
      </c>
      <c r="F254" s="116">
        <v>1093.7</v>
      </c>
      <c r="G254">
        <v>13741</v>
      </c>
      <c r="H254" s="116"/>
      <c r="I254" s="116"/>
      <c r="L254" s="170">
        <v>42374</v>
      </c>
      <c r="M254" s="116">
        <v>1094.55</v>
      </c>
      <c r="N254" s="116">
        <v>1135.3499999999999</v>
      </c>
      <c r="O254" s="116">
        <v>1082.25</v>
      </c>
      <c r="P254" s="116">
        <v>1118.75</v>
      </c>
      <c r="Q254" s="116">
        <v>1094.55</v>
      </c>
      <c r="R254">
        <v>69794</v>
      </c>
    </row>
    <row r="255" spans="1:18" x14ac:dyDescent="0.25">
      <c r="A255" s="170">
        <v>42375</v>
      </c>
      <c r="B255" s="116">
        <v>1105</v>
      </c>
      <c r="C255" s="116">
        <v>1082.8499999999999</v>
      </c>
      <c r="D255" s="116">
        <v>1076</v>
      </c>
      <c r="E255" s="116">
        <v>1093</v>
      </c>
      <c r="F255" s="116">
        <v>1082.8499999999999</v>
      </c>
      <c r="G255">
        <v>4626</v>
      </c>
      <c r="H255" s="116"/>
      <c r="I255" s="116"/>
      <c r="L255" s="170">
        <v>42375</v>
      </c>
      <c r="M255" s="116">
        <v>1077.5999999999999</v>
      </c>
      <c r="N255" s="116">
        <v>1104.9000000000001</v>
      </c>
      <c r="O255" s="116">
        <v>1072.55</v>
      </c>
      <c r="P255" s="116">
        <v>1090.3</v>
      </c>
      <c r="Q255" s="116">
        <v>1077.5999999999999</v>
      </c>
      <c r="R255">
        <v>32663</v>
      </c>
    </row>
    <row r="256" spans="1:18" x14ac:dyDescent="0.25">
      <c r="A256" s="170">
        <v>42376</v>
      </c>
      <c r="B256" s="116">
        <v>1070</v>
      </c>
      <c r="C256" s="116">
        <v>1056.1500000000001</v>
      </c>
      <c r="D256" s="116">
        <v>1048</v>
      </c>
      <c r="E256" s="116">
        <v>1070</v>
      </c>
      <c r="F256" s="116">
        <v>1056.1500000000001</v>
      </c>
      <c r="G256">
        <v>6827</v>
      </c>
      <c r="H256" s="116"/>
      <c r="I256" s="116"/>
      <c r="L256" s="170">
        <v>42376</v>
      </c>
      <c r="M256" s="116">
        <v>1053.45</v>
      </c>
      <c r="N256" s="116">
        <v>1079.9000000000001</v>
      </c>
      <c r="O256" s="116">
        <v>1045.8499999999999</v>
      </c>
      <c r="P256" s="116">
        <v>1075</v>
      </c>
      <c r="Q256" s="116">
        <v>1053.45</v>
      </c>
      <c r="R256">
        <v>32611</v>
      </c>
    </row>
    <row r="257" spans="1:18" x14ac:dyDescent="0.25">
      <c r="A257" s="170">
        <v>42377</v>
      </c>
      <c r="B257" s="116">
        <v>1074.75</v>
      </c>
      <c r="C257" s="116">
        <v>1053.7</v>
      </c>
      <c r="D257" s="116">
        <v>1051</v>
      </c>
      <c r="E257" s="116">
        <v>1070</v>
      </c>
      <c r="F257" s="116">
        <v>1053.7</v>
      </c>
      <c r="G257">
        <v>6810</v>
      </c>
      <c r="H257" s="116"/>
      <c r="I257" s="116"/>
      <c r="L257" s="170">
        <v>42377</v>
      </c>
      <c r="M257" s="116">
        <v>1055.55</v>
      </c>
      <c r="N257" s="116">
        <v>1070</v>
      </c>
      <c r="O257" s="116">
        <v>1050</v>
      </c>
      <c r="P257" s="116">
        <v>1050.55</v>
      </c>
      <c r="Q257" s="116">
        <v>1055.55</v>
      </c>
      <c r="R257">
        <v>26600</v>
      </c>
    </row>
    <row r="258" spans="1:18" x14ac:dyDescent="0.25">
      <c r="A258" s="170">
        <v>42380</v>
      </c>
      <c r="B258" s="116">
        <v>1055</v>
      </c>
      <c r="C258" s="116">
        <v>1006.85</v>
      </c>
      <c r="D258" s="116">
        <v>1001</v>
      </c>
      <c r="E258" s="116">
        <v>1055</v>
      </c>
      <c r="F258" s="116">
        <v>1006.85</v>
      </c>
      <c r="G258">
        <v>12128</v>
      </c>
      <c r="H258" s="116"/>
      <c r="I258" s="116"/>
      <c r="L258" s="170">
        <v>42380</v>
      </c>
      <c r="M258" s="116">
        <v>1006.85</v>
      </c>
      <c r="N258" s="116">
        <v>1055.5999999999999</v>
      </c>
      <c r="O258" s="116">
        <v>1000</v>
      </c>
      <c r="P258" s="116">
        <v>1055.55</v>
      </c>
      <c r="Q258" s="116">
        <v>1006.85</v>
      </c>
      <c r="R258">
        <v>51369</v>
      </c>
    </row>
    <row r="259" spans="1:18" x14ac:dyDescent="0.25">
      <c r="A259" s="170">
        <v>42381</v>
      </c>
      <c r="B259" s="116">
        <v>1045.95</v>
      </c>
      <c r="C259" s="116">
        <v>1023.75</v>
      </c>
      <c r="D259" s="116">
        <v>1000</v>
      </c>
      <c r="E259" s="116">
        <v>1040</v>
      </c>
      <c r="F259" s="116">
        <v>1023.75</v>
      </c>
      <c r="G259">
        <v>7090</v>
      </c>
      <c r="H259" s="116"/>
      <c r="I259" s="116"/>
      <c r="L259" s="170">
        <v>42381</v>
      </c>
      <c r="M259" s="116">
        <v>1026.3499999999999</v>
      </c>
      <c r="N259" s="116">
        <v>1045</v>
      </c>
      <c r="O259" s="116">
        <v>1012.3</v>
      </c>
      <c r="P259" s="116">
        <v>1017.45</v>
      </c>
      <c r="Q259" s="116">
        <v>1026.3499999999999</v>
      </c>
      <c r="R259">
        <v>42450</v>
      </c>
    </row>
    <row r="260" spans="1:18" x14ac:dyDescent="0.25">
      <c r="A260" s="170">
        <v>42382</v>
      </c>
      <c r="B260" s="116">
        <v>1042.45</v>
      </c>
      <c r="C260" s="116">
        <v>1021.15</v>
      </c>
      <c r="D260" s="116">
        <v>1007</v>
      </c>
      <c r="E260" s="116">
        <v>1038.55</v>
      </c>
      <c r="F260" s="116">
        <v>1021.15</v>
      </c>
      <c r="G260">
        <v>5830</v>
      </c>
      <c r="H260" s="116"/>
      <c r="I260" s="116"/>
      <c r="L260" s="170">
        <v>42382</v>
      </c>
      <c r="M260" s="116">
        <v>1019.85</v>
      </c>
      <c r="N260" s="116">
        <v>1044</v>
      </c>
      <c r="O260" s="116">
        <v>1005</v>
      </c>
      <c r="P260" s="116">
        <v>1030</v>
      </c>
      <c r="Q260" s="116">
        <v>1019.85</v>
      </c>
      <c r="R260">
        <v>47513</v>
      </c>
    </row>
    <row r="261" spans="1:18" x14ac:dyDescent="0.25">
      <c r="A261" s="170">
        <v>42383</v>
      </c>
      <c r="B261" s="116">
        <v>1040</v>
      </c>
      <c r="C261" s="116">
        <v>1013.1</v>
      </c>
      <c r="D261" s="116">
        <v>1004.95</v>
      </c>
      <c r="E261" s="116">
        <v>1010.05</v>
      </c>
      <c r="F261" s="116">
        <v>1013.1</v>
      </c>
      <c r="G261">
        <v>5688</v>
      </c>
      <c r="H261" s="116"/>
      <c r="I261" s="116"/>
      <c r="L261" s="170">
        <v>42383</v>
      </c>
      <c r="M261" s="116">
        <v>1013.6</v>
      </c>
      <c r="N261" s="116">
        <v>1030</v>
      </c>
      <c r="O261" s="116">
        <v>1001</v>
      </c>
      <c r="P261" s="116">
        <v>1015</v>
      </c>
      <c r="Q261" s="116">
        <v>1013.6</v>
      </c>
      <c r="R261">
        <v>26224</v>
      </c>
    </row>
    <row r="262" spans="1:18" x14ac:dyDescent="0.25">
      <c r="A262" s="170">
        <v>42384</v>
      </c>
      <c r="B262" s="116">
        <v>1035</v>
      </c>
      <c r="C262" s="116">
        <v>1015.05</v>
      </c>
      <c r="D262" s="116">
        <v>1002.05</v>
      </c>
      <c r="E262" s="116">
        <v>1015</v>
      </c>
      <c r="F262" s="116">
        <v>1015.05</v>
      </c>
      <c r="G262">
        <v>4473</v>
      </c>
      <c r="H262" s="116"/>
      <c r="I262" s="116"/>
      <c r="L262" s="170">
        <v>42384</v>
      </c>
      <c r="M262" s="116">
        <v>1013.65</v>
      </c>
      <c r="N262" s="116">
        <v>1029.7</v>
      </c>
      <c r="O262" s="116">
        <v>1005</v>
      </c>
      <c r="P262" s="116">
        <v>1015</v>
      </c>
      <c r="Q262" s="116">
        <v>1013.65</v>
      </c>
      <c r="R262">
        <v>27082</v>
      </c>
    </row>
    <row r="263" spans="1:18" x14ac:dyDescent="0.25">
      <c r="A263" s="170">
        <v>42387</v>
      </c>
      <c r="B263" s="116">
        <v>1016.8</v>
      </c>
      <c r="C263" s="116">
        <v>999.9</v>
      </c>
      <c r="D263" s="116">
        <v>993</v>
      </c>
      <c r="E263" s="116">
        <v>1016</v>
      </c>
      <c r="F263" s="116">
        <v>999.9</v>
      </c>
      <c r="G263">
        <v>8001</v>
      </c>
      <c r="H263" s="116"/>
      <c r="I263" s="116"/>
      <c r="L263" s="170">
        <v>42387</v>
      </c>
      <c r="M263" s="116">
        <v>1004.5</v>
      </c>
      <c r="N263" s="116">
        <v>1018.3</v>
      </c>
      <c r="O263" s="116">
        <v>991</v>
      </c>
      <c r="P263" s="116">
        <v>1005</v>
      </c>
      <c r="Q263" s="116">
        <v>1004.5</v>
      </c>
      <c r="R263">
        <v>34454</v>
      </c>
    </row>
    <row r="264" spans="1:18" x14ac:dyDescent="0.25">
      <c r="A264" s="170">
        <v>42388</v>
      </c>
      <c r="B264" s="116">
        <v>1034.8499999999999</v>
      </c>
      <c r="C264" s="116">
        <v>1018.8</v>
      </c>
      <c r="D264" s="116">
        <v>993</v>
      </c>
      <c r="E264" s="116">
        <v>993</v>
      </c>
      <c r="F264" s="116">
        <v>1018.8</v>
      </c>
      <c r="G264">
        <v>4420</v>
      </c>
      <c r="H264" s="116"/>
      <c r="I264" s="116"/>
      <c r="L264" s="170">
        <v>42388</v>
      </c>
      <c r="M264" s="116">
        <v>1019.45</v>
      </c>
      <c r="N264" s="116">
        <v>1034.5999999999999</v>
      </c>
      <c r="O264" s="116">
        <v>997</v>
      </c>
      <c r="P264" s="116">
        <v>1010</v>
      </c>
      <c r="Q264" s="116">
        <v>1019.45</v>
      </c>
      <c r="R264">
        <v>29176</v>
      </c>
    </row>
    <row r="265" spans="1:18" x14ac:dyDescent="0.25">
      <c r="A265" s="170">
        <v>42389</v>
      </c>
      <c r="B265" s="116">
        <v>1010</v>
      </c>
      <c r="C265" s="116">
        <v>999.65</v>
      </c>
      <c r="D265" s="116">
        <v>984</v>
      </c>
      <c r="E265" s="116">
        <v>1010</v>
      </c>
      <c r="F265" s="116">
        <v>999.65</v>
      </c>
      <c r="G265">
        <v>5721</v>
      </c>
      <c r="H265" s="116"/>
      <c r="I265" s="116"/>
      <c r="L265" s="170">
        <v>42389</v>
      </c>
      <c r="M265" s="116">
        <v>993.6</v>
      </c>
      <c r="N265" s="116">
        <v>1018</v>
      </c>
      <c r="O265" s="116">
        <v>981</v>
      </c>
      <c r="P265" s="116">
        <v>1013</v>
      </c>
      <c r="Q265" s="116">
        <v>993.6</v>
      </c>
      <c r="R265">
        <v>22476</v>
      </c>
    </row>
    <row r="266" spans="1:18" x14ac:dyDescent="0.25">
      <c r="A266" s="170">
        <v>42390</v>
      </c>
      <c r="B266" s="116">
        <v>1014.15</v>
      </c>
      <c r="C266" s="116">
        <v>968.75</v>
      </c>
      <c r="D266" s="116">
        <v>963.05</v>
      </c>
      <c r="E266" s="116">
        <v>1007.45</v>
      </c>
      <c r="F266" s="116">
        <v>968.75</v>
      </c>
      <c r="G266">
        <v>3468</v>
      </c>
      <c r="H266" s="116"/>
      <c r="I266" s="116"/>
      <c r="L266" s="170">
        <v>42390</v>
      </c>
      <c r="M266" s="116">
        <v>964.5</v>
      </c>
      <c r="N266" s="116">
        <v>1014.2</v>
      </c>
      <c r="O266" s="116">
        <v>956.6</v>
      </c>
      <c r="P266" s="116">
        <v>1003.75</v>
      </c>
      <c r="Q266" s="116">
        <v>964.5</v>
      </c>
      <c r="R266">
        <v>25645</v>
      </c>
    </row>
    <row r="267" spans="1:18" x14ac:dyDescent="0.25">
      <c r="A267" s="170">
        <v>42391</v>
      </c>
      <c r="B267" s="116">
        <v>988</v>
      </c>
      <c r="C267" s="116">
        <v>967.45</v>
      </c>
      <c r="D267" s="116">
        <v>964</v>
      </c>
      <c r="E267" s="116">
        <v>988</v>
      </c>
      <c r="F267" s="116">
        <v>967.45</v>
      </c>
      <c r="G267">
        <v>5725</v>
      </c>
      <c r="H267" s="116"/>
      <c r="I267" s="116"/>
      <c r="L267" s="170">
        <v>42391</v>
      </c>
      <c r="M267" s="116">
        <v>968.2</v>
      </c>
      <c r="N267" s="116">
        <v>988.25</v>
      </c>
      <c r="O267" s="116">
        <v>955.2</v>
      </c>
      <c r="P267" s="116">
        <v>970.25</v>
      </c>
      <c r="Q267" s="116">
        <v>968.2</v>
      </c>
      <c r="R267">
        <v>32167</v>
      </c>
    </row>
    <row r="268" spans="1:18" x14ac:dyDescent="0.25">
      <c r="A268" s="170">
        <v>42394</v>
      </c>
      <c r="B268" s="116">
        <v>991.85</v>
      </c>
      <c r="C268" s="116">
        <v>980.05</v>
      </c>
      <c r="D268" s="116">
        <v>966.45</v>
      </c>
      <c r="E268" s="116">
        <v>982.75</v>
      </c>
      <c r="F268" s="116">
        <v>980.05</v>
      </c>
      <c r="G268">
        <v>8121</v>
      </c>
      <c r="H268" s="116"/>
      <c r="I268" s="116"/>
      <c r="L268" s="170">
        <v>42394</v>
      </c>
      <c r="M268" s="116">
        <v>981.05</v>
      </c>
      <c r="N268" s="116">
        <v>993.9</v>
      </c>
      <c r="O268" s="116">
        <v>965</v>
      </c>
      <c r="P268" s="116">
        <v>980</v>
      </c>
      <c r="Q268" s="116">
        <v>981.05</v>
      </c>
      <c r="R268">
        <v>41164</v>
      </c>
    </row>
    <row r="269" spans="1:18" x14ac:dyDescent="0.25">
      <c r="A269" s="170">
        <v>42396</v>
      </c>
      <c r="B269" s="116">
        <v>980.6</v>
      </c>
      <c r="C269" s="116">
        <v>971.85</v>
      </c>
      <c r="D269" s="116">
        <v>967.25</v>
      </c>
      <c r="E269" s="116">
        <v>980</v>
      </c>
      <c r="F269" s="116">
        <v>971.85</v>
      </c>
      <c r="G269">
        <v>2451</v>
      </c>
      <c r="H269" s="116"/>
      <c r="I269" s="116"/>
      <c r="L269" s="170">
        <v>42396</v>
      </c>
      <c r="M269" s="116">
        <v>973.3</v>
      </c>
      <c r="N269" s="116">
        <v>985</v>
      </c>
      <c r="O269" s="116">
        <v>970</v>
      </c>
      <c r="P269" s="116">
        <v>985</v>
      </c>
      <c r="Q269" s="116">
        <v>973.3</v>
      </c>
      <c r="R269">
        <v>25145</v>
      </c>
    </row>
    <row r="270" spans="1:18" x14ac:dyDescent="0.25">
      <c r="A270" s="170">
        <v>42397</v>
      </c>
      <c r="B270" s="116">
        <v>977.95</v>
      </c>
      <c r="C270" s="116">
        <v>968.25</v>
      </c>
      <c r="D270" s="116">
        <v>964</v>
      </c>
      <c r="E270" s="116">
        <v>973.5</v>
      </c>
      <c r="F270" s="116">
        <v>968.25</v>
      </c>
      <c r="G270">
        <v>2323</v>
      </c>
      <c r="H270" s="116"/>
      <c r="I270" s="116"/>
      <c r="L270" s="170">
        <v>42397</v>
      </c>
      <c r="M270" s="116">
        <v>968.95</v>
      </c>
      <c r="N270" s="116">
        <v>978.95</v>
      </c>
      <c r="O270" s="116">
        <v>963.5</v>
      </c>
      <c r="P270" s="116">
        <v>972.05</v>
      </c>
      <c r="Q270" s="116">
        <v>968.95</v>
      </c>
      <c r="R270">
        <v>21274</v>
      </c>
    </row>
    <row r="271" spans="1:18" x14ac:dyDescent="0.25">
      <c r="A271" s="170">
        <v>42398</v>
      </c>
      <c r="B271" s="116">
        <v>976.85</v>
      </c>
      <c r="C271" s="116">
        <v>973</v>
      </c>
      <c r="D271" s="116">
        <v>965</v>
      </c>
      <c r="E271" s="116">
        <v>976.8</v>
      </c>
      <c r="F271" s="116">
        <v>973</v>
      </c>
      <c r="G271">
        <v>3536</v>
      </c>
      <c r="H271" s="116"/>
      <c r="I271" s="116"/>
      <c r="L271" s="170">
        <v>42398</v>
      </c>
      <c r="M271" s="116">
        <v>971.1</v>
      </c>
      <c r="N271" s="116">
        <v>979</v>
      </c>
      <c r="O271" s="116">
        <v>962</v>
      </c>
      <c r="P271" s="116">
        <v>967.9</v>
      </c>
      <c r="Q271" s="116">
        <v>971.1</v>
      </c>
      <c r="R271">
        <v>18640</v>
      </c>
    </row>
    <row r="272" spans="1:18" x14ac:dyDescent="0.25">
      <c r="A272" s="170">
        <v>42401</v>
      </c>
      <c r="B272" s="116">
        <v>1025</v>
      </c>
      <c r="C272" s="116">
        <v>997.7</v>
      </c>
      <c r="D272" s="116">
        <v>975</v>
      </c>
      <c r="E272" s="116">
        <v>976</v>
      </c>
      <c r="F272" s="116">
        <v>997.7</v>
      </c>
      <c r="G272">
        <v>7829</v>
      </c>
      <c r="H272" s="116"/>
      <c r="I272" s="116"/>
      <c r="L272" s="170">
        <v>42401</v>
      </c>
      <c r="M272" s="116">
        <v>998.8</v>
      </c>
      <c r="N272" s="116">
        <v>1027.25</v>
      </c>
      <c r="O272" s="116">
        <v>974.8</v>
      </c>
      <c r="P272" s="116">
        <v>979.5</v>
      </c>
      <c r="Q272" s="116">
        <v>998.8</v>
      </c>
      <c r="R272">
        <v>115262</v>
      </c>
    </row>
    <row r="273" spans="1:18" x14ac:dyDescent="0.25">
      <c r="A273" s="170">
        <v>42402</v>
      </c>
      <c r="B273" s="116">
        <v>1022.4</v>
      </c>
      <c r="C273" s="116">
        <v>1014.55</v>
      </c>
      <c r="D273" s="116">
        <v>1002.55</v>
      </c>
      <c r="E273" s="116">
        <v>1002.55</v>
      </c>
      <c r="F273" s="116">
        <v>1014.55</v>
      </c>
      <c r="G273">
        <v>6695</v>
      </c>
      <c r="H273" s="116"/>
      <c r="I273" s="116"/>
      <c r="L273" s="170">
        <v>42402</v>
      </c>
      <c r="M273" s="116">
        <v>1014.6</v>
      </c>
      <c r="N273" s="116">
        <v>1024.5</v>
      </c>
      <c r="O273" s="116">
        <v>1000.2</v>
      </c>
      <c r="P273" s="116">
        <v>1000.2</v>
      </c>
      <c r="Q273" s="116">
        <v>1014.6</v>
      </c>
      <c r="R273">
        <v>164683</v>
      </c>
    </row>
    <row r="274" spans="1:18" x14ac:dyDescent="0.25">
      <c r="A274" s="170">
        <v>42403</v>
      </c>
      <c r="B274" s="116">
        <v>1036.8</v>
      </c>
      <c r="C274" s="116">
        <v>1005.25</v>
      </c>
      <c r="D274" s="116">
        <v>996.5</v>
      </c>
      <c r="E274" s="116">
        <v>1007</v>
      </c>
      <c r="F274" s="116">
        <v>1005.25</v>
      </c>
      <c r="G274">
        <v>10055</v>
      </c>
      <c r="H274" s="116"/>
      <c r="I274" s="116"/>
      <c r="L274" s="170">
        <v>42403</v>
      </c>
      <c r="M274" s="116">
        <v>1005.9</v>
      </c>
      <c r="N274" s="116">
        <v>1038.5999999999999</v>
      </c>
      <c r="O274" s="116">
        <v>995</v>
      </c>
      <c r="P274" s="116">
        <v>1000</v>
      </c>
      <c r="Q274" s="116">
        <v>1005.9</v>
      </c>
      <c r="R274">
        <v>45024</v>
      </c>
    </row>
    <row r="275" spans="1:18" x14ac:dyDescent="0.25">
      <c r="A275" s="170">
        <v>42404</v>
      </c>
      <c r="B275" s="116">
        <v>1192</v>
      </c>
      <c r="C275" s="116">
        <v>1148.0999999999999</v>
      </c>
      <c r="D275" s="116">
        <v>1017.15</v>
      </c>
      <c r="E275" s="116">
        <v>1018.95</v>
      </c>
      <c r="F275" s="116">
        <v>1148.0999999999999</v>
      </c>
      <c r="G275">
        <v>204673</v>
      </c>
      <c r="H275" s="116"/>
      <c r="I275" s="116"/>
      <c r="L275" s="170">
        <v>42404</v>
      </c>
      <c r="M275" s="116">
        <v>1151.55</v>
      </c>
      <c r="N275" s="116">
        <v>1198</v>
      </c>
      <c r="O275" s="116">
        <v>1011</v>
      </c>
      <c r="P275" s="116">
        <v>1011</v>
      </c>
      <c r="Q275" s="116">
        <v>1151.55</v>
      </c>
      <c r="R275">
        <v>1689560</v>
      </c>
    </row>
    <row r="276" spans="1:18" x14ac:dyDescent="0.25">
      <c r="A276" s="170">
        <v>42405</v>
      </c>
      <c r="B276" s="116">
        <v>1163.8</v>
      </c>
      <c r="C276" s="116">
        <v>1130.75</v>
      </c>
      <c r="D276" s="116">
        <v>1113.8499999999999</v>
      </c>
      <c r="E276" s="116">
        <v>1149.6500000000001</v>
      </c>
      <c r="F276" s="116">
        <v>1130.75</v>
      </c>
      <c r="G276">
        <v>33041</v>
      </c>
      <c r="H276" s="116"/>
      <c r="I276" s="116"/>
      <c r="L276" s="170">
        <v>42405</v>
      </c>
      <c r="M276" s="116">
        <v>1133.9000000000001</v>
      </c>
      <c r="N276" s="116">
        <v>1165.2</v>
      </c>
      <c r="O276" s="116">
        <v>1111</v>
      </c>
      <c r="P276" s="116">
        <v>1147</v>
      </c>
      <c r="Q276" s="116">
        <v>1133.9000000000001</v>
      </c>
      <c r="R276">
        <v>255185</v>
      </c>
    </row>
    <row r="277" spans="1:18" x14ac:dyDescent="0.25">
      <c r="A277" s="170">
        <v>42408</v>
      </c>
      <c r="B277" s="116">
        <v>1165</v>
      </c>
      <c r="C277" s="116">
        <v>1101.3</v>
      </c>
      <c r="D277" s="116">
        <v>1079.05</v>
      </c>
      <c r="E277" s="116">
        <v>1135</v>
      </c>
      <c r="F277" s="116">
        <v>1101.3</v>
      </c>
      <c r="G277">
        <v>28032</v>
      </c>
      <c r="H277" s="116"/>
      <c r="I277" s="116"/>
      <c r="L277" s="170">
        <v>42408</v>
      </c>
      <c r="M277" s="116">
        <v>1104.8499999999999</v>
      </c>
      <c r="N277" s="116">
        <v>1164</v>
      </c>
      <c r="O277" s="116">
        <v>1080</v>
      </c>
      <c r="P277" s="116">
        <v>1134</v>
      </c>
      <c r="Q277" s="116">
        <v>1104.8499999999999</v>
      </c>
      <c r="R277">
        <v>135560</v>
      </c>
    </row>
    <row r="278" spans="1:18" x14ac:dyDescent="0.25">
      <c r="A278" s="170">
        <v>42409</v>
      </c>
      <c r="B278" s="116">
        <v>1156.3</v>
      </c>
      <c r="C278" s="116">
        <v>1119.1500000000001</v>
      </c>
      <c r="D278" s="116">
        <v>1090.0999999999999</v>
      </c>
      <c r="E278" s="116">
        <v>1090.0999999999999</v>
      </c>
      <c r="F278" s="116">
        <v>1119.1500000000001</v>
      </c>
      <c r="G278">
        <v>29705</v>
      </c>
      <c r="H278" s="116"/>
      <c r="I278" s="116"/>
      <c r="L278" s="170">
        <v>42409</v>
      </c>
      <c r="M278" s="116">
        <v>1121.25</v>
      </c>
      <c r="N278" s="116">
        <v>1157</v>
      </c>
      <c r="O278" s="116">
        <v>1090</v>
      </c>
      <c r="P278" s="116">
        <v>1098</v>
      </c>
      <c r="Q278" s="116">
        <v>1121.25</v>
      </c>
      <c r="R278">
        <v>199863</v>
      </c>
    </row>
    <row r="279" spans="1:18" x14ac:dyDescent="0.25">
      <c r="A279" s="170">
        <v>42410</v>
      </c>
      <c r="B279" s="116">
        <v>1128.1500000000001</v>
      </c>
      <c r="C279" s="116">
        <v>1059.95</v>
      </c>
      <c r="D279" s="116">
        <v>1036</v>
      </c>
      <c r="E279" s="116">
        <v>1116.6500000000001</v>
      </c>
      <c r="F279" s="116">
        <v>1059.95</v>
      </c>
      <c r="G279">
        <v>19953</v>
      </c>
      <c r="H279" s="116"/>
      <c r="I279" s="116"/>
      <c r="L279" s="170">
        <v>42410</v>
      </c>
      <c r="M279" s="116">
        <v>1055.1500000000001</v>
      </c>
      <c r="N279" s="116">
        <v>1129</v>
      </c>
      <c r="O279" s="116">
        <v>1030.5</v>
      </c>
      <c r="P279" s="116">
        <v>1116</v>
      </c>
      <c r="Q279" s="116">
        <v>1055.1500000000001</v>
      </c>
      <c r="R279">
        <v>311310</v>
      </c>
    </row>
    <row r="280" spans="1:18" x14ac:dyDescent="0.25">
      <c r="A280" s="170">
        <v>42411</v>
      </c>
      <c r="B280" s="116">
        <v>1125</v>
      </c>
      <c r="C280" s="116">
        <v>1078.5999999999999</v>
      </c>
      <c r="D280" s="116">
        <v>1062.5999999999999</v>
      </c>
      <c r="E280" s="116">
        <v>1078</v>
      </c>
      <c r="F280" s="116">
        <v>1078.5999999999999</v>
      </c>
      <c r="G280">
        <v>37227</v>
      </c>
      <c r="H280" s="116"/>
      <c r="I280" s="116"/>
      <c r="L280" s="170">
        <v>42411</v>
      </c>
      <c r="M280" s="116">
        <v>1086.05</v>
      </c>
      <c r="N280" s="116">
        <v>1125</v>
      </c>
      <c r="O280" s="116">
        <v>1070</v>
      </c>
      <c r="P280" s="116">
        <v>1080.75</v>
      </c>
      <c r="Q280" s="116">
        <v>1086.05</v>
      </c>
      <c r="R280">
        <v>257893</v>
      </c>
    </row>
    <row r="281" spans="1:18" x14ac:dyDescent="0.25">
      <c r="A281" s="170">
        <v>42412</v>
      </c>
      <c r="B281" s="116">
        <v>1106.6500000000001</v>
      </c>
      <c r="C281" s="116">
        <v>1042.5</v>
      </c>
      <c r="D281" s="116">
        <v>1030</v>
      </c>
      <c r="E281" s="116">
        <v>1099</v>
      </c>
      <c r="F281" s="116">
        <v>1042.5</v>
      </c>
      <c r="G281">
        <v>14611</v>
      </c>
      <c r="H281" s="116"/>
      <c r="I281" s="116"/>
      <c r="L281" s="170">
        <v>42412</v>
      </c>
      <c r="M281" s="116">
        <v>1039.4000000000001</v>
      </c>
      <c r="N281" s="116">
        <v>1105</v>
      </c>
      <c r="O281" s="116">
        <v>1025</v>
      </c>
      <c r="P281" s="116">
        <v>1082</v>
      </c>
      <c r="Q281" s="116">
        <v>1039.4000000000001</v>
      </c>
      <c r="R281">
        <v>79398</v>
      </c>
    </row>
    <row r="282" spans="1:18" x14ac:dyDescent="0.25">
      <c r="A282" s="170">
        <v>42415</v>
      </c>
      <c r="B282" s="116">
        <v>1115</v>
      </c>
      <c r="C282" s="116">
        <v>1106.1500000000001</v>
      </c>
      <c r="D282" s="116">
        <v>1064.0999999999999</v>
      </c>
      <c r="E282" s="116">
        <v>1064.0999999999999</v>
      </c>
      <c r="F282" s="116">
        <v>1106.1500000000001</v>
      </c>
      <c r="G282">
        <v>16125</v>
      </c>
      <c r="H282" s="116"/>
      <c r="I282" s="116"/>
      <c r="L282" s="170">
        <v>42415</v>
      </c>
      <c r="M282" s="116">
        <v>1108.1500000000001</v>
      </c>
      <c r="N282" s="116">
        <v>1120</v>
      </c>
      <c r="O282" s="116">
        <v>1056</v>
      </c>
      <c r="P282" s="116">
        <v>1056</v>
      </c>
      <c r="Q282" s="116">
        <v>1108.1500000000001</v>
      </c>
      <c r="R282">
        <v>116513</v>
      </c>
    </row>
    <row r="283" spans="1:18" x14ac:dyDescent="0.25">
      <c r="A283" s="170">
        <v>42416</v>
      </c>
      <c r="B283" s="116">
        <v>1131.7</v>
      </c>
      <c r="C283" s="116">
        <v>1100.5</v>
      </c>
      <c r="D283" s="116">
        <v>1093</v>
      </c>
      <c r="E283" s="116">
        <v>1114</v>
      </c>
      <c r="F283" s="116">
        <v>1100.5</v>
      </c>
      <c r="G283">
        <v>14468</v>
      </c>
      <c r="H283" s="116"/>
      <c r="I283" s="116"/>
      <c r="L283" s="170">
        <v>42416</v>
      </c>
      <c r="M283" s="116">
        <v>1096.0999999999999</v>
      </c>
      <c r="N283" s="116">
        <v>1133.2</v>
      </c>
      <c r="O283" s="116">
        <v>1086.5999999999999</v>
      </c>
      <c r="P283" s="116">
        <v>1117</v>
      </c>
      <c r="Q283" s="116">
        <v>1096.0999999999999</v>
      </c>
      <c r="R283">
        <v>107024</v>
      </c>
    </row>
    <row r="284" spans="1:18" x14ac:dyDescent="0.25">
      <c r="A284" s="170">
        <v>42417</v>
      </c>
      <c r="B284" s="116">
        <v>1125</v>
      </c>
      <c r="C284" s="116">
        <v>1103.6500000000001</v>
      </c>
      <c r="D284" s="116">
        <v>1056.55</v>
      </c>
      <c r="E284" s="116">
        <v>1096.3499999999999</v>
      </c>
      <c r="F284" s="116">
        <v>1103.6500000000001</v>
      </c>
      <c r="G284">
        <v>9866</v>
      </c>
      <c r="H284" s="116"/>
      <c r="I284" s="116"/>
      <c r="L284" s="170">
        <v>42417</v>
      </c>
      <c r="M284" s="116">
        <v>1102.95</v>
      </c>
      <c r="N284" s="116">
        <v>1114.4000000000001</v>
      </c>
      <c r="O284" s="116">
        <v>1061.05</v>
      </c>
      <c r="P284" s="116">
        <v>1098</v>
      </c>
      <c r="Q284" s="116">
        <v>1102.95</v>
      </c>
      <c r="R284">
        <v>41741</v>
      </c>
    </row>
    <row r="285" spans="1:18" x14ac:dyDescent="0.25">
      <c r="A285" s="170">
        <v>42418</v>
      </c>
      <c r="B285" s="116">
        <v>1147</v>
      </c>
      <c r="C285" s="116">
        <v>1092.4000000000001</v>
      </c>
      <c r="D285" s="116">
        <v>1076</v>
      </c>
      <c r="E285" s="116">
        <v>1116.9000000000001</v>
      </c>
      <c r="F285" s="116">
        <v>1092.4000000000001</v>
      </c>
      <c r="G285">
        <v>11835</v>
      </c>
      <c r="H285" s="116"/>
      <c r="I285" s="116"/>
      <c r="L285" s="170">
        <v>42418</v>
      </c>
      <c r="M285" s="116">
        <v>1094.3</v>
      </c>
      <c r="N285" s="116">
        <v>1147.3</v>
      </c>
      <c r="O285" s="116">
        <v>1073.95</v>
      </c>
      <c r="P285" s="116">
        <v>1106</v>
      </c>
      <c r="Q285" s="116">
        <v>1094.3</v>
      </c>
      <c r="R285">
        <v>77596</v>
      </c>
    </row>
    <row r="286" spans="1:18" x14ac:dyDescent="0.25">
      <c r="A286" s="170">
        <v>42419</v>
      </c>
      <c r="B286" s="116">
        <v>1108</v>
      </c>
      <c r="C286" s="116">
        <v>1099.5</v>
      </c>
      <c r="D286" s="116">
        <v>1080</v>
      </c>
      <c r="E286" s="116">
        <v>1081.25</v>
      </c>
      <c r="F286" s="116">
        <v>1099.5</v>
      </c>
      <c r="G286">
        <v>7676</v>
      </c>
      <c r="H286" s="116"/>
      <c r="I286" s="116"/>
      <c r="L286" s="170">
        <v>42419</v>
      </c>
      <c r="M286" s="116">
        <v>1102.8499999999999</v>
      </c>
      <c r="N286" s="116">
        <v>1115</v>
      </c>
      <c r="O286" s="116">
        <v>1075.55</v>
      </c>
      <c r="P286" s="116">
        <v>1089</v>
      </c>
      <c r="Q286" s="116">
        <v>1102.8499999999999</v>
      </c>
      <c r="R286">
        <v>28999</v>
      </c>
    </row>
    <row r="287" spans="1:18" x14ac:dyDescent="0.25">
      <c r="A287" s="170">
        <v>42422</v>
      </c>
      <c r="B287" s="116">
        <v>1112</v>
      </c>
      <c r="C287" s="116">
        <v>1106.1500000000001</v>
      </c>
      <c r="D287" s="116">
        <v>1093.45</v>
      </c>
      <c r="E287" s="116">
        <v>1102.5</v>
      </c>
      <c r="F287" s="116">
        <v>1106.1500000000001</v>
      </c>
      <c r="G287">
        <v>5724</v>
      </c>
      <c r="H287" s="116"/>
      <c r="I287" s="116"/>
      <c r="L287" s="170">
        <v>42422</v>
      </c>
      <c r="M287" s="116">
        <v>1106.2</v>
      </c>
      <c r="N287" s="116">
        <v>1116.4000000000001</v>
      </c>
      <c r="O287" s="116">
        <v>1092</v>
      </c>
      <c r="P287" s="116">
        <v>1110.8499999999999</v>
      </c>
      <c r="Q287" s="116">
        <v>1106.2</v>
      </c>
      <c r="R287">
        <v>38046</v>
      </c>
    </row>
    <row r="288" spans="1:18" x14ac:dyDescent="0.25">
      <c r="A288" s="170">
        <v>42423</v>
      </c>
      <c r="B288" s="116">
        <v>1111.8</v>
      </c>
      <c r="C288" s="116">
        <v>1083.8499999999999</v>
      </c>
      <c r="D288" s="116">
        <v>1075.9000000000001</v>
      </c>
      <c r="E288" s="116">
        <v>1110.05</v>
      </c>
      <c r="F288" s="116">
        <v>1083.8499999999999</v>
      </c>
      <c r="G288">
        <v>8197</v>
      </c>
      <c r="H288" s="116"/>
      <c r="I288" s="116"/>
      <c r="L288" s="170">
        <v>42423</v>
      </c>
      <c r="M288" s="116">
        <v>1084.3</v>
      </c>
      <c r="N288" s="116">
        <v>1117.4000000000001</v>
      </c>
      <c r="O288" s="116">
        <v>1074</v>
      </c>
      <c r="P288" s="116">
        <v>1108.45</v>
      </c>
      <c r="Q288" s="116">
        <v>1084.3</v>
      </c>
      <c r="R288">
        <v>32759</v>
      </c>
    </row>
    <row r="289" spans="1:18" x14ac:dyDescent="0.25">
      <c r="A289" s="170">
        <v>42424</v>
      </c>
      <c r="B289" s="116">
        <v>1095.2</v>
      </c>
      <c r="C289" s="116">
        <v>1077.25</v>
      </c>
      <c r="D289" s="116">
        <v>1046</v>
      </c>
      <c r="E289" s="116">
        <v>1086.3499999999999</v>
      </c>
      <c r="F289" s="116">
        <v>1077.25</v>
      </c>
      <c r="G289">
        <v>8973</v>
      </c>
      <c r="H289" s="116"/>
      <c r="I289" s="116"/>
      <c r="L289" s="170">
        <v>42424</v>
      </c>
      <c r="M289" s="116">
        <v>1082.45</v>
      </c>
      <c r="N289" s="116">
        <v>1096</v>
      </c>
      <c r="O289" s="116">
        <v>1076</v>
      </c>
      <c r="P289" s="116">
        <v>1085</v>
      </c>
      <c r="Q289" s="116">
        <v>1082.45</v>
      </c>
      <c r="R289">
        <v>32567</v>
      </c>
    </row>
    <row r="290" spans="1:18" x14ac:dyDescent="0.25">
      <c r="A290" s="170">
        <v>42425</v>
      </c>
      <c r="B290" s="116">
        <v>1090.75</v>
      </c>
      <c r="C290" s="116">
        <v>1053.9000000000001</v>
      </c>
      <c r="D290" s="116">
        <v>1040</v>
      </c>
      <c r="E290" s="116">
        <v>1090.75</v>
      </c>
      <c r="F290" s="116">
        <v>1053.9000000000001</v>
      </c>
      <c r="G290">
        <v>9059</v>
      </c>
      <c r="H290" s="116"/>
      <c r="I290" s="116"/>
      <c r="L290" s="170">
        <v>42425</v>
      </c>
      <c r="M290" s="116">
        <v>1050.3499999999999</v>
      </c>
      <c r="N290" s="116">
        <v>1088.9000000000001</v>
      </c>
      <c r="O290" s="116">
        <v>1035.0999999999999</v>
      </c>
      <c r="P290" s="116">
        <v>1081</v>
      </c>
      <c r="Q290" s="116">
        <v>1050.3499999999999</v>
      </c>
      <c r="R290">
        <v>45324</v>
      </c>
    </row>
    <row r="291" spans="1:18" x14ac:dyDescent="0.25">
      <c r="A291" s="170">
        <v>42426</v>
      </c>
      <c r="B291" s="116">
        <v>1072</v>
      </c>
      <c r="C291" s="116">
        <v>1026.05</v>
      </c>
      <c r="D291" s="116">
        <v>1002.05</v>
      </c>
      <c r="E291" s="116">
        <v>1070.1500000000001</v>
      </c>
      <c r="F291" s="116">
        <v>1026.05</v>
      </c>
      <c r="G291">
        <v>8170</v>
      </c>
      <c r="H291" s="116"/>
      <c r="I291" s="116"/>
      <c r="L291" s="170">
        <v>42426</v>
      </c>
      <c r="M291" s="116">
        <v>1024.9000000000001</v>
      </c>
      <c r="N291" s="116">
        <v>1070.05</v>
      </c>
      <c r="O291" s="116">
        <v>1001</v>
      </c>
      <c r="P291" s="116">
        <v>1064.25</v>
      </c>
      <c r="Q291" s="116">
        <v>1024.9000000000001</v>
      </c>
      <c r="R291">
        <v>71891</v>
      </c>
    </row>
    <row r="292" spans="1:18" x14ac:dyDescent="0.25">
      <c r="A292" s="170">
        <v>42429</v>
      </c>
      <c r="B292" s="116">
        <v>1078.05</v>
      </c>
      <c r="C292" s="116">
        <v>1015.3</v>
      </c>
      <c r="D292" s="116">
        <v>1006</v>
      </c>
      <c r="E292" s="116">
        <v>1028.9000000000001</v>
      </c>
      <c r="F292" s="116">
        <v>1015.3</v>
      </c>
      <c r="G292">
        <v>299647</v>
      </c>
      <c r="H292" s="116"/>
      <c r="I292" s="116"/>
      <c r="L292" s="170">
        <v>42429</v>
      </c>
      <c r="M292" s="116">
        <v>1013.3</v>
      </c>
      <c r="N292" s="116">
        <v>1094</v>
      </c>
      <c r="O292" s="116">
        <v>1002.95</v>
      </c>
      <c r="P292" s="116">
        <v>1028</v>
      </c>
      <c r="Q292" s="116">
        <v>1013.3</v>
      </c>
      <c r="R292">
        <v>89414</v>
      </c>
    </row>
    <row r="293" spans="1:18" x14ac:dyDescent="0.25">
      <c r="A293" s="170">
        <v>42430</v>
      </c>
      <c r="B293" s="116">
        <v>1048.25</v>
      </c>
      <c r="C293" s="116">
        <v>1031</v>
      </c>
      <c r="D293" s="116">
        <v>1014.25</v>
      </c>
      <c r="E293" s="116">
        <v>1028</v>
      </c>
      <c r="F293" s="116">
        <v>1031</v>
      </c>
      <c r="G293">
        <v>12488</v>
      </c>
      <c r="H293" s="116"/>
      <c r="I293" s="116"/>
      <c r="L293" s="170">
        <v>42430</v>
      </c>
      <c r="M293" s="116">
        <v>1030</v>
      </c>
      <c r="N293" s="116">
        <v>1047.7</v>
      </c>
      <c r="O293" s="116">
        <v>1015.2</v>
      </c>
      <c r="P293" s="116">
        <v>1020</v>
      </c>
      <c r="Q293" s="116">
        <v>1030</v>
      </c>
      <c r="R293">
        <v>91599</v>
      </c>
    </row>
    <row r="294" spans="1:18" x14ac:dyDescent="0.25">
      <c r="A294" s="170">
        <v>42431</v>
      </c>
      <c r="B294" s="116">
        <v>1055</v>
      </c>
      <c r="C294" s="116">
        <v>1030.45</v>
      </c>
      <c r="D294" s="116">
        <v>1025</v>
      </c>
      <c r="E294" s="116">
        <v>1038.8499999999999</v>
      </c>
      <c r="F294" s="116">
        <v>1030.45</v>
      </c>
      <c r="G294">
        <v>13661</v>
      </c>
      <c r="H294" s="116"/>
      <c r="I294" s="116"/>
      <c r="L294" s="170">
        <v>42431</v>
      </c>
      <c r="M294" s="116">
        <v>1028.05</v>
      </c>
      <c r="N294" s="116">
        <v>1056</v>
      </c>
      <c r="O294" s="116">
        <v>1022</v>
      </c>
      <c r="P294" s="116">
        <v>1038</v>
      </c>
      <c r="Q294" s="116">
        <v>1028.05</v>
      </c>
      <c r="R294">
        <v>90357</v>
      </c>
    </row>
    <row r="295" spans="1:18" x14ac:dyDescent="0.25">
      <c r="A295" s="170">
        <v>42432</v>
      </c>
      <c r="B295" s="116">
        <v>1089</v>
      </c>
      <c r="C295" s="116">
        <v>1075</v>
      </c>
      <c r="D295" s="116">
        <v>1025</v>
      </c>
      <c r="E295" s="116">
        <v>1031</v>
      </c>
      <c r="F295" s="116">
        <v>1075</v>
      </c>
      <c r="G295">
        <v>24683</v>
      </c>
      <c r="H295" s="116"/>
      <c r="I295" s="116"/>
      <c r="L295" s="170">
        <v>42432</v>
      </c>
      <c r="M295" s="116">
        <v>1077.3</v>
      </c>
      <c r="N295" s="116">
        <v>1090</v>
      </c>
      <c r="O295" s="116">
        <v>1025.55</v>
      </c>
      <c r="P295" s="116">
        <v>1037</v>
      </c>
      <c r="Q295" s="116">
        <v>1077.3</v>
      </c>
      <c r="R295">
        <v>153760</v>
      </c>
    </row>
    <row r="296" spans="1:18" x14ac:dyDescent="0.25">
      <c r="A296" s="170">
        <v>42433</v>
      </c>
      <c r="B296" s="116">
        <v>1148</v>
      </c>
      <c r="C296" s="116">
        <v>1138.5999999999999</v>
      </c>
      <c r="D296" s="116">
        <v>1056</v>
      </c>
      <c r="E296" s="116">
        <v>1084.1500000000001</v>
      </c>
      <c r="F296" s="116">
        <v>1138.5999999999999</v>
      </c>
      <c r="G296">
        <v>28395</v>
      </c>
      <c r="H296" s="116"/>
      <c r="I296" s="116"/>
      <c r="L296" s="170">
        <v>42433</v>
      </c>
      <c r="M296" s="116">
        <v>1142.45</v>
      </c>
      <c r="N296" s="116">
        <v>1154.55</v>
      </c>
      <c r="O296" s="116">
        <v>1055.7</v>
      </c>
      <c r="P296" s="116">
        <v>1084</v>
      </c>
      <c r="Q296" s="116">
        <v>1142.45</v>
      </c>
      <c r="R296">
        <v>209783</v>
      </c>
    </row>
    <row r="297" spans="1:18" x14ac:dyDescent="0.25">
      <c r="A297" s="170">
        <v>42437</v>
      </c>
      <c r="B297" s="116">
        <v>1158</v>
      </c>
      <c r="C297" s="116">
        <v>1151.25</v>
      </c>
      <c r="D297" s="116">
        <v>1109.8499999999999</v>
      </c>
      <c r="E297" s="116">
        <v>1137.8499999999999</v>
      </c>
      <c r="F297" s="116">
        <v>1151.25</v>
      </c>
      <c r="G297">
        <v>10281</v>
      </c>
      <c r="H297" s="116"/>
      <c r="I297" s="116"/>
      <c r="L297" s="170">
        <v>42437</v>
      </c>
      <c r="M297" s="116">
        <v>1153.5</v>
      </c>
      <c r="N297" s="116">
        <v>1160.5</v>
      </c>
      <c r="O297" s="116">
        <v>1110.05</v>
      </c>
      <c r="P297" s="116">
        <v>1142.45</v>
      </c>
      <c r="Q297" s="116">
        <v>1153.5</v>
      </c>
      <c r="R297">
        <v>108354</v>
      </c>
    </row>
    <row r="298" spans="1:18" x14ac:dyDescent="0.25">
      <c r="A298" s="170">
        <v>42438</v>
      </c>
      <c r="B298" s="116">
        <v>1192.05</v>
      </c>
      <c r="C298" s="116">
        <v>1176.3</v>
      </c>
      <c r="D298" s="116">
        <v>1128</v>
      </c>
      <c r="E298" s="116">
        <v>1140.05</v>
      </c>
      <c r="F298" s="116">
        <v>1176.3</v>
      </c>
      <c r="G298">
        <v>9479</v>
      </c>
      <c r="H298" s="116"/>
      <c r="I298" s="116"/>
      <c r="L298" s="170">
        <v>42438</v>
      </c>
      <c r="M298" s="116">
        <v>1176.55</v>
      </c>
      <c r="N298" s="116">
        <v>1194.5999999999999</v>
      </c>
      <c r="O298" s="116">
        <v>1125</v>
      </c>
      <c r="P298" s="116">
        <v>1150</v>
      </c>
      <c r="Q298" s="116">
        <v>1176.55</v>
      </c>
      <c r="R298">
        <v>71256</v>
      </c>
    </row>
    <row r="299" spans="1:18" x14ac:dyDescent="0.25">
      <c r="A299" s="170">
        <v>42439</v>
      </c>
      <c r="B299" s="116">
        <v>1180.6500000000001</v>
      </c>
      <c r="C299" s="116">
        <v>1148.0999999999999</v>
      </c>
      <c r="D299" s="116">
        <v>1146.4000000000001</v>
      </c>
      <c r="E299" s="116">
        <v>1179.0999999999999</v>
      </c>
      <c r="F299" s="116">
        <v>1148.0999999999999</v>
      </c>
      <c r="G299">
        <v>5843</v>
      </c>
      <c r="H299" s="116"/>
      <c r="I299" s="116"/>
      <c r="L299" s="170">
        <v>42439</v>
      </c>
      <c r="M299" s="116">
        <v>1151.0999999999999</v>
      </c>
      <c r="N299" s="116">
        <v>1180.0999999999999</v>
      </c>
      <c r="O299" s="116">
        <v>1146.3</v>
      </c>
      <c r="P299" s="116">
        <v>1180</v>
      </c>
      <c r="Q299" s="116">
        <v>1151.0999999999999</v>
      </c>
      <c r="R299">
        <v>48185</v>
      </c>
    </row>
    <row r="300" spans="1:18" x14ac:dyDescent="0.25">
      <c r="A300" s="170">
        <v>42440</v>
      </c>
      <c r="B300" s="116">
        <v>1175.1500000000001</v>
      </c>
      <c r="C300" s="116">
        <v>1147.3</v>
      </c>
      <c r="D300" s="116">
        <v>1142</v>
      </c>
      <c r="E300" s="116">
        <v>1155.05</v>
      </c>
      <c r="F300" s="116">
        <v>1147.3</v>
      </c>
      <c r="G300">
        <v>6193</v>
      </c>
      <c r="H300" s="116"/>
      <c r="I300" s="116"/>
      <c r="L300" s="170">
        <v>42440</v>
      </c>
      <c r="M300" s="116">
        <v>1143.45</v>
      </c>
      <c r="N300" s="116">
        <v>1176</v>
      </c>
      <c r="O300" s="116">
        <v>1140</v>
      </c>
      <c r="P300" s="116">
        <v>1152</v>
      </c>
      <c r="Q300" s="116">
        <v>1143.45</v>
      </c>
      <c r="R300">
        <v>39575</v>
      </c>
    </row>
    <row r="301" spans="1:18" x14ac:dyDescent="0.25">
      <c r="A301" s="170">
        <v>42443</v>
      </c>
      <c r="B301" s="116">
        <v>1160</v>
      </c>
      <c r="C301" s="116">
        <v>1139.05</v>
      </c>
      <c r="D301" s="116">
        <v>1126.9000000000001</v>
      </c>
      <c r="E301" s="116">
        <v>1150</v>
      </c>
      <c r="F301" s="116">
        <v>1139.05</v>
      </c>
      <c r="G301">
        <v>7768</v>
      </c>
      <c r="H301" s="116"/>
      <c r="I301" s="116"/>
      <c r="L301" s="170">
        <v>42443</v>
      </c>
      <c r="M301" s="116">
        <v>1133.5999999999999</v>
      </c>
      <c r="N301" s="116">
        <v>1160</v>
      </c>
      <c r="O301" s="116">
        <v>1120</v>
      </c>
      <c r="P301" s="116">
        <v>1136.4000000000001</v>
      </c>
      <c r="Q301" s="116">
        <v>1133.5999999999999</v>
      </c>
      <c r="R301">
        <v>42655</v>
      </c>
    </row>
    <row r="302" spans="1:18" x14ac:dyDescent="0.25">
      <c r="A302" s="170">
        <v>42444</v>
      </c>
      <c r="B302" s="116">
        <v>1150</v>
      </c>
      <c r="C302" s="116">
        <v>1140.95</v>
      </c>
      <c r="D302" s="116">
        <v>1129</v>
      </c>
      <c r="E302" s="116">
        <v>1133</v>
      </c>
      <c r="F302" s="116">
        <v>1140.95</v>
      </c>
      <c r="G302">
        <v>3606</v>
      </c>
      <c r="H302" s="116"/>
      <c r="I302" s="116"/>
      <c r="L302" s="170">
        <v>42444</v>
      </c>
      <c r="M302" s="116">
        <v>1140.7</v>
      </c>
      <c r="N302" s="116">
        <v>1154.8499999999999</v>
      </c>
      <c r="O302" s="116">
        <v>1130.0999999999999</v>
      </c>
      <c r="P302" s="116">
        <v>1138</v>
      </c>
      <c r="Q302" s="116">
        <v>1140.7</v>
      </c>
      <c r="R302">
        <v>33772</v>
      </c>
    </row>
    <row r="303" spans="1:18" x14ac:dyDescent="0.25">
      <c r="A303" s="170">
        <v>42445</v>
      </c>
      <c r="B303" s="116">
        <v>1150.9000000000001</v>
      </c>
      <c r="C303" s="116">
        <v>1124.75</v>
      </c>
      <c r="D303" s="116">
        <v>1117.9000000000001</v>
      </c>
      <c r="E303" s="116">
        <v>1141.0999999999999</v>
      </c>
      <c r="F303" s="116">
        <v>1124.75</v>
      </c>
      <c r="G303">
        <v>5219</v>
      </c>
      <c r="H303" s="116"/>
      <c r="I303" s="116"/>
      <c r="L303" s="170">
        <v>42445</v>
      </c>
      <c r="M303" s="116">
        <v>1126.0999999999999</v>
      </c>
      <c r="N303" s="116">
        <v>1151.5</v>
      </c>
      <c r="O303" s="116">
        <v>1115.9000000000001</v>
      </c>
      <c r="P303" s="116">
        <v>1140</v>
      </c>
      <c r="Q303" s="116">
        <v>1126.0999999999999</v>
      </c>
      <c r="R303">
        <v>27822</v>
      </c>
    </row>
    <row r="304" spans="1:18" x14ac:dyDescent="0.25">
      <c r="A304" s="170">
        <v>42446</v>
      </c>
      <c r="B304" s="116">
        <v>1157</v>
      </c>
      <c r="C304" s="116">
        <v>1148.8499999999999</v>
      </c>
      <c r="D304" s="116">
        <v>1125</v>
      </c>
      <c r="E304" s="116">
        <v>1125</v>
      </c>
      <c r="F304" s="116">
        <v>1148.8499999999999</v>
      </c>
      <c r="G304">
        <v>6956</v>
      </c>
      <c r="H304" s="116"/>
      <c r="I304" s="116"/>
      <c r="L304" s="170">
        <v>42446</v>
      </c>
      <c r="M304" s="116">
        <v>1148.3499999999999</v>
      </c>
      <c r="N304" s="116">
        <v>1154.3499999999999</v>
      </c>
      <c r="O304" s="116">
        <v>1130.0999999999999</v>
      </c>
      <c r="P304" s="116">
        <v>1132.5999999999999</v>
      </c>
      <c r="Q304" s="116">
        <v>1148.3499999999999</v>
      </c>
      <c r="R304">
        <v>42979</v>
      </c>
    </row>
    <row r="305" spans="1:18" x14ac:dyDescent="0.25">
      <c r="A305" s="170">
        <v>42447</v>
      </c>
      <c r="B305" s="116">
        <v>1163.0999999999999</v>
      </c>
      <c r="C305" s="116">
        <v>1152.7</v>
      </c>
      <c r="D305" s="116">
        <v>1133</v>
      </c>
      <c r="E305" s="116">
        <v>1152</v>
      </c>
      <c r="F305" s="116">
        <v>1152.7</v>
      </c>
      <c r="G305">
        <v>7433</v>
      </c>
      <c r="H305" s="116"/>
      <c r="I305" s="116"/>
      <c r="L305" s="170">
        <v>42447</v>
      </c>
      <c r="M305" s="116">
        <v>1156.05</v>
      </c>
      <c r="N305" s="116">
        <v>1165</v>
      </c>
      <c r="O305" s="116">
        <v>1130.0999999999999</v>
      </c>
      <c r="P305" s="116">
        <v>1150</v>
      </c>
      <c r="Q305" s="116">
        <v>1156.05</v>
      </c>
      <c r="R305">
        <v>38556</v>
      </c>
    </row>
    <row r="306" spans="1:18" x14ac:dyDescent="0.25">
      <c r="A306" s="170">
        <v>42450</v>
      </c>
      <c r="B306" s="116">
        <v>1182</v>
      </c>
      <c r="C306" s="116">
        <v>1174.6500000000001</v>
      </c>
      <c r="D306" s="116">
        <v>1149.4000000000001</v>
      </c>
      <c r="E306" s="116">
        <v>1159.95</v>
      </c>
      <c r="F306" s="116">
        <v>1174.6500000000001</v>
      </c>
      <c r="G306">
        <v>4808</v>
      </c>
      <c r="H306" s="116"/>
      <c r="I306" s="116"/>
      <c r="L306" s="170">
        <v>42450</v>
      </c>
      <c r="M306" s="116">
        <v>1177.5999999999999</v>
      </c>
      <c r="N306" s="116">
        <v>1182</v>
      </c>
      <c r="O306" s="116">
        <v>1148</v>
      </c>
      <c r="P306" s="116">
        <v>1155</v>
      </c>
      <c r="Q306" s="116">
        <v>1177.5999999999999</v>
      </c>
      <c r="R306">
        <v>59922</v>
      </c>
    </row>
    <row r="307" spans="1:18" x14ac:dyDescent="0.25">
      <c r="A307" s="170">
        <v>42451</v>
      </c>
      <c r="B307" s="116">
        <v>1190</v>
      </c>
      <c r="C307" s="116">
        <v>1176.1500000000001</v>
      </c>
      <c r="D307" s="116">
        <v>1160</v>
      </c>
      <c r="E307" s="116">
        <v>1182</v>
      </c>
      <c r="F307" s="116">
        <v>1176.1500000000001</v>
      </c>
      <c r="G307">
        <v>6733</v>
      </c>
      <c r="H307" s="116"/>
      <c r="I307" s="116"/>
      <c r="L307" s="170">
        <v>42451</v>
      </c>
      <c r="M307" s="116">
        <v>1182.75</v>
      </c>
      <c r="N307" s="116">
        <v>1190</v>
      </c>
      <c r="O307" s="116">
        <v>1161</v>
      </c>
      <c r="P307" s="116">
        <v>1183.05</v>
      </c>
      <c r="Q307" s="116">
        <v>1182.75</v>
      </c>
      <c r="R307">
        <v>39688</v>
      </c>
    </row>
    <row r="308" spans="1:18" x14ac:dyDescent="0.25">
      <c r="A308" s="170">
        <v>42452</v>
      </c>
      <c r="B308" s="116">
        <v>1229.5</v>
      </c>
      <c r="C308" s="116">
        <v>1203.25</v>
      </c>
      <c r="D308" s="116">
        <v>1173</v>
      </c>
      <c r="E308" s="116">
        <v>1176</v>
      </c>
      <c r="F308" s="116">
        <v>1203.25</v>
      </c>
      <c r="G308">
        <v>12958</v>
      </c>
      <c r="H308" s="116"/>
      <c r="I308" s="116"/>
      <c r="L308" s="170">
        <v>42452</v>
      </c>
      <c r="M308" s="116">
        <v>1206.45</v>
      </c>
      <c r="N308" s="116">
        <v>1232</v>
      </c>
      <c r="O308" s="116">
        <v>1170</v>
      </c>
      <c r="P308" s="116">
        <v>1190</v>
      </c>
      <c r="Q308" s="116">
        <v>1206.45</v>
      </c>
      <c r="R308">
        <v>105061</v>
      </c>
    </row>
    <row r="309" spans="1:18" x14ac:dyDescent="0.25">
      <c r="A309" s="170">
        <v>42457</v>
      </c>
      <c r="B309" s="116">
        <v>1247.95</v>
      </c>
      <c r="C309" s="116">
        <v>1236.2</v>
      </c>
      <c r="D309" s="116">
        <v>1201.2</v>
      </c>
      <c r="E309" s="116">
        <v>1208.95</v>
      </c>
      <c r="F309" s="116">
        <v>1236.2</v>
      </c>
      <c r="G309">
        <v>12673</v>
      </c>
      <c r="H309" s="116"/>
      <c r="I309" s="116"/>
      <c r="L309" s="170">
        <v>42457</v>
      </c>
      <c r="M309" s="116">
        <v>1242.9000000000001</v>
      </c>
      <c r="N309" s="116">
        <v>1249.9000000000001</v>
      </c>
      <c r="O309" s="116">
        <v>1196.25</v>
      </c>
      <c r="P309" s="116">
        <v>1203</v>
      </c>
      <c r="Q309" s="116">
        <v>1242.9000000000001</v>
      </c>
      <c r="R309">
        <v>156565</v>
      </c>
    </row>
    <row r="310" spans="1:18" x14ac:dyDescent="0.25">
      <c r="A310" s="170">
        <v>42458</v>
      </c>
      <c r="B310" s="116">
        <v>1257.8</v>
      </c>
      <c r="C310" s="116">
        <v>1212.4000000000001</v>
      </c>
      <c r="D310" s="116">
        <v>1207</v>
      </c>
      <c r="E310" s="116">
        <v>1235.05</v>
      </c>
      <c r="F310" s="116">
        <v>1212.4000000000001</v>
      </c>
      <c r="G310">
        <v>8205</v>
      </c>
      <c r="H310" s="116"/>
      <c r="I310" s="116"/>
      <c r="L310" s="170">
        <v>42458</v>
      </c>
      <c r="M310" s="116">
        <v>1209.05</v>
      </c>
      <c r="N310" s="116">
        <v>1257.95</v>
      </c>
      <c r="O310" s="116">
        <v>1203</v>
      </c>
      <c r="P310" s="116">
        <v>1240</v>
      </c>
      <c r="Q310" s="116">
        <v>1209.05</v>
      </c>
      <c r="R310">
        <v>57124</v>
      </c>
    </row>
    <row r="311" spans="1:18" x14ac:dyDescent="0.25">
      <c r="A311" s="170">
        <v>42459</v>
      </c>
      <c r="B311" s="116">
        <v>1238</v>
      </c>
      <c r="C311" s="116">
        <v>1234.25</v>
      </c>
      <c r="D311" s="116">
        <v>1210</v>
      </c>
      <c r="E311" s="116">
        <v>1210</v>
      </c>
      <c r="F311" s="116">
        <v>1234.25</v>
      </c>
      <c r="G311">
        <v>5974</v>
      </c>
      <c r="H311" s="116"/>
      <c r="I311" s="116"/>
      <c r="L311" s="170">
        <v>42459</v>
      </c>
      <c r="M311" s="116">
        <v>1239.55</v>
      </c>
      <c r="N311" s="116">
        <v>1246.9000000000001</v>
      </c>
      <c r="O311" s="116">
        <v>1212</v>
      </c>
      <c r="P311" s="116">
        <v>1212</v>
      </c>
      <c r="Q311" s="116">
        <v>1239.55</v>
      </c>
      <c r="R311">
        <v>36571</v>
      </c>
    </row>
    <row r="312" spans="1:18" x14ac:dyDescent="0.25">
      <c r="A312" s="170">
        <v>42460</v>
      </c>
      <c r="B312" s="116">
        <v>1295.1500000000001</v>
      </c>
      <c r="C312" s="116">
        <v>1276.5</v>
      </c>
      <c r="D312" s="116">
        <v>1233</v>
      </c>
      <c r="E312" s="116">
        <v>1241.8499999999999</v>
      </c>
      <c r="F312" s="116">
        <v>1276.5</v>
      </c>
      <c r="G312">
        <v>19860</v>
      </c>
      <c r="H312" s="116"/>
      <c r="I312" s="116"/>
      <c r="L312" s="170">
        <v>42460</v>
      </c>
      <c r="M312" s="116">
        <v>1282.1500000000001</v>
      </c>
      <c r="N312" s="116">
        <v>1296.8</v>
      </c>
      <c r="O312" s="116">
        <v>1231.05</v>
      </c>
      <c r="P312" s="116">
        <v>1245</v>
      </c>
      <c r="Q312" s="116">
        <v>1282.1500000000001</v>
      </c>
      <c r="R312">
        <v>116152</v>
      </c>
    </row>
    <row r="313" spans="1:18" x14ac:dyDescent="0.25">
      <c r="A313" s="170">
        <v>42461</v>
      </c>
      <c r="B313" s="116">
        <v>1312</v>
      </c>
      <c r="C313" s="116">
        <v>1291.25</v>
      </c>
      <c r="D313" s="116">
        <v>1264</v>
      </c>
      <c r="E313" s="116">
        <v>1272</v>
      </c>
      <c r="F313" s="116">
        <v>1291.25</v>
      </c>
      <c r="G313">
        <v>14976</v>
      </c>
      <c r="H313" s="116"/>
      <c r="I313" s="116"/>
      <c r="L313" s="170">
        <v>42461</v>
      </c>
      <c r="M313" s="116">
        <v>1294.95</v>
      </c>
      <c r="N313" s="116">
        <v>1315.4</v>
      </c>
      <c r="O313" s="116">
        <v>1264.8499999999999</v>
      </c>
      <c r="P313" s="116">
        <v>1275</v>
      </c>
      <c r="Q313" s="116">
        <v>1294.95</v>
      </c>
      <c r="R313">
        <v>139796</v>
      </c>
    </row>
    <row r="314" spans="1:18" x14ac:dyDescent="0.25">
      <c r="A314" s="170">
        <v>42464</v>
      </c>
      <c r="B314" s="116">
        <v>1325</v>
      </c>
      <c r="C314" s="116">
        <v>1305.75</v>
      </c>
      <c r="D314" s="116">
        <v>1297.5</v>
      </c>
      <c r="E314" s="116">
        <v>1305</v>
      </c>
      <c r="F314" s="116">
        <v>1305.75</v>
      </c>
      <c r="G314">
        <v>5858</v>
      </c>
      <c r="H314" s="116"/>
      <c r="I314" s="116"/>
      <c r="L314" s="170">
        <v>42464</v>
      </c>
      <c r="M314" s="116">
        <v>1305.45</v>
      </c>
      <c r="N314" s="116">
        <v>1326.8</v>
      </c>
      <c r="O314" s="116">
        <v>1297</v>
      </c>
      <c r="P314" s="116">
        <v>1310</v>
      </c>
      <c r="Q314" s="116">
        <v>1305.45</v>
      </c>
      <c r="R314">
        <v>75600</v>
      </c>
    </row>
    <row r="315" spans="1:18" x14ac:dyDescent="0.25">
      <c r="A315" s="170">
        <v>42465</v>
      </c>
      <c r="B315" s="116">
        <v>1313</v>
      </c>
      <c r="C315" s="116">
        <v>1281.8</v>
      </c>
      <c r="D315" s="116">
        <v>1278</v>
      </c>
      <c r="E315" s="116">
        <v>1297</v>
      </c>
      <c r="F315" s="116">
        <v>1281.8</v>
      </c>
      <c r="G315">
        <v>7307</v>
      </c>
      <c r="H315" s="116"/>
      <c r="I315" s="116"/>
      <c r="L315" s="170">
        <v>42465</v>
      </c>
      <c r="M315" s="116">
        <v>1280.7</v>
      </c>
      <c r="N315" s="116">
        <v>1314</v>
      </c>
      <c r="O315" s="116">
        <v>1275.0999999999999</v>
      </c>
      <c r="P315" s="116">
        <v>1298.8499999999999</v>
      </c>
      <c r="Q315" s="116">
        <v>1280.7</v>
      </c>
      <c r="R315">
        <v>31736</v>
      </c>
    </row>
    <row r="316" spans="1:18" x14ac:dyDescent="0.25">
      <c r="A316" s="170">
        <v>42466</v>
      </c>
      <c r="B316" s="116">
        <v>1318.85</v>
      </c>
      <c r="C316" s="116">
        <v>1311.9</v>
      </c>
      <c r="D316" s="116">
        <v>1283.4000000000001</v>
      </c>
      <c r="E316" s="116">
        <v>1288.95</v>
      </c>
      <c r="F316" s="116">
        <v>1311.9</v>
      </c>
      <c r="G316">
        <v>9786</v>
      </c>
      <c r="H316" s="116"/>
      <c r="I316" s="116"/>
      <c r="L316" s="170">
        <v>42466</v>
      </c>
      <c r="M316" s="116">
        <v>1308.2</v>
      </c>
      <c r="N316" s="116">
        <v>1312.95</v>
      </c>
      <c r="O316" s="116">
        <v>1276.1500000000001</v>
      </c>
      <c r="P316" s="116">
        <v>1282</v>
      </c>
      <c r="Q316" s="116">
        <v>1308.2</v>
      </c>
      <c r="R316">
        <v>39838</v>
      </c>
    </row>
    <row r="317" spans="1:18" x14ac:dyDescent="0.25">
      <c r="A317" s="170">
        <v>42467</v>
      </c>
      <c r="B317" s="116">
        <v>1315.3</v>
      </c>
      <c r="C317" s="116">
        <v>1307.6500000000001</v>
      </c>
      <c r="D317" s="116">
        <v>1298.7</v>
      </c>
      <c r="E317" s="116">
        <v>1315.3</v>
      </c>
      <c r="F317" s="116">
        <v>1307.6500000000001</v>
      </c>
      <c r="G317">
        <v>5270</v>
      </c>
      <c r="H317" s="116"/>
      <c r="I317" s="116"/>
      <c r="L317" s="170">
        <v>42467</v>
      </c>
      <c r="M317" s="116">
        <v>1308.2</v>
      </c>
      <c r="N317" s="116">
        <v>1315.65</v>
      </c>
      <c r="O317" s="116">
        <v>1297.8499999999999</v>
      </c>
      <c r="P317" s="116">
        <v>1311</v>
      </c>
      <c r="Q317" s="116">
        <v>1308.2</v>
      </c>
      <c r="R317">
        <v>45106</v>
      </c>
    </row>
    <row r="318" spans="1:18" x14ac:dyDescent="0.25">
      <c r="A318" s="170">
        <v>42468</v>
      </c>
      <c r="B318" s="116">
        <v>1350</v>
      </c>
      <c r="C318" s="116">
        <v>1342</v>
      </c>
      <c r="D318" s="116">
        <v>1300</v>
      </c>
      <c r="E318" s="116">
        <v>1301.3499999999999</v>
      </c>
      <c r="F318" s="116">
        <v>1342</v>
      </c>
      <c r="G318">
        <v>10807</v>
      </c>
      <c r="H318" s="116"/>
      <c r="I318" s="116"/>
      <c r="L318" s="170">
        <v>42468</v>
      </c>
      <c r="M318" s="116">
        <v>1344.1</v>
      </c>
      <c r="N318" s="116">
        <v>1350</v>
      </c>
      <c r="O318" s="116">
        <v>1300</v>
      </c>
      <c r="P318" s="116">
        <v>1308</v>
      </c>
      <c r="Q318" s="116">
        <v>1344.1</v>
      </c>
      <c r="R318">
        <v>106911</v>
      </c>
    </row>
    <row r="319" spans="1:18" x14ac:dyDescent="0.25">
      <c r="A319" s="170">
        <v>42471</v>
      </c>
      <c r="B319" s="116">
        <v>1432.7</v>
      </c>
      <c r="C319" s="116">
        <v>1381.9</v>
      </c>
      <c r="D319" s="116">
        <v>1325</v>
      </c>
      <c r="E319" s="116">
        <v>1350</v>
      </c>
      <c r="F319" s="116">
        <v>1381.9</v>
      </c>
      <c r="G319">
        <v>24940</v>
      </c>
      <c r="H319" s="116"/>
      <c r="I319" s="116"/>
      <c r="L319" s="170">
        <v>42471</v>
      </c>
      <c r="M319" s="116">
        <v>1381.2</v>
      </c>
      <c r="N319" s="116">
        <v>1434</v>
      </c>
      <c r="O319" s="116">
        <v>1326.1</v>
      </c>
      <c r="P319" s="116">
        <v>1344</v>
      </c>
      <c r="Q319" s="116">
        <v>1381.2</v>
      </c>
      <c r="R319">
        <v>207249</v>
      </c>
    </row>
    <row r="320" spans="1:18" x14ac:dyDescent="0.25">
      <c r="A320" s="170">
        <v>42472</v>
      </c>
      <c r="B320" s="116">
        <v>1404.95</v>
      </c>
      <c r="C320" s="116">
        <v>1361.75</v>
      </c>
      <c r="D320" s="116">
        <v>1351.5</v>
      </c>
      <c r="E320" s="116">
        <v>1382.6</v>
      </c>
      <c r="F320" s="116">
        <v>1361.75</v>
      </c>
      <c r="G320">
        <v>4982</v>
      </c>
      <c r="H320" s="116"/>
      <c r="I320" s="116"/>
      <c r="L320" s="170">
        <v>42472</v>
      </c>
      <c r="M320" s="116">
        <v>1362.65</v>
      </c>
      <c r="N320" s="116">
        <v>1405</v>
      </c>
      <c r="O320" s="116">
        <v>1350.2</v>
      </c>
      <c r="P320" s="116">
        <v>1389.8</v>
      </c>
      <c r="Q320" s="116">
        <v>1362.65</v>
      </c>
      <c r="R320">
        <v>86942</v>
      </c>
    </row>
    <row r="321" spans="1:18" x14ac:dyDescent="0.25">
      <c r="A321" s="170">
        <v>42473</v>
      </c>
      <c r="B321" s="116">
        <v>1382</v>
      </c>
      <c r="C321" s="116">
        <v>1352.1</v>
      </c>
      <c r="D321" s="116">
        <v>1345</v>
      </c>
      <c r="E321" s="116">
        <v>1373</v>
      </c>
      <c r="F321" s="116">
        <v>1352.1</v>
      </c>
      <c r="G321">
        <v>5874</v>
      </c>
      <c r="H321" s="116"/>
      <c r="I321" s="116"/>
      <c r="L321" s="170">
        <v>42473</v>
      </c>
      <c r="M321" s="116">
        <v>1351.9</v>
      </c>
      <c r="N321" s="116">
        <v>1380.55</v>
      </c>
      <c r="O321" s="116">
        <v>1346.05</v>
      </c>
      <c r="P321" s="116">
        <v>1372.5</v>
      </c>
      <c r="Q321" s="116">
        <v>1351.9</v>
      </c>
      <c r="R321">
        <v>51073</v>
      </c>
    </row>
    <row r="322" spans="1:18" x14ac:dyDescent="0.25">
      <c r="A322" s="170">
        <v>42478</v>
      </c>
      <c r="B322" s="116">
        <v>1370</v>
      </c>
      <c r="C322" s="116">
        <v>1340.7</v>
      </c>
      <c r="D322" s="116">
        <v>1331.2</v>
      </c>
      <c r="E322" s="116">
        <v>1350</v>
      </c>
      <c r="F322" s="116">
        <v>1340.7</v>
      </c>
      <c r="G322">
        <v>5501</v>
      </c>
      <c r="H322" s="116"/>
      <c r="I322" s="116"/>
      <c r="L322" s="170">
        <v>42478</v>
      </c>
      <c r="M322" s="116">
        <v>1342.9</v>
      </c>
      <c r="N322" s="116">
        <v>1372.45</v>
      </c>
      <c r="O322" s="116">
        <v>1330</v>
      </c>
      <c r="P322" s="116">
        <v>1363.3</v>
      </c>
      <c r="Q322" s="116">
        <v>1342.9</v>
      </c>
      <c r="R322">
        <v>41881</v>
      </c>
    </row>
    <row r="323" spans="1:18" x14ac:dyDescent="0.25">
      <c r="A323" s="170">
        <v>42480</v>
      </c>
      <c r="B323" s="116">
        <v>1367.8</v>
      </c>
      <c r="C323" s="116">
        <v>1321.35</v>
      </c>
      <c r="D323" s="116">
        <v>1318</v>
      </c>
      <c r="E323" s="116">
        <v>1340.25</v>
      </c>
      <c r="F323" s="116">
        <v>1321.35</v>
      </c>
      <c r="G323">
        <v>9971</v>
      </c>
      <c r="H323" s="116"/>
      <c r="I323" s="116"/>
      <c r="L323" s="170">
        <v>42480</v>
      </c>
      <c r="M323" s="116">
        <v>1323.75</v>
      </c>
      <c r="N323" s="116">
        <v>1368</v>
      </c>
      <c r="O323" s="116">
        <v>1317.3</v>
      </c>
      <c r="P323" s="116">
        <v>1345</v>
      </c>
      <c r="Q323" s="116">
        <v>1323.75</v>
      </c>
      <c r="R323">
        <v>59457</v>
      </c>
    </row>
    <row r="324" spans="1:18" x14ac:dyDescent="0.25">
      <c r="A324" s="170">
        <v>42481</v>
      </c>
      <c r="B324" s="116">
        <v>1338.15</v>
      </c>
      <c r="C324" s="116">
        <v>1330.85</v>
      </c>
      <c r="D324" s="116">
        <v>1325.05</v>
      </c>
      <c r="E324" s="116">
        <v>1334</v>
      </c>
      <c r="F324" s="116">
        <v>1330.85</v>
      </c>
      <c r="G324">
        <v>4848</v>
      </c>
      <c r="H324" s="116"/>
      <c r="I324" s="116"/>
      <c r="L324" s="170">
        <v>42481</v>
      </c>
      <c r="M324" s="116">
        <v>1330.4</v>
      </c>
      <c r="N324" s="116">
        <v>1339.6</v>
      </c>
      <c r="O324" s="116">
        <v>1325.4</v>
      </c>
      <c r="P324" s="116">
        <v>1330</v>
      </c>
      <c r="Q324" s="116">
        <v>1330.4</v>
      </c>
      <c r="R324">
        <v>31668</v>
      </c>
    </row>
    <row r="325" spans="1:18" x14ac:dyDescent="0.25">
      <c r="A325" s="170">
        <v>42482</v>
      </c>
      <c r="B325" s="116">
        <v>1354</v>
      </c>
      <c r="C325" s="116">
        <v>1335.15</v>
      </c>
      <c r="D325" s="116">
        <v>1323.5</v>
      </c>
      <c r="E325" s="116">
        <v>1327.95</v>
      </c>
      <c r="F325" s="116">
        <v>1335.15</v>
      </c>
      <c r="G325">
        <v>4641</v>
      </c>
      <c r="H325" s="116"/>
      <c r="I325" s="116"/>
      <c r="L325" s="170">
        <v>42482</v>
      </c>
      <c r="M325" s="116">
        <v>1337.35</v>
      </c>
      <c r="N325" s="116">
        <v>1352</v>
      </c>
      <c r="O325" s="116">
        <v>1320</v>
      </c>
      <c r="P325" s="116">
        <v>1330</v>
      </c>
      <c r="Q325" s="116">
        <v>1337.35</v>
      </c>
      <c r="R325">
        <v>69438</v>
      </c>
    </row>
    <row r="326" spans="1:18" x14ac:dyDescent="0.25">
      <c r="A326" s="170">
        <v>42485</v>
      </c>
      <c r="B326" s="116">
        <v>1377.05</v>
      </c>
      <c r="C326" s="116">
        <v>1346.2</v>
      </c>
      <c r="D326" s="116">
        <v>1322.3</v>
      </c>
      <c r="E326" s="116">
        <v>1354.95</v>
      </c>
      <c r="F326" s="116">
        <v>1346.2</v>
      </c>
      <c r="G326">
        <v>24592</v>
      </c>
      <c r="H326" s="116"/>
      <c r="I326" s="116"/>
      <c r="L326" s="170">
        <v>42485</v>
      </c>
      <c r="M326" s="116">
        <v>1345.6</v>
      </c>
      <c r="N326" s="116">
        <v>1379</v>
      </c>
      <c r="O326" s="116">
        <v>1326.1</v>
      </c>
      <c r="P326" s="116">
        <v>1349.4</v>
      </c>
      <c r="Q326" s="116">
        <v>1345.6</v>
      </c>
      <c r="R326">
        <v>288936</v>
      </c>
    </row>
    <row r="327" spans="1:18" x14ac:dyDescent="0.25">
      <c r="A327" s="170">
        <v>42486</v>
      </c>
      <c r="B327" s="116">
        <v>1304.4000000000001</v>
      </c>
      <c r="C327" s="116">
        <v>1292.95</v>
      </c>
      <c r="D327" s="116">
        <v>1240.5999999999999</v>
      </c>
      <c r="E327" s="116">
        <v>1299</v>
      </c>
      <c r="F327" s="116">
        <v>1292.95</v>
      </c>
      <c r="G327">
        <v>46874</v>
      </c>
      <c r="H327" s="116"/>
      <c r="I327" s="116"/>
      <c r="L327" s="170">
        <v>42486</v>
      </c>
      <c r="M327" s="116">
        <v>1289</v>
      </c>
      <c r="N327" s="116">
        <v>1303</v>
      </c>
      <c r="O327" s="116">
        <v>1236.0999999999999</v>
      </c>
      <c r="P327" s="116">
        <v>1288</v>
      </c>
      <c r="Q327" s="116">
        <v>1289</v>
      </c>
      <c r="R327">
        <v>290250</v>
      </c>
    </row>
    <row r="328" spans="1:18" x14ac:dyDescent="0.25">
      <c r="A328" s="170">
        <v>42487</v>
      </c>
      <c r="B328" s="116">
        <v>1312.9</v>
      </c>
      <c r="C328" s="116">
        <v>1277.0999999999999</v>
      </c>
      <c r="D328" s="116">
        <v>1265</v>
      </c>
      <c r="E328" s="116">
        <v>1309</v>
      </c>
      <c r="F328" s="116">
        <v>1277.0999999999999</v>
      </c>
      <c r="G328">
        <v>13487</v>
      </c>
      <c r="H328" s="116"/>
      <c r="I328" s="116"/>
      <c r="L328" s="170">
        <v>42487</v>
      </c>
      <c r="M328" s="116">
        <v>1273.55</v>
      </c>
      <c r="N328" s="116">
        <v>1310</v>
      </c>
      <c r="O328" s="116">
        <v>1264.45</v>
      </c>
      <c r="P328" s="116">
        <v>1295.5999999999999</v>
      </c>
      <c r="Q328" s="116">
        <v>1273.55</v>
      </c>
      <c r="R328">
        <v>77603</v>
      </c>
    </row>
    <row r="329" spans="1:18" x14ac:dyDescent="0.25">
      <c r="A329" s="170">
        <v>42488</v>
      </c>
      <c r="B329" s="116">
        <v>1289.05</v>
      </c>
      <c r="C329" s="116">
        <v>1267.5</v>
      </c>
      <c r="D329" s="116">
        <v>1255</v>
      </c>
      <c r="E329" s="116">
        <v>1275</v>
      </c>
      <c r="F329" s="116">
        <v>1267.5</v>
      </c>
      <c r="G329">
        <v>11649</v>
      </c>
      <c r="H329" s="116"/>
      <c r="I329" s="116"/>
      <c r="L329" s="170">
        <v>42488</v>
      </c>
      <c r="M329" s="116">
        <v>1273.3499999999999</v>
      </c>
      <c r="N329" s="116">
        <v>1294.9000000000001</v>
      </c>
      <c r="O329" s="116">
        <v>1256</v>
      </c>
      <c r="P329" s="116">
        <v>1265</v>
      </c>
      <c r="Q329" s="116">
        <v>1273.3499999999999</v>
      </c>
      <c r="R329">
        <v>56616</v>
      </c>
    </row>
    <row r="330" spans="1:18" x14ac:dyDescent="0.25">
      <c r="A330" s="170">
        <v>42489</v>
      </c>
      <c r="B330" s="116">
        <v>1305.7</v>
      </c>
      <c r="C330" s="116">
        <v>1291.5999999999999</v>
      </c>
      <c r="D330" s="116">
        <v>1258</v>
      </c>
      <c r="E330" s="116">
        <v>1267.75</v>
      </c>
      <c r="F330" s="116">
        <v>1291.5999999999999</v>
      </c>
      <c r="G330">
        <v>6415</v>
      </c>
      <c r="H330" s="116"/>
      <c r="I330" s="116"/>
      <c r="L330" s="170">
        <v>42489</v>
      </c>
      <c r="M330" s="116">
        <v>1297.3</v>
      </c>
      <c r="N330" s="116">
        <v>1310</v>
      </c>
      <c r="O330" s="116">
        <v>1257</v>
      </c>
      <c r="P330" s="116">
        <v>1270</v>
      </c>
      <c r="Q330" s="116">
        <v>1297.3</v>
      </c>
      <c r="R330">
        <v>56836</v>
      </c>
    </row>
    <row r="331" spans="1:18" x14ac:dyDescent="0.25">
      <c r="A331" s="170">
        <v>42492</v>
      </c>
      <c r="B331" s="116">
        <v>1299.7</v>
      </c>
      <c r="C331" s="116">
        <v>1267.5</v>
      </c>
      <c r="D331" s="116">
        <v>1262.3</v>
      </c>
      <c r="E331" s="116">
        <v>1290</v>
      </c>
      <c r="F331" s="116">
        <v>1267.5</v>
      </c>
      <c r="G331">
        <v>5532</v>
      </c>
      <c r="H331" s="116"/>
      <c r="I331" s="116"/>
      <c r="L331" s="170">
        <v>42492</v>
      </c>
      <c r="M331" s="116">
        <v>1268.5</v>
      </c>
      <c r="N331" s="116">
        <v>1294</v>
      </c>
      <c r="O331" s="116">
        <v>1264.1500000000001</v>
      </c>
      <c r="P331" s="116">
        <v>1294</v>
      </c>
      <c r="Q331" s="116">
        <v>1268.5</v>
      </c>
      <c r="R331">
        <v>33263</v>
      </c>
    </row>
    <row r="332" spans="1:18" x14ac:dyDescent="0.25">
      <c r="A332" s="170">
        <v>42493</v>
      </c>
      <c r="B332" s="116">
        <v>1282.9000000000001</v>
      </c>
      <c r="C332" s="116">
        <v>1239.0999999999999</v>
      </c>
      <c r="D332" s="116">
        <v>1236</v>
      </c>
      <c r="E332" s="116">
        <v>1274</v>
      </c>
      <c r="F332" s="116">
        <v>1239.0999999999999</v>
      </c>
      <c r="G332">
        <v>5998</v>
      </c>
      <c r="H332" s="116"/>
      <c r="I332" s="116"/>
      <c r="L332" s="170">
        <v>42493</v>
      </c>
      <c r="M332" s="116">
        <v>1240</v>
      </c>
      <c r="N332" s="116">
        <v>1283.0999999999999</v>
      </c>
      <c r="O332" s="116">
        <v>1235.1500000000001</v>
      </c>
      <c r="P332" s="116">
        <v>1267</v>
      </c>
      <c r="Q332" s="116">
        <v>1240</v>
      </c>
      <c r="R332">
        <v>113755</v>
      </c>
    </row>
    <row r="333" spans="1:18" x14ac:dyDescent="0.25">
      <c r="A333" s="170">
        <v>42494</v>
      </c>
      <c r="B333" s="116">
        <v>1245.1500000000001</v>
      </c>
      <c r="C333" s="116">
        <v>1229</v>
      </c>
      <c r="D333" s="116">
        <v>1222</v>
      </c>
      <c r="E333" s="116">
        <v>1242</v>
      </c>
      <c r="F333" s="116">
        <v>1229</v>
      </c>
      <c r="G333">
        <v>7589</v>
      </c>
      <c r="H333" s="116"/>
      <c r="I333" s="116"/>
      <c r="L333" s="170">
        <v>42494</v>
      </c>
      <c r="M333" s="116">
        <v>1225.4000000000001</v>
      </c>
      <c r="N333" s="116">
        <v>1247</v>
      </c>
      <c r="O333" s="116">
        <v>1220</v>
      </c>
      <c r="P333" s="116">
        <v>1242</v>
      </c>
      <c r="Q333" s="116">
        <v>1225.4000000000001</v>
      </c>
      <c r="R333">
        <v>58193</v>
      </c>
    </row>
    <row r="334" spans="1:18" x14ac:dyDescent="0.25">
      <c r="A334" s="170">
        <v>42495</v>
      </c>
      <c r="B334" s="116">
        <v>1269</v>
      </c>
      <c r="C334" s="116">
        <v>1237.25</v>
      </c>
      <c r="D334" s="116">
        <v>1207.8</v>
      </c>
      <c r="E334" s="116">
        <v>1235</v>
      </c>
      <c r="F334" s="116">
        <v>1237.25</v>
      </c>
      <c r="G334">
        <v>9173</v>
      </c>
      <c r="H334" s="116"/>
      <c r="I334" s="116"/>
      <c r="L334" s="170">
        <v>42495</v>
      </c>
      <c r="M334" s="116">
        <v>1240.5</v>
      </c>
      <c r="N334" s="116">
        <v>1269.8499999999999</v>
      </c>
      <c r="O334" s="116">
        <v>1218.0999999999999</v>
      </c>
      <c r="P334" s="116">
        <v>1230</v>
      </c>
      <c r="Q334" s="116">
        <v>1240.5</v>
      </c>
      <c r="R334">
        <v>39020</v>
      </c>
    </row>
    <row r="335" spans="1:18" x14ac:dyDescent="0.25">
      <c r="A335" s="170">
        <v>42496</v>
      </c>
      <c r="B335" s="116">
        <v>1249.2</v>
      </c>
      <c r="C335" s="116">
        <v>1240.45</v>
      </c>
      <c r="D335" s="116">
        <v>1230</v>
      </c>
      <c r="E335" s="116">
        <v>1245.95</v>
      </c>
      <c r="F335" s="116">
        <v>1240.45</v>
      </c>
      <c r="G335">
        <v>3391</v>
      </c>
      <c r="H335" s="116"/>
      <c r="I335" s="116"/>
      <c r="L335" s="170">
        <v>42496</v>
      </c>
      <c r="M335" s="116">
        <v>1244.6500000000001</v>
      </c>
      <c r="N335" s="116">
        <v>1252</v>
      </c>
      <c r="O335" s="116">
        <v>1225</v>
      </c>
      <c r="P335" s="116">
        <v>1252</v>
      </c>
      <c r="Q335" s="116">
        <v>1244.6500000000001</v>
      </c>
      <c r="R335">
        <v>19249</v>
      </c>
    </row>
    <row r="336" spans="1:18" x14ac:dyDescent="0.25">
      <c r="A336" s="170">
        <v>42499</v>
      </c>
      <c r="B336" s="116">
        <v>1270.0999999999999</v>
      </c>
      <c r="C336" s="116">
        <v>1249.75</v>
      </c>
      <c r="D336" s="116">
        <v>1240</v>
      </c>
      <c r="E336" s="116">
        <v>1250</v>
      </c>
      <c r="F336" s="116">
        <v>1249.75</v>
      </c>
      <c r="G336">
        <v>5513</v>
      </c>
      <c r="H336" s="116"/>
      <c r="I336" s="116"/>
      <c r="L336" s="170">
        <v>42499</v>
      </c>
      <c r="M336" s="116">
        <v>1252.45</v>
      </c>
      <c r="N336" s="116">
        <v>1271.95</v>
      </c>
      <c r="O336" s="116">
        <v>1241</v>
      </c>
      <c r="P336" s="116">
        <v>1247.9000000000001</v>
      </c>
      <c r="Q336" s="116">
        <v>1252.45</v>
      </c>
      <c r="R336">
        <v>98376</v>
      </c>
    </row>
    <row r="337" spans="1:18" x14ac:dyDescent="0.25">
      <c r="A337" s="170">
        <v>42500</v>
      </c>
      <c r="B337" s="116">
        <v>1318.25</v>
      </c>
      <c r="C337" s="116">
        <v>1280.3</v>
      </c>
      <c r="D337" s="116">
        <v>1250.05</v>
      </c>
      <c r="E337" s="116">
        <v>1254</v>
      </c>
      <c r="F337" s="116">
        <v>1280.3</v>
      </c>
      <c r="G337">
        <v>20105</v>
      </c>
      <c r="H337" s="116"/>
      <c r="I337" s="116"/>
      <c r="L337" s="170">
        <v>42500</v>
      </c>
      <c r="M337" s="116">
        <v>1284.2</v>
      </c>
      <c r="N337" s="116">
        <v>1320</v>
      </c>
      <c r="O337" s="116">
        <v>1250.05</v>
      </c>
      <c r="P337" s="116">
        <v>1255</v>
      </c>
      <c r="Q337" s="116">
        <v>1284.2</v>
      </c>
      <c r="R337">
        <v>259679</v>
      </c>
    </row>
    <row r="338" spans="1:18" x14ac:dyDescent="0.25">
      <c r="A338" s="170">
        <v>42501</v>
      </c>
      <c r="B338" s="116">
        <v>1294</v>
      </c>
      <c r="C338" s="116">
        <v>1275.05</v>
      </c>
      <c r="D338" s="116">
        <v>1267</v>
      </c>
      <c r="E338" s="116">
        <v>1272</v>
      </c>
      <c r="F338" s="116">
        <v>1275.05</v>
      </c>
      <c r="G338">
        <v>7755</v>
      </c>
      <c r="H338" s="116"/>
      <c r="I338" s="116"/>
      <c r="L338" s="170">
        <v>42501</v>
      </c>
      <c r="M338" s="116">
        <v>1275.4000000000001</v>
      </c>
      <c r="N338" s="116">
        <v>1293.8</v>
      </c>
      <c r="O338" s="116">
        <v>1266</v>
      </c>
      <c r="P338" s="116">
        <v>1274</v>
      </c>
      <c r="Q338" s="116">
        <v>1275.4000000000001</v>
      </c>
      <c r="R338">
        <v>56672</v>
      </c>
    </row>
    <row r="339" spans="1:18" x14ac:dyDescent="0.25">
      <c r="A339" s="170">
        <v>42502</v>
      </c>
      <c r="B339" s="116">
        <v>1295</v>
      </c>
      <c r="C339" s="116">
        <v>1281.0999999999999</v>
      </c>
      <c r="D339" s="116">
        <v>1275</v>
      </c>
      <c r="E339" s="116">
        <v>1280</v>
      </c>
      <c r="F339" s="116">
        <v>1281.0999999999999</v>
      </c>
      <c r="G339">
        <v>4254</v>
      </c>
      <c r="H339" s="116"/>
      <c r="I339" s="116"/>
      <c r="L339" s="170">
        <v>42502</v>
      </c>
      <c r="M339" s="116">
        <v>1284.3499999999999</v>
      </c>
      <c r="N339" s="116">
        <v>1295.4000000000001</v>
      </c>
      <c r="O339" s="116">
        <v>1271.3</v>
      </c>
      <c r="P339" s="116">
        <v>1274.45</v>
      </c>
      <c r="Q339" s="116">
        <v>1284.3499999999999</v>
      </c>
      <c r="R339">
        <v>36078</v>
      </c>
    </row>
    <row r="340" spans="1:18" x14ac:dyDescent="0.25">
      <c r="A340" s="170">
        <v>42503</v>
      </c>
      <c r="B340" s="116">
        <v>1310</v>
      </c>
      <c r="C340" s="116">
        <v>1265.45</v>
      </c>
      <c r="D340" s="116">
        <v>1255.0999999999999</v>
      </c>
      <c r="E340" s="116">
        <v>1290.0999999999999</v>
      </c>
      <c r="F340" s="116">
        <v>1265.45</v>
      </c>
      <c r="G340">
        <v>9806</v>
      </c>
      <c r="H340" s="116"/>
      <c r="I340" s="116"/>
      <c r="L340" s="170">
        <v>42503</v>
      </c>
      <c r="M340" s="116">
        <v>1263.8</v>
      </c>
      <c r="N340" s="116">
        <v>1312</v>
      </c>
      <c r="O340" s="116">
        <v>1260</v>
      </c>
      <c r="P340" s="116">
        <v>1290</v>
      </c>
      <c r="Q340" s="116">
        <v>1263.8</v>
      </c>
      <c r="R340">
        <v>82291</v>
      </c>
    </row>
    <row r="341" spans="1:18" x14ac:dyDescent="0.25">
      <c r="A341" s="170">
        <v>42506</v>
      </c>
      <c r="B341" s="116">
        <v>1275</v>
      </c>
      <c r="C341" s="116">
        <v>1260.25</v>
      </c>
      <c r="D341" s="116">
        <v>1255.3</v>
      </c>
      <c r="E341" s="116">
        <v>1266</v>
      </c>
      <c r="F341" s="116">
        <v>1260.25</v>
      </c>
      <c r="G341">
        <v>4308</v>
      </c>
      <c r="H341" s="116"/>
      <c r="I341" s="116"/>
      <c r="L341" s="170">
        <v>42506</v>
      </c>
      <c r="M341" s="116">
        <v>1263.7</v>
      </c>
      <c r="N341" s="116">
        <v>1276</v>
      </c>
      <c r="O341" s="116">
        <v>1260</v>
      </c>
      <c r="P341" s="116">
        <v>1276</v>
      </c>
      <c r="Q341" s="116">
        <v>1263.7</v>
      </c>
      <c r="R341">
        <v>13323</v>
      </c>
    </row>
    <row r="342" spans="1:18" x14ac:dyDescent="0.25">
      <c r="A342" s="170">
        <v>42507</v>
      </c>
      <c r="B342" s="116">
        <v>1280.25</v>
      </c>
      <c r="C342" s="116">
        <v>1257.55</v>
      </c>
      <c r="D342" s="116">
        <v>1253.05</v>
      </c>
      <c r="E342" s="116">
        <v>1260</v>
      </c>
      <c r="F342" s="116">
        <v>1257.55</v>
      </c>
      <c r="G342">
        <v>3317</v>
      </c>
      <c r="H342" s="116"/>
      <c r="I342" s="116"/>
      <c r="L342" s="170">
        <v>42507</v>
      </c>
      <c r="M342" s="116">
        <v>1259.25</v>
      </c>
      <c r="N342" s="116">
        <v>1280</v>
      </c>
      <c r="O342" s="116">
        <v>1255</v>
      </c>
      <c r="P342" s="116">
        <v>1267</v>
      </c>
      <c r="Q342" s="116">
        <v>1259.25</v>
      </c>
      <c r="R342">
        <v>42078</v>
      </c>
    </row>
    <row r="343" spans="1:18" x14ac:dyDescent="0.25">
      <c r="A343" s="170">
        <v>42508</v>
      </c>
      <c r="B343" s="116">
        <v>1266</v>
      </c>
      <c r="C343" s="116">
        <v>1254</v>
      </c>
      <c r="D343" s="116">
        <v>1250</v>
      </c>
      <c r="E343" s="116">
        <v>1258.8499999999999</v>
      </c>
      <c r="F343" s="116">
        <v>1254</v>
      </c>
      <c r="G343">
        <v>3516</v>
      </c>
      <c r="H343" s="116"/>
      <c r="I343" s="116"/>
      <c r="L343" s="170">
        <v>42508</v>
      </c>
      <c r="M343" s="116">
        <v>1257.8</v>
      </c>
      <c r="N343" s="116">
        <v>1264.9000000000001</v>
      </c>
      <c r="O343" s="116">
        <v>1251.25</v>
      </c>
      <c r="P343" s="116">
        <v>1255</v>
      </c>
      <c r="Q343" s="116">
        <v>1257.8</v>
      </c>
      <c r="R343">
        <v>21942</v>
      </c>
    </row>
    <row r="344" spans="1:18" x14ac:dyDescent="0.25">
      <c r="A344" s="170">
        <v>42509</v>
      </c>
      <c r="B344" s="116">
        <v>1269.5999999999999</v>
      </c>
      <c r="C344" s="116">
        <v>1240.95</v>
      </c>
      <c r="D344" s="116">
        <v>1238.55</v>
      </c>
      <c r="E344" s="116">
        <v>1255.0999999999999</v>
      </c>
      <c r="F344" s="116">
        <v>1240.95</v>
      </c>
      <c r="G344">
        <v>2519</v>
      </c>
      <c r="H344" s="116"/>
      <c r="I344" s="116"/>
      <c r="L344" s="170">
        <v>42509</v>
      </c>
      <c r="M344" s="116">
        <v>1241.3499999999999</v>
      </c>
      <c r="N344" s="116">
        <v>1268</v>
      </c>
      <c r="O344" s="116">
        <v>1237.8499999999999</v>
      </c>
      <c r="P344" s="116">
        <v>1257.9000000000001</v>
      </c>
      <c r="Q344" s="116">
        <v>1241.3499999999999</v>
      </c>
      <c r="R344">
        <v>14482</v>
      </c>
    </row>
    <row r="345" spans="1:18" x14ac:dyDescent="0.25">
      <c r="A345" s="170">
        <v>42510</v>
      </c>
      <c r="B345" s="116">
        <v>1258</v>
      </c>
      <c r="C345" s="116">
        <v>1209.3499999999999</v>
      </c>
      <c r="D345" s="116">
        <v>1203</v>
      </c>
      <c r="E345" s="116">
        <v>1240.1500000000001</v>
      </c>
      <c r="F345" s="116">
        <v>1209.3499999999999</v>
      </c>
      <c r="G345">
        <v>4151</v>
      </c>
      <c r="H345" s="116"/>
      <c r="I345" s="116"/>
      <c r="L345" s="170">
        <v>42510</v>
      </c>
      <c r="M345" s="116">
        <v>1209</v>
      </c>
      <c r="N345" s="116">
        <v>1260</v>
      </c>
      <c r="O345" s="116">
        <v>1200.05</v>
      </c>
      <c r="P345" s="116">
        <v>1241</v>
      </c>
      <c r="Q345" s="116">
        <v>1209</v>
      </c>
      <c r="R345">
        <v>17972</v>
      </c>
    </row>
    <row r="346" spans="1:18" x14ac:dyDescent="0.25">
      <c r="A346" s="170">
        <v>42513</v>
      </c>
      <c r="B346" s="116">
        <v>1229</v>
      </c>
      <c r="C346" s="116">
        <v>1216.4000000000001</v>
      </c>
      <c r="D346" s="116">
        <v>1208.95</v>
      </c>
      <c r="E346" s="116">
        <v>1210</v>
      </c>
      <c r="F346" s="116">
        <v>1216.4000000000001</v>
      </c>
      <c r="G346">
        <v>3714</v>
      </c>
      <c r="H346" s="116"/>
      <c r="I346" s="116"/>
      <c r="L346" s="170">
        <v>42513</v>
      </c>
      <c r="M346" s="116">
        <v>1219.5999999999999</v>
      </c>
      <c r="N346" s="116">
        <v>1230</v>
      </c>
      <c r="O346" s="116">
        <v>1201.6500000000001</v>
      </c>
      <c r="P346" s="116">
        <v>1218.45</v>
      </c>
      <c r="Q346" s="116">
        <v>1219.5999999999999</v>
      </c>
      <c r="R346">
        <v>41184</v>
      </c>
    </row>
    <row r="347" spans="1:18" x14ac:dyDescent="0.25">
      <c r="A347" s="170">
        <v>42514</v>
      </c>
      <c r="B347" s="116">
        <v>1226.0999999999999</v>
      </c>
      <c r="C347" s="116">
        <v>1190.8499999999999</v>
      </c>
      <c r="D347" s="116">
        <v>1185</v>
      </c>
      <c r="E347" s="116">
        <v>1216.0999999999999</v>
      </c>
      <c r="F347" s="116">
        <v>1190.8499999999999</v>
      </c>
      <c r="G347">
        <v>5341</v>
      </c>
      <c r="H347" s="116"/>
      <c r="I347" s="116"/>
      <c r="L347" s="170">
        <v>42514</v>
      </c>
      <c r="M347" s="116">
        <v>1190.6500000000001</v>
      </c>
      <c r="N347" s="116">
        <v>1228.5</v>
      </c>
      <c r="O347" s="116">
        <v>1185.4000000000001</v>
      </c>
      <c r="P347" s="116">
        <v>1220.25</v>
      </c>
      <c r="Q347" s="116">
        <v>1190.6500000000001</v>
      </c>
      <c r="R347">
        <v>30106</v>
      </c>
    </row>
    <row r="348" spans="1:18" x14ac:dyDescent="0.25">
      <c r="A348" s="170">
        <v>42515</v>
      </c>
      <c r="B348" s="116">
        <v>1223</v>
      </c>
      <c r="C348" s="116">
        <v>1212.75</v>
      </c>
      <c r="D348" s="116">
        <v>1195</v>
      </c>
      <c r="E348" s="116">
        <v>1201</v>
      </c>
      <c r="F348" s="116">
        <v>1212.75</v>
      </c>
      <c r="G348">
        <v>6354</v>
      </c>
      <c r="H348" s="116"/>
      <c r="I348" s="116"/>
      <c r="L348" s="170">
        <v>42515</v>
      </c>
      <c r="M348" s="116">
        <v>1217.1500000000001</v>
      </c>
      <c r="N348" s="116">
        <v>1229.75</v>
      </c>
      <c r="O348" s="116">
        <v>1192.5999999999999</v>
      </c>
      <c r="P348" s="116">
        <v>1195</v>
      </c>
      <c r="Q348" s="116">
        <v>1217.1500000000001</v>
      </c>
      <c r="R348">
        <v>75206</v>
      </c>
    </row>
    <row r="349" spans="1:18" x14ac:dyDescent="0.25">
      <c r="A349" s="170">
        <v>42516</v>
      </c>
      <c r="B349" s="116">
        <v>1250</v>
      </c>
      <c r="C349" s="116">
        <v>1239.3</v>
      </c>
      <c r="D349" s="116">
        <v>1221.1500000000001</v>
      </c>
      <c r="E349" s="116">
        <v>1224</v>
      </c>
      <c r="F349" s="116">
        <v>1239.3</v>
      </c>
      <c r="G349">
        <v>6023</v>
      </c>
      <c r="H349" s="116"/>
      <c r="I349" s="116"/>
      <c r="L349" s="170">
        <v>42516</v>
      </c>
      <c r="M349" s="116">
        <v>1243.3</v>
      </c>
      <c r="N349" s="116">
        <v>1249</v>
      </c>
      <c r="O349" s="116">
        <v>1220.0999999999999</v>
      </c>
      <c r="P349" s="116">
        <v>1220.0999999999999</v>
      </c>
      <c r="Q349" s="116">
        <v>1243.3</v>
      </c>
      <c r="R349">
        <v>47220</v>
      </c>
    </row>
    <row r="350" spans="1:18" x14ac:dyDescent="0.25">
      <c r="A350" s="170">
        <v>42517</v>
      </c>
      <c r="B350" s="116">
        <v>1272.45</v>
      </c>
      <c r="C350" s="116">
        <v>1254.8</v>
      </c>
      <c r="D350" s="116">
        <v>1243</v>
      </c>
      <c r="E350" s="116">
        <v>1243</v>
      </c>
      <c r="F350" s="116">
        <v>1254.8</v>
      </c>
      <c r="G350">
        <v>4958</v>
      </c>
      <c r="H350" s="116"/>
      <c r="I350" s="116"/>
      <c r="L350" s="170">
        <v>42517</v>
      </c>
      <c r="M350" s="116">
        <v>1253.95</v>
      </c>
      <c r="N350" s="116">
        <v>1273.8499999999999</v>
      </c>
      <c r="O350" s="116">
        <v>1234.4000000000001</v>
      </c>
      <c r="P350" s="116">
        <v>1241.8</v>
      </c>
      <c r="Q350" s="116">
        <v>1253.95</v>
      </c>
      <c r="R350">
        <v>51180</v>
      </c>
    </row>
    <row r="351" spans="1:18" x14ac:dyDescent="0.25">
      <c r="A351" s="170">
        <v>42520</v>
      </c>
      <c r="B351" s="116">
        <v>1260</v>
      </c>
      <c r="C351" s="116">
        <v>1217.0999999999999</v>
      </c>
      <c r="D351" s="116">
        <v>1210</v>
      </c>
      <c r="E351" s="116">
        <v>1255</v>
      </c>
      <c r="F351" s="116">
        <v>1217.0999999999999</v>
      </c>
      <c r="G351">
        <v>9362</v>
      </c>
      <c r="H351" s="116"/>
      <c r="I351" s="116"/>
      <c r="L351" s="170">
        <v>42520</v>
      </c>
      <c r="M351" s="116">
        <v>1212.75</v>
      </c>
      <c r="N351" s="116">
        <v>1259.3</v>
      </c>
      <c r="O351" s="116">
        <v>1208</v>
      </c>
      <c r="P351" s="116">
        <v>1259.3</v>
      </c>
      <c r="Q351" s="116">
        <v>1212.75</v>
      </c>
      <c r="R351">
        <v>88732</v>
      </c>
    </row>
    <row r="352" spans="1:18" x14ac:dyDescent="0.25">
      <c r="A352" s="170">
        <v>42521</v>
      </c>
      <c r="B352" s="116">
        <v>1239</v>
      </c>
      <c r="C352" s="116">
        <v>1231.3</v>
      </c>
      <c r="D352" s="116">
        <v>1210.5</v>
      </c>
      <c r="E352" s="116">
        <v>1220</v>
      </c>
      <c r="F352" s="116">
        <v>1231.3</v>
      </c>
      <c r="G352">
        <v>5054</v>
      </c>
      <c r="H352" s="116"/>
      <c r="I352" s="116"/>
      <c r="L352" s="170">
        <v>42521</v>
      </c>
      <c r="M352" s="116">
        <v>1237</v>
      </c>
      <c r="N352" s="116">
        <v>1243</v>
      </c>
      <c r="O352" s="116">
        <v>1212.0999999999999</v>
      </c>
      <c r="P352" s="116">
        <v>1215</v>
      </c>
      <c r="Q352" s="116">
        <v>1237</v>
      </c>
      <c r="R352">
        <v>40248</v>
      </c>
    </row>
    <row r="353" spans="1:18" x14ac:dyDescent="0.25">
      <c r="A353" s="170">
        <v>42522</v>
      </c>
      <c r="B353" s="116">
        <v>1244</v>
      </c>
      <c r="C353" s="116">
        <v>1229.8</v>
      </c>
      <c r="D353" s="116">
        <v>1218.45</v>
      </c>
      <c r="E353" s="116">
        <v>1240</v>
      </c>
      <c r="F353" s="116">
        <v>1229.8</v>
      </c>
      <c r="G353">
        <v>4635</v>
      </c>
      <c r="H353" s="116"/>
      <c r="I353" s="116"/>
      <c r="L353" s="170">
        <v>42522</v>
      </c>
      <c r="M353" s="116">
        <v>1234.3499999999999</v>
      </c>
      <c r="N353" s="116">
        <v>1246.1500000000001</v>
      </c>
      <c r="O353" s="116">
        <v>1218.95</v>
      </c>
      <c r="P353" s="116">
        <v>1240</v>
      </c>
      <c r="Q353" s="116">
        <v>1234.3499999999999</v>
      </c>
      <c r="R353">
        <v>42631</v>
      </c>
    </row>
    <row r="354" spans="1:18" x14ac:dyDescent="0.25">
      <c r="A354" s="170">
        <v>42523</v>
      </c>
      <c r="B354" s="116">
        <v>1240</v>
      </c>
      <c r="C354" s="116">
        <v>1216.4000000000001</v>
      </c>
      <c r="D354" s="116">
        <v>1210.6500000000001</v>
      </c>
      <c r="E354" s="116">
        <v>1230.05</v>
      </c>
      <c r="F354" s="116">
        <v>1216.4000000000001</v>
      </c>
      <c r="G354">
        <v>4614</v>
      </c>
      <c r="H354" s="116"/>
      <c r="I354" s="116"/>
      <c r="L354" s="170">
        <v>42523</v>
      </c>
      <c r="M354" s="116">
        <v>1218.25</v>
      </c>
      <c r="N354" s="116">
        <v>1239</v>
      </c>
      <c r="O354" s="116">
        <v>1208</v>
      </c>
      <c r="P354" s="116">
        <v>1239</v>
      </c>
      <c r="Q354" s="116">
        <v>1218.25</v>
      </c>
      <c r="R354">
        <v>28719</v>
      </c>
    </row>
    <row r="355" spans="1:18" x14ac:dyDescent="0.25">
      <c r="A355" s="170">
        <v>42524</v>
      </c>
      <c r="B355" s="116">
        <v>1232.9000000000001</v>
      </c>
      <c r="C355" s="116">
        <v>1213.0999999999999</v>
      </c>
      <c r="D355" s="116">
        <v>1205</v>
      </c>
      <c r="E355" s="116">
        <v>1228</v>
      </c>
      <c r="F355" s="116">
        <v>1213.0999999999999</v>
      </c>
      <c r="G355">
        <v>5488</v>
      </c>
      <c r="H355" s="116"/>
      <c r="I355" s="116"/>
      <c r="L355" s="170">
        <v>42524</v>
      </c>
      <c r="M355" s="116">
        <v>1212.8</v>
      </c>
      <c r="N355" s="116">
        <v>1234</v>
      </c>
      <c r="O355" s="116">
        <v>1205</v>
      </c>
      <c r="P355" s="116">
        <v>1219.05</v>
      </c>
      <c r="Q355" s="116">
        <v>1212.8</v>
      </c>
      <c r="R355">
        <v>54478</v>
      </c>
    </row>
    <row r="356" spans="1:18" x14ac:dyDescent="0.25">
      <c r="A356" s="170">
        <v>42527</v>
      </c>
      <c r="B356" s="116">
        <v>1220</v>
      </c>
      <c r="C356" s="116">
        <v>1215.7</v>
      </c>
      <c r="D356" s="116">
        <v>1202.4000000000001</v>
      </c>
      <c r="E356" s="116">
        <v>1220</v>
      </c>
      <c r="F356" s="116">
        <v>1215.7</v>
      </c>
      <c r="G356">
        <v>5537</v>
      </c>
      <c r="H356" s="116"/>
      <c r="I356" s="116"/>
      <c r="L356" s="170">
        <v>42527</v>
      </c>
      <c r="M356" s="116">
        <v>1214.8</v>
      </c>
      <c r="N356" s="116">
        <v>1221</v>
      </c>
      <c r="O356" s="116">
        <v>1210.1500000000001</v>
      </c>
      <c r="P356" s="116">
        <v>1218</v>
      </c>
      <c r="Q356" s="116">
        <v>1214.8</v>
      </c>
      <c r="R356">
        <v>25780</v>
      </c>
    </row>
    <row r="357" spans="1:18" x14ac:dyDescent="0.25">
      <c r="A357" s="170">
        <v>42528</v>
      </c>
      <c r="B357" s="116">
        <v>1219.5999999999999</v>
      </c>
      <c r="C357" s="116">
        <v>1211.45</v>
      </c>
      <c r="D357" s="116">
        <v>1205</v>
      </c>
      <c r="E357" s="116">
        <v>1219</v>
      </c>
      <c r="F357" s="116">
        <v>1211.45</v>
      </c>
      <c r="G357">
        <v>3899</v>
      </c>
      <c r="H357" s="116"/>
      <c r="I357" s="116"/>
      <c r="L357" s="170">
        <v>42528</v>
      </c>
      <c r="M357" s="116">
        <v>1210.7</v>
      </c>
      <c r="N357" s="116">
        <v>1223</v>
      </c>
      <c r="O357" s="116">
        <v>1205.0999999999999</v>
      </c>
      <c r="P357" s="116">
        <v>1219</v>
      </c>
      <c r="Q357" s="116">
        <v>1210.7</v>
      </c>
      <c r="R357">
        <v>27391</v>
      </c>
    </row>
    <row r="358" spans="1:18" x14ac:dyDescent="0.25">
      <c r="A358" s="170">
        <v>42529</v>
      </c>
      <c r="B358" s="116">
        <v>1242</v>
      </c>
      <c r="C358" s="116">
        <v>1230.8499999999999</v>
      </c>
      <c r="D358" s="116">
        <v>1195</v>
      </c>
      <c r="E358" s="116">
        <v>1212</v>
      </c>
      <c r="F358" s="116">
        <v>1230.8499999999999</v>
      </c>
      <c r="G358">
        <v>11260</v>
      </c>
      <c r="H358" s="116"/>
      <c r="I358" s="116"/>
      <c r="L358" s="170">
        <v>42529</v>
      </c>
      <c r="M358" s="116">
        <v>1233.7</v>
      </c>
      <c r="N358" s="116">
        <v>1245</v>
      </c>
      <c r="O358" s="116">
        <v>1195</v>
      </c>
      <c r="P358" s="116">
        <v>1212</v>
      </c>
      <c r="Q358" s="116">
        <v>1233.7</v>
      </c>
      <c r="R358">
        <v>218936</v>
      </c>
    </row>
    <row r="359" spans="1:18" x14ac:dyDescent="0.25">
      <c r="A359" s="170">
        <v>42530</v>
      </c>
      <c r="B359" s="116">
        <v>1250.9000000000001</v>
      </c>
      <c r="C359" s="116">
        <v>1214.25</v>
      </c>
      <c r="D359" s="116">
        <v>1208.95</v>
      </c>
      <c r="E359" s="116">
        <v>1229</v>
      </c>
      <c r="F359" s="116">
        <v>1214.25</v>
      </c>
      <c r="G359">
        <v>13228</v>
      </c>
      <c r="H359" s="116"/>
      <c r="I359" s="116"/>
      <c r="L359" s="170">
        <v>42530</v>
      </c>
      <c r="M359" s="116">
        <v>1210.55</v>
      </c>
      <c r="N359" s="116">
        <v>1249.8</v>
      </c>
      <c r="O359" s="116">
        <v>1202.95</v>
      </c>
      <c r="P359" s="116">
        <v>1233</v>
      </c>
      <c r="Q359" s="116">
        <v>1210.55</v>
      </c>
      <c r="R359">
        <v>97942</v>
      </c>
    </row>
    <row r="360" spans="1:18" x14ac:dyDescent="0.25">
      <c r="A360" s="170">
        <v>42531</v>
      </c>
      <c r="B360" s="116">
        <v>1229</v>
      </c>
      <c r="C360" s="116">
        <v>1210.1500000000001</v>
      </c>
      <c r="D360" s="116">
        <v>1206.0999999999999</v>
      </c>
      <c r="E360" s="116">
        <v>1208.1500000000001</v>
      </c>
      <c r="F360" s="116">
        <v>1210.1500000000001</v>
      </c>
      <c r="G360">
        <v>4820</v>
      </c>
      <c r="H360" s="116"/>
      <c r="I360" s="116"/>
      <c r="L360" s="170">
        <v>42531</v>
      </c>
      <c r="M360" s="116">
        <v>1207.8</v>
      </c>
      <c r="N360" s="116">
        <v>1229</v>
      </c>
      <c r="O360" s="116">
        <v>1203.5</v>
      </c>
      <c r="P360" s="116">
        <v>1211</v>
      </c>
      <c r="Q360" s="116">
        <v>1207.8</v>
      </c>
      <c r="R360">
        <v>58697</v>
      </c>
    </row>
    <row r="361" spans="1:18" x14ac:dyDescent="0.25">
      <c r="A361" s="170">
        <v>42534</v>
      </c>
      <c r="B361" s="116">
        <v>1220</v>
      </c>
      <c r="C361" s="116">
        <v>1210.25</v>
      </c>
      <c r="D361" s="116">
        <v>1199.5</v>
      </c>
      <c r="E361" s="116">
        <v>1210</v>
      </c>
      <c r="F361" s="116">
        <v>1210.25</v>
      </c>
      <c r="G361">
        <v>5918</v>
      </c>
      <c r="H361" s="116"/>
      <c r="I361" s="116"/>
      <c r="L361" s="170">
        <v>42534</v>
      </c>
      <c r="M361" s="116">
        <v>1211.6500000000001</v>
      </c>
      <c r="N361" s="116">
        <v>1219</v>
      </c>
      <c r="O361" s="116">
        <v>1197</v>
      </c>
      <c r="P361" s="116">
        <v>1207</v>
      </c>
      <c r="Q361" s="116">
        <v>1211.6500000000001</v>
      </c>
      <c r="R361">
        <v>37632</v>
      </c>
    </row>
    <row r="362" spans="1:18" x14ac:dyDescent="0.25">
      <c r="A362" s="170">
        <v>42535</v>
      </c>
      <c r="B362" s="116">
        <v>1222.9000000000001</v>
      </c>
      <c r="C362" s="116">
        <v>1216.75</v>
      </c>
      <c r="D362" s="116">
        <v>1210.05</v>
      </c>
      <c r="E362" s="116">
        <v>1222</v>
      </c>
      <c r="F362" s="116">
        <v>1216.75</v>
      </c>
      <c r="G362">
        <v>3112</v>
      </c>
      <c r="H362" s="116"/>
      <c r="I362" s="116"/>
      <c r="L362" s="170">
        <v>42535</v>
      </c>
      <c r="M362" s="116">
        <v>1218.05</v>
      </c>
      <c r="N362" s="116">
        <v>1221.9000000000001</v>
      </c>
      <c r="O362" s="116">
        <v>1211</v>
      </c>
      <c r="P362" s="116">
        <v>1219</v>
      </c>
      <c r="Q362" s="116">
        <v>1218.05</v>
      </c>
      <c r="R362">
        <v>22126</v>
      </c>
    </row>
    <row r="363" spans="1:18" x14ac:dyDescent="0.25">
      <c r="A363" s="170">
        <v>42536</v>
      </c>
      <c r="B363" s="116">
        <v>1245</v>
      </c>
      <c r="C363" s="116">
        <v>1237</v>
      </c>
      <c r="D363" s="116">
        <v>1215</v>
      </c>
      <c r="E363" s="116">
        <v>1215</v>
      </c>
      <c r="F363" s="116">
        <v>1237</v>
      </c>
      <c r="G363">
        <v>6736</v>
      </c>
      <c r="H363" s="116"/>
      <c r="I363" s="116"/>
      <c r="L363" s="170">
        <v>42536</v>
      </c>
      <c r="M363" s="116">
        <v>1239.0999999999999</v>
      </c>
      <c r="N363" s="116">
        <v>1243.5</v>
      </c>
      <c r="O363" s="116">
        <v>1218</v>
      </c>
      <c r="P363" s="116">
        <v>1218</v>
      </c>
      <c r="Q363" s="116">
        <v>1239.0999999999999</v>
      </c>
      <c r="R363">
        <v>60615</v>
      </c>
    </row>
    <row r="364" spans="1:18" x14ac:dyDescent="0.25">
      <c r="A364" s="170">
        <v>42537</v>
      </c>
      <c r="B364" s="116">
        <v>1237.05</v>
      </c>
      <c r="C364" s="116">
        <v>1228.05</v>
      </c>
      <c r="D364" s="116">
        <v>1215</v>
      </c>
      <c r="E364" s="116">
        <v>1230</v>
      </c>
      <c r="F364" s="116">
        <v>1228.05</v>
      </c>
      <c r="G364">
        <v>2949</v>
      </c>
      <c r="H364" s="116"/>
      <c r="I364" s="116"/>
      <c r="L364" s="170">
        <v>42537</v>
      </c>
      <c r="M364" s="116">
        <v>1231.9000000000001</v>
      </c>
      <c r="N364" s="116">
        <v>1241.5</v>
      </c>
      <c r="O364" s="116">
        <v>1215.0999999999999</v>
      </c>
      <c r="P364" s="116">
        <v>1241.5</v>
      </c>
      <c r="Q364" s="116">
        <v>1231.9000000000001</v>
      </c>
      <c r="R364">
        <v>72153</v>
      </c>
    </row>
    <row r="365" spans="1:18" x14ac:dyDescent="0.25">
      <c r="A365" s="170">
        <v>42538</v>
      </c>
      <c r="B365" s="116">
        <v>1254.8499999999999</v>
      </c>
      <c r="C365" s="116">
        <v>1238.75</v>
      </c>
      <c r="D365" s="116">
        <v>1229.95</v>
      </c>
      <c r="E365" s="116">
        <v>1234.25</v>
      </c>
      <c r="F365" s="116">
        <v>1238.75</v>
      </c>
      <c r="G365">
        <v>5575</v>
      </c>
      <c r="H365" s="116"/>
      <c r="I365" s="116"/>
      <c r="L365" s="170">
        <v>42538</v>
      </c>
      <c r="M365" s="116">
        <v>1238.8499999999999</v>
      </c>
      <c r="N365" s="116">
        <v>1254.5</v>
      </c>
      <c r="O365" s="116">
        <v>1230.75</v>
      </c>
      <c r="P365" s="116">
        <v>1240</v>
      </c>
      <c r="Q365" s="116">
        <v>1238.8499999999999</v>
      </c>
      <c r="R365">
        <v>65727</v>
      </c>
    </row>
    <row r="366" spans="1:18" x14ac:dyDescent="0.25">
      <c r="A366" s="170">
        <v>42541</v>
      </c>
      <c r="B366" s="116">
        <v>1236.5999999999999</v>
      </c>
      <c r="C366" s="116">
        <v>1225.8499999999999</v>
      </c>
      <c r="D366" s="116">
        <v>1220.5</v>
      </c>
      <c r="E366" s="116">
        <v>1235</v>
      </c>
      <c r="F366" s="116">
        <v>1225.8499999999999</v>
      </c>
      <c r="G366">
        <v>2762</v>
      </c>
      <c r="H366" s="116"/>
      <c r="I366" s="116"/>
      <c r="L366" s="170">
        <v>42541</v>
      </c>
      <c r="M366" s="116">
        <v>1221.5</v>
      </c>
      <c r="N366" s="116">
        <v>1235.4000000000001</v>
      </c>
      <c r="O366" s="116">
        <v>1219</v>
      </c>
      <c r="P366" s="116">
        <v>1227</v>
      </c>
      <c r="Q366" s="116">
        <v>1221.5</v>
      </c>
      <c r="R366">
        <v>27079</v>
      </c>
    </row>
    <row r="367" spans="1:18" x14ac:dyDescent="0.25">
      <c r="A367" s="170">
        <v>42542</v>
      </c>
      <c r="B367" s="116">
        <v>1240</v>
      </c>
      <c r="C367" s="116">
        <v>1232</v>
      </c>
      <c r="D367" s="116">
        <v>1215</v>
      </c>
      <c r="E367" s="116">
        <v>1230</v>
      </c>
      <c r="F367" s="116">
        <v>1232</v>
      </c>
      <c r="G367">
        <v>4432</v>
      </c>
      <c r="H367" s="116"/>
      <c r="I367" s="116"/>
      <c r="L367" s="170">
        <v>42542</v>
      </c>
      <c r="M367" s="116">
        <v>1237.1500000000001</v>
      </c>
      <c r="N367" s="116">
        <v>1244.45</v>
      </c>
      <c r="O367" s="116">
        <v>1217.0999999999999</v>
      </c>
      <c r="P367" s="116">
        <v>1225.05</v>
      </c>
      <c r="Q367" s="116">
        <v>1237.1500000000001</v>
      </c>
      <c r="R367">
        <v>26036</v>
      </c>
    </row>
    <row r="368" spans="1:18" x14ac:dyDescent="0.25">
      <c r="A368" s="170">
        <v>42543</v>
      </c>
      <c r="B368" s="116">
        <v>1242</v>
      </c>
      <c r="C368" s="116">
        <v>1230.3</v>
      </c>
      <c r="D368" s="116">
        <v>1220.4000000000001</v>
      </c>
      <c r="E368" s="116">
        <v>1227.95</v>
      </c>
      <c r="F368" s="116">
        <v>1230.3</v>
      </c>
      <c r="G368">
        <v>2262</v>
      </c>
      <c r="H368" s="116"/>
      <c r="I368" s="116"/>
      <c r="L368" s="170">
        <v>42543</v>
      </c>
      <c r="M368" s="116">
        <v>1231.4000000000001</v>
      </c>
      <c r="N368" s="116">
        <v>1244</v>
      </c>
      <c r="O368" s="116">
        <v>1222</v>
      </c>
      <c r="P368" s="116">
        <v>1237</v>
      </c>
      <c r="Q368" s="116">
        <v>1231.4000000000001</v>
      </c>
      <c r="R368">
        <v>25160</v>
      </c>
    </row>
    <row r="369" spans="1:18" x14ac:dyDescent="0.25">
      <c r="A369" s="170">
        <v>42544</v>
      </c>
      <c r="B369" s="116">
        <v>1240.3</v>
      </c>
      <c r="C369" s="116">
        <v>1231.2</v>
      </c>
      <c r="D369" s="116">
        <v>1221.55</v>
      </c>
      <c r="E369" s="116">
        <v>1240.3</v>
      </c>
      <c r="F369" s="116">
        <v>1231.2</v>
      </c>
      <c r="G369">
        <v>947</v>
      </c>
      <c r="H369" s="116"/>
      <c r="I369" s="116"/>
      <c r="L369" s="170">
        <v>42544</v>
      </c>
      <c r="M369" s="116">
        <v>1230.8</v>
      </c>
      <c r="N369" s="116">
        <v>1239</v>
      </c>
      <c r="O369" s="116">
        <v>1225</v>
      </c>
      <c r="P369" s="116">
        <v>1239</v>
      </c>
      <c r="Q369" s="116">
        <v>1230.8</v>
      </c>
      <c r="R369">
        <v>15749</v>
      </c>
    </row>
    <row r="370" spans="1:18" x14ac:dyDescent="0.25">
      <c r="A370" s="170">
        <v>42545</v>
      </c>
      <c r="B370" s="116">
        <v>1217</v>
      </c>
      <c r="C370" s="116">
        <v>1210.4000000000001</v>
      </c>
      <c r="D370" s="116">
        <v>1182.75</v>
      </c>
      <c r="E370" s="116">
        <v>1215</v>
      </c>
      <c r="F370" s="116">
        <v>1210.4000000000001</v>
      </c>
      <c r="G370">
        <v>7810</v>
      </c>
      <c r="H370" s="116"/>
      <c r="I370" s="116"/>
      <c r="L370" s="170">
        <v>42545</v>
      </c>
      <c r="M370" s="116">
        <v>1212.3499999999999</v>
      </c>
      <c r="N370" s="116">
        <v>1220</v>
      </c>
      <c r="O370" s="116">
        <v>1178.9000000000001</v>
      </c>
      <c r="P370" s="116">
        <v>1220</v>
      </c>
      <c r="Q370" s="116">
        <v>1212.3499999999999</v>
      </c>
      <c r="R370">
        <v>93646</v>
      </c>
    </row>
    <row r="371" spans="1:18" x14ac:dyDescent="0.25">
      <c r="A371" s="170">
        <v>42548</v>
      </c>
      <c r="B371" s="116">
        <v>1229.4000000000001</v>
      </c>
      <c r="C371" s="116">
        <v>1211.4000000000001</v>
      </c>
      <c r="D371" s="116">
        <v>1208</v>
      </c>
      <c r="E371" s="116">
        <v>1220</v>
      </c>
      <c r="F371" s="116">
        <v>1211.4000000000001</v>
      </c>
      <c r="G371">
        <v>2406</v>
      </c>
      <c r="H371" s="116"/>
      <c r="I371" s="116"/>
      <c r="L371" s="170">
        <v>42548</v>
      </c>
      <c r="M371" s="116">
        <v>1213</v>
      </c>
      <c r="N371" s="116">
        <v>1226.1500000000001</v>
      </c>
      <c r="O371" s="116">
        <v>1208.0999999999999</v>
      </c>
      <c r="P371" s="116">
        <v>1212</v>
      </c>
      <c r="Q371" s="116">
        <v>1213</v>
      </c>
      <c r="R371">
        <v>22322</v>
      </c>
    </row>
    <row r="372" spans="1:18" x14ac:dyDescent="0.25">
      <c r="A372" s="170">
        <v>42549</v>
      </c>
      <c r="B372" s="116">
        <v>1227.8</v>
      </c>
      <c r="C372" s="116">
        <v>1199.5999999999999</v>
      </c>
      <c r="D372" s="116">
        <v>1189</v>
      </c>
      <c r="E372" s="116">
        <v>1219.05</v>
      </c>
      <c r="F372" s="116">
        <v>1199.5999999999999</v>
      </c>
      <c r="G372">
        <v>9327</v>
      </c>
      <c r="H372" s="116"/>
      <c r="I372" s="116"/>
      <c r="L372" s="170">
        <v>42549</v>
      </c>
      <c r="M372" s="116">
        <v>1198.3499999999999</v>
      </c>
      <c r="N372" s="116">
        <v>1227.5</v>
      </c>
      <c r="O372" s="116">
        <v>1187.05</v>
      </c>
      <c r="P372" s="116">
        <v>1227.5</v>
      </c>
      <c r="Q372" s="116">
        <v>1198.3499999999999</v>
      </c>
      <c r="R372">
        <v>91153</v>
      </c>
    </row>
    <row r="373" spans="1:18" x14ac:dyDescent="0.25">
      <c r="A373" s="170">
        <v>42550</v>
      </c>
      <c r="B373" s="116">
        <v>1218.5</v>
      </c>
      <c r="C373" s="116">
        <v>1209.4000000000001</v>
      </c>
      <c r="D373" s="116">
        <v>1205</v>
      </c>
      <c r="E373" s="116">
        <v>1215</v>
      </c>
      <c r="F373" s="116">
        <v>1209.4000000000001</v>
      </c>
      <c r="G373">
        <v>2104</v>
      </c>
      <c r="H373" s="116"/>
      <c r="I373" s="116"/>
      <c r="L373" s="170">
        <v>42550</v>
      </c>
      <c r="M373" s="116">
        <v>1210.95</v>
      </c>
      <c r="N373" s="116">
        <v>1221</v>
      </c>
      <c r="O373" s="116">
        <v>1205</v>
      </c>
      <c r="P373" s="116">
        <v>1210</v>
      </c>
      <c r="Q373" s="116">
        <v>1210.95</v>
      </c>
      <c r="R373">
        <v>25951</v>
      </c>
    </row>
    <row r="374" spans="1:18" x14ac:dyDescent="0.25">
      <c r="A374" s="170">
        <v>42551</v>
      </c>
      <c r="B374" s="116">
        <v>1235</v>
      </c>
      <c r="C374" s="116">
        <v>1224.7</v>
      </c>
      <c r="D374" s="116">
        <v>1216</v>
      </c>
      <c r="E374" s="116">
        <v>1220</v>
      </c>
      <c r="F374" s="116">
        <v>1224.7</v>
      </c>
      <c r="G374">
        <v>4545</v>
      </c>
      <c r="H374" s="116"/>
      <c r="I374" s="116"/>
      <c r="L374" s="170">
        <v>42551</v>
      </c>
      <c r="M374" s="116">
        <v>1223.95</v>
      </c>
      <c r="N374" s="116">
        <v>1235</v>
      </c>
      <c r="O374" s="116">
        <v>1214.5999999999999</v>
      </c>
      <c r="P374" s="116">
        <v>1215</v>
      </c>
      <c r="Q374" s="116">
        <v>1223.95</v>
      </c>
      <c r="R374">
        <v>58522</v>
      </c>
    </row>
    <row r="375" spans="1:18" x14ac:dyDescent="0.25">
      <c r="A375" s="170">
        <v>42552</v>
      </c>
      <c r="B375" s="116">
        <v>1240</v>
      </c>
      <c r="C375" s="116">
        <v>1223.8499999999999</v>
      </c>
      <c r="D375" s="116">
        <v>1216.2</v>
      </c>
      <c r="E375" s="116">
        <v>1225.2</v>
      </c>
      <c r="F375" s="116">
        <v>1223.8499999999999</v>
      </c>
      <c r="G375">
        <v>7017</v>
      </c>
      <c r="H375" s="116"/>
      <c r="I375" s="116"/>
      <c r="L375" s="170">
        <v>42552</v>
      </c>
      <c r="M375" s="116">
        <v>1222.5</v>
      </c>
      <c r="N375" s="116">
        <v>1240</v>
      </c>
      <c r="O375" s="116">
        <v>1215.55</v>
      </c>
      <c r="P375" s="116">
        <v>1230</v>
      </c>
      <c r="Q375" s="116">
        <v>1222.5</v>
      </c>
      <c r="R375">
        <v>38819</v>
      </c>
    </row>
    <row r="376" spans="1:18" x14ac:dyDescent="0.25">
      <c r="A376" s="170">
        <v>42555</v>
      </c>
      <c r="B376" s="116">
        <v>1233.4000000000001</v>
      </c>
      <c r="C376" s="116">
        <v>1220.05</v>
      </c>
      <c r="D376" s="116">
        <v>1217</v>
      </c>
      <c r="E376" s="116">
        <v>1227.0999999999999</v>
      </c>
      <c r="F376" s="116">
        <v>1220.05</v>
      </c>
      <c r="G376">
        <v>4793</v>
      </c>
      <c r="H376" s="116"/>
      <c r="I376" s="116"/>
      <c r="L376" s="170">
        <v>42555</v>
      </c>
      <c r="M376" s="116">
        <v>1215.3</v>
      </c>
      <c r="N376" s="116">
        <v>1233.4000000000001</v>
      </c>
      <c r="O376" s="116">
        <v>1214.0999999999999</v>
      </c>
      <c r="P376" s="116">
        <v>1222.55</v>
      </c>
      <c r="Q376" s="116">
        <v>1215.3</v>
      </c>
      <c r="R376">
        <v>33559</v>
      </c>
    </row>
    <row r="377" spans="1:18" x14ac:dyDescent="0.25">
      <c r="A377" s="170">
        <v>42556</v>
      </c>
      <c r="B377" s="116">
        <v>1230</v>
      </c>
      <c r="C377" s="116">
        <v>1211.4000000000001</v>
      </c>
      <c r="D377" s="116">
        <v>1208</v>
      </c>
      <c r="E377" s="116">
        <v>1223.95</v>
      </c>
      <c r="F377" s="116">
        <v>1211.4000000000001</v>
      </c>
      <c r="G377">
        <v>3203</v>
      </c>
      <c r="H377" s="116"/>
      <c r="I377" s="116"/>
      <c r="L377" s="170">
        <v>42556</v>
      </c>
      <c r="M377" s="116">
        <v>1206.25</v>
      </c>
      <c r="N377" s="116">
        <v>1228</v>
      </c>
      <c r="O377" s="116">
        <v>1205</v>
      </c>
      <c r="P377" s="116">
        <v>1217</v>
      </c>
      <c r="Q377" s="116">
        <v>1206.25</v>
      </c>
      <c r="R377">
        <v>29169</v>
      </c>
    </row>
    <row r="378" spans="1:18" x14ac:dyDescent="0.25">
      <c r="A378" s="170">
        <v>42558</v>
      </c>
      <c r="B378" s="116">
        <v>1231.25</v>
      </c>
      <c r="C378" s="116">
        <v>1220.7</v>
      </c>
      <c r="D378" s="116">
        <v>1195.55</v>
      </c>
      <c r="E378" s="116">
        <v>1212</v>
      </c>
      <c r="F378" s="116">
        <v>1220.7</v>
      </c>
      <c r="G378">
        <v>3951</v>
      </c>
      <c r="H378" s="116"/>
      <c r="I378" s="116"/>
      <c r="L378" s="170">
        <v>42558</v>
      </c>
      <c r="M378" s="116">
        <v>1217.1500000000001</v>
      </c>
      <c r="N378" s="116">
        <v>1231.5</v>
      </c>
      <c r="O378" s="116">
        <v>1206</v>
      </c>
      <c r="P378" s="116">
        <v>1212.5</v>
      </c>
      <c r="Q378" s="116">
        <v>1217.1500000000001</v>
      </c>
      <c r="R378">
        <v>42232</v>
      </c>
    </row>
    <row r="379" spans="1:18" x14ac:dyDescent="0.25">
      <c r="A379" s="170">
        <v>42559</v>
      </c>
      <c r="B379" s="116">
        <v>1265.1500000000001</v>
      </c>
      <c r="C379" s="116">
        <v>1259.5</v>
      </c>
      <c r="D379" s="116">
        <v>1208.55</v>
      </c>
      <c r="E379" s="116">
        <v>1217.95</v>
      </c>
      <c r="F379" s="116">
        <v>1259.5</v>
      </c>
      <c r="G379">
        <v>14141</v>
      </c>
      <c r="H379" s="116"/>
      <c r="I379" s="116"/>
      <c r="L379" s="170">
        <v>42559</v>
      </c>
      <c r="M379" s="116">
        <v>1256.8</v>
      </c>
      <c r="N379" s="116">
        <v>1264.9000000000001</v>
      </c>
      <c r="O379" s="116">
        <v>1204</v>
      </c>
      <c r="P379" s="116">
        <v>1217.0999999999999</v>
      </c>
      <c r="Q379" s="116">
        <v>1256.8</v>
      </c>
      <c r="R379">
        <v>120609</v>
      </c>
    </row>
    <row r="380" spans="1:18" x14ac:dyDescent="0.25">
      <c r="A380" s="170">
        <v>42562</v>
      </c>
      <c r="B380" s="116">
        <v>1287</v>
      </c>
      <c r="C380" s="116">
        <v>1276.4000000000001</v>
      </c>
      <c r="D380" s="116">
        <v>1265.5</v>
      </c>
      <c r="E380" s="116">
        <v>1265.5</v>
      </c>
      <c r="F380" s="116">
        <v>1276.4000000000001</v>
      </c>
      <c r="G380">
        <v>11889</v>
      </c>
      <c r="H380" s="116"/>
      <c r="I380" s="116"/>
      <c r="L380" s="170">
        <v>42562</v>
      </c>
      <c r="M380" s="116">
        <v>1279.6500000000001</v>
      </c>
      <c r="N380" s="116">
        <v>1288</v>
      </c>
      <c r="O380" s="116">
        <v>1268</v>
      </c>
      <c r="P380" s="116">
        <v>1273</v>
      </c>
      <c r="Q380" s="116">
        <v>1279.6500000000001</v>
      </c>
      <c r="R380">
        <v>113187</v>
      </c>
    </row>
    <row r="381" spans="1:18" x14ac:dyDescent="0.25">
      <c r="A381" s="170">
        <v>42563</v>
      </c>
      <c r="B381" s="116">
        <v>1285</v>
      </c>
      <c r="C381" s="116">
        <v>1272.8</v>
      </c>
      <c r="D381" s="116">
        <v>1260</v>
      </c>
      <c r="E381" s="116">
        <v>1282.1500000000001</v>
      </c>
      <c r="F381" s="116">
        <v>1272.8</v>
      </c>
      <c r="G381">
        <v>5239</v>
      </c>
      <c r="H381" s="116"/>
      <c r="I381" s="116"/>
      <c r="L381" s="170">
        <v>42563</v>
      </c>
      <c r="M381" s="116">
        <v>1277.75</v>
      </c>
      <c r="N381" s="116">
        <v>1285</v>
      </c>
      <c r="O381" s="116">
        <v>1261</v>
      </c>
      <c r="P381" s="116">
        <v>1279.6500000000001</v>
      </c>
      <c r="Q381" s="116">
        <v>1277.75</v>
      </c>
      <c r="R381">
        <v>65471</v>
      </c>
    </row>
    <row r="382" spans="1:18" x14ac:dyDescent="0.25">
      <c r="A382" s="170">
        <v>42564</v>
      </c>
      <c r="B382" s="116">
        <v>1280</v>
      </c>
      <c r="C382" s="116">
        <v>1261.45</v>
      </c>
      <c r="D382" s="116">
        <v>1257.6500000000001</v>
      </c>
      <c r="E382" s="116">
        <v>1280</v>
      </c>
      <c r="F382" s="116">
        <v>1261.45</v>
      </c>
      <c r="G382">
        <v>2398</v>
      </c>
      <c r="H382" s="116"/>
      <c r="I382" s="116"/>
      <c r="L382" s="170">
        <v>42564</v>
      </c>
      <c r="M382" s="116">
        <v>1262.2</v>
      </c>
      <c r="N382" s="116">
        <v>1277.05</v>
      </c>
      <c r="O382" s="116">
        <v>1256.05</v>
      </c>
      <c r="P382" s="116">
        <v>1277.05</v>
      </c>
      <c r="Q382" s="116">
        <v>1262.2</v>
      </c>
      <c r="R382">
        <v>19882</v>
      </c>
    </row>
    <row r="383" spans="1:18" x14ac:dyDescent="0.25">
      <c r="A383" s="170">
        <v>42565</v>
      </c>
      <c r="B383" s="116">
        <v>1268.05</v>
      </c>
      <c r="C383" s="116">
        <v>1261.6500000000001</v>
      </c>
      <c r="D383" s="116">
        <v>1250</v>
      </c>
      <c r="E383" s="116">
        <v>1259.0999999999999</v>
      </c>
      <c r="F383" s="116">
        <v>1261.6500000000001</v>
      </c>
      <c r="G383">
        <v>3557</v>
      </c>
      <c r="H383" s="116"/>
      <c r="I383" s="116"/>
      <c r="L383" s="170">
        <v>42565</v>
      </c>
      <c r="M383" s="116">
        <v>1258.95</v>
      </c>
      <c r="N383" s="116">
        <v>1268</v>
      </c>
      <c r="O383" s="116">
        <v>1252</v>
      </c>
      <c r="P383" s="116">
        <v>1262.2</v>
      </c>
      <c r="Q383" s="116">
        <v>1258.95</v>
      </c>
      <c r="R383">
        <v>19550</v>
      </c>
    </row>
    <row r="384" spans="1:18" x14ac:dyDescent="0.25">
      <c r="A384" s="170">
        <v>42566</v>
      </c>
      <c r="B384" s="116">
        <v>1302</v>
      </c>
      <c r="C384" s="116">
        <v>1266</v>
      </c>
      <c r="D384" s="116">
        <v>1259</v>
      </c>
      <c r="E384" s="116">
        <v>1262.5999999999999</v>
      </c>
      <c r="F384" s="116">
        <v>1266</v>
      </c>
      <c r="G384">
        <v>13668</v>
      </c>
      <c r="H384" s="116"/>
      <c r="I384" s="116"/>
      <c r="L384" s="170">
        <v>42566</v>
      </c>
      <c r="M384" s="116">
        <v>1271.1500000000001</v>
      </c>
      <c r="N384" s="116">
        <v>1299.8</v>
      </c>
      <c r="O384" s="116">
        <v>1260.25</v>
      </c>
      <c r="P384" s="116">
        <v>1263</v>
      </c>
      <c r="Q384" s="116">
        <v>1271.1500000000001</v>
      </c>
      <c r="R384">
        <v>67162</v>
      </c>
    </row>
    <row r="385" spans="1:18" x14ac:dyDescent="0.25">
      <c r="A385" s="170">
        <v>42569</v>
      </c>
      <c r="B385" s="116">
        <v>1290.3</v>
      </c>
      <c r="C385" s="116">
        <v>1268.05</v>
      </c>
      <c r="D385" s="116">
        <v>1247.7</v>
      </c>
      <c r="E385" s="116">
        <v>1273.3</v>
      </c>
      <c r="F385" s="116">
        <v>1268.05</v>
      </c>
      <c r="G385">
        <v>9266</v>
      </c>
      <c r="H385" s="116"/>
      <c r="I385" s="116"/>
      <c r="L385" s="170">
        <v>42569</v>
      </c>
      <c r="M385" s="116">
        <v>1271.8</v>
      </c>
      <c r="N385" s="116">
        <v>1292</v>
      </c>
      <c r="O385" s="116">
        <v>1246.75</v>
      </c>
      <c r="P385" s="116">
        <v>1274.9000000000001</v>
      </c>
      <c r="Q385" s="116">
        <v>1271.8</v>
      </c>
      <c r="R385">
        <v>62985</v>
      </c>
    </row>
    <row r="386" spans="1:18" x14ac:dyDescent="0.25">
      <c r="A386" s="170">
        <v>42570</v>
      </c>
      <c r="B386" s="116">
        <v>1303.55</v>
      </c>
      <c r="C386" s="116">
        <v>1290.8</v>
      </c>
      <c r="D386" s="116">
        <v>1270</v>
      </c>
      <c r="E386" s="116">
        <v>1272.1500000000001</v>
      </c>
      <c r="F386" s="116">
        <v>1290.8</v>
      </c>
      <c r="G386">
        <v>13633</v>
      </c>
      <c r="H386" s="116"/>
      <c r="I386" s="116"/>
      <c r="L386" s="170">
        <v>42570</v>
      </c>
      <c r="M386" s="116">
        <v>1294.8499999999999</v>
      </c>
      <c r="N386" s="116">
        <v>1305</v>
      </c>
      <c r="O386" s="116">
        <v>1271</v>
      </c>
      <c r="P386" s="116">
        <v>1271</v>
      </c>
      <c r="Q386" s="116">
        <v>1294.8499999999999</v>
      </c>
      <c r="R386">
        <v>115957</v>
      </c>
    </row>
    <row r="387" spans="1:18" x14ac:dyDescent="0.25">
      <c r="A387" s="170">
        <v>42571</v>
      </c>
      <c r="B387" s="116">
        <v>1313</v>
      </c>
      <c r="C387" s="116">
        <v>1300.95</v>
      </c>
      <c r="D387" s="116">
        <v>1289</v>
      </c>
      <c r="E387" s="116">
        <v>1292</v>
      </c>
      <c r="F387" s="116">
        <v>1300.95</v>
      </c>
      <c r="G387">
        <v>10901</v>
      </c>
      <c r="H387" s="116"/>
      <c r="I387" s="116"/>
      <c r="L387" s="170">
        <v>42571</v>
      </c>
      <c r="M387" s="116">
        <v>1301.4000000000001</v>
      </c>
      <c r="N387" s="116">
        <v>1313.5</v>
      </c>
      <c r="O387" s="116">
        <v>1287.0999999999999</v>
      </c>
      <c r="P387" s="116">
        <v>1296.25</v>
      </c>
      <c r="Q387" s="116">
        <v>1301.4000000000001</v>
      </c>
      <c r="R387">
        <v>145281</v>
      </c>
    </row>
    <row r="388" spans="1:18" x14ac:dyDescent="0.25">
      <c r="A388" s="170">
        <v>42572</v>
      </c>
      <c r="B388" s="116">
        <v>1322.1</v>
      </c>
      <c r="C388" s="116">
        <v>1270.55</v>
      </c>
      <c r="D388" s="116">
        <v>1261</v>
      </c>
      <c r="E388" s="116">
        <v>1301</v>
      </c>
      <c r="F388" s="116">
        <v>1270.55</v>
      </c>
      <c r="G388">
        <v>36833</v>
      </c>
      <c r="H388" s="116"/>
      <c r="I388" s="116"/>
      <c r="L388" s="170">
        <v>42572</v>
      </c>
      <c r="M388" s="116">
        <v>1273.8</v>
      </c>
      <c r="N388" s="116">
        <v>1324</v>
      </c>
      <c r="O388" s="116">
        <v>1265</v>
      </c>
      <c r="P388" s="116">
        <v>1299</v>
      </c>
      <c r="Q388" s="116">
        <v>1273.8</v>
      </c>
      <c r="R388">
        <v>347140</v>
      </c>
    </row>
    <row r="389" spans="1:18" x14ac:dyDescent="0.25">
      <c r="A389" s="170">
        <v>42573</v>
      </c>
      <c r="B389" s="116">
        <v>1310</v>
      </c>
      <c r="C389" s="116">
        <v>1283.75</v>
      </c>
      <c r="D389" s="116">
        <v>1276.95</v>
      </c>
      <c r="E389" s="116">
        <v>1294.5</v>
      </c>
      <c r="F389" s="116">
        <v>1283.75</v>
      </c>
      <c r="G389">
        <v>12174</v>
      </c>
      <c r="H389" s="116"/>
      <c r="I389" s="116"/>
      <c r="L389" s="170">
        <v>42573</v>
      </c>
      <c r="M389" s="116">
        <v>1287.75</v>
      </c>
      <c r="N389" s="116">
        <v>1311.9</v>
      </c>
      <c r="O389" s="116">
        <v>1280.8</v>
      </c>
      <c r="P389" s="116">
        <v>1292.5</v>
      </c>
      <c r="Q389" s="116">
        <v>1287.75</v>
      </c>
      <c r="R389">
        <v>138161</v>
      </c>
    </row>
    <row r="390" spans="1:18" x14ac:dyDescent="0.25">
      <c r="A390" s="170">
        <v>42576</v>
      </c>
      <c r="B390" s="116">
        <v>1315</v>
      </c>
      <c r="C390" s="116">
        <v>1297.05</v>
      </c>
      <c r="D390" s="116">
        <v>1290</v>
      </c>
      <c r="E390" s="116">
        <v>1299</v>
      </c>
      <c r="F390" s="116">
        <v>1297.05</v>
      </c>
      <c r="G390">
        <v>4610</v>
      </c>
      <c r="H390" s="116"/>
      <c r="I390" s="116"/>
      <c r="L390" s="170">
        <v>42576</v>
      </c>
      <c r="M390" s="116">
        <v>1299.3499999999999</v>
      </c>
      <c r="N390" s="116">
        <v>1317</v>
      </c>
      <c r="O390" s="116">
        <v>1285</v>
      </c>
      <c r="P390" s="116">
        <v>1301.2</v>
      </c>
      <c r="Q390" s="116">
        <v>1299.3499999999999</v>
      </c>
      <c r="R390">
        <v>86876</v>
      </c>
    </row>
    <row r="391" spans="1:18" x14ac:dyDescent="0.25">
      <c r="A391" s="170">
        <v>42577</v>
      </c>
      <c r="B391" s="116">
        <v>1307.05</v>
      </c>
      <c r="C391" s="116">
        <v>1288.1500000000001</v>
      </c>
      <c r="D391" s="116">
        <v>1280</v>
      </c>
      <c r="E391" s="116">
        <v>1305</v>
      </c>
      <c r="F391" s="116">
        <v>1288.1500000000001</v>
      </c>
      <c r="G391">
        <v>3729</v>
      </c>
      <c r="H391" s="116"/>
      <c r="I391" s="116"/>
      <c r="L391" s="170">
        <v>42577</v>
      </c>
      <c r="M391" s="116">
        <v>1287.0999999999999</v>
      </c>
      <c r="N391" s="116">
        <v>1309.4000000000001</v>
      </c>
      <c r="O391" s="116">
        <v>1278.8</v>
      </c>
      <c r="P391" s="116">
        <v>1309.4000000000001</v>
      </c>
      <c r="Q391" s="116">
        <v>1287.0999999999999</v>
      </c>
      <c r="R391">
        <v>61703</v>
      </c>
    </row>
    <row r="392" spans="1:18" x14ac:dyDescent="0.25">
      <c r="A392" s="170">
        <v>42578</v>
      </c>
      <c r="B392" s="116">
        <v>1301.9000000000001</v>
      </c>
      <c r="C392" s="116">
        <v>1279.6500000000001</v>
      </c>
      <c r="D392" s="116">
        <v>1275</v>
      </c>
      <c r="E392" s="116">
        <v>1293.8499999999999</v>
      </c>
      <c r="F392" s="116">
        <v>1279.6500000000001</v>
      </c>
      <c r="G392">
        <v>5971</v>
      </c>
      <c r="H392" s="116"/>
      <c r="I392" s="116"/>
      <c r="L392" s="170">
        <v>42578</v>
      </c>
      <c r="M392" s="116">
        <v>1284.1500000000001</v>
      </c>
      <c r="N392" s="116">
        <v>1302.95</v>
      </c>
      <c r="O392" s="116">
        <v>1278.6500000000001</v>
      </c>
      <c r="P392" s="116">
        <v>1299.75</v>
      </c>
      <c r="Q392" s="116">
        <v>1284.1500000000001</v>
      </c>
      <c r="R392">
        <v>83887</v>
      </c>
    </row>
    <row r="393" spans="1:18" x14ac:dyDescent="0.25">
      <c r="A393" s="170">
        <v>42579</v>
      </c>
      <c r="B393" s="116">
        <v>1300</v>
      </c>
      <c r="C393" s="116">
        <v>1264.95</v>
      </c>
      <c r="D393" s="116">
        <v>1252.5</v>
      </c>
      <c r="E393" s="116">
        <v>1283</v>
      </c>
      <c r="F393" s="116">
        <v>1264.95</v>
      </c>
      <c r="G393">
        <v>4448</v>
      </c>
      <c r="H393" s="116"/>
      <c r="I393" s="116"/>
      <c r="L393" s="170">
        <v>42579</v>
      </c>
      <c r="M393" s="116">
        <v>1262.7</v>
      </c>
      <c r="N393" s="116">
        <v>1301</v>
      </c>
      <c r="O393" s="116">
        <v>1254</v>
      </c>
      <c r="P393" s="116">
        <v>1285.2</v>
      </c>
      <c r="Q393" s="116">
        <v>1262.7</v>
      </c>
      <c r="R393">
        <v>32037</v>
      </c>
    </row>
    <row r="394" spans="1:18" x14ac:dyDescent="0.25">
      <c r="A394" s="170">
        <v>42580</v>
      </c>
      <c r="B394" s="116">
        <v>1281.1500000000001</v>
      </c>
      <c r="C394" s="116">
        <v>1260.45</v>
      </c>
      <c r="D394" s="116">
        <v>1257</v>
      </c>
      <c r="E394" s="116">
        <v>1277.05</v>
      </c>
      <c r="F394" s="116">
        <v>1260.45</v>
      </c>
      <c r="G394">
        <v>19678</v>
      </c>
      <c r="H394" s="116"/>
      <c r="I394" s="116"/>
      <c r="L394" s="170">
        <v>42580</v>
      </c>
      <c r="M394" s="116">
        <v>1264.7</v>
      </c>
      <c r="N394" s="116">
        <v>1284</v>
      </c>
      <c r="O394" s="116">
        <v>1261.05</v>
      </c>
      <c r="P394" s="116">
        <v>1268</v>
      </c>
      <c r="Q394" s="116">
        <v>1264.7</v>
      </c>
      <c r="R394">
        <v>49430</v>
      </c>
    </row>
    <row r="395" spans="1:18" x14ac:dyDescent="0.25">
      <c r="A395" s="170">
        <v>42583</v>
      </c>
      <c r="B395" s="116">
        <v>1282</v>
      </c>
      <c r="C395" s="116">
        <v>1250.6500000000001</v>
      </c>
      <c r="D395" s="116">
        <v>1247.4000000000001</v>
      </c>
      <c r="E395" s="116">
        <v>1279.6500000000001</v>
      </c>
      <c r="F395" s="116">
        <v>1250.6500000000001</v>
      </c>
      <c r="G395">
        <v>4666</v>
      </c>
      <c r="H395" s="116"/>
      <c r="I395" s="116"/>
      <c r="L395" s="170">
        <v>42583</v>
      </c>
      <c r="M395" s="116">
        <v>1254.2</v>
      </c>
      <c r="N395" s="116">
        <v>1280.05</v>
      </c>
      <c r="O395" s="116">
        <v>1250</v>
      </c>
      <c r="P395" s="116">
        <v>1275</v>
      </c>
      <c r="Q395" s="116">
        <v>1254.2</v>
      </c>
      <c r="R395">
        <v>26195</v>
      </c>
    </row>
    <row r="396" spans="1:18" x14ac:dyDescent="0.25">
      <c r="A396" s="170">
        <v>42584</v>
      </c>
      <c r="B396" s="116">
        <v>1260.3499999999999</v>
      </c>
      <c r="C396" s="116">
        <v>1236</v>
      </c>
      <c r="D396" s="116">
        <v>1227.5</v>
      </c>
      <c r="E396" s="116">
        <v>1256.5</v>
      </c>
      <c r="F396" s="116">
        <v>1236</v>
      </c>
      <c r="G396">
        <v>4942</v>
      </c>
      <c r="H396" s="116"/>
      <c r="I396" s="116"/>
      <c r="L396" s="170">
        <v>42584</v>
      </c>
      <c r="M396" s="116">
        <v>1233.8</v>
      </c>
      <c r="N396" s="116">
        <v>1262.95</v>
      </c>
      <c r="O396" s="116">
        <v>1225</v>
      </c>
      <c r="P396" s="116">
        <v>1255.25</v>
      </c>
      <c r="Q396" s="116">
        <v>1233.8</v>
      </c>
      <c r="R396">
        <v>40799</v>
      </c>
    </row>
    <row r="397" spans="1:18" x14ac:dyDescent="0.25">
      <c r="A397" s="170">
        <v>42585</v>
      </c>
      <c r="B397" s="116">
        <v>1240.75</v>
      </c>
      <c r="C397" s="116">
        <v>1202.6500000000001</v>
      </c>
      <c r="D397" s="116">
        <v>1197.45</v>
      </c>
      <c r="E397" s="116">
        <v>1240.75</v>
      </c>
      <c r="F397" s="116">
        <v>1202.6500000000001</v>
      </c>
      <c r="G397">
        <v>5543</v>
      </c>
      <c r="H397" s="116"/>
      <c r="I397" s="116"/>
      <c r="L397" s="170">
        <v>42585</v>
      </c>
      <c r="M397" s="116">
        <v>1200.2</v>
      </c>
      <c r="N397" s="116">
        <v>1245</v>
      </c>
      <c r="O397" s="116">
        <v>1194</v>
      </c>
      <c r="P397" s="116">
        <v>1245</v>
      </c>
      <c r="Q397" s="116">
        <v>1200.2</v>
      </c>
      <c r="R397">
        <v>45848</v>
      </c>
    </row>
    <row r="398" spans="1:18" x14ac:dyDescent="0.25">
      <c r="A398" s="170">
        <v>42586</v>
      </c>
      <c r="B398" s="116">
        <v>1219</v>
      </c>
      <c r="C398" s="116">
        <v>1206.2</v>
      </c>
      <c r="D398" s="116">
        <v>1197.75</v>
      </c>
      <c r="E398" s="116">
        <v>1219</v>
      </c>
      <c r="F398" s="116">
        <v>1206.2</v>
      </c>
      <c r="G398">
        <v>3882</v>
      </c>
      <c r="H398" s="116"/>
      <c r="I398" s="116"/>
      <c r="L398" s="170">
        <v>42586</v>
      </c>
      <c r="M398" s="116">
        <v>1209.2</v>
      </c>
      <c r="N398" s="116">
        <v>1220</v>
      </c>
      <c r="O398" s="116">
        <v>1200.05</v>
      </c>
      <c r="P398" s="116">
        <v>1206</v>
      </c>
      <c r="Q398" s="116">
        <v>1209.2</v>
      </c>
      <c r="R398">
        <v>29617</v>
      </c>
    </row>
    <row r="399" spans="1:18" x14ac:dyDescent="0.25">
      <c r="A399" s="170">
        <v>42587</v>
      </c>
      <c r="B399" s="116">
        <v>1232.45</v>
      </c>
      <c r="C399" s="116">
        <v>1216.25</v>
      </c>
      <c r="D399" s="116">
        <v>1202.4000000000001</v>
      </c>
      <c r="E399" s="116">
        <v>1207</v>
      </c>
      <c r="F399" s="116">
        <v>1216.25</v>
      </c>
      <c r="G399">
        <v>8498</v>
      </c>
      <c r="H399" s="116"/>
      <c r="I399" s="116"/>
      <c r="L399" s="170">
        <v>42587</v>
      </c>
      <c r="M399" s="116">
        <v>1219.45</v>
      </c>
      <c r="N399" s="116">
        <v>1234.5</v>
      </c>
      <c r="O399" s="116">
        <v>1201.0999999999999</v>
      </c>
      <c r="P399" s="116">
        <v>1212</v>
      </c>
      <c r="Q399" s="116">
        <v>1219.45</v>
      </c>
      <c r="R399">
        <v>62168</v>
      </c>
    </row>
    <row r="400" spans="1:18" x14ac:dyDescent="0.25">
      <c r="A400" s="170">
        <v>42590</v>
      </c>
      <c r="B400" s="116">
        <v>1230.5999999999999</v>
      </c>
      <c r="C400" s="116">
        <v>1210.5</v>
      </c>
      <c r="D400" s="116">
        <v>1205.55</v>
      </c>
      <c r="E400" s="116">
        <v>1230.5999999999999</v>
      </c>
      <c r="F400" s="116">
        <v>1210.5</v>
      </c>
      <c r="G400">
        <v>2995</v>
      </c>
      <c r="H400" s="116"/>
      <c r="I400" s="116"/>
      <c r="L400" s="170">
        <v>42590</v>
      </c>
      <c r="M400" s="116">
        <v>1213.8</v>
      </c>
      <c r="N400" s="116">
        <v>1231.75</v>
      </c>
      <c r="O400" s="116">
        <v>1210</v>
      </c>
      <c r="P400" s="116">
        <v>1219</v>
      </c>
      <c r="Q400" s="116">
        <v>1213.8</v>
      </c>
      <c r="R400">
        <v>34045</v>
      </c>
    </row>
    <row r="401" spans="1:18" x14ac:dyDescent="0.25">
      <c r="A401" s="170">
        <v>42591</v>
      </c>
      <c r="B401" s="116">
        <v>1224.75</v>
      </c>
      <c r="C401" s="116">
        <v>1198.45</v>
      </c>
      <c r="D401" s="116">
        <v>1195</v>
      </c>
      <c r="E401" s="116">
        <v>1217</v>
      </c>
      <c r="F401" s="116">
        <v>1198.45</v>
      </c>
      <c r="G401">
        <v>9403</v>
      </c>
      <c r="H401" s="116"/>
      <c r="I401" s="116"/>
      <c r="L401" s="170">
        <v>42591</v>
      </c>
      <c r="M401" s="116">
        <v>1203.7</v>
      </c>
      <c r="N401" s="116">
        <v>1225.5</v>
      </c>
      <c r="O401" s="116">
        <v>1201.0999999999999</v>
      </c>
      <c r="P401" s="116">
        <v>1213</v>
      </c>
      <c r="Q401" s="116">
        <v>1203.7</v>
      </c>
      <c r="R401">
        <v>43092</v>
      </c>
    </row>
    <row r="402" spans="1:18" x14ac:dyDescent="0.25">
      <c r="A402" s="170">
        <v>42592</v>
      </c>
      <c r="B402" s="116">
        <v>1215.05</v>
      </c>
      <c r="C402" s="116">
        <v>1184.25</v>
      </c>
      <c r="D402" s="116">
        <v>1174.0999999999999</v>
      </c>
      <c r="E402" s="116">
        <v>1210</v>
      </c>
      <c r="F402" s="116">
        <v>1184.25</v>
      </c>
      <c r="G402">
        <v>9366</v>
      </c>
      <c r="H402" s="116"/>
      <c r="I402" s="116"/>
      <c r="L402" s="170">
        <v>42592</v>
      </c>
      <c r="M402" s="116">
        <v>1180.2</v>
      </c>
      <c r="N402" s="116">
        <v>1221.3</v>
      </c>
      <c r="O402" s="116">
        <v>1171.0999999999999</v>
      </c>
      <c r="P402" s="116">
        <v>1212.75</v>
      </c>
      <c r="Q402" s="116">
        <v>1180.2</v>
      </c>
      <c r="R402">
        <v>69256</v>
      </c>
    </row>
    <row r="403" spans="1:18" x14ac:dyDescent="0.25">
      <c r="A403" s="170">
        <v>42593</v>
      </c>
      <c r="B403" s="116">
        <v>1197</v>
      </c>
      <c r="C403" s="116">
        <v>1191.3499999999999</v>
      </c>
      <c r="D403" s="116">
        <v>1171.1500000000001</v>
      </c>
      <c r="E403" s="116">
        <v>1180.05</v>
      </c>
      <c r="F403" s="116">
        <v>1191.3499999999999</v>
      </c>
      <c r="G403">
        <v>4889</v>
      </c>
      <c r="H403" s="116"/>
      <c r="I403" s="116"/>
      <c r="L403" s="170">
        <v>42593</v>
      </c>
      <c r="M403" s="116">
        <v>1194.4000000000001</v>
      </c>
      <c r="N403" s="116">
        <v>1202.7</v>
      </c>
      <c r="O403" s="116">
        <v>1168</v>
      </c>
      <c r="P403" s="116">
        <v>1181.0999999999999</v>
      </c>
      <c r="Q403" s="116">
        <v>1194.4000000000001</v>
      </c>
      <c r="R403">
        <v>21302</v>
      </c>
    </row>
    <row r="404" spans="1:18" x14ac:dyDescent="0.25">
      <c r="A404" s="170">
        <v>42594</v>
      </c>
      <c r="B404" s="116">
        <v>1205</v>
      </c>
      <c r="C404" s="116">
        <v>1191.5</v>
      </c>
      <c r="D404" s="116">
        <v>1188</v>
      </c>
      <c r="E404" s="116">
        <v>1192</v>
      </c>
      <c r="F404" s="116">
        <v>1191.5</v>
      </c>
      <c r="G404">
        <v>3595</v>
      </c>
      <c r="H404" s="116"/>
      <c r="I404" s="116"/>
      <c r="L404" s="170">
        <v>42594</v>
      </c>
      <c r="M404" s="116">
        <v>1193.7</v>
      </c>
      <c r="N404" s="116">
        <v>1207</v>
      </c>
      <c r="O404" s="116">
        <v>1186.1500000000001</v>
      </c>
      <c r="P404" s="116">
        <v>1194.4000000000001</v>
      </c>
      <c r="Q404" s="116">
        <v>1193.7</v>
      </c>
      <c r="R404">
        <v>14210</v>
      </c>
    </row>
    <row r="405" spans="1:18" x14ac:dyDescent="0.25">
      <c r="A405" s="170">
        <v>42598</v>
      </c>
      <c r="B405" s="116">
        <v>1191</v>
      </c>
      <c r="C405" s="116">
        <v>1174</v>
      </c>
      <c r="D405" s="116">
        <v>1170</v>
      </c>
      <c r="E405" s="116">
        <v>1191</v>
      </c>
      <c r="F405" s="116">
        <v>1174</v>
      </c>
      <c r="G405">
        <v>2858</v>
      </c>
      <c r="H405" s="116"/>
      <c r="I405" s="116"/>
      <c r="L405" s="170">
        <v>42598</v>
      </c>
      <c r="M405" s="116">
        <v>1169.8</v>
      </c>
      <c r="N405" s="116">
        <v>1197.95</v>
      </c>
      <c r="O405" s="116">
        <v>1167.2</v>
      </c>
      <c r="P405" s="116">
        <v>1194</v>
      </c>
      <c r="Q405" s="116">
        <v>1169.8</v>
      </c>
      <c r="R405">
        <v>29578</v>
      </c>
    </row>
    <row r="406" spans="1:18" x14ac:dyDescent="0.25">
      <c r="A406" s="170">
        <v>42599</v>
      </c>
      <c r="B406" s="116">
        <v>1195</v>
      </c>
      <c r="C406" s="116">
        <v>1171.55</v>
      </c>
      <c r="D406" s="116">
        <v>1164</v>
      </c>
      <c r="E406" s="116">
        <v>1170.05</v>
      </c>
      <c r="F406" s="116">
        <v>1171.55</v>
      </c>
      <c r="G406">
        <v>2651</v>
      </c>
      <c r="H406" s="116"/>
      <c r="I406" s="116"/>
      <c r="L406" s="170">
        <v>42599</v>
      </c>
      <c r="M406" s="116">
        <v>1171.9000000000001</v>
      </c>
      <c r="N406" s="116">
        <v>1194</v>
      </c>
      <c r="O406" s="116">
        <v>1161</v>
      </c>
      <c r="P406" s="116">
        <v>1174.45</v>
      </c>
      <c r="Q406" s="116">
        <v>1171.9000000000001</v>
      </c>
      <c r="R406">
        <v>32060</v>
      </c>
    </row>
    <row r="407" spans="1:18" x14ac:dyDescent="0.25">
      <c r="A407" s="170">
        <v>42600</v>
      </c>
      <c r="B407" s="116">
        <v>1185</v>
      </c>
      <c r="C407" s="116">
        <v>1165.4000000000001</v>
      </c>
      <c r="D407" s="116">
        <v>1160</v>
      </c>
      <c r="E407" s="116">
        <v>1179.9000000000001</v>
      </c>
      <c r="F407" s="116">
        <v>1165.4000000000001</v>
      </c>
      <c r="G407">
        <v>3748</v>
      </c>
      <c r="H407" s="116"/>
      <c r="I407" s="116"/>
      <c r="L407" s="170">
        <v>42600</v>
      </c>
      <c r="M407" s="116">
        <v>1167.95</v>
      </c>
      <c r="N407" s="116">
        <v>1189.5</v>
      </c>
      <c r="O407" s="116">
        <v>1165.0999999999999</v>
      </c>
      <c r="P407" s="116">
        <v>1179</v>
      </c>
      <c r="Q407" s="116">
        <v>1167.95</v>
      </c>
      <c r="R407">
        <v>25499</v>
      </c>
    </row>
    <row r="408" spans="1:18" x14ac:dyDescent="0.25">
      <c r="A408" s="170">
        <v>42601</v>
      </c>
      <c r="B408" s="116">
        <v>1175.8499999999999</v>
      </c>
      <c r="C408" s="116">
        <v>1162.8</v>
      </c>
      <c r="D408" s="116">
        <v>1160</v>
      </c>
      <c r="E408" s="116">
        <v>1172</v>
      </c>
      <c r="F408" s="116">
        <v>1162.8</v>
      </c>
      <c r="G408">
        <v>2791</v>
      </c>
      <c r="H408" s="116"/>
      <c r="I408" s="116"/>
      <c r="L408" s="170">
        <v>42601</v>
      </c>
      <c r="M408" s="116">
        <v>1161</v>
      </c>
      <c r="N408" s="116">
        <v>1180</v>
      </c>
      <c r="O408" s="116">
        <v>1158</v>
      </c>
      <c r="P408" s="116">
        <v>1167</v>
      </c>
      <c r="Q408" s="116">
        <v>1161</v>
      </c>
      <c r="R408">
        <v>35222</v>
      </c>
    </row>
    <row r="409" spans="1:18" x14ac:dyDescent="0.25">
      <c r="A409" s="170">
        <v>42604</v>
      </c>
      <c r="B409" s="116">
        <v>1168.2</v>
      </c>
      <c r="C409" s="116">
        <v>1155.55</v>
      </c>
      <c r="D409" s="116">
        <v>1148.4000000000001</v>
      </c>
      <c r="E409" s="116">
        <v>1168.2</v>
      </c>
      <c r="F409" s="116">
        <v>1155.55</v>
      </c>
      <c r="G409">
        <v>2677</v>
      </c>
      <c r="H409" s="116"/>
      <c r="I409" s="116"/>
      <c r="L409" s="170">
        <v>42604</v>
      </c>
      <c r="M409" s="116">
        <v>1153.25</v>
      </c>
      <c r="N409" s="116">
        <v>1168.8</v>
      </c>
      <c r="O409" s="116">
        <v>1141.1500000000001</v>
      </c>
      <c r="P409" s="116">
        <v>1168.8</v>
      </c>
      <c r="Q409" s="116">
        <v>1153.25</v>
      </c>
      <c r="R409">
        <v>19005</v>
      </c>
    </row>
    <row r="410" spans="1:18" x14ac:dyDescent="0.25">
      <c r="A410" s="170">
        <v>42605</v>
      </c>
      <c r="B410" s="116">
        <v>1164.75</v>
      </c>
      <c r="C410" s="116">
        <v>1148.1500000000001</v>
      </c>
      <c r="D410" s="116">
        <v>1144.9000000000001</v>
      </c>
      <c r="E410" s="116">
        <v>1153</v>
      </c>
      <c r="F410" s="116">
        <v>1148.1500000000001</v>
      </c>
      <c r="G410">
        <v>3297</v>
      </c>
      <c r="H410" s="116"/>
      <c r="I410" s="116"/>
      <c r="L410" s="170">
        <v>42605</v>
      </c>
      <c r="M410" s="116">
        <v>1150.9000000000001</v>
      </c>
      <c r="N410" s="116">
        <v>1166.5</v>
      </c>
      <c r="O410" s="116">
        <v>1148</v>
      </c>
      <c r="P410" s="116">
        <v>1166.5</v>
      </c>
      <c r="Q410" s="116">
        <v>1150.9000000000001</v>
      </c>
      <c r="R410">
        <v>25990</v>
      </c>
    </row>
    <row r="411" spans="1:18" x14ac:dyDescent="0.25">
      <c r="A411" s="170">
        <v>42606</v>
      </c>
      <c r="B411" s="116">
        <v>1169.9000000000001</v>
      </c>
      <c r="C411" s="116">
        <v>1161.1500000000001</v>
      </c>
      <c r="D411" s="116">
        <v>1150.95</v>
      </c>
      <c r="E411" s="116">
        <v>1155</v>
      </c>
      <c r="F411" s="116">
        <v>1161.1500000000001</v>
      </c>
      <c r="G411">
        <v>1404</v>
      </c>
      <c r="H411" s="116"/>
      <c r="I411" s="116"/>
      <c r="L411" s="170">
        <v>42606</v>
      </c>
      <c r="M411" s="116">
        <v>1160.1500000000001</v>
      </c>
      <c r="N411" s="116">
        <v>1169</v>
      </c>
      <c r="O411" s="116">
        <v>1151.0999999999999</v>
      </c>
      <c r="P411" s="116">
        <v>1157.45</v>
      </c>
      <c r="Q411" s="116">
        <v>1160.1500000000001</v>
      </c>
      <c r="R411">
        <v>24749</v>
      </c>
    </row>
    <row r="412" spans="1:18" x14ac:dyDescent="0.25">
      <c r="A412" s="170">
        <v>42607</v>
      </c>
      <c r="B412" s="116">
        <v>1178.95</v>
      </c>
      <c r="C412" s="116">
        <v>1158.8499999999999</v>
      </c>
      <c r="D412" s="116">
        <v>1152.5999999999999</v>
      </c>
      <c r="E412" s="116">
        <v>1169.0999999999999</v>
      </c>
      <c r="F412" s="116">
        <v>1158.8499999999999</v>
      </c>
      <c r="G412">
        <v>2325</v>
      </c>
      <c r="H412" s="116"/>
      <c r="I412" s="116"/>
      <c r="L412" s="170">
        <v>42607</v>
      </c>
      <c r="M412" s="116">
        <v>1158.3</v>
      </c>
      <c r="N412" s="116">
        <v>1179.9000000000001</v>
      </c>
      <c r="O412" s="116">
        <v>1151</v>
      </c>
      <c r="P412" s="116">
        <v>1169.9000000000001</v>
      </c>
      <c r="Q412" s="116">
        <v>1158.3</v>
      </c>
      <c r="R412">
        <v>25147</v>
      </c>
    </row>
    <row r="413" spans="1:18" x14ac:dyDescent="0.25">
      <c r="A413" s="170">
        <v>42608</v>
      </c>
      <c r="B413" s="116">
        <v>1165.05</v>
      </c>
      <c r="C413" s="116">
        <v>1145.75</v>
      </c>
      <c r="D413" s="116">
        <v>1141.3499999999999</v>
      </c>
      <c r="E413" s="116">
        <v>1162.7</v>
      </c>
      <c r="F413" s="116">
        <v>1145.75</v>
      </c>
      <c r="G413">
        <v>2078</v>
      </c>
      <c r="H413" s="116"/>
      <c r="I413" s="116"/>
      <c r="L413" s="170">
        <v>42608</v>
      </c>
      <c r="M413" s="116">
        <v>1148.2</v>
      </c>
      <c r="N413" s="116">
        <v>1169.9000000000001</v>
      </c>
      <c r="O413" s="116">
        <v>1144.25</v>
      </c>
      <c r="P413" s="116">
        <v>1158</v>
      </c>
      <c r="Q413" s="116">
        <v>1148.2</v>
      </c>
      <c r="R413">
        <v>19802</v>
      </c>
    </row>
    <row r="414" spans="1:18" x14ac:dyDescent="0.25">
      <c r="A414" s="170">
        <v>42611</v>
      </c>
      <c r="B414" s="116">
        <v>1157.55</v>
      </c>
      <c r="C414" s="116">
        <v>1144.95</v>
      </c>
      <c r="D414" s="116">
        <v>1141</v>
      </c>
      <c r="E414" s="116">
        <v>1149</v>
      </c>
      <c r="F414" s="116">
        <v>1144.95</v>
      </c>
      <c r="G414">
        <v>2982</v>
      </c>
      <c r="H414" s="116"/>
      <c r="I414" s="116"/>
      <c r="L414" s="170">
        <v>42611</v>
      </c>
      <c r="M414" s="116">
        <v>1149.0999999999999</v>
      </c>
      <c r="N414" s="116">
        <v>1160.95</v>
      </c>
      <c r="O414" s="116">
        <v>1144</v>
      </c>
      <c r="P414" s="116">
        <v>1149</v>
      </c>
      <c r="Q414" s="116">
        <v>1149.0999999999999</v>
      </c>
      <c r="R414">
        <v>14216</v>
      </c>
    </row>
    <row r="415" spans="1:18" x14ac:dyDescent="0.25">
      <c r="A415" s="170">
        <v>42612</v>
      </c>
      <c r="B415" s="116">
        <v>1165</v>
      </c>
      <c r="C415" s="116">
        <v>1153.1500000000001</v>
      </c>
      <c r="D415" s="116">
        <v>1149.3</v>
      </c>
      <c r="E415" s="116">
        <v>1154.9000000000001</v>
      </c>
      <c r="F415" s="116">
        <v>1153.1500000000001</v>
      </c>
      <c r="G415">
        <v>4943</v>
      </c>
      <c r="H415" s="116"/>
      <c r="I415" s="116"/>
      <c r="L415" s="170">
        <v>42612</v>
      </c>
      <c r="M415" s="116">
        <v>1154.7</v>
      </c>
      <c r="N415" s="116">
        <v>1167</v>
      </c>
      <c r="O415" s="116">
        <v>1149.9000000000001</v>
      </c>
      <c r="P415" s="116">
        <v>1150</v>
      </c>
      <c r="Q415" s="116">
        <v>1154.7</v>
      </c>
      <c r="R415">
        <v>26237</v>
      </c>
    </row>
    <row r="416" spans="1:18" x14ac:dyDescent="0.25">
      <c r="A416" s="170">
        <v>42613</v>
      </c>
      <c r="B416" s="116">
        <v>1170.9000000000001</v>
      </c>
      <c r="C416" s="116">
        <v>1161</v>
      </c>
      <c r="D416" s="116">
        <v>1153</v>
      </c>
      <c r="E416" s="116">
        <v>1153.5</v>
      </c>
      <c r="F416" s="116">
        <v>1161</v>
      </c>
      <c r="G416">
        <v>3312</v>
      </c>
      <c r="H416" s="116"/>
      <c r="I416" s="116"/>
      <c r="L416" s="170">
        <v>42613</v>
      </c>
      <c r="M416" s="116">
        <v>1158.45</v>
      </c>
      <c r="N416" s="116">
        <v>1170.4000000000001</v>
      </c>
      <c r="O416" s="116">
        <v>1154</v>
      </c>
      <c r="P416" s="116">
        <v>1154.7</v>
      </c>
      <c r="Q416" s="116">
        <v>1158.45</v>
      </c>
      <c r="R416">
        <v>32541</v>
      </c>
    </row>
    <row r="417" spans="1:18" x14ac:dyDescent="0.25">
      <c r="A417" s="170">
        <v>42614</v>
      </c>
      <c r="B417" s="116">
        <v>1198.5</v>
      </c>
      <c r="C417" s="116">
        <v>1155.3499999999999</v>
      </c>
      <c r="D417" s="116">
        <v>1151</v>
      </c>
      <c r="E417" s="116">
        <v>1157.3</v>
      </c>
      <c r="F417" s="116">
        <v>1155.3499999999999</v>
      </c>
      <c r="G417">
        <v>8127</v>
      </c>
      <c r="H417" s="116"/>
      <c r="I417" s="116"/>
      <c r="L417" s="170">
        <v>42614</v>
      </c>
      <c r="M417" s="116">
        <v>1157.1500000000001</v>
      </c>
      <c r="N417" s="116">
        <v>1169</v>
      </c>
      <c r="O417" s="116">
        <v>1153.1500000000001</v>
      </c>
      <c r="P417" s="116">
        <v>1159.9000000000001</v>
      </c>
      <c r="Q417" s="116">
        <v>1157.1500000000001</v>
      </c>
      <c r="R417">
        <v>37871</v>
      </c>
    </row>
    <row r="418" spans="1:18" x14ac:dyDescent="0.25">
      <c r="A418" s="170">
        <v>42615</v>
      </c>
      <c r="B418" s="116">
        <v>1162.3499999999999</v>
      </c>
      <c r="C418" s="116">
        <v>1151.1500000000001</v>
      </c>
      <c r="D418" s="116">
        <v>1147.8499999999999</v>
      </c>
      <c r="E418" s="116">
        <v>1159</v>
      </c>
      <c r="F418" s="116">
        <v>1151.1500000000001</v>
      </c>
      <c r="G418">
        <v>2142</v>
      </c>
      <c r="H418" s="116"/>
      <c r="I418" s="116"/>
      <c r="L418" s="170">
        <v>42615</v>
      </c>
      <c r="M418" s="116">
        <v>1147</v>
      </c>
      <c r="N418" s="116">
        <v>1164</v>
      </c>
      <c r="O418" s="116">
        <v>1145</v>
      </c>
      <c r="P418" s="116">
        <v>1161.9000000000001</v>
      </c>
      <c r="Q418" s="116">
        <v>1147</v>
      </c>
      <c r="R418">
        <v>18181</v>
      </c>
    </row>
    <row r="419" spans="1:18" x14ac:dyDescent="0.25">
      <c r="A419" s="170">
        <v>42619</v>
      </c>
      <c r="B419" s="116">
        <v>1174.9000000000001</v>
      </c>
      <c r="C419" s="116">
        <v>1169.2</v>
      </c>
      <c r="D419" s="116">
        <v>1151</v>
      </c>
      <c r="E419" s="116">
        <v>1152.1500000000001</v>
      </c>
      <c r="F419" s="116">
        <v>1169.2</v>
      </c>
      <c r="G419">
        <v>4358</v>
      </c>
      <c r="H419" s="116"/>
      <c r="I419" s="116"/>
      <c r="L419" s="170">
        <v>42619</v>
      </c>
      <c r="M419" s="116">
        <v>1167.8499999999999</v>
      </c>
      <c r="N419" s="116">
        <v>1175.55</v>
      </c>
      <c r="O419" s="116">
        <v>1150</v>
      </c>
      <c r="P419" s="116">
        <v>1155</v>
      </c>
      <c r="Q419" s="116">
        <v>1167.8499999999999</v>
      </c>
      <c r="R419">
        <v>74672</v>
      </c>
    </row>
    <row r="420" spans="1:18" x14ac:dyDescent="0.25">
      <c r="A420" s="170">
        <v>42620</v>
      </c>
      <c r="B420" s="116">
        <v>1192</v>
      </c>
      <c r="C420" s="116">
        <v>1182.6500000000001</v>
      </c>
      <c r="D420" s="116">
        <v>1175</v>
      </c>
      <c r="E420" s="116">
        <v>1175</v>
      </c>
      <c r="F420" s="116">
        <v>1182.6500000000001</v>
      </c>
      <c r="G420">
        <v>9207</v>
      </c>
      <c r="H420" s="116"/>
      <c r="I420" s="116"/>
      <c r="L420" s="170">
        <v>42620</v>
      </c>
      <c r="M420" s="116">
        <v>1180</v>
      </c>
      <c r="N420" s="116">
        <v>1199</v>
      </c>
      <c r="O420" s="116">
        <v>1168</v>
      </c>
      <c r="P420" s="116">
        <v>1175</v>
      </c>
      <c r="Q420" s="116">
        <v>1180</v>
      </c>
      <c r="R420">
        <v>103722</v>
      </c>
    </row>
    <row r="421" spans="1:18" x14ac:dyDescent="0.25">
      <c r="A421" s="170">
        <v>42621</v>
      </c>
      <c r="B421" s="116">
        <v>1200</v>
      </c>
      <c r="C421" s="116">
        <v>1188.0999999999999</v>
      </c>
      <c r="D421" s="116">
        <v>1171.7</v>
      </c>
      <c r="E421" s="116">
        <v>1180</v>
      </c>
      <c r="F421" s="116">
        <v>1188.0999999999999</v>
      </c>
      <c r="G421">
        <v>8410</v>
      </c>
      <c r="H421" s="116"/>
      <c r="I421" s="116"/>
      <c r="L421" s="170">
        <v>42621</v>
      </c>
      <c r="M421" s="116">
        <v>1185.25</v>
      </c>
      <c r="N421" s="116">
        <v>1199.8499999999999</v>
      </c>
      <c r="O421" s="116">
        <v>1170.1500000000001</v>
      </c>
      <c r="P421" s="116">
        <v>1180</v>
      </c>
      <c r="Q421" s="116">
        <v>1185.25</v>
      </c>
      <c r="R421">
        <v>110182</v>
      </c>
    </row>
    <row r="422" spans="1:18" x14ac:dyDescent="0.25">
      <c r="A422" s="170">
        <v>42622</v>
      </c>
      <c r="B422" s="116">
        <v>1190</v>
      </c>
      <c r="C422" s="116">
        <v>1186.05</v>
      </c>
      <c r="D422" s="116">
        <v>1176.1500000000001</v>
      </c>
      <c r="E422" s="116">
        <v>1188.0999999999999</v>
      </c>
      <c r="F422" s="116">
        <v>1186.05</v>
      </c>
      <c r="G422">
        <v>2573</v>
      </c>
      <c r="H422" s="116"/>
      <c r="I422" s="116"/>
      <c r="L422" s="170">
        <v>42622</v>
      </c>
      <c r="M422" s="116">
        <v>1185.9000000000001</v>
      </c>
      <c r="N422" s="116">
        <v>1194</v>
      </c>
      <c r="O422" s="116">
        <v>1175.0999999999999</v>
      </c>
      <c r="P422" s="116">
        <v>1185</v>
      </c>
      <c r="Q422" s="116">
        <v>1185.9000000000001</v>
      </c>
      <c r="R422">
        <v>27584</v>
      </c>
    </row>
    <row r="423" spans="1:18" x14ac:dyDescent="0.25">
      <c r="A423" s="170">
        <v>42625</v>
      </c>
      <c r="B423" s="116">
        <v>1189</v>
      </c>
      <c r="C423" s="116">
        <v>1175.5999999999999</v>
      </c>
      <c r="D423" s="116">
        <v>1155</v>
      </c>
      <c r="E423" s="116">
        <v>1189</v>
      </c>
      <c r="F423" s="116">
        <v>1175.5999999999999</v>
      </c>
      <c r="G423">
        <v>6251</v>
      </c>
      <c r="H423" s="116"/>
      <c r="I423" s="116"/>
      <c r="L423" s="170">
        <v>42625</v>
      </c>
      <c r="M423" s="116">
        <v>1170.45</v>
      </c>
      <c r="N423" s="116">
        <v>1185</v>
      </c>
      <c r="O423" s="116">
        <v>1150</v>
      </c>
      <c r="P423" s="116">
        <v>1185</v>
      </c>
      <c r="Q423" s="116">
        <v>1170.45</v>
      </c>
      <c r="R423">
        <v>51140</v>
      </c>
    </row>
    <row r="424" spans="1:18" x14ac:dyDescent="0.25">
      <c r="A424" s="170">
        <v>42627</v>
      </c>
      <c r="B424" s="116">
        <v>1173</v>
      </c>
      <c r="C424" s="116">
        <v>1168.6500000000001</v>
      </c>
      <c r="D424" s="116">
        <v>1155</v>
      </c>
      <c r="E424" s="116">
        <v>1164.45</v>
      </c>
      <c r="F424" s="116">
        <v>1168.6500000000001</v>
      </c>
      <c r="G424">
        <v>6314</v>
      </c>
      <c r="H424" s="116"/>
      <c r="I424" s="116"/>
      <c r="L424" s="170">
        <v>42627</v>
      </c>
      <c r="M424" s="116">
        <v>1169.3</v>
      </c>
      <c r="N424" s="116">
        <v>1174.4000000000001</v>
      </c>
      <c r="O424" s="116">
        <v>1149.0999999999999</v>
      </c>
      <c r="P424" s="116">
        <v>1149.0999999999999</v>
      </c>
      <c r="Q424" s="116">
        <v>1169.3</v>
      </c>
      <c r="R424">
        <v>25867</v>
      </c>
    </row>
    <row r="425" spans="1:18" x14ac:dyDescent="0.25">
      <c r="A425" s="170">
        <v>42628</v>
      </c>
      <c r="B425" s="116">
        <v>1181.95</v>
      </c>
      <c r="C425" s="116">
        <v>1176.95</v>
      </c>
      <c r="D425" s="116">
        <v>1154</v>
      </c>
      <c r="E425" s="116">
        <v>1170.8</v>
      </c>
      <c r="F425" s="116">
        <v>1176.95</v>
      </c>
      <c r="G425">
        <v>4642</v>
      </c>
      <c r="H425" s="116"/>
      <c r="I425" s="116"/>
      <c r="L425" s="170">
        <v>42628</v>
      </c>
      <c r="M425" s="116">
        <v>1178.0999999999999</v>
      </c>
      <c r="N425" s="116">
        <v>1181.05</v>
      </c>
      <c r="O425" s="116">
        <v>1153.3</v>
      </c>
      <c r="P425" s="116">
        <v>1175.95</v>
      </c>
      <c r="Q425" s="116">
        <v>1178.0999999999999</v>
      </c>
      <c r="R425">
        <v>39697</v>
      </c>
    </row>
    <row r="426" spans="1:18" x14ac:dyDescent="0.25">
      <c r="A426" s="170">
        <v>42629</v>
      </c>
      <c r="B426" s="116">
        <v>1190</v>
      </c>
      <c r="C426" s="116">
        <v>1168.55</v>
      </c>
      <c r="D426" s="116">
        <v>1156.6500000000001</v>
      </c>
      <c r="E426" s="116">
        <v>1183.6500000000001</v>
      </c>
      <c r="F426" s="116">
        <v>1168.55</v>
      </c>
      <c r="G426">
        <v>4311</v>
      </c>
      <c r="H426" s="116"/>
      <c r="I426" s="116"/>
      <c r="L426" s="170">
        <v>42629</v>
      </c>
      <c r="M426" s="116">
        <v>1170.95</v>
      </c>
      <c r="N426" s="116">
        <v>1190</v>
      </c>
      <c r="O426" s="116">
        <v>1157.3499999999999</v>
      </c>
      <c r="P426" s="116">
        <v>1185</v>
      </c>
      <c r="Q426" s="116">
        <v>1170.95</v>
      </c>
      <c r="R426">
        <v>52493</v>
      </c>
    </row>
    <row r="427" spans="1:18" x14ac:dyDescent="0.25">
      <c r="A427" s="170">
        <v>42632</v>
      </c>
      <c r="B427" s="116">
        <v>1203.0999999999999</v>
      </c>
      <c r="C427" s="116">
        <v>1160.9000000000001</v>
      </c>
      <c r="D427" s="116">
        <v>1150</v>
      </c>
      <c r="E427" s="116">
        <v>1166.55</v>
      </c>
      <c r="F427" s="116">
        <v>1160.9000000000001</v>
      </c>
      <c r="G427">
        <v>5436</v>
      </c>
      <c r="H427" s="116"/>
      <c r="I427" s="116"/>
      <c r="L427" s="170">
        <v>42632</v>
      </c>
      <c r="M427" s="116">
        <v>1158.7</v>
      </c>
      <c r="N427" s="116">
        <v>1180</v>
      </c>
      <c r="O427" s="116">
        <v>1150.3</v>
      </c>
      <c r="P427" s="116">
        <v>1170</v>
      </c>
      <c r="Q427" s="116">
        <v>1158.7</v>
      </c>
      <c r="R427">
        <v>31640</v>
      </c>
    </row>
    <row r="428" spans="1:18" x14ac:dyDescent="0.25">
      <c r="A428" s="170">
        <v>42633</v>
      </c>
      <c r="B428" s="116">
        <v>1163.7</v>
      </c>
      <c r="C428" s="116">
        <v>1153.7</v>
      </c>
      <c r="D428" s="116">
        <v>1152.8</v>
      </c>
      <c r="E428" s="116">
        <v>1158</v>
      </c>
      <c r="F428" s="116">
        <v>1153.7</v>
      </c>
      <c r="G428">
        <v>3086</v>
      </c>
      <c r="H428" s="116"/>
      <c r="I428" s="116"/>
      <c r="L428" s="170">
        <v>42633</v>
      </c>
      <c r="M428" s="116">
        <v>1157.8</v>
      </c>
      <c r="N428" s="116">
        <v>1167.55</v>
      </c>
      <c r="O428" s="116">
        <v>1156</v>
      </c>
      <c r="P428" s="116">
        <v>1164.9000000000001</v>
      </c>
      <c r="Q428" s="116">
        <v>1157.8</v>
      </c>
      <c r="R428">
        <v>14447</v>
      </c>
    </row>
    <row r="429" spans="1:18" x14ac:dyDescent="0.25">
      <c r="A429" s="170">
        <v>42634</v>
      </c>
      <c r="B429" s="116">
        <v>1173.0999999999999</v>
      </c>
      <c r="C429" s="116">
        <v>1149.3</v>
      </c>
      <c r="D429" s="116">
        <v>1146.25</v>
      </c>
      <c r="E429" s="116">
        <v>1157</v>
      </c>
      <c r="F429" s="116">
        <v>1149.3</v>
      </c>
      <c r="G429">
        <v>3735</v>
      </c>
      <c r="H429" s="116"/>
      <c r="I429" s="116"/>
      <c r="L429" s="170">
        <v>42634</v>
      </c>
      <c r="M429" s="116">
        <v>1150.5999999999999</v>
      </c>
      <c r="N429" s="116">
        <v>1173</v>
      </c>
      <c r="O429" s="116">
        <v>1147.25</v>
      </c>
      <c r="P429" s="116">
        <v>1160</v>
      </c>
      <c r="Q429" s="116">
        <v>1150.5999999999999</v>
      </c>
      <c r="R429">
        <v>36221</v>
      </c>
    </row>
    <row r="430" spans="1:18" x14ac:dyDescent="0.25">
      <c r="A430" s="170">
        <v>42635</v>
      </c>
      <c r="B430" s="116">
        <v>1161</v>
      </c>
      <c r="C430" s="116">
        <v>1155.4000000000001</v>
      </c>
      <c r="D430" s="116">
        <v>1150</v>
      </c>
      <c r="E430" s="116">
        <v>1160</v>
      </c>
      <c r="F430" s="116">
        <v>1155.4000000000001</v>
      </c>
      <c r="G430">
        <v>2205</v>
      </c>
      <c r="H430" s="116"/>
      <c r="I430" s="116"/>
      <c r="L430" s="170">
        <v>42635</v>
      </c>
      <c r="M430" s="116">
        <v>1158</v>
      </c>
      <c r="N430" s="116">
        <v>1170</v>
      </c>
      <c r="O430" s="116">
        <v>1152.6500000000001</v>
      </c>
      <c r="P430" s="116">
        <v>1170</v>
      </c>
      <c r="Q430" s="116">
        <v>1158</v>
      </c>
      <c r="R430">
        <v>24244</v>
      </c>
    </row>
    <row r="431" spans="1:18" x14ac:dyDescent="0.25">
      <c r="A431" s="170">
        <v>42636</v>
      </c>
      <c r="B431" s="116">
        <v>1164</v>
      </c>
      <c r="C431" s="116">
        <v>1153.6500000000001</v>
      </c>
      <c r="D431" s="116">
        <v>1146.0999999999999</v>
      </c>
      <c r="E431" s="116">
        <v>1164</v>
      </c>
      <c r="F431" s="116">
        <v>1153.6500000000001</v>
      </c>
      <c r="G431">
        <v>7920</v>
      </c>
      <c r="H431" s="116"/>
      <c r="I431" s="116"/>
      <c r="L431" s="170">
        <v>42636</v>
      </c>
      <c r="M431" s="116">
        <v>1151.8</v>
      </c>
      <c r="N431" s="116">
        <v>1163.5</v>
      </c>
      <c r="O431" s="116">
        <v>1150</v>
      </c>
      <c r="P431" s="116">
        <v>1158.0999999999999</v>
      </c>
      <c r="Q431" s="116">
        <v>1151.8</v>
      </c>
      <c r="R431">
        <v>8941</v>
      </c>
    </row>
    <row r="432" spans="1:18" x14ac:dyDescent="0.25">
      <c r="A432" s="170">
        <v>42639</v>
      </c>
      <c r="B432" s="116">
        <v>1160</v>
      </c>
      <c r="C432" s="116">
        <v>1144.3499999999999</v>
      </c>
      <c r="D432" s="116">
        <v>1138</v>
      </c>
      <c r="E432" s="116">
        <v>1160</v>
      </c>
      <c r="F432" s="116">
        <v>1144.3499999999999</v>
      </c>
      <c r="G432">
        <v>2008</v>
      </c>
      <c r="H432" s="116"/>
      <c r="I432" s="116"/>
      <c r="L432" s="170">
        <v>42639</v>
      </c>
      <c r="M432" s="116">
        <v>1141.55</v>
      </c>
      <c r="N432" s="116">
        <v>1159.8</v>
      </c>
      <c r="O432" s="116">
        <v>1131</v>
      </c>
      <c r="P432" s="116">
        <v>1159.8</v>
      </c>
      <c r="Q432" s="116">
        <v>1141.55</v>
      </c>
      <c r="R432">
        <v>12479</v>
      </c>
    </row>
    <row r="433" spans="1:18" x14ac:dyDescent="0.25">
      <c r="A433" s="170">
        <v>42640</v>
      </c>
      <c r="B433" s="116">
        <v>1170</v>
      </c>
      <c r="C433" s="116">
        <v>1153.8499999999999</v>
      </c>
      <c r="D433" s="116">
        <v>1135.2</v>
      </c>
      <c r="E433" s="116">
        <v>1147.4000000000001</v>
      </c>
      <c r="F433" s="116">
        <v>1153.8499999999999</v>
      </c>
      <c r="G433">
        <v>5493</v>
      </c>
      <c r="H433" s="116"/>
      <c r="I433" s="116"/>
      <c r="L433" s="170">
        <v>42640</v>
      </c>
      <c r="M433" s="116">
        <v>1151.7</v>
      </c>
      <c r="N433" s="116">
        <v>1171.5</v>
      </c>
      <c r="O433" s="116">
        <v>1143</v>
      </c>
      <c r="P433" s="116">
        <v>1147.5</v>
      </c>
      <c r="Q433" s="116">
        <v>1151.7</v>
      </c>
      <c r="R433">
        <v>42182</v>
      </c>
    </row>
    <row r="434" spans="1:18" x14ac:dyDescent="0.25">
      <c r="A434" s="170">
        <v>42641</v>
      </c>
      <c r="B434" s="116">
        <v>1164.4000000000001</v>
      </c>
      <c r="C434" s="116">
        <v>1156.5</v>
      </c>
      <c r="D434" s="116">
        <v>1145</v>
      </c>
      <c r="E434" s="116">
        <v>1157.75</v>
      </c>
      <c r="F434" s="116">
        <v>1156.5</v>
      </c>
      <c r="G434">
        <v>14362</v>
      </c>
      <c r="H434" s="116"/>
      <c r="I434" s="116"/>
      <c r="L434" s="170">
        <v>42641</v>
      </c>
      <c r="M434" s="116">
        <v>1156.95</v>
      </c>
      <c r="N434" s="116">
        <v>1164.8</v>
      </c>
      <c r="O434" s="116">
        <v>1146.5</v>
      </c>
      <c r="P434" s="116">
        <v>1152</v>
      </c>
      <c r="Q434" s="116">
        <v>1156.95</v>
      </c>
      <c r="R434">
        <v>49164</v>
      </c>
    </row>
    <row r="435" spans="1:18" x14ac:dyDescent="0.25">
      <c r="A435" s="170">
        <v>42642</v>
      </c>
      <c r="B435" s="116">
        <v>1164.3</v>
      </c>
      <c r="C435" s="116">
        <v>1119.9000000000001</v>
      </c>
      <c r="D435" s="116">
        <v>1110</v>
      </c>
      <c r="E435" s="116">
        <v>1164.3</v>
      </c>
      <c r="F435" s="116">
        <v>1119.9000000000001</v>
      </c>
      <c r="G435">
        <v>5025</v>
      </c>
      <c r="H435" s="116"/>
      <c r="I435" s="116"/>
      <c r="L435" s="170">
        <v>42642</v>
      </c>
      <c r="M435" s="116">
        <v>1123.2</v>
      </c>
      <c r="N435" s="116">
        <v>1167.95</v>
      </c>
      <c r="O435" s="116">
        <v>1107</v>
      </c>
      <c r="P435" s="116">
        <v>1156.95</v>
      </c>
      <c r="Q435" s="116">
        <v>1123.2</v>
      </c>
      <c r="R435">
        <v>30052</v>
      </c>
    </row>
    <row r="436" spans="1:18" x14ac:dyDescent="0.25">
      <c r="A436" s="170">
        <v>42643</v>
      </c>
      <c r="B436" s="116">
        <v>1152.05</v>
      </c>
      <c r="C436" s="116">
        <v>1134.7</v>
      </c>
      <c r="D436" s="116">
        <v>1109.55</v>
      </c>
      <c r="E436" s="116">
        <v>1140</v>
      </c>
      <c r="F436" s="116">
        <v>1134.7</v>
      </c>
      <c r="G436">
        <v>3245</v>
      </c>
      <c r="H436" s="116"/>
      <c r="I436" s="116"/>
      <c r="L436" s="170">
        <v>42643</v>
      </c>
      <c r="M436" s="116">
        <v>1141.9000000000001</v>
      </c>
      <c r="N436" s="116">
        <v>1156.5</v>
      </c>
      <c r="O436" s="116">
        <v>1107</v>
      </c>
      <c r="P436" s="116">
        <v>1124.95</v>
      </c>
      <c r="Q436" s="116">
        <v>1141.9000000000001</v>
      </c>
      <c r="R436">
        <v>18152</v>
      </c>
    </row>
    <row r="437" spans="1:18" x14ac:dyDescent="0.25">
      <c r="A437" s="170">
        <v>42646</v>
      </c>
      <c r="B437" s="116">
        <v>1172</v>
      </c>
      <c r="C437" s="116">
        <v>1169.75</v>
      </c>
      <c r="D437" s="116">
        <v>1133.75</v>
      </c>
      <c r="E437" s="116">
        <v>1133.75</v>
      </c>
      <c r="F437" s="116">
        <v>1169.75</v>
      </c>
      <c r="G437">
        <v>4683</v>
      </c>
      <c r="H437" s="116"/>
      <c r="I437" s="116"/>
      <c r="L437" s="170">
        <v>42646</v>
      </c>
      <c r="M437" s="116">
        <v>1169.7</v>
      </c>
      <c r="N437" s="116">
        <v>1174.5</v>
      </c>
      <c r="O437" s="116">
        <v>1137.05</v>
      </c>
      <c r="P437" s="116">
        <v>1150</v>
      </c>
      <c r="Q437" s="116">
        <v>1169.7</v>
      </c>
      <c r="R437">
        <v>24595</v>
      </c>
    </row>
    <row r="438" spans="1:18" x14ac:dyDescent="0.25">
      <c r="A438" s="170">
        <v>42647</v>
      </c>
      <c r="B438" s="116">
        <v>1180</v>
      </c>
      <c r="C438" s="116">
        <v>1171.25</v>
      </c>
      <c r="D438" s="116">
        <v>1158.8</v>
      </c>
      <c r="E438" s="116">
        <v>1172.3499999999999</v>
      </c>
      <c r="F438" s="116">
        <v>1171.25</v>
      </c>
      <c r="G438">
        <v>5036</v>
      </c>
      <c r="H438" s="116"/>
      <c r="I438" s="116"/>
      <c r="L438" s="170">
        <v>42647</v>
      </c>
      <c r="M438" s="116">
        <v>1172.4000000000001</v>
      </c>
      <c r="N438" s="116">
        <v>1182</v>
      </c>
      <c r="O438" s="116">
        <v>1158.25</v>
      </c>
      <c r="P438" s="116">
        <v>1169</v>
      </c>
      <c r="Q438" s="116">
        <v>1172.4000000000001</v>
      </c>
      <c r="R438">
        <v>21859</v>
      </c>
    </row>
    <row r="439" spans="1:18" x14ac:dyDescent="0.25">
      <c r="A439" s="170">
        <v>42648</v>
      </c>
      <c r="B439" s="116">
        <v>1189</v>
      </c>
      <c r="C439" s="116">
        <v>1170.2</v>
      </c>
      <c r="D439" s="116">
        <v>1150</v>
      </c>
      <c r="E439" s="116">
        <v>1178.9000000000001</v>
      </c>
      <c r="F439" s="116">
        <v>1170.2</v>
      </c>
      <c r="G439">
        <v>10851</v>
      </c>
      <c r="H439" s="116"/>
      <c r="I439" s="116"/>
      <c r="L439" s="170">
        <v>42648</v>
      </c>
      <c r="M439" s="116">
        <v>1171.3499999999999</v>
      </c>
      <c r="N439" s="116">
        <v>1187.95</v>
      </c>
      <c r="O439" s="116">
        <v>1149</v>
      </c>
      <c r="P439" s="116">
        <v>1180.8</v>
      </c>
      <c r="Q439" s="116">
        <v>1171.3499999999999</v>
      </c>
      <c r="R439">
        <v>63894</v>
      </c>
    </row>
    <row r="440" spans="1:18" x14ac:dyDescent="0.25">
      <c r="A440" s="170">
        <v>42649</v>
      </c>
      <c r="B440" s="116">
        <v>1183.4000000000001</v>
      </c>
      <c r="C440" s="116">
        <v>1166.8499999999999</v>
      </c>
      <c r="D440" s="116">
        <v>1157.5</v>
      </c>
      <c r="E440" s="116">
        <v>1171.6500000000001</v>
      </c>
      <c r="F440" s="116">
        <v>1166.8499999999999</v>
      </c>
      <c r="G440">
        <v>2929</v>
      </c>
      <c r="H440" s="116"/>
      <c r="I440" s="116"/>
      <c r="L440" s="170">
        <v>42649</v>
      </c>
      <c r="M440" s="116">
        <v>1170.25</v>
      </c>
      <c r="N440" s="116">
        <v>1180</v>
      </c>
      <c r="O440" s="116">
        <v>1162</v>
      </c>
      <c r="P440" s="116">
        <v>1171.3499999999999</v>
      </c>
      <c r="Q440" s="116">
        <v>1170.25</v>
      </c>
      <c r="R440">
        <v>78458</v>
      </c>
    </row>
    <row r="441" spans="1:18" x14ac:dyDescent="0.25">
      <c r="A441" s="170">
        <v>42650</v>
      </c>
      <c r="B441" s="116">
        <v>1170</v>
      </c>
      <c r="C441" s="116">
        <v>1149.4000000000001</v>
      </c>
      <c r="D441" s="116">
        <v>1138.95</v>
      </c>
      <c r="E441" s="116">
        <v>1169.55</v>
      </c>
      <c r="F441" s="116">
        <v>1149.4000000000001</v>
      </c>
      <c r="G441">
        <v>3030</v>
      </c>
      <c r="H441" s="116"/>
      <c r="I441" s="116"/>
      <c r="L441" s="170">
        <v>42650</v>
      </c>
      <c r="M441" s="116">
        <v>1147.5</v>
      </c>
      <c r="N441" s="116">
        <v>1170</v>
      </c>
      <c r="O441" s="116">
        <v>1137.05</v>
      </c>
      <c r="P441" s="116">
        <v>1170</v>
      </c>
      <c r="Q441" s="116">
        <v>1147.5</v>
      </c>
      <c r="R441">
        <v>30112</v>
      </c>
    </row>
    <row r="442" spans="1:18" x14ac:dyDescent="0.25">
      <c r="A442" s="170">
        <v>42653</v>
      </c>
      <c r="B442" s="116">
        <v>1159.25</v>
      </c>
      <c r="C442" s="116">
        <v>1153.5999999999999</v>
      </c>
      <c r="D442" s="116">
        <v>1143.45</v>
      </c>
      <c r="E442" s="116">
        <v>1150</v>
      </c>
      <c r="F442" s="116">
        <v>1153.5999999999999</v>
      </c>
      <c r="G442">
        <v>6741</v>
      </c>
      <c r="H442" s="116"/>
      <c r="I442" s="116"/>
      <c r="L442" s="170">
        <v>42653</v>
      </c>
      <c r="M442" s="116">
        <v>1149.5999999999999</v>
      </c>
      <c r="N442" s="116">
        <v>1158.5</v>
      </c>
      <c r="O442" s="116">
        <v>1147</v>
      </c>
      <c r="P442" s="116">
        <v>1154.9000000000001</v>
      </c>
      <c r="Q442" s="116">
        <v>1149.5999999999999</v>
      </c>
      <c r="R442">
        <v>53304</v>
      </c>
    </row>
    <row r="443" spans="1:18" x14ac:dyDescent="0.25">
      <c r="A443" s="170">
        <v>42656</v>
      </c>
      <c r="B443" s="116">
        <v>1172.7</v>
      </c>
      <c r="C443" s="116">
        <v>1160.3</v>
      </c>
      <c r="D443" s="116">
        <v>1138.7</v>
      </c>
      <c r="E443" s="116">
        <v>1160</v>
      </c>
      <c r="F443" s="116">
        <v>1160.3</v>
      </c>
      <c r="G443">
        <v>10444</v>
      </c>
      <c r="H443" s="116"/>
      <c r="I443" s="116"/>
      <c r="L443" s="170">
        <v>42656</v>
      </c>
      <c r="M443" s="116">
        <v>1160.8</v>
      </c>
      <c r="N443" s="116">
        <v>1171</v>
      </c>
      <c r="O443" s="116">
        <v>1134.3499999999999</v>
      </c>
      <c r="P443" s="116">
        <v>1155</v>
      </c>
      <c r="Q443" s="116">
        <v>1160.8</v>
      </c>
      <c r="R443">
        <v>70415</v>
      </c>
    </row>
    <row r="444" spans="1:18" x14ac:dyDescent="0.25">
      <c r="A444" s="170">
        <v>42657</v>
      </c>
      <c r="B444" s="116">
        <v>1163</v>
      </c>
      <c r="C444" s="116">
        <v>1153.8499999999999</v>
      </c>
      <c r="D444" s="116">
        <v>1151.05</v>
      </c>
      <c r="E444" s="116">
        <v>1159.95</v>
      </c>
      <c r="F444" s="116">
        <v>1153.8499999999999</v>
      </c>
      <c r="G444">
        <v>1934</v>
      </c>
      <c r="H444" s="116"/>
      <c r="I444" s="116"/>
      <c r="L444" s="170">
        <v>42657</v>
      </c>
      <c r="M444" s="116">
        <v>1155.4000000000001</v>
      </c>
      <c r="N444" s="116">
        <v>1166.8</v>
      </c>
      <c r="O444" s="116">
        <v>1150</v>
      </c>
      <c r="P444" s="116">
        <v>1160</v>
      </c>
      <c r="Q444" s="116">
        <v>1155.4000000000001</v>
      </c>
      <c r="R444">
        <v>31024</v>
      </c>
    </row>
    <row r="445" spans="1:18" x14ac:dyDescent="0.25">
      <c r="A445" s="170">
        <v>42660</v>
      </c>
      <c r="B445" s="116">
        <v>1161</v>
      </c>
      <c r="C445" s="116">
        <v>1157.25</v>
      </c>
      <c r="D445" s="116">
        <v>1141.95</v>
      </c>
      <c r="E445" s="116">
        <v>1151</v>
      </c>
      <c r="F445" s="116">
        <v>1157.25</v>
      </c>
      <c r="G445">
        <v>10186</v>
      </c>
      <c r="H445" s="116"/>
      <c r="I445" s="116"/>
      <c r="L445" s="170">
        <v>42660</v>
      </c>
      <c r="M445" s="116">
        <v>1154.1500000000001</v>
      </c>
      <c r="N445" s="116">
        <v>1158.75</v>
      </c>
      <c r="O445" s="116">
        <v>1141.5999999999999</v>
      </c>
      <c r="P445" s="116">
        <v>1155</v>
      </c>
      <c r="Q445" s="116">
        <v>1154.1500000000001</v>
      </c>
      <c r="R445">
        <v>37052</v>
      </c>
    </row>
    <row r="446" spans="1:18" x14ac:dyDescent="0.25">
      <c r="A446" s="170">
        <v>42661</v>
      </c>
      <c r="B446" s="116">
        <v>1160.95</v>
      </c>
      <c r="C446" s="116">
        <v>1142.9000000000001</v>
      </c>
      <c r="D446" s="116">
        <v>1137.8</v>
      </c>
      <c r="E446" s="116">
        <v>1160.95</v>
      </c>
      <c r="F446" s="116">
        <v>1142.9000000000001</v>
      </c>
      <c r="G446">
        <v>6467</v>
      </c>
      <c r="H446" s="116"/>
      <c r="I446" s="116"/>
      <c r="L446" s="170">
        <v>42661</v>
      </c>
      <c r="M446" s="116">
        <v>1142.25</v>
      </c>
      <c r="N446" s="116">
        <v>1164.9000000000001</v>
      </c>
      <c r="O446" s="116">
        <v>1137.3499999999999</v>
      </c>
      <c r="P446" s="116">
        <v>1156.55</v>
      </c>
      <c r="Q446" s="116">
        <v>1142.25</v>
      </c>
      <c r="R446">
        <v>79054</v>
      </c>
    </row>
    <row r="447" spans="1:18" x14ac:dyDescent="0.25">
      <c r="A447" s="170">
        <v>42662</v>
      </c>
      <c r="B447" s="116">
        <v>1156.75</v>
      </c>
      <c r="C447" s="116">
        <v>1148.95</v>
      </c>
      <c r="D447" s="116">
        <v>1136.2</v>
      </c>
      <c r="E447" s="116">
        <v>1156.7</v>
      </c>
      <c r="F447" s="116">
        <v>1148.95</v>
      </c>
      <c r="G447">
        <v>6740</v>
      </c>
      <c r="H447" s="116"/>
      <c r="I447" s="116"/>
      <c r="L447" s="170">
        <v>42662</v>
      </c>
      <c r="M447" s="116">
        <v>1148.05</v>
      </c>
      <c r="N447" s="116">
        <v>1155.5999999999999</v>
      </c>
      <c r="O447" s="116">
        <v>1135.45</v>
      </c>
      <c r="P447" s="116">
        <v>1152</v>
      </c>
      <c r="Q447" s="116">
        <v>1148.05</v>
      </c>
      <c r="R447">
        <v>90609</v>
      </c>
    </row>
    <row r="448" spans="1:18" x14ac:dyDescent="0.25">
      <c r="A448" s="170">
        <v>42663</v>
      </c>
      <c r="B448" s="116">
        <v>1153</v>
      </c>
      <c r="C448" s="116">
        <v>1128.95</v>
      </c>
      <c r="D448" s="116">
        <v>1125</v>
      </c>
      <c r="E448" s="116">
        <v>1141.7</v>
      </c>
      <c r="F448" s="116">
        <v>1128.95</v>
      </c>
      <c r="G448">
        <v>4573</v>
      </c>
      <c r="H448" s="116"/>
      <c r="I448" s="116"/>
      <c r="L448" s="170">
        <v>42663</v>
      </c>
      <c r="M448" s="116">
        <v>1129.6500000000001</v>
      </c>
      <c r="N448" s="116">
        <v>1154</v>
      </c>
      <c r="O448" s="116">
        <v>1125.0999999999999</v>
      </c>
      <c r="P448" s="116">
        <v>1148</v>
      </c>
      <c r="Q448" s="116">
        <v>1129.6500000000001</v>
      </c>
      <c r="R448">
        <v>34793</v>
      </c>
    </row>
    <row r="449" spans="1:18" x14ac:dyDescent="0.25">
      <c r="A449" s="170">
        <v>42664</v>
      </c>
      <c r="B449" s="116">
        <v>1139</v>
      </c>
      <c r="C449" s="116">
        <v>1123.2</v>
      </c>
      <c r="D449" s="116">
        <v>1112.5999999999999</v>
      </c>
      <c r="E449" s="116">
        <v>1132.2</v>
      </c>
      <c r="F449" s="116">
        <v>1123.2</v>
      </c>
      <c r="G449">
        <v>8127</v>
      </c>
      <c r="H449" s="116"/>
      <c r="I449" s="116"/>
      <c r="L449" s="170">
        <v>42664</v>
      </c>
      <c r="M449" s="116">
        <v>1124.2</v>
      </c>
      <c r="N449" s="116">
        <v>1140.45</v>
      </c>
      <c r="O449" s="116">
        <v>1118</v>
      </c>
      <c r="P449" s="116">
        <v>1135</v>
      </c>
      <c r="Q449" s="116">
        <v>1124.2</v>
      </c>
      <c r="R449">
        <v>38014</v>
      </c>
    </row>
    <row r="450" spans="1:18" x14ac:dyDescent="0.25">
      <c r="A450" s="170">
        <v>42667</v>
      </c>
      <c r="B450" s="116">
        <v>1135</v>
      </c>
      <c r="C450" s="116">
        <v>1093.2</v>
      </c>
      <c r="D450" s="116">
        <v>1090</v>
      </c>
      <c r="E450" s="116">
        <v>1135</v>
      </c>
      <c r="F450" s="116">
        <v>1093.2</v>
      </c>
      <c r="G450">
        <v>8666</v>
      </c>
      <c r="H450" s="116"/>
      <c r="I450" s="116"/>
      <c r="L450" s="170">
        <v>42667</v>
      </c>
      <c r="M450" s="116">
        <v>1092.0999999999999</v>
      </c>
      <c r="N450" s="116">
        <v>1134.95</v>
      </c>
      <c r="O450" s="116">
        <v>1089.2</v>
      </c>
      <c r="P450" s="116">
        <v>1125.8</v>
      </c>
      <c r="Q450" s="116">
        <v>1092.0999999999999</v>
      </c>
      <c r="R450">
        <v>71555</v>
      </c>
    </row>
    <row r="451" spans="1:18" x14ac:dyDescent="0.25">
      <c r="A451" s="170">
        <v>42668</v>
      </c>
      <c r="B451" s="116">
        <v>1101.6500000000001</v>
      </c>
      <c r="C451" s="116">
        <v>1081.95</v>
      </c>
      <c r="D451" s="116">
        <v>1076.3499999999999</v>
      </c>
      <c r="E451" s="116">
        <v>1100</v>
      </c>
      <c r="F451" s="116">
        <v>1081.95</v>
      </c>
      <c r="G451">
        <v>2475</v>
      </c>
      <c r="H451" s="116"/>
      <c r="I451" s="116"/>
      <c r="L451" s="170">
        <v>42668</v>
      </c>
      <c r="M451" s="116">
        <v>1080.5999999999999</v>
      </c>
      <c r="N451" s="116">
        <v>1110</v>
      </c>
      <c r="O451" s="116">
        <v>1076</v>
      </c>
      <c r="P451" s="116">
        <v>1095</v>
      </c>
      <c r="Q451" s="116">
        <v>1080.5999999999999</v>
      </c>
      <c r="R451">
        <v>46567</v>
      </c>
    </row>
    <row r="452" spans="1:18" x14ac:dyDescent="0.25">
      <c r="A452" s="170">
        <v>42669</v>
      </c>
      <c r="B452" s="116">
        <v>1117</v>
      </c>
      <c r="C452" s="116">
        <v>1059</v>
      </c>
      <c r="D452" s="116">
        <v>1054</v>
      </c>
      <c r="E452" s="116">
        <v>1076.0999999999999</v>
      </c>
      <c r="F452" s="116">
        <v>1059</v>
      </c>
      <c r="G452">
        <v>8576</v>
      </c>
      <c r="H452" s="116"/>
      <c r="I452" s="116"/>
      <c r="L452" s="170">
        <v>42669</v>
      </c>
      <c r="M452" s="116">
        <v>1055.5</v>
      </c>
      <c r="N452" s="116">
        <v>1096.55</v>
      </c>
      <c r="O452" s="116">
        <v>1050</v>
      </c>
      <c r="P452" s="116">
        <v>1085</v>
      </c>
      <c r="Q452" s="116">
        <v>1055.5</v>
      </c>
      <c r="R452">
        <v>81994</v>
      </c>
    </row>
    <row r="453" spans="1:18" x14ac:dyDescent="0.25">
      <c r="A453" s="170">
        <v>42670</v>
      </c>
      <c r="B453" s="116">
        <v>1084.9000000000001</v>
      </c>
      <c r="C453" s="116">
        <v>1062.8</v>
      </c>
      <c r="D453" s="116">
        <v>1032.4000000000001</v>
      </c>
      <c r="E453" s="116">
        <v>1060</v>
      </c>
      <c r="F453" s="116">
        <v>1062.8</v>
      </c>
      <c r="G453">
        <v>22311</v>
      </c>
      <c r="H453" s="116"/>
      <c r="I453" s="116"/>
      <c r="L453" s="170">
        <v>42670</v>
      </c>
      <c r="M453" s="116">
        <v>1066.2</v>
      </c>
      <c r="N453" s="116">
        <v>1085</v>
      </c>
      <c r="O453" s="116">
        <v>1031.5</v>
      </c>
      <c r="P453" s="116">
        <v>1054.95</v>
      </c>
      <c r="Q453" s="116">
        <v>1066.2</v>
      </c>
      <c r="R453">
        <v>251569</v>
      </c>
    </row>
    <row r="454" spans="1:18" x14ac:dyDescent="0.25">
      <c r="A454" s="170">
        <v>42671</v>
      </c>
      <c r="B454" s="116">
        <v>1095</v>
      </c>
      <c r="C454" s="116">
        <v>1086.45</v>
      </c>
      <c r="D454" s="116">
        <v>1042.7</v>
      </c>
      <c r="E454" s="116">
        <v>1060.05</v>
      </c>
      <c r="F454" s="116">
        <v>1086.45</v>
      </c>
      <c r="G454">
        <v>19641</v>
      </c>
      <c r="H454" s="116"/>
      <c r="I454" s="116"/>
      <c r="L454" s="170">
        <v>42671</v>
      </c>
      <c r="M454" s="116">
        <v>1089.0999999999999</v>
      </c>
      <c r="N454" s="116">
        <v>1094</v>
      </c>
      <c r="O454" s="116">
        <v>1050.0999999999999</v>
      </c>
      <c r="P454" s="116">
        <v>1061</v>
      </c>
      <c r="Q454" s="116">
        <v>1089.0999999999999</v>
      </c>
      <c r="R454">
        <v>77331</v>
      </c>
    </row>
    <row r="455" spans="1:18" x14ac:dyDescent="0.25">
      <c r="A455" s="170">
        <v>42673</v>
      </c>
      <c r="B455" s="116">
        <v>1106</v>
      </c>
      <c r="C455" s="116">
        <v>1100</v>
      </c>
      <c r="D455" s="116">
        <v>1090</v>
      </c>
      <c r="E455" s="116">
        <v>1095</v>
      </c>
      <c r="F455" s="116">
        <v>1100</v>
      </c>
      <c r="G455">
        <v>1164</v>
      </c>
      <c r="H455" s="116"/>
      <c r="I455" s="116"/>
      <c r="L455" s="170">
        <v>42673</v>
      </c>
      <c r="M455" s="116">
        <v>1099.0999999999999</v>
      </c>
      <c r="N455" s="116">
        <v>1103.5</v>
      </c>
      <c r="O455" s="116">
        <v>1090.45</v>
      </c>
      <c r="P455" s="116">
        <v>1100</v>
      </c>
      <c r="Q455" s="116">
        <v>1099.0999999999999</v>
      </c>
      <c r="R455">
        <v>13084</v>
      </c>
    </row>
    <row r="456" spans="1:18" x14ac:dyDescent="0.25">
      <c r="A456" s="170">
        <v>42675</v>
      </c>
      <c r="B456" s="116">
        <v>1120</v>
      </c>
      <c r="C456" s="116">
        <v>1086</v>
      </c>
      <c r="D456" s="116">
        <v>1070</v>
      </c>
      <c r="E456" s="116">
        <v>1120</v>
      </c>
      <c r="F456" s="116">
        <v>1086</v>
      </c>
      <c r="G456">
        <v>6285</v>
      </c>
      <c r="H456" s="116"/>
      <c r="I456" s="116"/>
      <c r="L456" s="170">
        <v>42675</v>
      </c>
      <c r="M456" s="116">
        <v>1098.0999999999999</v>
      </c>
      <c r="N456" s="116">
        <v>1111.0999999999999</v>
      </c>
      <c r="O456" s="116">
        <v>1079</v>
      </c>
      <c r="P456" s="116">
        <v>1108.7</v>
      </c>
      <c r="Q456" s="116">
        <v>1098.0999999999999</v>
      </c>
      <c r="R456">
        <v>52236</v>
      </c>
    </row>
    <row r="457" spans="1:18" x14ac:dyDescent="0.25">
      <c r="A457" s="170">
        <v>42676</v>
      </c>
      <c r="B457" s="116">
        <v>1097</v>
      </c>
      <c r="C457" s="116">
        <v>1091.0999999999999</v>
      </c>
      <c r="D457" s="116">
        <v>1072.75</v>
      </c>
      <c r="E457" s="116">
        <v>1089.8499999999999</v>
      </c>
      <c r="F457" s="116">
        <v>1091.0999999999999</v>
      </c>
      <c r="G457">
        <v>4146</v>
      </c>
      <c r="H457" s="116"/>
      <c r="I457" s="116"/>
      <c r="L457" s="170">
        <v>42676</v>
      </c>
      <c r="M457" s="116">
        <v>1089.4000000000001</v>
      </c>
      <c r="N457" s="116">
        <v>1095</v>
      </c>
      <c r="O457" s="116">
        <v>1071.05</v>
      </c>
      <c r="P457" s="116">
        <v>1090.0999999999999</v>
      </c>
      <c r="Q457" s="116">
        <v>1089.4000000000001</v>
      </c>
      <c r="R457">
        <v>30288</v>
      </c>
    </row>
    <row r="458" spans="1:18" x14ac:dyDescent="0.25">
      <c r="A458" s="170">
        <v>42677</v>
      </c>
      <c r="B458" s="116">
        <v>1104</v>
      </c>
      <c r="C458" s="116">
        <v>1087.6500000000001</v>
      </c>
      <c r="D458" s="116">
        <v>1076.5</v>
      </c>
      <c r="E458" s="116">
        <v>1080.3499999999999</v>
      </c>
      <c r="F458" s="116">
        <v>1087.6500000000001</v>
      </c>
      <c r="G458">
        <v>4893</v>
      </c>
      <c r="H458" s="116"/>
      <c r="I458" s="116"/>
      <c r="L458" s="170">
        <v>42677</v>
      </c>
      <c r="M458" s="116">
        <v>1085.9000000000001</v>
      </c>
      <c r="N458" s="116">
        <v>1095.95</v>
      </c>
      <c r="O458" s="116">
        <v>1072</v>
      </c>
      <c r="P458" s="116">
        <v>1088</v>
      </c>
      <c r="Q458" s="116">
        <v>1085.9000000000001</v>
      </c>
      <c r="R458">
        <v>31422</v>
      </c>
    </row>
    <row r="459" spans="1:18" x14ac:dyDescent="0.25">
      <c r="A459" s="170">
        <v>42678</v>
      </c>
      <c r="B459" s="116">
        <v>1091</v>
      </c>
      <c r="C459" s="116">
        <v>1085.05</v>
      </c>
      <c r="D459" s="116">
        <v>1047</v>
      </c>
      <c r="E459" s="116">
        <v>1085.55</v>
      </c>
      <c r="F459" s="116">
        <v>1085.05</v>
      </c>
      <c r="G459">
        <v>2736</v>
      </c>
      <c r="H459" s="116"/>
      <c r="I459" s="116"/>
      <c r="L459" s="170">
        <v>42678</v>
      </c>
      <c r="M459" s="116">
        <v>1088.5</v>
      </c>
      <c r="N459" s="116">
        <v>1091</v>
      </c>
      <c r="O459" s="116">
        <v>1044</v>
      </c>
      <c r="P459" s="116">
        <v>1090</v>
      </c>
      <c r="Q459" s="116">
        <v>1088.5</v>
      </c>
      <c r="R459">
        <v>35661</v>
      </c>
    </row>
    <row r="460" spans="1:18" x14ac:dyDescent="0.25">
      <c r="A460" s="170">
        <v>42681</v>
      </c>
      <c r="B460" s="116">
        <v>1122</v>
      </c>
      <c r="C460" s="116">
        <v>1094.95</v>
      </c>
      <c r="D460" s="116">
        <v>1083.1500000000001</v>
      </c>
      <c r="E460" s="116">
        <v>1085</v>
      </c>
      <c r="F460" s="116">
        <v>1094.95</v>
      </c>
      <c r="G460">
        <v>8433</v>
      </c>
      <c r="H460" s="116"/>
      <c r="I460" s="116"/>
      <c r="L460" s="170">
        <v>42681</v>
      </c>
      <c r="M460" s="116">
        <v>1100.2</v>
      </c>
      <c r="N460" s="116">
        <v>1123.7</v>
      </c>
      <c r="O460" s="116">
        <v>1087.55</v>
      </c>
      <c r="P460" s="116">
        <v>1096</v>
      </c>
      <c r="Q460" s="116">
        <v>1100.2</v>
      </c>
      <c r="R460">
        <v>42003</v>
      </c>
    </row>
    <row r="461" spans="1:18" x14ac:dyDescent="0.25">
      <c r="A461" s="170">
        <v>42682</v>
      </c>
      <c r="B461" s="116">
        <v>1104.4000000000001</v>
      </c>
      <c r="C461" s="116">
        <v>1088.3</v>
      </c>
      <c r="D461" s="116">
        <v>1070</v>
      </c>
      <c r="E461" s="116">
        <v>1104.4000000000001</v>
      </c>
      <c r="F461" s="116">
        <v>1088.3</v>
      </c>
      <c r="G461">
        <v>2059</v>
      </c>
      <c r="H461" s="116"/>
      <c r="I461" s="116"/>
      <c r="L461" s="170">
        <v>42682</v>
      </c>
      <c r="M461" s="116">
        <v>1088.3499999999999</v>
      </c>
      <c r="N461" s="116">
        <v>1106.8</v>
      </c>
      <c r="O461" s="116">
        <v>1067.25</v>
      </c>
      <c r="P461" s="116">
        <v>1106.8</v>
      </c>
      <c r="Q461" s="116">
        <v>1088.3499999999999</v>
      </c>
      <c r="R461">
        <v>45054</v>
      </c>
    </row>
    <row r="462" spans="1:18" x14ac:dyDescent="0.25">
      <c r="A462" s="170">
        <v>42683</v>
      </c>
      <c r="B462" s="116">
        <v>1070</v>
      </c>
      <c r="C462" s="116">
        <v>1056.3</v>
      </c>
      <c r="D462" s="116">
        <v>950</v>
      </c>
      <c r="E462" s="116">
        <v>1050</v>
      </c>
      <c r="F462" s="116">
        <v>1056.3</v>
      </c>
      <c r="G462">
        <v>10352</v>
      </c>
      <c r="H462" s="116"/>
      <c r="I462" s="116"/>
      <c r="L462" s="170">
        <v>42683</v>
      </c>
      <c r="M462" s="116">
        <v>1051.6500000000001</v>
      </c>
      <c r="N462" s="116">
        <v>1068.9000000000001</v>
      </c>
      <c r="O462" s="116">
        <v>931.35</v>
      </c>
      <c r="P462" s="116">
        <v>1049</v>
      </c>
      <c r="Q462" s="116">
        <v>1051.6500000000001</v>
      </c>
      <c r="R462">
        <v>91067</v>
      </c>
    </row>
    <row r="463" spans="1:18" x14ac:dyDescent="0.25">
      <c r="A463" s="170">
        <v>42684</v>
      </c>
      <c r="B463" s="116">
        <v>1074</v>
      </c>
      <c r="C463" s="116">
        <v>1065.55</v>
      </c>
      <c r="D463" s="116">
        <v>1040</v>
      </c>
      <c r="E463" s="116">
        <v>1061.3</v>
      </c>
      <c r="F463" s="116">
        <v>1065.55</v>
      </c>
      <c r="G463">
        <v>6223</v>
      </c>
      <c r="H463" s="116"/>
      <c r="I463" s="116"/>
      <c r="L463" s="170">
        <v>42684</v>
      </c>
      <c r="M463" s="116">
        <v>1062.2</v>
      </c>
      <c r="N463" s="116">
        <v>1088</v>
      </c>
      <c r="O463" s="116">
        <v>1036.5999999999999</v>
      </c>
      <c r="P463" s="116">
        <v>1088</v>
      </c>
      <c r="Q463" s="116">
        <v>1062.2</v>
      </c>
      <c r="R463">
        <v>126272</v>
      </c>
    </row>
    <row r="464" spans="1:18" x14ac:dyDescent="0.25">
      <c r="A464" s="170">
        <v>42685</v>
      </c>
      <c r="B464" s="116">
        <v>1081.25</v>
      </c>
      <c r="C464" s="116">
        <v>1066.95</v>
      </c>
      <c r="D464" s="116">
        <v>1052</v>
      </c>
      <c r="E464" s="116">
        <v>1052</v>
      </c>
      <c r="F464" s="116">
        <v>1066.95</v>
      </c>
      <c r="G464">
        <v>5020</v>
      </c>
      <c r="H464" s="116"/>
      <c r="I464" s="116"/>
      <c r="L464" s="170">
        <v>42685</v>
      </c>
      <c r="M464" s="116">
        <v>1070.9000000000001</v>
      </c>
      <c r="N464" s="116">
        <v>1084</v>
      </c>
      <c r="O464" s="116">
        <v>1046.25</v>
      </c>
      <c r="P464" s="116">
        <v>1060</v>
      </c>
      <c r="Q464" s="116">
        <v>1070.9000000000001</v>
      </c>
      <c r="R464">
        <v>59487</v>
      </c>
    </row>
    <row r="465" spans="1:18" x14ac:dyDescent="0.25">
      <c r="A465" s="170">
        <v>42689</v>
      </c>
      <c r="B465" s="116">
        <v>1078.8499999999999</v>
      </c>
      <c r="C465" s="116">
        <v>1071.45</v>
      </c>
      <c r="D465" s="116">
        <v>1039</v>
      </c>
      <c r="E465" s="116">
        <v>1066.2</v>
      </c>
      <c r="F465" s="116">
        <v>1071.45</v>
      </c>
      <c r="G465">
        <v>3480</v>
      </c>
      <c r="H465" s="116"/>
      <c r="I465" s="116"/>
      <c r="L465" s="170">
        <v>42689</v>
      </c>
      <c r="M465" s="116">
        <v>1071.55</v>
      </c>
      <c r="N465" s="116">
        <v>1082.45</v>
      </c>
      <c r="O465" s="116">
        <v>1036.5999999999999</v>
      </c>
      <c r="P465" s="116">
        <v>1073</v>
      </c>
      <c r="Q465" s="116">
        <v>1071.55</v>
      </c>
      <c r="R465">
        <v>26397</v>
      </c>
    </row>
    <row r="466" spans="1:18" x14ac:dyDescent="0.25">
      <c r="A466" s="170">
        <v>42690</v>
      </c>
      <c r="B466" s="116">
        <v>1093</v>
      </c>
      <c r="C466" s="116">
        <v>1050.1500000000001</v>
      </c>
      <c r="D466" s="116">
        <v>1041.95</v>
      </c>
      <c r="E466" s="116">
        <v>1088.1500000000001</v>
      </c>
      <c r="F466" s="116">
        <v>1050.1500000000001</v>
      </c>
      <c r="G466">
        <v>6837</v>
      </c>
      <c r="H466" s="116"/>
      <c r="I466" s="116"/>
      <c r="L466" s="170">
        <v>42690</v>
      </c>
      <c r="M466" s="116">
        <v>1054.25</v>
      </c>
      <c r="N466" s="116">
        <v>1095</v>
      </c>
      <c r="O466" s="116">
        <v>1042</v>
      </c>
      <c r="P466" s="116">
        <v>1085</v>
      </c>
      <c r="Q466" s="116">
        <v>1054.25</v>
      </c>
      <c r="R466">
        <v>51804</v>
      </c>
    </row>
    <row r="467" spans="1:18" x14ac:dyDescent="0.25">
      <c r="A467" s="170">
        <v>42691</v>
      </c>
      <c r="B467" s="116">
        <v>1067</v>
      </c>
      <c r="C467" s="116">
        <v>1051.5</v>
      </c>
      <c r="D467" s="116">
        <v>1043.3</v>
      </c>
      <c r="E467" s="116">
        <v>1060</v>
      </c>
      <c r="F467" s="116">
        <v>1051.5</v>
      </c>
      <c r="G467">
        <v>1629</v>
      </c>
      <c r="H467" s="116"/>
      <c r="I467" s="116"/>
      <c r="L467" s="170">
        <v>42691</v>
      </c>
      <c r="M467" s="116">
        <v>1053.0999999999999</v>
      </c>
      <c r="N467" s="116">
        <v>1083.5999999999999</v>
      </c>
      <c r="O467" s="116">
        <v>1041.1500000000001</v>
      </c>
      <c r="P467" s="116">
        <v>1060</v>
      </c>
      <c r="Q467" s="116">
        <v>1053.0999999999999</v>
      </c>
      <c r="R467">
        <v>24663</v>
      </c>
    </row>
    <row r="468" spans="1:18" x14ac:dyDescent="0.25">
      <c r="A468" s="170">
        <v>42692</v>
      </c>
      <c r="B468" s="116">
        <v>1055</v>
      </c>
      <c r="C468" s="116">
        <v>1046.05</v>
      </c>
      <c r="D468" s="116">
        <v>1039</v>
      </c>
      <c r="E468" s="116">
        <v>1051</v>
      </c>
      <c r="F468" s="116">
        <v>1046.05</v>
      </c>
      <c r="G468">
        <v>3993</v>
      </c>
      <c r="H468" s="116"/>
      <c r="I468" s="116"/>
      <c r="L468" s="170">
        <v>42692</v>
      </c>
      <c r="M468" s="116">
        <v>1053.2</v>
      </c>
      <c r="N468" s="116">
        <v>1063.95</v>
      </c>
      <c r="O468" s="116">
        <v>1043.95</v>
      </c>
      <c r="P468" s="116">
        <v>1063.9000000000001</v>
      </c>
      <c r="Q468" s="116">
        <v>1053.2</v>
      </c>
      <c r="R468">
        <v>19622</v>
      </c>
    </row>
    <row r="469" spans="1:18" x14ac:dyDescent="0.25">
      <c r="A469" s="170">
        <v>42695</v>
      </c>
      <c r="B469" s="116">
        <v>1052</v>
      </c>
      <c r="C469" s="116">
        <v>1045.75</v>
      </c>
      <c r="D469" s="116">
        <v>1036.5</v>
      </c>
      <c r="E469" s="116">
        <v>1051</v>
      </c>
      <c r="F469" s="116">
        <v>1045.75</v>
      </c>
      <c r="G469">
        <v>2173</v>
      </c>
      <c r="H469" s="116"/>
      <c r="I469" s="116"/>
      <c r="L469" s="170">
        <v>42695</v>
      </c>
      <c r="M469" s="116">
        <v>1049.5999999999999</v>
      </c>
      <c r="N469" s="116">
        <v>1056</v>
      </c>
      <c r="O469" s="116">
        <v>1036.05</v>
      </c>
      <c r="P469" s="116">
        <v>1048.5</v>
      </c>
      <c r="Q469" s="116">
        <v>1049.5999999999999</v>
      </c>
      <c r="R469">
        <v>19116</v>
      </c>
    </row>
    <row r="470" spans="1:18" x14ac:dyDescent="0.25">
      <c r="A470" s="170">
        <v>42696</v>
      </c>
      <c r="B470" s="116">
        <v>1079.7</v>
      </c>
      <c r="C470" s="116">
        <v>1065</v>
      </c>
      <c r="D470" s="116">
        <v>1043.25</v>
      </c>
      <c r="E470" s="116">
        <v>1055</v>
      </c>
      <c r="F470" s="116">
        <v>1065</v>
      </c>
      <c r="G470">
        <v>2952</v>
      </c>
      <c r="H470" s="116"/>
      <c r="I470" s="116"/>
      <c r="L470" s="170">
        <v>42696</v>
      </c>
      <c r="M470" s="116">
        <v>1069.3499999999999</v>
      </c>
      <c r="N470" s="116">
        <v>1082.05</v>
      </c>
      <c r="O470" s="116">
        <v>1040.2</v>
      </c>
      <c r="P470" s="116">
        <v>1047.5</v>
      </c>
      <c r="Q470" s="116">
        <v>1069.3499999999999</v>
      </c>
      <c r="R470">
        <v>16696</v>
      </c>
    </row>
    <row r="471" spans="1:18" x14ac:dyDescent="0.25">
      <c r="A471" s="170">
        <v>42697</v>
      </c>
      <c r="B471" s="116">
        <v>1075</v>
      </c>
      <c r="C471" s="116">
        <v>1062.55</v>
      </c>
      <c r="D471" s="116">
        <v>1055.3</v>
      </c>
      <c r="E471" s="116">
        <v>1075</v>
      </c>
      <c r="F471" s="116">
        <v>1062.55</v>
      </c>
      <c r="G471">
        <v>3869</v>
      </c>
      <c r="H471" s="116"/>
      <c r="I471" s="116"/>
      <c r="L471" s="170">
        <v>42697</v>
      </c>
      <c r="M471" s="116">
        <v>1064.9000000000001</v>
      </c>
      <c r="N471" s="116">
        <v>1078.95</v>
      </c>
      <c r="O471" s="116">
        <v>1057</v>
      </c>
      <c r="P471" s="116">
        <v>1069.3499999999999</v>
      </c>
      <c r="Q471" s="116">
        <v>1064.9000000000001</v>
      </c>
      <c r="R471">
        <v>19028</v>
      </c>
    </row>
    <row r="472" spans="1:18" x14ac:dyDescent="0.25">
      <c r="A472" s="170">
        <v>42698</v>
      </c>
      <c r="B472" s="116">
        <v>1065</v>
      </c>
      <c r="C472" s="116">
        <v>1055.75</v>
      </c>
      <c r="D472" s="116">
        <v>1052.0999999999999</v>
      </c>
      <c r="E472" s="116">
        <v>1056.8499999999999</v>
      </c>
      <c r="F472" s="116">
        <v>1055.75</v>
      </c>
      <c r="G472">
        <v>2509</v>
      </c>
      <c r="H472" s="116"/>
      <c r="I472" s="116"/>
      <c r="L472" s="170">
        <v>42698</v>
      </c>
      <c r="M472" s="116">
        <v>1055.7</v>
      </c>
      <c r="N472" s="116">
        <v>1067</v>
      </c>
      <c r="O472" s="116">
        <v>1051</v>
      </c>
      <c r="P472" s="116">
        <v>1060.05</v>
      </c>
      <c r="Q472" s="116">
        <v>1055.7</v>
      </c>
      <c r="R472">
        <v>13565</v>
      </c>
    </row>
    <row r="473" spans="1:18" x14ac:dyDescent="0.25">
      <c r="A473" s="170">
        <v>42699</v>
      </c>
      <c r="B473" s="116">
        <v>1065.2</v>
      </c>
      <c r="C473" s="116">
        <v>1057.4000000000001</v>
      </c>
      <c r="D473" s="116">
        <v>1054</v>
      </c>
      <c r="E473" s="116">
        <v>1060</v>
      </c>
      <c r="F473" s="116">
        <v>1057.4000000000001</v>
      </c>
      <c r="G473">
        <v>2318</v>
      </c>
      <c r="H473" s="116"/>
      <c r="I473" s="116"/>
      <c r="L473" s="170">
        <v>42699</v>
      </c>
      <c r="M473" s="116">
        <v>1060.5</v>
      </c>
      <c r="N473" s="116">
        <v>1065.95</v>
      </c>
      <c r="O473" s="116">
        <v>1054.3</v>
      </c>
      <c r="P473" s="116">
        <v>1055</v>
      </c>
      <c r="Q473" s="116">
        <v>1060.5</v>
      </c>
      <c r="R473">
        <v>15700</v>
      </c>
    </row>
    <row r="474" spans="1:18" x14ac:dyDescent="0.25">
      <c r="A474" s="170">
        <v>42702</v>
      </c>
      <c r="B474" s="116">
        <v>1069.95</v>
      </c>
      <c r="C474" s="116">
        <v>1059.5999999999999</v>
      </c>
      <c r="D474" s="116">
        <v>1056.8</v>
      </c>
      <c r="E474" s="116">
        <v>1069.95</v>
      </c>
      <c r="F474" s="116">
        <v>1059.5999999999999</v>
      </c>
      <c r="G474">
        <v>568</v>
      </c>
      <c r="H474" s="116"/>
      <c r="I474" s="116"/>
      <c r="L474" s="170">
        <v>42702</v>
      </c>
      <c r="M474" s="116">
        <v>1060.2</v>
      </c>
      <c r="N474" s="116">
        <v>1069</v>
      </c>
      <c r="O474" s="116">
        <v>1058</v>
      </c>
      <c r="P474" s="116">
        <v>1065</v>
      </c>
      <c r="Q474" s="116">
        <v>1060.2</v>
      </c>
      <c r="R474">
        <v>31898</v>
      </c>
    </row>
    <row r="475" spans="1:18" x14ac:dyDescent="0.25">
      <c r="A475" s="170">
        <v>42703</v>
      </c>
      <c r="B475" s="116">
        <v>1065</v>
      </c>
      <c r="C475" s="116">
        <v>1055.5999999999999</v>
      </c>
      <c r="D475" s="116">
        <v>1051.05</v>
      </c>
      <c r="E475" s="116">
        <v>1063.4000000000001</v>
      </c>
      <c r="F475" s="116">
        <v>1055.5999999999999</v>
      </c>
      <c r="G475">
        <v>1672</v>
      </c>
      <c r="H475" s="116"/>
      <c r="I475" s="116"/>
      <c r="L475" s="170">
        <v>42703</v>
      </c>
      <c r="M475" s="116">
        <v>1051.5</v>
      </c>
      <c r="N475" s="116">
        <v>1069</v>
      </c>
      <c r="O475" s="116">
        <v>1049.5999999999999</v>
      </c>
      <c r="P475" s="116">
        <v>1060.3</v>
      </c>
      <c r="Q475" s="116">
        <v>1051.5</v>
      </c>
      <c r="R475">
        <v>32679</v>
      </c>
    </row>
    <row r="476" spans="1:18" x14ac:dyDescent="0.25">
      <c r="A476" s="170">
        <v>42704</v>
      </c>
      <c r="B476" s="116">
        <v>1063</v>
      </c>
      <c r="C476" s="116">
        <v>1060.2</v>
      </c>
      <c r="D476" s="116">
        <v>1051.2</v>
      </c>
      <c r="E476" s="116">
        <v>1053.05</v>
      </c>
      <c r="F476" s="116">
        <v>1060.2</v>
      </c>
      <c r="G476">
        <v>1379</v>
      </c>
      <c r="H476" s="116"/>
      <c r="I476" s="116"/>
      <c r="L476" s="170">
        <v>42704</v>
      </c>
      <c r="M476" s="116">
        <v>1061.0999999999999</v>
      </c>
      <c r="N476" s="116">
        <v>1063</v>
      </c>
      <c r="O476" s="116">
        <v>1051</v>
      </c>
      <c r="P476" s="116">
        <v>1055.05</v>
      </c>
      <c r="Q476" s="116">
        <v>1061.0999999999999</v>
      </c>
      <c r="R476">
        <v>21135</v>
      </c>
    </row>
    <row r="477" spans="1:18" x14ac:dyDescent="0.25">
      <c r="A477" s="170">
        <v>42705</v>
      </c>
      <c r="B477" s="116">
        <v>1061.1500000000001</v>
      </c>
      <c r="C477" s="116">
        <v>1055.55</v>
      </c>
      <c r="D477" s="116">
        <v>1050.05</v>
      </c>
      <c r="E477" s="116">
        <v>1058.8</v>
      </c>
      <c r="F477" s="116">
        <v>1055.55</v>
      </c>
      <c r="G477">
        <v>1117</v>
      </c>
      <c r="H477" s="116"/>
      <c r="I477" s="116"/>
      <c r="L477" s="170">
        <v>42705</v>
      </c>
      <c r="M477" s="116">
        <v>1052.5</v>
      </c>
      <c r="N477" s="116">
        <v>1061.0999999999999</v>
      </c>
      <c r="O477" s="116">
        <v>1049.7</v>
      </c>
      <c r="P477" s="116">
        <v>1059.8499999999999</v>
      </c>
      <c r="Q477" s="116">
        <v>1052.5</v>
      </c>
      <c r="R477">
        <v>25367</v>
      </c>
    </row>
    <row r="478" spans="1:18" x14ac:dyDescent="0.25">
      <c r="A478" s="170">
        <v>42706</v>
      </c>
      <c r="B478" s="116">
        <v>1058</v>
      </c>
      <c r="C478" s="116">
        <v>1051.95</v>
      </c>
      <c r="D478" s="116">
        <v>1050</v>
      </c>
      <c r="E478" s="116">
        <v>1057</v>
      </c>
      <c r="F478" s="116">
        <v>1051.95</v>
      </c>
      <c r="G478">
        <v>1123</v>
      </c>
      <c r="H478" s="116"/>
      <c r="I478" s="116"/>
      <c r="L478" s="170">
        <v>42706</v>
      </c>
      <c r="M478" s="116">
        <v>1049.7</v>
      </c>
      <c r="N478" s="116">
        <v>1059.95</v>
      </c>
      <c r="O478" s="116">
        <v>1045.0999999999999</v>
      </c>
      <c r="P478" s="116">
        <v>1059.95</v>
      </c>
      <c r="Q478" s="116">
        <v>1049.7</v>
      </c>
      <c r="R478">
        <v>18599</v>
      </c>
    </row>
    <row r="479" spans="1:18" x14ac:dyDescent="0.25">
      <c r="A479" s="170">
        <v>42709</v>
      </c>
      <c r="B479" s="116">
        <v>1074</v>
      </c>
      <c r="C479" s="116">
        <v>1044.05</v>
      </c>
      <c r="D479" s="116">
        <v>1040.55</v>
      </c>
      <c r="E479" s="116">
        <v>1074</v>
      </c>
      <c r="F479" s="116">
        <v>1044.05</v>
      </c>
      <c r="G479">
        <v>1367</v>
      </c>
      <c r="H479" s="116"/>
      <c r="I479" s="116"/>
      <c r="L479" s="170">
        <v>42709</v>
      </c>
      <c r="M479" s="116">
        <v>1042.8</v>
      </c>
      <c r="N479" s="116">
        <v>1053.45</v>
      </c>
      <c r="O479" s="116">
        <v>1038.5</v>
      </c>
      <c r="P479" s="116">
        <v>1041.1500000000001</v>
      </c>
      <c r="Q479" s="116">
        <v>1042.8</v>
      </c>
      <c r="R479">
        <v>104253</v>
      </c>
    </row>
    <row r="480" spans="1:18" x14ac:dyDescent="0.25">
      <c r="A480" s="170">
        <v>42710</v>
      </c>
      <c r="B480" s="116">
        <v>1054.4000000000001</v>
      </c>
      <c r="C480" s="116">
        <v>1050.4000000000001</v>
      </c>
      <c r="D480" s="116">
        <v>1046.9000000000001</v>
      </c>
      <c r="E480" s="116">
        <v>1047.5999999999999</v>
      </c>
      <c r="F480" s="116">
        <v>1050.4000000000001</v>
      </c>
      <c r="G480">
        <v>542</v>
      </c>
      <c r="H480" s="116"/>
      <c r="I480" s="116"/>
      <c r="L480" s="170">
        <v>42710</v>
      </c>
      <c r="M480" s="116">
        <v>1049.25</v>
      </c>
      <c r="N480" s="116">
        <v>1059.8</v>
      </c>
      <c r="O480" s="116">
        <v>1042</v>
      </c>
      <c r="P480" s="116">
        <v>1059.75</v>
      </c>
      <c r="Q480" s="116">
        <v>1049.25</v>
      </c>
      <c r="R480">
        <v>10321</v>
      </c>
    </row>
    <row r="481" spans="1:18" x14ac:dyDescent="0.25">
      <c r="A481" s="170">
        <v>42711</v>
      </c>
      <c r="B481" s="116">
        <v>1052.3</v>
      </c>
      <c r="C481" s="116">
        <v>1048.45</v>
      </c>
      <c r="D481" s="116">
        <v>1045</v>
      </c>
      <c r="E481" s="116">
        <v>1046.05</v>
      </c>
      <c r="F481" s="116">
        <v>1048.45</v>
      </c>
      <c r="G481">
        <v>1740</v>
      </c>
      <c r="H481" s="116"/>
      <c r="I481" s="116"/>
      <c r="L481" s="170">
        <v>42711</v>
      </c>
      <c r="M481" s="116">
        <v>1042.75</v>
      </c>
      <c r="N481" s="116">
        <v>1051.95</v>
      </c>
      <c r="O481" s="116">
        <v>1037</v>
      </c>
      <c r="P481" s="116">
        <v>1049.3</v>
      </c>
      <c r="Q481" s="116">
        <v>1042.75</v>
      </c>
      <c r="R481">
        <v>14878</v>
      </c>
    </row>
    <row r="482" spans="1:18" x14ac:dyDescent="0.25">
      <c r="A482" s="170">
        <v>42712</v>
      </c>
      <c r="B482" s="116">
        <v>1058.45</v>
      </c>
      <c r="C482" s="116">
        <v>1056.55</v>
      </c>
      <c r="D482" s="116">
        <v>1042.75</v>
      </c>
      <c r="E482" s="116">
        <v>1042.75</v>
      </c>
      <c r="F482" s="116">
        <v>1056.55</v>
      </c>
      <c r="G482">
        <v>1213</v>
      </c>
      <c r="H482" s="116"/>
      <c r="I482" s="116"/>
      <c r="L482" s="170">
        <v>42712</v>
      </c>
      <c r="M482" s="116">
        <v>1052.0999999999999</v>
      </c>
      <c r="N482" s="116">
        <v>1059.7</v>
      </c>
      <c r="O482" s="116">
        <v>1045</v>
      </c>
      <c r="P482" s="116">
        <v>1045</v>
      </c>
      <c r="Q482" s="116">
        <v>1052.0999999999999</v>
      </c>
      <c r="R482">
        <v>12565</v>
      </c>
    </row>
    <row r="483" spans="1:18" x14ac:dyDescent="0.25">
      <c r="A483" s="170">
        <v>42713</v>
      </c>
      <c r="B483" s="116">
        <v>1080</v>
      </c>
      <c r="C483" s="116">
        <v>1056.0999999999999</v>
      </c>
      <c r="D483" s="116">
        <v>1050</v>
      </c>
      <c r="E483" s="116">
        <v>1050.0999999999999</v>
      </c>
      <c r="F483" s="116">
        <v>1056.0999999999999</v>
      </c>
      <c r="G483">
        <v>1288</v>
      </c>
      <c r="H483" s="116"/>
      <c r="I483" s="116"/>
      <c r="L483" s="170">
        <v>42713</v>
      </c>
      <c r="M483" s="116">
        <v>1049.8499999999999</v>
      </c>
      <c r="N483" s="116">
        <v>1056.95</v>
      </c>
      <c r="O483" s="116">
        <v>1047</v>
      </c>
      <c r="P483" s="116">
        <v>1051.9000000000001</v>
      </c>
      <c r="Q483" s="116">
        <v>1049.8499999999999</v>
      </c>
      <c r="R483">
        <v>18592</v>
      </c>
    </row>
    <row r="484" spans="1:18" x14ac:dyDescent="0.25">
      <c r="A484" s="170">
        <v>42716</v>
      </c>
      <c r="B484" s="116">
        <v>1055</v>
      </c>
      <c r="C484" s="116">
        <v>1051.45</v>
      </c>
      <c r="D484" s="116">
        <v>1041.0999999999999</v>
      </c>
      <c r="E484" s="116">
        <v>1049</v>
      </c>
      <c r="F484" s="116">
        <v>1051.45</v>
      </c>
      <c r="G484">
        <v>1281</v>
      </c>
      <c r="H484" s="116"/>
      <c r="I484" s="116"/>
      <c r="L484" s="170">
        <v>42716</v>
      </c>
      <c r="M484" s="116">
        <v>1049.25</v>
      </c>
      <c r="N484" s="116">
        <v>1054.45</v>
      </c>
      <c r="O484" s="116">
        <v>1026.6500000000001</v>
      </c>
      <c r="P484" s="116">
        <v>1047</v>
      </c>
      <c r="Q484" s="116">
        <v>1049.25</v>
      </c>
      <c r="R484">
        <v>8101</v>
      </c>
    </row>
    <row r="485" spans="1:18" x14ac:dyDescent="0.25">
      <c r="A485" s="170">
        <v>42717</v>
      </c>
      <c r="B485" s="116">
        <v>1050.55</v>
      </c>
      <c r="C485" s="116">
        <v>1046.7</v>
      </c>
      <c r="D485" s="116">
        <v>1045</v>
      </c>
      <c r="E485" s="116">
        <v>1046.5</v>
      </c>
      <c r="F485" s="116">
        <v>1046.7</v>
      </c>
      <c r="G485">
        <v>1573</v>
      </c>
      <c r="H485" s="116"/>
      <c r="I485" s="116"/>
      <c r="L485" s="170">
        <v>42717</v>
      </c>
      <c r="M485" s="116">
        <v>1050.2</v>
      </c>
      <c r="N485" s="116">
        <v>1052</v>
      </c>
      <c r="O485" s="116">
        <v>1046</v>
      </c>
      <c r="P485" s="116">
        <v>1049.25</v>
      </c>
      <c r="Q485" s="116">
        <v>1050.2</v>
      </c>
      <c r="R485">
        <v>7076</v>
      </c>
    </row>
    <row r="486" spans="1:18" x14ac:dyDescent="0.25">
      <c r="A486" s="170">
        <v>42718</v>
      </c>
      <c r="B486" s="116">
        <v>1052.4000000000001</v>
      </c>
      <c r="C486" s="116">
        <v>1046.5999999999999</v>
      </c>
      <c r="D486" s="116">
        <v>1043</v>
      </c>
      <c r="E486" s="116">
        <v>1048.5</v>
      </c>
      <c r="F486" s="116">
        <v>1046.5999999999999</v>
      </c>
      <c r="G486">
        <v>787</v>
      </c>
      <c r="H486" s="116"/>
      <c r="I486" s="116"/>
      <c r="L486" s="170">
        <v>42718</v>
      </c>
      <c r="M486" s="116">
        <v>1047.5999999999999</v>
      </c>
      <c r="N486" s="116">
        <v>1055.05</v>
      </c>
      <c r="O486" s="116">
        <v>1042.5999999999999</v>
      </c>
      <c r="P486" s="116">
        <v>1055.05</v>
      </c>
      <c r="Q486" s="116">
        <v>1047.5999999999999</v>
      </c>
      <c r="R486">
        <v>4568</v>
      </c>
    </row>
    <row r="487" spans="1:18" x14ac:dyDescent="0.25">
      <c r="A487" s="170">
        <v>42719</v>
      </c>
      <c r="B487" s="116">
        <v>1057.9000000000001</v>
      </c>
      <c r="C487" s="116">
        <v>1051.75</v>
      </c>
      <c r="D487" s="116">
        <v>1046.0999999999999</v>
      </c>
      <c r="E487" s="116">
        <v>1048.7</v>
      </c>
      <c r="F487" s="116">
        <v>1051.75</v>
      </c>
      <c r="G487">
        <v>1939</v>
      </c>
      <c r="H487" s="116"/>
      <c r="I487" s="116"/>
      <c r="L487" s="170">
        <v>42719</v>
      </c>
      <c r="M487" s="116">
        <v>1050.6500000000001</v>
      </c>
      <c r="N487" s="116">
        <v>1054.7</v>
      </c>
      <c r="O487" s="116">
        <v>1042.5999999999999</v>
      </c>
      <c r="P487" s="116">
        <v>1054.7</v>
      </c>
      <c r="Q487" s="116">
        <v>1050.6500000000001</v>
      </c>
      <c r="R487">
        <v>8666</v>
      </c>
    </row>
    <row r="488" spans="1:18" x14ac:dyDescent="0.25">
      <c r="A488" s="170">
        <v>42720</v>
      </c>
      <c r="B488" s="116">
        <v>1072</v>
      </c>
      <c r="C488" s="116">
        <v>1058.4000000000001</v>
      </c>
      <c r="D488" s="116">
        <v>1046.95</v>
      </c>
      <c r="E488" s="116">
        <v>1053</v>
      </c>
      <c r="F488" s="116">
        <v>1058.4000000000001</v>
      </c>
      <c r="G488">
        <v>2891</v>
      </c>
      <c r="H488" s="116"/>
      <c r="I488" s="116"/>
      <c r="L488" s="170">
        <v>42720</v>
      </c>
      <c r="M488" s="116">
        <v>1065.5999999999999</v>
      </c>
      <c r="N488" s="116">
        <v>1080</v>
      </c>
      <c r="O488" s="116">
        <v>1043.25</v>
      </c>
      <c r="P488" s="116">
        <v>1050.55</v>
      </c>
      <c r="Q488" s="116">
        <v>1065.5999999999999</v>
      </c>
      <c r="R488">
        <v>24233</v>
      </c>
    </row>
    <row r="489" spans="1:18" x14ac:dyDescent="0.25">
      <c r="A489" s="170">
        <v>42723</v>
      </c>
      <c r="B489" s="116">
        <v>1063.7</v>
      </c>
      <c r="C489" s="116">
        <v>1048.4000000000001</v>
      </c>
      <c r="D489" s="116">
        <v>1041.95</v>
      </c>
      <c r="E489" s="116">
        <v>1061.7</v>
      </c>
      <c r="F489" s="116">
        <v>1048.4000000000001</v>
      </c>
      <c r="G489">
        <v>2054</v>
      </c>
      <c r="H489" s="116"/>
      <c r="I489" s="116"/>
      <c r="L489" s="170">
        <v>42723</v>
      </c>
      <c r="M489" s="116">
        <v>1051.45</v>
      </c>
      <c r="N489" s="116">
        <v>1067</v>
      </c>
      <c r="O489" s="116">
        <v>1046.2</v>
      </c>
      <c r="P489" s="116">
        <v>1067</v>
      </c>
      <c r="Q489" s="116">
        <v>1051.45</v>
      </c>
      <c r="R489">
        <v>9216</v>
      </c>
    </row>
    <row r="490" spans="1:18" x14ac:dyDescent="0.25">
      <c r="A490" s="170">
        <v>42724</v>
      </c>
      <c r="B490" s="116">
        <v>1058</v>
      </c>
      <c r="C490" s="116">
        <v>1050</v>
      </c>
      <c r="D490" s="116">
        <v>1042.9000000000001</v>
      </c>
      <c r="E490" s="116">
        <v>1046.75</v>
      </c>
      <c r="F490" s="116">
        <v>1050</v>
      </c>
      <c r="G490">
        <v>954</v>
      </c>
      <c r="H490" s="116"/>
      <c r="I490" s="116"/>
      <c r="L490" s="170">
        <v>42724</v>
      </c>
      <c r="M490" s="116">
        <v>1051.95</v>
      </c>
      <c r="N490" s="116">
        <v>1060</v>
      </c>
      <c r="O490" s="116">
        <v>1043</v>
      </c>
      <c r="P490" s="116">
        <v>1059.95</v>
      </c>
      <c r="Q490" s="116">
        <v>1051.95</v>
      </c>
      <c r="R490">
        <v>9563</v>
      </c>
    </row>
    <row r="491" spans="1:18" x14ac:dyDescent="0.25">
      <c r="A491" s="170">
        <v>42725</v>
      </c>
      <c r="B491" s="116">
        <v>1057.2</v>
      </c>
      <c r="C491" s="116">
        <v>1042.0999999999999</v>
      </c>
      <c r="D491" s="116">
        <v>1037.0999999999999</v>
      </c>
      <c r="E491" s="116">
        <v>1057.2</v>
      </c>
      <c r="F491" s="116">
        <v>1042.0999999999999</v>
      </c>
      <c r="G491">
        <v>537</v>
      </c>
      <c r="H491" s="116"/>
      <c r="I491" s="116"/>
      <c r="L491" s="170">
        <v>42725</v>
      </c>
      <c r="M491" s="116">
        <v>1043.2</v>
      </c>
      <c r="N491" s="116">
        <v>1055.95</v>
      </c>
      <c r="O491" s="116">
        <v>1040.5</v>
      </c>
      <c r="P491" s="116">
        <v>1050.05</v>
      </c>
      <c r="Q491" s="116">
        <v>1043.2</v>
      </c>
      <c r="R491">
        <v>5728</v>
      </c>
    </row>
    <row r="492" spans="1:18" x14ac:dyDescent="0.25">
      <c r="A492" s="170">
        <v>42726</v>
      </c>
      <c r="B492" s="116">
        <v>1052</v>
      </c>
      <c r="C492" s="116">
        <v>1029.25</v>
      </c>
      <c r="D492" s="116">
        <v>1025.25</v>
      </c>
      <c r="E492" s="116">
        <v>1046.5999999999999</v>
      </c>
      <c r="F492" s="116">
        <v>1029.25</v>
      </c>
      <c r="G492">
        <v>889</v>
      </c>
      <c r="H492" s="116"/>
      <c r="I492" s="116"/>
      <c r="L492" s="170">
        <v>42726</v>
      </c>
      <c r="M492" s="116">
        <v>1029.8499999999999</v>
      </c>
      <c r="N492" s="116">
        <v>1045.95</v>
      </c>
      <c r="O492" s="116">
        <v>1026.05</v>
      </c>
      <c r="P492" s="116">
        <v>1043.2</v>
      </c>
      <c r="Q492" s="116">
        <v>1029.8499999999999</v>
      </c>
      <c r="R492">
        <v>9896</v>
      </c>
    </row>
    <row r="493" spans="1:18" x14ac:dyDescent="0.25">
      <c r="A493" s="170">
        <v>42727</v>
      </c>
      <c r="B493" s="116">
        <v>1040</v>
      </c>
      <c r="C493" s="116">
        <v>1024</v>
      </c>
      <c r="D493" s="116">
        <v>1021.25</v>
      </c>
      <c r="E493" s="116">
        <v>1030</v>
      </c>
      <c r="F493" s="116">
        <v>1024</v>
      </c>
      <c r="G493">
        <v>1583</v>
      </c>
      <c r="H493" s="116"/>
      <c r="I493" s="116"/>
      <c r="L493" s="170">
        <v>42727</v>
      </c>
      <c r="M493" s="116">
        <v>1026.4000000000001</v>
      </c>
      <c r="N493" s="116">
        <v>1040</v>
      </c>
      <c r="O493" s="116">
        <v>1021</v>
      </c>
      <c r="P493" s="116">
        <v>1038</v>
      </c>
      <c r="Q493" s="116">
        <v>1026.4000000000001</v>
      </c>
      <c r="R493">
        <v>7445</v>
      </c>
    </row>
    <row r="494" spans="1:18" x14ac:dyDescent="0.25">
      <c r="A494" s="170">
        <v>42730</v>
      </c>
      <c r="B494" s="116">
        <v>1035</v>
      </c>
      <c r="C494" s="116">
        <v>1030.2</v>
      </c>
      <c r="D494" s="116">
        <v>1017.2</v>
      </c>
      <c r="E494" s="116">
        <v>1024</v>
      </c>
      <c r="F494" s="116">
        <v>1030.2</v>
      </c>
      <c r="G494">
        <v>1498</v>
      </c>
      <c r="H494" s="116"/>
      <c r="I494" s="116"/>
      <c r="L494" s="170">
        <v>42730</v>
      </c>
      <c r="M494" s="116">
        <v>1031.8499999999999</v>
      </c>
      <c r="N494" s="116">
        <v>1039</v>
      </c>
      <c r="O494" s="116">
        <v>1017.55</v>
      </c>
      <c r="P494" s="116">
        <v>1028</v>
      </c>
      <c r="Q494" s="116">
        <v>1031.8499999999999</v>
      </c>
      <c r="R494">
        <v>19076</v>
      </c>
    </row>
    <row r="495" spans="1:18" x14ac:dyDescent="0.25">
      <c r="A495" s="170">
        <v>42731</v>
      </c>
      <c r="B495" s="116">
        <v>1044.2</v>
      </c>
      <c r="C495" s="116">
        <v>1030.3499999999999</v>
      </c>
      <c r="D495" s="116">
        <v>1022.6</v>
      </c>
      <c r="E495" s="116">
        <v>1030</v>
      </c>
      <c r="F495" s="116">
        <v>1030.3499999999999</v>
      </c>
      <c r="G495">
        <v>1874</v>
      </c>
      <c r="H495" s="116"/>
      <c r="I495" s="116"/>
      <c r="L495" s="170">
        <v>42731</v>
      </c>
      <c r="M495" s="116">
        <v>1034.5999999999999</v>
      </c>
      <c r="N495" s="116">
        <v>1045</v>
      </c>
      <c r="O495" s="116">
        <v>1020</v>
      </c>
      <c r="P495" s="116">
        <v>1034.05</v>
      </c>
      <c r="Q495" s="116">
        <v>1034.5999999999999</v>
      </c>
      <c r="R495">
        <v>9847</v>
      </c>
    </row>
    <row r="496" spans="1:18" x14ac:dyDescent="0.25">
      <c r="A496" s="170">
        <v>42732</v>
      </c>
      <c r="B496" s="116">
        <v>1043</v>
      </c>
      <c r="C496" s="116">
        <v>1034.9000000000001</v>
      </c>
      <c r="D496" s="116">
        <v>1026.75</v>
      </c>
      <c r="E496" s="116">
        <v>1038.55</v>
      </c>
      <c r="F496" s="116">
        <v>1034.9000000000001</v>
      </c>
      <c r="G496">
        <v>2518</v>
      </c>
      <c r="H496" s="116"/>
      <c r="I496" s="116"/>
      <c r="L496" s="170">
        <v>42732</v>
      </c>
      <c r="M496" s="116">
        <v>1031.75</v>
      </c>
      <c r="N496" s="116">
        <v>1046</v>
      </c>
      <c r="O496" s="116">
        <v>1026</v>
      </c>
      <c r="P496" s="116">
        <v>1046</v>
      </c>
      <c r="Q496" s="116">
        <v>1031.75</v>
      </c>
      <c r="R496">
        <v>11908</v>
      </c>
    </row>
    <row r="497" spans="1:18" x14ac:dyDescent="0.25">
      <c r="A497" s="170">
        <v>42733</v>
      </c>
      <c r="B497" s="116">
        <v>1038.8499999999999</v>
      </c>
      <c r="C497" s="116">
        <v>1032.3</v>
      </c>
      <c r="D497" s="116">
        <v>1026</v>
      </c>
      <c r="E497" s="116">
        <v>1038.8499999999999</v>
      </c>
      <c r="F497" s="116">
        <v>1032.3</v>
      </c>
      <c r="G497">
        <v>1592</v>
      </c>
      <c r="H497" s="116"/>
      <c r="I497" s="116"/>
      <c r="L497" s="170">
        <v>42733</v>
      </c>
      <c r="M497" s="116">
        <v>1028.05</v>
      </c>
      <c r="N497" s="116">
        <v>1042.8</v>
      </c>
      <c r="O497" s="116">
        <v>1022</v>
      </c>
      <c r="P497" s="116">
        <v>1042.8</v>
      </c>
      <c r="Q497" s="116">
        <v>1028.05</v>
      </c>
      <c r="R497">
        <v>19096</v>
      </c>
    </row>
    <row r="498" spans="1:18" x14ac:dyDescent="0.25">
      <c r="A498" s="170">
        <v>42734</v>
      </c>
      <c r="B498" s="116">
        <v>1046</v>
      </c>
      <c r="C498" s="116">
        <v>1039.0999999999999</v>
      </c>
      <c r="D498" s="116">
        <v>1033.4000000000001</v>
      </c>
      <c r="E498" s="116">
        <v>1033.4000000000001</v>
      </c>
      <c r="F498" s="116">
        <v>1039.0999999999999</v>
      </c>
      <c r="G498">
        <v>1588</v>
      </c>
      <c r="H498" s="116"/>
      <c r="I498" s="116"/>
      <c r="L498" s="170">
        <v>42734</v>
      </c>
      <c r="M498" s="116">
        <v>1043.75</v>
      </c>
      <c r="N498" s="116">
        <v>1050</v>
      </c>
      <c r="O498" s="116">
        <v>1030.0999999999999</v>
      </c>
      <c r="P498" s="116">
        <v>1032.05</v>
      </c>
      <c r="Q498" s="116">
        <v>1043.75</v>
      </c>
      <c r="R498">
        <v>9832</v>
      </c>
    </row>
    <row r="499" spans="1:18" x14ac:dyDescent="0.25">
      <c r="A499" s="170">
        <v>42737</v>
      </c>
      <c r="B499" s="116">
        <v>1052</v>
      </c>
      <c r="C499" s="116">
        <v>1039.95</v>
      </c>
      <c r="D499" s="116">
        <v>1035</v>
      </c>
      <c r="E499" s="116">
        <v>1045</v>
      </c>
      <c r="F499" s="116">
        <v>1039.95</v>
      </c>
      <c r="G499">
        <v>3307</v>
      </c>
      <c r="H499" s="116"/>
      <c r="I499" s="116"/>
      <c r="L499" s="170">
        <v>42737</v>
      </c>
      <c r="M499" s="116">
        <v>1036.9000000000001</v>
      </c>
      <c r="N499" s="116">
        <v>1056.8</v>
      </c>
      <c r="O499" s="116">
        <v>1035</v>
      </c>
      <c r="P499" s="116">
        <v>1056.8</v>
      </c>
      <c r="Q499" s="116">
        <v>1036.9000000000001</v>
      </c>
      <c r="R499">
        <v>13985</v>
      </c>
    </row>
    <row r="500" spans="1:18" x14ac:dyDescent="0.25">
      <c r="A500" s="170">
        <v>42738</v>
      </c>
      <c r="B500" s="116">
        <v>1069.9000000000001</v>
      </c>
      <c r="C500" s="116">
        <v>1045.05</v>
      </c>
      <c r="D500" s="116">
        <v>1037.9000000000001</v>
      </c>
      <c r="E500" s="116">
        <v>1069.9000000000001</v>
      </c>
      <c r="F500" s="116">
        <v>1045.05</v>
      </c>
      <c r="G500">
        <v>950</v>
      </c>
      <c r="H500" s="116"/>
      <c r="I500" s="116"/>
      <c r="L500" s="170">
        <v>42738</v>
      </c>
      <c r="M500" s="116">
        <v>1045.3499999999999</v>
      </c>
      <c r="N500" s="116">
        <v>1055</v>
      </c>
      <c r="O500" s="116">
        <v>1037.05</v>
      </c>
      <c r="P500" s="116">
        <v>1040.2</v>
      </c>
      <c r="Q500" s="116">
        <v>1045.3499999999999</v>
      </c>
      <c r="R500">
        <v>24275</v>
      </c>
    </row>
    <row r="501" spans="1:18" x14ac:dyDescent="0.25">
      <c r="A501" s="170">
        <v>42739</v>
      </c>
      <c r="B501" s="116">
        <v>1050</v>
      </c>
      <c r="C501" s="116">
        <v>1037.3499999999999</v>
      </c>
      <c r="D501" s="116">
        <v>1033.5</v>
      </c>
      <c r="E501" s="116">
        <v>1050</v>
      </c>
      <c r="F501" s="116">
        <v>1037.3499999999999</v>
      </c>
      <c r="G501">
        <v>1518</v>
      </c>
      <c r="H501" s="116"/>
      <c r="I501" s="116"/>
      <c r="L501" s="170">
        <v>42739</v>
      </c>
      <c r="M501" s="116">
        <v>1038.6500000000001</v>
      </c>
      <c r="N501" s="116">
        <v>1054</v>
      </c>
      <c r="O501" s="116">
        <v>1037</v>
      </c>
      <c r="P501" s="116">
        <v>1054</v>
      </c>
      <c r="Q501" s="116">
        <v>1038.6500000000001</v>
      </c>
      <c r="R501">
        <v>14219</v>
      </c>
    </row>
    <row r="502" spans="1:18" x14ac:dyDescent="0.25">
      <c r="A502" s="170">
        <v>42740</v>
      </c>
      <c r="B502" s="116">
        <v>1051.9000000000001</v>
      </c>
      <c r="C502" s="116">
        <v>1031.45</v>
      </c>
      <c r="D502" s="116">
        <v>1029.55</v>
      </c>
      <c r="E502" s="116">
        <v>1051.9000000000001</v>
      </c>
      <c r="F502" s="116">
        <v>1031.45</v>
      </c>
      <c r="G502">
        <v>7993</v>
      </c>
      <c r="H502" s="116"/>
      <c r="I502" s="116"/>
      <c r="L502" s="170">
        <v>42740</v>
      </c>
      <c r="M502" s="116">
        <v>1035.75</v>
      </c>
      <c r="N502" s="116">
        <v>1054.8</v>
      </c>
      <c r="O502" s="116">
        <v>1031.2</v>
      </c>
      <c r="P502" s="116">
        <v>1049.7</v>
      </c>
      <c r="Q502" s="116">
        <v>1035.75</v>
      </c>
      <c r="R502">
        <v>35700</v>
      </c>
    </row>
    <row r="503" spans="1:18" x14ac:dyDescent="0.25">
      <c r="A503" s="170">
        <v>42741</v>
      </c>
      <c r="B503" s="116">
        <v>1048</v>
      </c>
      <c r="C503" s="116">
        <v>1043.9000000000001</v>
      </c>
      <c r="D503" s="116">
        <v>1035.55</v>
      </c>
      <c r="E503" s="116">
        <v>1037</v>
      </c>
      <c r="F503" s="116">
        <v>1043.9000000000001</v>
      </c>
      <c r="G503">
        <v>2160</v>
      </c>
      <c r="H503" s="116"/>
      <c r="I503" s="116"/>
      <c r="L503" s="170">
        <v>42741</v>
      </c>
      <c r="M503" s="116">
        <v>1044.3499999999999</v>
      </c>
      <c r="N503" s="116">
        <v>1049</v>
      </c>
      <c r="O503" s="116">
        <v>1033.5</v>
      </c>
      <c r="P503" s="116">
        <v>1044.95</v>
      </c>
      <c r="Q503" s="116">
        <v>1044.3499999999999</v>
      </c>
      <c r="R503">
        <v>26378</v>
      </c>
    </row>
    <row r="504" spans="1:18" x14ac:dyDescent="0.25">
      <c r="A504" s="170">
        <v>42744</v>
      </c>
      <c r="B504" s="116">
        <v>1048</v>
      </c>
      <c r="C504" s="116">
        <v>1041.95</v>
      </c>
      <c r="D504" s="116">
        <v>1037</v>
      </c>
      <c r="E504" s="116">
        <v>1047.95</v>
      </c>
      <c r="F504" s="116">
        <v>1041.95</v>
      </c>
      <c r="G504">
        <v>2264</v>
      </c>
      <c r="H504" s="116"/>
      <c r="I504" s="116"/>
      <c r="L504" s="170">
        <v>42744</v>
      </c>
      <c r="M504" s="116">
        <v>1036.8</v>
      </c>
      <c r="N504" s="116">
        <v>1054</v>
      </c>
      <c r="O504" s="116">
        <v>1034.5</v>
      </c>
      <c r="P504" s="116">
        <v>1054</v>
      </c>
      <c r="Q504" s="116">
        <v>1036.8</v>
      </c>
      <c r="R504">
        <v>17897</v>
      </c>
    </row>
    <row r="505" spans="1:18" x14ac:dyDescent="0.25">
      <c r="A505" s="170">
        <v>42745</v>
      </c>
      <c r="B505" s="116">
        <v>1199</v>
      </c>
      <c r="C505" s="116">
        <v>1176</v>
      </c>
      <c r="D505" s="116">
        <v>1031</v>
      </c>
      <c r="E505" s="116">
        <v>1045</v>
      </c>
      <c r="F505" s="116">
        <v>1176</v>
      </c>
      <c r="G505">
        <v>139600</v>
      </c>
      <c r="H505" s="116"/>
      <c r="I505" s="116"/>
      <c r="L505" s="170">
        <v>42745</v>
      </c>
      <c r="M505" s="116">
        <v>1175.5</v>
      </c>
      <c r="N505" s="116">
        <v>1199</v>
      </c>
      <c r="O505" s="116">
        <v>1029.1500000000001</v>
      </c>
      <c r="P505" s="116">
        <v>1039</v>
      </c>
      <c r="Q505" s="116">
        <v>1175.5</v>
      </c>
      <c r="R505">
        <v>1148087</v>
      </c>
    </row>
    <row r="506" spans="1:18" x14ac:dyDescent="0.25">
      <c r="A506" s="170">
        <v>42746</v>
      </c>
      <c r="B506" s="116">
        <v>1169.95</v>
      </c>
      <c r="C506" s="116">
        <v>1132.1500000000001</v>
      </c>
      <c r="D506" s="116">
        <v>1102.5</v>
      </c>
      <c r="E506" s="116">
        <v>1166.9000000000001</v>
      </c>
      <c r="F506" s="116">
        <v>1132.1500000000001</v>
      </c>
      <c r="G506">
        <v>57060</v>
      </c>
      <c r="H506" s="116"/>
      <c r="I506" s="116"/>
      <c r="L506" s="170">
        <v>42746</v>
      </c>
      <c r="M506" s="116">
        <v>1132.5</v>
      </c>
      <c r="N506" s="116">
        <v>1169.4000000000001</v>
      </c>
      <c r="O506" s="116">
        <v>1123.0999999999999</v>
      </c>
      <c r="P506" s="116">
        <v>1161</v>
      </c>
      <c r="Q506" s="116">
        <v>1132.5</v>
      </c>
      <c r="R506">
        <v>380156</v>
      </c>
    </row>
    <row r="507" spans="1:18" x14ac:dyDescent="0.25">
      <c r="A507" s="170">
        <v>42747</v>
      </c>
      <c r="B507" s="116">
        <v>1150</v>
      </c>
      <c r="C507" s="116">
        <v>1122.0999999999999</v>
      </c>
      <c r="D507" s="116">
        <v>1111</v>
      </c>
      <c r="E507" s="116">
        <v>1139.75</v>
      </c>
      <c r="F507" s="116">
        <v>1122.0999999999999</v>
      </c>
      <c r="G507">
        <v>15266</v>
      </c>
      <c r="H507" s="116"/>
      <c r="I507" s="116"/>
      <c r="L507" s="170">
        <v>42747</v>
      </c>
      <c r="M507" s="116">
        <v>1125.3</v>
      </c>
      <c r="N507" s="116">
        <v>1149.5</v>
      </c>
      <c r="O507" s="116">
        <v>1103.4000000000001</v>
      </c>
      <c r="P507" s="116">
        <v>1133</v>
      </c>
      <c r="Q507" s="116">
        <v>1125.3</v>
      </c>
      <c r="R507">
        <v>133120</v>
      </c>
    </row>
    <row r="508" spans="1:18" x14ac:dyDescent="0.25">
      <c r="A508" s="170">
        <v>42748</v>
      </c>
      <c r="B508" s="116">
        <v>1144.9000000000001</v>
      </c>
      <c r="C508" s="116">
        <v>1130.8499999999999</v>
      </c>
      <c r="D508" s="116">
        <v>1111.3499999999999</v>
      </c>
      <c r="E508" s="116">
        <v>1130</v>
      </c>
      <c r="F508" s="116">
        <v>1130.8499999999999</v>
      </c>
      <c r="G508">
        <v>8239</v>
      </c>
      <c r="H508" s="116"/>
      <c r="I508" s="116"/>
      <c r="L508" s="170">
        <v>42748</v>
      </c>
      <c r="M508" s="116">
        <v>1132.5</v>
      </c>
      <c r="N508" s="116">
        <v>1144.95</v>
      </c>
      <c r="O508" s="116">
        <v>1110</v>
      </c>
      <c r="P508" s="116">
        <v>1128</v>
      </c>
      <c r="Q508" s="116">
        <v>1132.5</v>
      </c>
      <c r="R508">
        <v>65440</v>
      </c>
    </row>
    <row r="509" spans="1:18" x14ac:dyDescent="0.25">
      <c r="A509" s="170">
        <v>42751</v>
      </c>
      <c r="B509" s="116">
        <v>1139.95</v>
      </c>
      <c r="C509" s="116">
        <v>1124.45</v>
      </c>
      <c r="D509" s="116">
        <v>1118.05</v>
      </c>
      <c r="E509" s="116">
        <v>1125</v>
      </c>
      <c r="F509" s="116">
        <v>1124.45</v>
      </c>
      <c r="G509">
        <v>6274</v>
      </c>
      <c r="H509" s="116"/>
      <c r="I509" s="116"/>
      <c r="L509" s="170">
        <v>42751</v>
      </c>
      <c r="M509" s="116">
        <v>1126.2</v>
      </c>
      <c r="N509" s="116">
        <v>1140</v>
      </c>
      <c r="O509" s="116">
        <v>1120</v>
      </c>
      <c r="P509" s="116">
        <v>1134</v>
      </c>
      <c r="Q509" s="116">
        <v>1126.2</v>
      </c>
      <c r="R509">
        <v>42054</v>
      </c>
    </row>
    <row r="510" spans="1:18" x14ac:dyDescent="0.25">
      <c r="A510" s="170">
        <v>42752</v>
      </c>
      <c r="B510" s="116">
        <v>1131.7</v>
      </c>
      <c r="C510" s="116">
        <v>1103.0999999999999</v>
      </c>
      <c r="D510" s="116">
        <v>1099</v>
      </c>
      <c r="E510" s="116">
        <v>1130.3499999999999</v>
      </c>
      <c r="F510" s="116">
        <v>1103.0999999999999</v>
      </c>
      <c r="G510">
        <v>6234</v>
      </c>
      <c r="H510" s="116"/>
      <c r="I510" s="116"/>
      <c r="L510" s="170">
        <v>42752</v>
      </c>
      <c r="M510" s="116">
        <v>1111.55</v>
      </c>
      <c r="N510" s="116">
        <v>1132.95</v>
      </c>
      <c r="O510" s="116">
        <v>1105</v>
      </c>
      <c r="P510" s="116">
        <v>1119</v>
      </c>
      <c r="Q510" s="116">
        <v>1111.55</v>
      </c>
      <c r="R510">
        <v>36071</v>
      </c>
    </row>
    <row r="511" spans="1:18" x14ac:dyDescent="0.25">
      <c r="A511" s="170">
        <v>42753</v>
      </c>
      <c r="B511" s="116">
        <v>1149.95</v>
      </c>
      <c r="C511" s="116">
        <v>1146.8</v>
      </c>
      <c r="D511" s="116">
        <v>1101.4000000000001</v>
      </c>
      <c r="E511" s="116">
        <v>1110</v>
      </c>
      <c r="F511" s="116">
        <v>1146.8</v>
      </c>
      <c r="G511">
        <v>14565</v>
      </c>
      <c r="H511" s="116"/>
      <c r="I511" s="116"/>
      <c r="L511" s="170">
        <v>42753</v>
      </c>
      <c r="M511" s="116">
        <v>1147.1500000000001</v>
      </c>
      <c r="N511" s="116">
        <v>1149</v>
      </c>
      <c r="O511" s="116">
        <v>1105.3</v>
      </c>
      <c r="P511" s="116">
        <v>1110.9000000000001</v>
      </c>
      <c r="Q511" s="116">
        <v>1147.1500000000001</v>
      </c>
      <c r="R511">
        <v>140334</v>
      </c>
    </row>
    <row r="512" spans="1:18" x14ac:dyDescent="0.25">
      <c r="A512" s="170">
        <v>42754</v>
      </c>
      <c r="B512" s="116">
        <v>1160</v>
      </c>
      <c r="C512" s="116">
        <v>1153.4000000000001</v>
      </c>
      <c r="D512" s="116">
        <v>1134.25</v>
      </c>
      <c r="E512" s="116">
        <v>1147</v>
      </c>
      <c r="F512" s="116">
        <v>1153.4000000000001</v>
      </c>
      <c r="G512">
        <v>8638</v>
      </c>
      <c r="H512" s="116"/>
      <c r="I512" s="116"/>
      <c r="L512" s="170">
        <v>42754</v>
      </c>
      <c r="M512" s="116">
        <v>1149.55</v>
      </c>
      <c r="N512" s="116">
        <v>1160</v>
      </c>
      <c r="O512" s="116">
        <v>1131</v>
      </c>
      <c r="P512" s="116">
        <v>1147</v>
      </c>
      <c r="Q512" s="116">
        <v>1149.55</v>
      </c>
      <c r="R512">
        <v>69654</v>
      </c>
    </row>
    <row r="513" spans="1:18" x14ac:dyDescent="0.25">
      <c r="A513" s="170">
        <v>42755</v>
      </c>
      <c r="B513" s="116">
        <v>1150</v>
      </c>
      <c r="C513" s="116">
        <v>1132.5999999999999</v>
      </c>
      <c r="D513" s="116">
        <v>1123.4000000000001</v>
      </c>
      <c r="E513" s="116">
        <v>1150</v>
      </c>
      <c r="F513" s="116">
        <v>1132.5999999999999</v>
      </c>
      <c r="G513">
        <v>3790</v>
      </c>
      <c r="H513" s="116"/>
      <c r="I513" s="116"/>
      <c r="L513" s="170">
        <v>42755</v>
      </c>
      <c r="M513" s="116">
        <v>1131.8499999999999</v>
      </c>
      <c r="N513" s="116">
        <v>1148</v>
      </c>
      <c r="O513" s="116">
        <v>1123</v>
      </c>
      <c r="P513" s="116">
        <v>1148</v>
      </c>
      <c r="Q513" s="116">
        <v>1131.8499999999999</v>
      </c>
      <c r="R513">
        <v>29278</v>
      </c>
    </row>
    <row r="514" spans="1:18" x14ac:dyDescent="0.25">
      <c r="A514" s="170">
        <v>42758</v>
      </c>
      <c r="B514" s="116">
        <v>1135</v>
      </c>
      <c r="C514" s="116">
        <v>1117.5</v>
      </c>
      <c r="D514" s="116">
        <v>1113</v>
      </c>
      <c r="E514" s="116">
        <v>1135</v>
      </c>
      <c r="F514" s="116">
        <v>1117.5</v>
      </c>
      <c r="G514">
        <v>2654</v>
      </c>
      <c r="H514" s="116"/>
      <c r="I514" s="116"/>
      <c r="L514" s="170">
        <v>42758</v>
      </c>
      <c r="M514" s="116">
        <v>1117.7</v>
      </c>
      <c r="N514" s="116">
        <v>1148.7</v>
      </c>
      <c r="O514" s="116">
        <v>1112.5</v>
      </c>
      <c r="P514" s="116">
        <v>1148.7</v>
      </c>
      <c r="Q514" s="116">
        <v>1117.7</v>
      </c>
      <c r="R514">
        <v>28955</v>
      </c>
    </row>
    <row r="515" spans="1:18" x14ac:dyDescent="0.25">
      <c r="A515" s="170">
        <v>42759</v>
      </c>
      <c r="B515" s="116">
        <v>1129.8499999999999</v>
      </c>
      <c r="C515" s="116">
        <v>1116</v>
      </c>
      <c r="D515" s="116">
        <v>1114.5</v>
      </c>
      <c r="E515" s="116">
        <v>1124.95</v>
      </c>
      <c r="F515" s="116">
        <v>1116</v>
      </c>
      <c r="G515">
        <v>3071</v>
      </c>
      <c r="H515" s="116"/>
      <c r="I515" s="116"/>
      <c r="L515" s="170">
        <v>42759</v>
      </c>
      <c r="M515" s="116">
        <v>1116.05</v>
      </c>
      <c r="N515" s="116">
        <v>1128.2</v>
      </c>
      <c r="O515" s="116">
        <v>1113.2</v>
      </c>
      <c r="P515" s="116">
        <v>1117.0999999999999</v>
      </c>
      <c r="Q515" s="116">
        <v>1116.05</v>
      </c>
      <c r="R515">
        <v>54601</v>
      </c>
    </row>
    <row r="516" spans="1:18" x14ac:dyDescent="0.25">
      <c r="A516" s="170">
        <v>42760</v>
      </c>
      <c r="B516" s="116">
        <v>1128</v>
      </c>
      <c r="C516" s="116">
        <v>1109.6500000000001</v>
      </c>
      <c r="D516" s="116">
        <v>1072.8</v>
      </c>
      <c r="E516" s="116">
        <v>1128</v>
      </c>
      <c r="F516" s="116">
        <v>1109.6500000000001</v>
      </c>
      <c r="G516">
        <v>9769</v>
      </c>
      <c r="H516" s="116"/>
      <c r="I516" s="116"/>
      <c r="L516" s="170">
        <v>42760</v>
      </c>
      <c r="M516" s="116">
        <v>1105.8</v>
      </c>
      <c r="N516" s="116">
        <v>1127.9000000000001</v>
      </c>
      <c r="O516" s="116">
        <v>1046.45</v>
      </c>
      <c r="P516" s="116">
        <v>1124.9000000000001</v>
      </c>
      <c r="Q516" s="116">
        <v>1105.8</v>
      </c>
      <c r="R516">
        <v>63446</v>
      </c>
    </row>
    <row r="517" spans="1:18" x14ac:dyDescent="0.25">
      <c r="A517" s="170">
        <v>42762</v>
      </c>
      <c r="B517" s="116">
        <v>1125.1500000000001</v>
      </c>
      <c r="C517" s="116">
        <v>1108.55</v>
      </c>
      <c r="D517" s="116">
        <v>1105</v>
      </c>
      <c r="E517" s="116">
        <v>1112.9000000000001</v>
      </c>
      <c r="F517" s="116">
        <v>1108.55</v>
      </c>
      <c r="G517">
        <v>3006</v>
      </c>
      <c r="H517" s="116"/>
      <c r="I517" s="116"/>
      <c r="L517" s="170">
        <v>42762</v>
      </c>
      <c r="M517" s="116">
        <v>1110.6500000000001</v>
      </c>
      <c r="N517" s="116">
        <v>1123.9000000000001</v>
      </c>
      <c r="O517" s="116">
        <v>1107</v>
      </c>
      <c r="P517" s="116">
        <v>1117.5999999999999</v>
      </c>
      <c r="Q517" s="116">
        <v>1110.6500000000001</v>
      </c>
      <c r="R517">
        <v>33763</v>
      </c>
    </row>
    <row r="518" spans="1:18" x14ac:dyDescent="0.25">
      <c r="A518" s="170">
        <v>42765</v>
      </c>
      <c r="B518" s="116">
        <v>1121</v>
      </c>
      <c r="C518" s="116">
        <v>1101.0999999999999</v>
      </c>
      <c r="D518" s="116">
        <v>1076</v>
      </c>
      <c r="E518" s="116">
        <v>1110</v>
      </c>
      <c r="F518" s="116">
        <v>1101.0999999999999</v>
      </c>
      <c r="G518">
        <v>6734</v>
      </c>
      <c r="H518" s="116"/>
      <c r="I518" s="116"/>
      <c r="L518" s="170">
        <v>42765</v>
      </c>
      <c r="M518" s="116">
        <v>1103</v>
      </c>
      <c r="N518" s="116">
        <v>1122</v>
      </c>
      <c r="O518" s="116">
        <v>1092</v>
      </c>
      <c r="P518" s="116">
        <v>1116.9000000000001</v>
      </c>
      <c r="Q518" s="116">
        <v>1103</v>
      </c>
      <c r="R518">
        <v>32002</v>
      </c>
    </row>
    <row r="519" spans="1:18" x14ac:dyDescent="0.25">
      <c r="A519" s="170">
        <v>42766</v>
      </c>
      <c r="B519" s="116">
        <v>1116.9000000000001</v>
      </c>
      <c r="C519" s="116">
        <v>1094.2</v>
      </c>
      <c r="D519" s="116">
        <v>1091</v>
      </c>
      <c r="E519" s="116">
        <v>1114.9000000000001</v>
      </c>
      <c r="F519" s="116">
        <v>1094.2</v>
      </c>
      <c r="G519">
        <v>10640</v>
      </c>
      <c r="H519" s="116"/>
      <c r="I519" s="116"/>
      <c r="L519" s="170">
        <v>42766</v>
      </c>
      <c r="M519" s="116">
        <v>1095.8</v>
      </c>
      <c r="N519" s="116">
        <v>1115</v>
      </c>
      <c r="O519" s="116">
        <v>1091.3</v>
      </c>
      <c r="P519" s="116">
        <v>1112.8</v>
      </c>
      <c r="Q519" s="116">
        <v>1095.8</v>
      </c>
      <c r="R519">
        <v>45631</v>
      </c>
    </row>
    <row r="520" spans="1:18" x14ac:dyDescent="0.25">
      <c r="A520" s="170">
        <v>42767</v>
      </c>
      <c r="B520" s="116">
        <v>1120</v>
      </c>
      <c r="C520" s="116">
        <v>1107.05</v>
      </c>
      <c r="D520" s="116">
        <v>1091.75</v>
      </c>
      <c r="E520" s="116">
        <v>1096.2</v>
      </c>
      <c r="F520" s="116">
        <v>1107.05</v>
      </c>
      <c r="G520">
        <v>4176</v>
      </c>
      <c r="H520" s="116"/>
      <c r="I520" s="116"/>
      <c r="L520" s="170">
        <v>42767</v>
      </c>
      <c r="M520" s="116">
        <v>1108.55</v>
      </c>
      <c r="N520" s="116">
        <v>1123.95</v>
      </c>
      <c r="O520" s="116">
        <v>1092.5999999999999</v>
      </c>
      <c r="P520" s="116">
        <v>1095</v>
      </c>
      <c r="Q520" s="116">
        <v>1108.55</v>
      </c>
      <c r="R520">
        <v>41417</v>
      </c>
    </row>
    <row r="521" spans="1:18" x14ac:dyDescent="0.25">
      <c r="A521" s="170">
        <v>42768</v>
      </c>
      <c r="B521" s="116">
        <v>1127.95</v>
      </c>
      <c r="C521" s="116">
        <v>1109.95</v>
      </c>
      <c r="D521" s="116">
        <v>1105</v>
      </c>
      <c r="E521" s="116">
        <v>1109</v>
      </c>
      <c r="F521" s="116">
        <v>1109.95</v>
      </c>
      <c r="G521">
        <v>6582</v>
      </c>
      <c r="H521" s="116"/>
      <c r="I521" s="116"/>
      <c r="L521" s="170">
        <v>42768</v>
      </c>
      <c r="M521" s="116">
        <v>1107.3</v>
      </c>
      <c r="N521" s="116">
        <v>1129.9000000000001</v>
      </c>
      <c r="O521" s="116">
        <v>1098</v>
      </c>
      <c r="P521" s="116">
        <v>1119.5</v>
      </c>
      <c r="Q521" s="116">
        <v>1107.3</v>
      </c>
      <c r="R521">
        <v>76685</v>
      </c>
    </row>
    <row r="522" spans="1:18" x14ac:dyDescent="0.25">
      <c r="A522" s="170">
        <v>42769</v>
      </c>
      <c r="B522" s="116">
        <v>1118</v>
      </c>
      <c r="C522" s="116">
        <v>1110.3499999999999</v>
      </c>
      <c r="D522" s="116">
        <v>1106</v>
      </c>
      <c r="E522" s="116">
        <v>1113.75</v>
      </c>
      <c r="F522" s="116">
        <v>1110.3499999999999</v>
      </c>
      <c r="G522">
        <v>2558</v>
      </c>
      <c r="H522" s="116"/>
      <c r="I522" s="116"/>
      <c r="L522" s="170">
        <v>42769</v>
      </c>
      <c r="M522" s="116">
        <v>1106.55</v>
      </c>
      <c r="N522" s="116">
        <v>1118.95</v>
      </c>
      <c r="O522" s="116">
        <v>1105</v>
      </c>
      <c r="P522" s="116">
        <v>1118.95</v>
      </c>
      <c r="Q522" s="116">
        <v>1106.55</v>
      </c>
      <c r="R522">
        <v>20507</v>
      </c>
    </row>
    <row r="523" spans="1:18" x14ac:dyDescent="0.25">
      <c r="A523" s="170">
        <v>42772</v>
      </c>
      <c r="B523" s="116">
        <v>1144.2</v>
      </c>
      <c r="C523" s="116">
        <v>1132.6500000000001</v>
      </c>
      <c r="D523" s="116">
        <v>1105.7</v>
      </c>
      <c r="E523" s="116">
        <v>1116.5999999999999</v>
      </c>
      <c r="F523" s="116">
        <v>1132.6500000000001</v>
      </c>
      <c r="G523">
        <v>27029</v>
      </c>
      <c r="H523" s="116"/>
      <c r="I523" s="116"/>
      <c r="L523" s="170">
        <v>42772</v>
      </c>
      <c r="M523" s="116">
        <v>1125.1500000000001</v>
      </c>
      <c r="N523" s="116">
        <v>1141.9000000000001</v>
      </c>
      <c r="O523" s="116">
        <v>1108</v>
      </c>
      <c r="P523" s="116">
        <v>1108</v>
      </c>
      <c r="Q523" s="116">
        <v>1125.1500000000001</v>
      </c>
      <c r="R523">
        <v>100302</v>
      </c>
    </row>
    <row r="524" spans="1:18" x14ac:dyDescent="0.25">
      <c r="A524" s="170">
        <v>42773</v>
      </c>
      <c r="B524" s="116">
        <v>1192</v>
      </c>
      <c r="C524" s="116">
        <v>1179.95</v>
      </c>
      <c r="D524" s="116">
        <v>1121</v>
      </c>
      <c r="E524" s="116">
        <v>1121</v>
      </c>
      <c r="F524" s="116">
        <v>1179.95</v>
      </c>
      <c r="G524">
        <v>43827</v>
      </c>
      <c r="H524" s="116"/>
      <c r="I524" s="116"/>
      <c r="L524" s="170">
        <v>42773</v>
      </c>
      <c r="M524" s="116">
        <v>1183.1500000000001</v>
      </c>
      <c r="N524" s="116">
        <v>1194.95</v>
      </c>
      <c r="O524" s="116">
        <v>1120.05</v>
      </c>
      <c r="P524" s="116">
        <v>1128</v>
      </c>
      <c r="Q524" s="116">
        <v>1183.1500000000001</v>
      </c>
      <c r="R524">
        <v>377546</v>
      </c>
    </row>
    <row r="525" spans="1:18" x14ac:dyDescent="0.25">
      <c r="A525" s="170">
        <v>42774</v>
      </c>
      <c r="B525" s="116">
        <v>1213</v>
      </c>
      <c r="C525" s="116">
        <v>1208.3499999999999</v>
      </c>
      <c r="D525" s="116">
        <v>1182</v>
      </c>
      <c r="E525" s="116">
        <v>1183</v>
      </c>
      <c r="F525" s="116">
        <v>1208.3499999999999</v>
      </c>
      <c r="G525">
        <v>33925</v>
      </c>
      <c r="H525" s="116"/>
      <c r="I525" s="116"/>
      <c r="L525" s="170">
        <v>42774</v>
      </c>
      <c r="M525" s="116">
        <v>1207.6500000000001</v>
      </c>
      <c r="N525" s="116">
        <v>1212</v>
      </c>
      <c r="O525" s="116">
        <v>1185</v>
      </c>
      <c r="P525" s="116">
        <v>1186</v>
      </c>
      <c r="Q525" s="116">
        <v>1207.6500000000001</v>
      </c>
      <c r="R525">
        <v>185417</v>
      </c>
    </row>
    <row r="526" spans="1:18" x14ac:dyDescent="0.25">
      <c r="A526" s="170">
        <v>42775</v>
      </c>
      <c r="B526" s="116">
        <v>1228</v>
      </c>
      <c r="C526" s="116">
        <v>1225.6500000000001</v>
      </c>
      <c r="D526" s="116">
        <v>1185.55</v>
      </c>
      <c r="E526" s="116">
        <v>1210</v>
      </c>
      <c r="F526" s="116">
        <v>1225.6500000000001</v>
      </c>
      <c r="G526">
        <v>34091</v>
      </c>
      <c r="H526" s="116"/>
      <c r="I526" s="116"/>
      <c r="L526" s="170">
        <v>42775</v>
      </c>
      <c r="M526" s="116">
        <v>1225.5999999999999</v>
      </c>
      <c r="N526" s="116">
        <v>1230</v>
      </c>
      <c r="O526" s="116">
        <v>1181.25</v>
      </c>
      <c r="P526" s="116">
        <v>1210</v>
      </c>
      <c r="Q526" s="116">
        <v>1225.5999999999999</v>
      </c>
      <c r="R526">
        <v>353614</v>
      </c>
    </row>
    <row r="527" spans="1:18" x14ac:dyDescent="0.25">
      <c r="A527" s="170">
        <v>42776</v>
      </c>
      <c r="B527" s="116">
        <v>1269.75</v>
      </c>
      <c r="C527" s="116">
        <v>1261.8499999999999</v>
      </c>
      <c r="D527" s="116">
        <v>1225</v>
      </c>
      <c r="E527" s="116">
        <v>1230</v>
      </c>
      <c r="F527" s="116">
        <v>1261.8499999999999</v>
      </c>
      <c r="G527">
        <v>23906</v>
      </c>
      <c r="H527" s="116"/>
      <c r="I527" s="116"/>
      <c r="L527" s="170">
        <v>42776</v>
      </c>
      <c r="M527" s="116">
        <v>1258</v>
      </c>
      <c r="N527" s="116">
        <v>1265</v>
      </c>
      <c r="O527" s="116">
        <v>1225</v>
      </c>
      <c r="P527" s="116">
        <v>1230</v>
      </c>
      <c r="Q527" s="116">
        <v>1258</v>
      </c>
      <c r="R527">
        <v>183007</v>
      </c>
    </row>
    <row r="528" spans="1:18" x14ac:dyDescent="0.25">
      <c r="A528" s="170">
        <v>42779</v>
      </c>
      <c r="B528" s="116">
        <v>1261.0999999999999</v>
      </c>
      <c r="C528" s="116">
        <v>1223.3</v>
      </c>
      <c r="D528" s="116">
        <v>1210</v>
      </c>
      <c r="E528" s="116">
        <v>1261</v>
      </c>
      <c r="F528" s="116">
        <v>1223.3</v>
      </c>
      <c r="G528">
        <v>7440</v>
      </c>
      <c r="H528" s="116"/>
      <c r="I528" s="116"/>
      <c r="L528" s="170">
        <v>42779</v>
      </c>
      <c r="M528" s="116">
        <v>1220.55</v>
      </c>
      <c r="N528" s="116">
        <v>1260</v>
      </c>
      <c r="O528" s="116">
        <v>1212</v>
      </c>
      <c r="P528" s="116">
        <v>1260</v>
      </c>
      <c r="Q528" s="116">
        <v>1220.55</v>
      </c>
      <c r="R528">
        <v>60953</v>
      </c>
    </row>
    <row r="529" spans="1:18" x14ac:dyDescent="0.25">
      <c r="A529" s="170">
        <v>42780</v>
      </c>
      <c r="B529" s="116">
        <v>1230</v>
      </c>
      <c r="C529" s="116">
        <v>1194.25</v>
      </c>
      <c r="D529" s="116">
        <v>1190</v>
      </c>
      <c r="E529" s="116">
        <v>1230</v>
      </c>
      <c r="F529" s="116">
        <v>1194.25</v>
      </c>
      <c r="G529">
        <v>6336</v>
      </c>
      <c r="H529" s="116"/>
      <c r="I529" s="116"/>
      <c r="L529" s="170">
        <v>42780</v>
      </c>
      <c r="M529" s="116">
        <v>1193.5999999999999</v>
      </c>
      <c r="N529" s="116">
        <v>1226</v>
      </c>
      <c r="O529" s="116">
        <v>1186.25</v>
      </c>
      <c r="P529" s="116">
        <v>1224</v>
      </c>
      <c r="Q529" s="116">
        <v>1193.5999999999999</v>
      </c>
      <c r="R529">
        <v>41527</v>
      </c>
    </row>
    <row r="530" spans="1:18" x14ac:dyDescent="0.25">
      <c r="A530" s="170">
        <v>42781</v>
      </c>
      <c r="B530" s="116">
        <v>1195.45</v>
      </c>
      <c r="C530" s="116">
        <v>1172.2</v>
      </c>
      <c r="D530" s="116">
        <v>1170</v>
      </c>
      <c r="E530" s="116">
        <v>1195</v>
      </c>
      <c r="F530" s="116">
        <v>1172.2</v>
      </c>
      <c r="G530">
        <v>4312</v>
      </c>
      <c r="H530" s="116"/>
      <c r="I530" s="116"/>
      <c r="L530" s="170">
        <v>42781</v>
      </c>
      <c r="M530" s="116">
        <v>1170.4000000000001</v>
      </c>
      <c r="N530" s="116">
        <v>1198.0999999999999</v>
      </c>
      <c r="O530" s="116">
        <v>1165.05</v>
      </c>
      <c r="P530" s="116">
        <v>1198</v>
      </c>
      <c r="Q530" s="116">
        <v>1170.4000000000001</v>
      </c>
      <c r="R530">
        <v>41294</v>
      </c>
    </row>
    <row r="531" spans="1:18" x14ac:dyDescent="0.25">
      <c r="A531" s="170">
        <v>42782</v>
      </c>
      <c r="B531" s="116">
        <v>1238.9000000000001</v>
      </c>
      <c r="C531" s="116">
        <v>1228.8499999999999</v>
      </c>
      <c r="D531" s="116">
        <v>1170</v>
      </c>
      <c r="E531" s="116">
        <v>1170</v>
      </c>
      <c r="F531" s="116">
        <v>1228.8499999999999</v>
      </c>
      <c r="G531">
        <v>25513</v>
      </c>
      <c r="H531" s="116"/>
      <c r="I531" s="116"/>
      <c r="L531" s="170">
        <v>42782</v>
      </c>
      <c r="M531" s="116">
        <v>1227.3</v>
      </c>
      <c r="N531" s="116">
        <v>1236</v>
      </c>
      <c r="O531" s="116">
        <v>1171</v>
      </c>
      <c r="P531" s="116">
        <v>1176</v>
      </c>
      <c r="Q531" s="116">
        <v>1227.3</v>
      </c>
      <c r="R531">
        <v>181387</v>
      </c>
    </row>
    <row r="532" spans="1:18" x14ac:dyDescent="0.25">
      <c r="A532" s="170">
        <v>42783</v>
      </c>
      <c r="B532" s="116">
        <v>1240</v>
      </c>
      <c r="C532" s="116">
        <v>1230</v>
      </c>
      <c r="D532" s="116">
        <v>1219.8</v>
      </c>
      <c r="E532" s="116">
        <v>1230</v>
      </c>
      <c r="F532" s="116">
        <v>1230</v>
      </c>
      <c r="G532">
        <v>6726</v>
      </c>
      <c r="H532" s="116"/>
      <c r="I532" s="116"/>
      <c r="L532" s="170">
        <v>42783</v>
      </c>
      <c r="M532" s="116">
        <v>1231.8</v>
      </c>
      <c r="N532" s="116">
        <v>1239.5</v>
      </c>
      <c r="O532" s="116">
        <v>1221.5</v>
      </c>
      <c r="P532" s="116">
        <v>1235</v>
      </c>
      <c r="Q532" s="116">
        <v>1231.8</v>
      </c>
      <c r="R532">
        <v>64670</v>
      </c>
    </row>
    <row r="533" spans="1:18" x14ac:dyDescent="0.25">
      <c r="A533" s="170">
        <v>42786</v>
      </c>
      <c r="B533" s="116">
        <v>1236.9000000000001</v>
      </c>
      <c r="C533" s="116">
        <v>1226.6500000000001</v>
      </c>
      <c r="D533" s="116">
        <v>1224.45</v>
      </c>
      <c r="E533" s="116">
        <v>1235</v>
      </c>
      <c r="F533" s="116">
        <v>1226.6500000000001</v>
      </c>
      <c r="G533">
        <v>2003</v>
      </c>
      <c r="H533" s="116"/>
      <c r="I533" s="116"/>
      <c r="L533" s="170">
        <v>42786</v>
      </c>
      <c r="M533" s="116">
        <v>1229.6500000000001</v>
      </c>
      <c r="N533" s="116">
        <v>1239.4000000000001</v>
      </c>
      <c r="O533" s="116">
        <v>1223.0999999999999</v>
      </c>
      <c r="P533" s="116">
        <v>1239.4000000000001</v>
      </c>
      <c r="Q533" s="116">
        <v>1229.6500000000001</v>
      </c>
      <c r="R533">
        <v>31581</v>
      </c>
    </row>
    <row r="534" spans="1:18" x14ac:dyDescent="0.25">
      <c r="A534" s="170">
        <v>42787</v>
      </c>
      <c r="B534" s="116">
        <v>1230.7</v>
      </c>
      <c r="C534" s="116">
        <v>1221.5999999999999</v>
      </c>
      <c r="D534" s="116">
        <v>1212.95</v>
      </c>
      <c r="E534" s="116">
        <v>1219.0999999999999</v>
      </c>
      <c r="F534" s="116">
        <v>1221.5999999999999</v>
      </c>
      <c r="G534">
        <v>4211</v>
      </c>
      <c r="H534" s="116"/>
      <c r="I534" s="116"/>
      <c r="L534" s="170">
        <v>42787</v>
      </c>
      <c r="M534" s="116">
        <v>1225.8499999999999</v>
      </c>
      <c r="N534" s="116">
        <v>1235</v>
      </c>
      <c r="O534" s="116">
        <v>1215</v>
      </c>
      <c r="P534" s="116">
        <v>1234.7</v>
      </c>
      <c r="Q534" s="116">
        <v>1225.8499999999999</v>
      </c>
      <c r="R534">
        <v>16493</v>
      </c>
    </row>
    <row r="535" spans="1:18" x14ac:dyDescent="0.25">
      <c r="A535" s="170">
        <v>42788</v>
      </c>
      <c r="B535" s="116">
        <v>1228</v>
      </c>
      <c r="C535" s="116">
        <v>1212.05</v>
      </c>
      <c r="D535" s="116">
        <v>1200</v>
      </c>
      <c r="E535" s="116">
        <v>1217.1500000000001</v>
      </c>
      <c r="F535" s="116">
        <v>1212.05</v>
      </c>
      <c r="G535">
        <v>29704</v>
      </c>
      <c r="H535" s="116"/>
      <c r="I535" s="116"/>
      <c r="L535" s="170">
        <v>42788</v>
      </c>
      <c r="M535" s="116">
        <v>1209.6500000000001</v>
      </c>
      <c r="N535" s="116">
        <v>1228.8</v>
      </c>
      <c r="O535" s="116">
        <v>1195.55</v>
      </c>
      <c r="P535" s="116">
        <v>1223</v>
      </c>
      <c r="Q535" s="116">
        <v>1209.6500000000001</v>
      </c>
      <c r="R535">
        <v>30689</v>
      </c>
    </row>
    <row r="536" spans="1:18" x14ac:dyDescent="0.25">
      <c r="A536" s="170">
        <v>42789</v>
      </c>
      <c r="B536" s="116">
        <v>1206.9000000000001</v>
      </c>
      <c r="C536" s="116">
        <v>1199.25</v>
      </c>
      <c r="D536" s="116">
        <v>1190.0999999999999</v>
      </c>
      <c r="E536" s="116">
        <v>1205</v>
      </c>
      <c r="F536" s="116">
        <v>1199.25</v>
      </c>
      <c r="G536">
        <v>3922</v>
      </c>
      <c r="H536" s="116"/>
      <c r="I536" s="116"/>
      <c r="L536" s="170">
        <v>42789</v>
      </c>
      <c r="M536" s="116">
        <v>1194.95</v>
      </c>
      <c r="N536" s="116">
        <v>1210.9000000000001</v>
      </c>
      <c r="O536" s="116">
        <v>1190.05</v>
      </c>
      <c r="P536" s="116">
        <v>1198.5</v>
      </c>
      <c r="Q536" s="116">
        <v>1194.95</v>
      </c>
      <c r="R536">
        <v>33351</v>
      </c>
    </row>
    <row r="537" spans="1:18" x14ac:dyDescent="0.25">
      <c r="A537" s="170">
        <v>42793</v>
      </c>
      <c r="B537" s="116">
        <v>1208</v>
      </c>
      <c r="C537" s="116">
        <v>1196.9000000000001</v>
      </c>
      <c r="D537" s="116">
        <v>1177</v>
      </c>
      <c r="E537" s="116">
        <v>1202.0999999999999</v>
      </c>
      <c r="F537" s="116">
        <v>1196.9000000000001</v>
      </c>
      <c r="G537">
        <v>5860</v>
      </c>
      <c r="H537" s="116"/>
      <c r="I537" s="116"/>
      <c r="L537" s="170">
        <v>42793</v>
      </c>
      <c r="M537" s="116">
        <v>1195.7</v>
      </c>
      <c r="N537" s="116">
        <v>1209.8</v>
      </c>
      <c r="O537" s="116">
        <v>1175</v>
      </c>
      <c r="P537" s="116">
        <v>1195</v>
      </c>
      <c r="Q537" s="116">
        <v>1195.7</v>
      </c>
      <c r="R537">
        <v>50156</v>
      </c>
    </row>
    <row r="538" spans="1:18" x14ac:dyDescent="0.25">
      <c r="A538" s="170">
        <v>42794</v>
      </c>
      <c r="B538" s="116">
        <v>1215</v>
      </c>
      <c r="C538" s="116">
        <v>1199.9000000000001</v>
      </c>
      <c r="D538" s="116">
        <v>1195</v>
      </c>
      <c r="E538" s="116">
        <v>1207</v>
      </c>
      <c r="F538" s="116">
        <v>1199.9000000000001</v>
      </c>
      <c r="G538">
        <v>6516</v>
      </c>
      <c r="H538" s="116"/>
      <c r="I538" s="116"/>
      <c r="L538" s="170">
        <v>42794</v>
      </c>
      <c r="M538" s="116">
        <v>1198.2</v>
      </c>
      <c r="N538" s="116">
        <v>1218</v>
      </c>
      <c r="O538" s="116">
        <v>1190.55</v>
      </c>
      <c r="P538" s="116">
        <v>1203.0999999999999</v>
      </c>
      <c r="Q538" s="116">
        <v>1198.2</v>
      </c>
      <c r="R538">
        <v>32424</v>
      </c>
    </row>
    <row r="539" spans="1:18" x14ac:dyDescent="0.25">
      <c r="A539" s="170">
        <v>42795</v>
      </c>
      <c r="B539" s="116">
        <v>1243</v>
      </c>
      <c r="C539" s="116">
        <v>1235.2</v>
      </c>
      <c r="D539" s="116">
        <v>1197</v>
      </c>
      <c r="E539" s="116">
        <v>1207</v>
      </c>
      <c r="F539" s="116">
        <v>1235.2</v>
      </c>
      <c r="G539">
        <v>15231</v>
      </c>
      <c r="H539" s="116"/>
      <c r="I539" s="116"/>
      <c r="L539" s="170">
        <v>42795</v>
      </c>
      <c r="M539" s="116">
        <v>1235.8499999999999</v>
      </c>
      <c r="N539" s="116">
        <v>1242.25</v>
      </c>
      <c r="O539" s="116">
        <v>1186.5999999999999</v>
      </c>
      <c r="P539" s="116">
        <v>1199</v>
      </c>
      <c r="Q539" s="116">
        <v>1235.8499999999999</v>
      </c>
      <c r="R539">
        <v>132479</v>
      </c>
    </row>
    <row r="540" spans="1:18" x14ac:dyDescent="0.25">
      <c r="A540" s="170">
        <v>42796</v>
      </c>
      <c r="B540" s="116">
        <v>1243.95</v>
      </c>
      <c r="C540" s="116">
        <v>1207.25</v>
      </c>
      <c r="D540" s="116">
        <v>1201.05</v>
      </c>
      <c r="E540" s="116">
        <v>1243.95</v>
      </c>
      <c r="F540" s="116">
        <v>1207.25</v>
      </c>
      <c r="G540">
        <v>10897</v>
      </c>
      <c r="H540" s="116"/>
      <c r="I540" s="116"/>
      <c r="L540" s="170">
        <v>42796</v>
      </c>
      <c r="M540" s="116">
        <v>1211.8499999999999</v>
      </c>
      <c r="N540" s="116">
        <v>1244</v>
      </c>
      <c r="O540" s="116">
        <v>1207.0999999999999</v>
      </c>
      <c r="P540" s="116">
        <v>1243</v>
      </c>
      <c r="Q540" s="116">
        <v>1211.8499999999999</v>
      </c>
      <c r="R540">
        <v>42294</v>
      </c>
    </row>
    <row r="541" spans="1:18" x14ac:dyDescent="0.25">
      <c r="A541" s="170">
        <v>42797</v>
      </c>
      <c r="B541" s="116">
        <v>1231.2</v>
      </c>
      <c r="C541" s="116">
        <v>1226.05</v>
      </c>
      <c r="D541" s="116">
        <v>1210.0999999999999</v>
      </c>
      <c r="E541" s="116">
        <v>1215</v>
      </c>
      <c r="F541" s="116">
        <v>1226.05</v>
      </c>
      <c r="G541">
        <v>6176</v>
      </c>
      <c r="H541" s="116"/>
      <c r="I541" s="116"/>
      <c r="L541" s="170">
        <v>42797</v>
      </c>
      <c r="M541" s="116">
        <v>1228.4000000000001</v>
      </c>
      <c r="N541" s="116">
        <v>1235</v>
      </c>
      <c r="O541" s="116">
        <v>1210</v>
      </c>
      <c r="P541" s="116">
        <v>1211.8499999999999</v>
      </c>
      <c r="Q541" s="116">
        <v>1228.4000000000001</v>
      </c>
      <c r="R541">
        <v>24343</v>
      </c>
    </row>
    <row r="542" spans="1:18" x14ac:dyDescent="0.25">
      <c r="A542" s="170">
        <v>42800</v>
      </c>
      <c r="B542" s="116">
        <v>1236</v>
      </c>
      <c r="C542" s="116">
        <v>1201.5999999999999</v>
      </c>
      <c r="D542" s="116">
        <v>1195</v>
      </c>
      <c r="E542" s="116">
        <v>1231.5999999999999</v>
      </c>
      <c r="F542" s="116">
        <v>1201.5999999999999</v>
      </c>
      <c r="G542">
        <v>3975</v>
      </c>
      <c r="H542" s="116"/>
      <c r="I542" s="116"/>
      <c r="L542" s="170">
        <v>42800</v>
      </c>
      <c r="M542" s="116">
        <v>1200.4000000000001</v>
      </c>
      <c r="N542" s="116">
        <v>1237.95</v>
      </c>
      <c r="O542" s="116">
        <v>1192.55</v>
      </c>
      <c r="P542" s="116">
        <v>1230</v>
      </c>
      <c r="Q542" s="116">
        <v>1200.4000000000001</v>
      </c>
      <c r="R542">
        <v>26793</v>
      </c>
    </row>
    <row r="543" spans="1:18" x14ac:dyDescent="0.25">
      <c r="A543" s="170">
        <v>42801</v>
      </c>
      <c r="B543" s="116">
        <v>1226.7</v>
      </c>
      <c r="C543" s="116">
        <v>1208.6500000000001</v>
      </c>
      <c r="D543" s="116">
        <v>1201.3</v>
      </c>
      <c r="E543" s="116">
        <v>1209.9000000000001</v>
      </c>
      <c r="F543" s="116">
        <v>1208.6500000000001</v>
      </c>
      <c r="G543">
        <v>3597</v>
      </c>
      <c r="H543" s="116"/>
      <c r="I543" s="116"/>
      <c r="L543" s="170">
        <v>42801</v>
      </c>
      <c r="M543" s="116">
        <v>1204</v>
      </c>
      <c r="N543" s="116">
        <v>1225</v>
      </c>
      <c r="O543" s="116">
        <v>1201</v>
      </c>
      <c r="P543" s="116">
        <v>1208</v>
      </c>
      <c r="Q543" s="116">
        <v>1204</v>
      </c>
      <c r="R543">
        <v>28396</v>
      </c>
    </row>
    <row r="544" spans="1:18" x14ac:dyDescent="0.25">
      <c r="A544" s="170">
        <v>42802</v>
      </c>
      <c r="B544" s="116">
        <v>1225</v>
      </c>
      <c r="C544" s="116">
        <v>1200.8</v>
      </c>
      <c r="D544" s="116">
        <v>1187.55</v>
      </c>
      <c r="E544" s="116">
        <v>1190</v>
      </c>
      <c r="F544" s="116">
        <v>1200.8</v>
      </c>
      <c r="G544">
        <v>11784</v>
      </c>
      <c r="H544" s="116"/>
      <c r="I544" s="116"/>
      <c r="L544" s="170">
        <v>42802</v>
      </c>
      <c r="M544" s="116">
        <v>1202.5999999999999</v>
      </c>
      <c r="N544" s="116">
        <v>1225</v>
      </c>
      <c r="O544" s="116">
        <v>1186</v>
      </c>
      <c r="P544" s="116">
        <v>1203.8</v>
      </c>
      <c r="Q544" s="116">
        <v>1202.5999999999999</v>
      </c>
      <c r="R544">
        <v>62200</v>
      </c>
    </row>
    <row r="545" spans="1:18" x14ac:dyDescent="0.25">
      <c r="A545" s="170">
        <v>42803</v>
      </c>
      <c r="B545" s="116">
        <v>1206.9000000000001</v>
      </c>
      <c r="C545" s="116">
        <v>1194.3</v>
      </c>
      <c r="D545" s="116">
        <v>1191.5</v>
      </c>
      <c r="E545" s="116">
        <v>1206.9000000000001</v>
      </c>
      <c r="F545" s="116">
        <v>1194.3</v>
      </c>
      <c r="G545">
        <v>3459</v>
      </c>
      <c r="H545" s="116"/>
      <c r="I545" s="116"/>
      <c r="L545" s="170">
        <v>42803</v>
      </c>
      <c r="M545" s="116">
        <v>1197.5</v>
      </c>
      <c r="N545" s="116">
        <v>1213.95</v>
      </c>
      <c r="O545" s="116">
        <v>1193.05</v>
      </c>
      <c r="P545" s="116">
        <v>1202.5999999999999</v>
      </c>
      <c r="Q545" s="116">
        <v>1197.5</v>
      </c>
      <c r="R545">
        <v>11414</v>
      </c>
    </row>
    <row r="546" spans="1:18" x14ac:dyDescent="0.25">
      <c r="A546" s="170">
        <v>42804</v>
      </c>
      <c r="B546" s="116">
        <v>1210</v>
      </c>
      <c r="C546" s="116">
        <v>1193.3</v>
      </c>
      <c r="D546" s="116">
        <v>1178</v>
      </c>
      <c r="E546" s="116">
        <v>1208</v>
      </c>
      <c r="F546" s="116">
        <v>1193.3</v>
      </c>
      <c r="G546">
        <v>2748</v>
      </c>
      <c r="H546" s="116"/>
      <c r="I546" s="116"/>
      <c r="L546" s="170">
        <v>42804</v>
      </c>
      <c r="M546" s="116">
        <v>1193.9000000000001</v>
      </c>
      <c r="N546" s="116">
        <v>1212.5999999999999</v>
      </c>
      <c r="O546" s="116">
        <v>1190</v>
      </c>
      <c r="P546" s="116">
        <v>1212.5999999999999</v>
      </c>
      <c r="Q546" s="116">
        <v>1193.9000000000001</v>
      </c>
      <c r="R546">
        <v>10908</v>
      </c>
    </row>
    <row r="547" spans="1:18" x14ac:dyDescent="0.25">
      <c r="A547" s="170">
        <v>42808</v>
      </c>
      <c r="B547" s="116">
        <v>1219.25</v>
      </c>
      <c r="C547" s="116">
        <v>1198.75</v>
      </c>
      <c r="D547" s="116">
        <v>1190</v>
      </c>
      <c r="E547" s="116">
        <v>1194</v>
      </c>
      <c r="F547" s="116">
        <v>1198.75</v>
      </c>
      <c r="G547">
        <v>11804</v>
      </c>
      <c r="H547" s="116"/>
      <c r="I547" s="116"/>
      <c r="L547" s="170">
        <v>42808</v>
      </c>
      <c r="M547" s="116">
        <v>1197.5</v>
      </c>
      <c r="N547" s="116">
        <v>1223.9000000000001</v>
      </c>
      <c r="O547" s="116">
        <v>1186.8</v>
      </c>
      <c r="P547" s="116">
        <v>1214.9000000000001</v>
      </c>
      <c r="Q547" s="116">
        <v>1197.5</v>
      </c>
      <c r="R547">
        <v>100135</v>
      </c>
    </row>
    <row r="548" spans="1:18" x14ac:dyDescent="0.25">
      <c r="A548" s="170">
        <v>42809</v>
      </c>
      <c r="B548" s="116">
        <v>1225</v>
      </c>
      <c r="C548" s="116">
        <v>1206.8499999999999</v>
      </c>
      <c r="D548" s="116">
        <v>1201</v>
      </c>
      <c r="E548" s="116">
        <v>1201</v>
      </c>
      <c r="F548" s="116">
        <v>1206.8499999999999</v>
      </c>
      <c r="G548">
        <v>8984</v>
      </c>
      <c r="H548" s="116"/>
      <c r="I548" s="116"/>
      <c r="L548" s="170">
        <v>42809</v>
      </c>
      <c r="M548" s="116">
        <v>1210.3499999999999</v>
      </c>
      <c r="N548" s="116">
        <v>1228.8</v>
      </c>
      <c r="O548" s="116">
        <v>1195</v>
      </c>
      <c r="P548" s="116">
        <v>1195</v>
      </c>
      <c r="Q548" s="116">
        <v>1210.3499999999999</v>
      </c>
      <c r="R548">
        <v>103839</v>
      </c>
    </row>
    <row r="549" spans="1:18" x14ac:dyDescent="0.25">
      <c r="A549" s="170">
        <v>42810</v>
      </c>
      <c r="B549" s="116">
        <v>1226.5</v>
      </c>
      <c r="C549" s="116">
        <v>1207.8</v>
      </c>
      <c r="D549" s="116">
        <v>1205.05</v>
      </c>
      <c r="E549" s="116">
        <v>1217</v>
      </c>
      <c r="F549" s="116">
        <v>1207.8</v>
      </c>
      <c r="G549">
        <v>4119</v>
      </c>
      <c r="H549" s="116"/>
      <c r="I549" s="116"/>
      <c r="L549" s="170">
        <v>42810</v>
      </c>
      <c r="M549" s="116">
        <v>1205.3499999999999</v>
      </c>
      <c r="N549" s="116">
        <v>1223.8499999999999</v>
      </c>
      <c r="O549" s="116">
        <v>1201.0999999999999</v>
      </c>
      <c r="P549" s="116">
        <v>1215</v>
      </c>
      <c r="Q549" s="116">
        <v>1205.3499999999999</v>
      </c>
      <c r="R549">
        <v>26271</v>
      </c>
    </row>
    <row r="550" spans="1:18" x14ac:dyDescent="0.25">
      <c r="A550" s="170">
        <v>42811</v>
      </c>
      <c r="B550" s="116">
        <v>1222</v>
      </c>
      <c r="C550" s="116">
        <v>1212.8499999999999</v>
      </c>
      <c r="D550" s="116">
        <v>1201</v>
      </c>
      <c r="E550" s="116">
        <v>1201</v>
      </c>
      <c r="F550" s="116">
        <v>1212.8499999999999</v>
      </c>
      <c r="G550">
        <v>6537</v>
      </c>
      <c r="H550" s="116"/>
      <c r="I550" s="116"/>
      <c r="L550" s="170">
        <v>42811</v>
      </c>
      <c r="M550" s="116">
        <v>1214.5999999999999</v>
      </c>
      <c r="N550" s="116">
        <v>1225</v>
      </c>
      <c r="O550" s="116">
        <v>1202</v>
      </c>
      <c r="P550" s="116">
        <v>1214</v>
      </c>
      <c r="Q550" s="116">
        <v>1214.5999999999999</v>
      </c>
      <c r="R550">
        <v>59308</v>
      </c>
    </row>
    <row r="551" spans="1:18" x14ac:dyDescent="0.25">
      <c r="A551" s="170">
        <v>42814</v>
      </c>
      <c r="B551" s="116">
        <v>1221.5</v>
      </c>
      <c r="C551" s="116">
        <v>1211.1500000000001</v>
      </c>
      <c r="D551" s="116">
        <v>1208</v>
      </c>
      <c r="E551" s="116">
        <v>1216</v>
      </c>
      <c r="F551" s="116">
        <v>1211.1500000000001</v>
      </c>
      <c r="G551">
        <v>2070</v>
      </c>
      <c r="H551" s="116"/>
      <c r="I551" s="116"/>
      <c r="L551" s="170">
        <v>42814</v>
      </c>
      <c r="M551" s="116">
        <v>1216</v>
      </c>
      <c r="N551" s="116">
        <v>1222.9000000000001</v>
      </c>
      <c r="O551" s="116">
        <v>1208</v>
      </c>
      <c r="P551" s="116">
        <v>1220.0999999999999</v>
      </c>
      <c r="Q551" s="116">
        <v>1216</v>
      </c>
      <c r="R551">
        <v>31738</v>
      </c>
    </row>
    <row r="552" spans="1:18" x14ac:dyDescent="0.25">
      <c r="A552" s="170">
        <v>42815</v>
      </c>
      <c r="B552" s="116">
        <v>1216</v>
      </c>
      <c r="C552" s="116">
        <v>1194.2</v>
      </c>
      <c r="D552" s="116">
        <v>1190.55</v>
      </c>
      <c r="E552" s="116">
        <v>1212.55</v>
      </c>
      <c r="F552" s="116">
        <v>1194.2</v>
      </c>
      <c r="G552">
        <v>4377</v>
      </c>
      <c r="H552" s="116"/>
      <c r="I552" s="116"/>
      <c r="L552" s="170">
        <v>42815</v>
      </c>
      <c r="M552" s="116">
        <v>1196.7</v>
      </c>
      <c r="N552" s="116">
        <v>1221</v>
      </c>
      <c r="O552" s="116">
        <v>1192.05</v>
      </c>
      <c r="P552" s="116">
        <v>1218.2</v>
      </c>
      <c r="Q552" s="116">
        <v>1196.7</v>
      </c>
      <c r="R552">
        <v>21929</v>
      </c>
    </row>
    <row r="553" spans="1:18" x14ac:dyDescent="0.25">
      <c r="A553" s="170">
        <v>42816</v>
      </c>
      <c r="B553" s="116">
        <v>1200</v>
      </c>
      <c r="C553" s="116">
        <v>1185.55</v>
      </c>
      <c r="D553" s="116">
        <v>1181.95</v>
      </c>
      <c r="E553" s="116">
        <v>1197</v>
      </c>
      <c r="F553" s="116">
        <v>1185.55</v>
      </c>
      <c r="G553">
        <v>11348</v>
      </c>
      <c r="H553" s="116"/>
      <c r="I553" s="116"/>
      <c r="L553" s="170">
        <v>42816</v>
      </c>
      <c r="M553" s="116">
        <v>1190.25</v>
      </c>
      <c r="N553" s="116">
        <v>1210.95</v>
      </c>
      <c r="O553" s="116">
        <v>1185</v>
      </c>
      <c r="P553" s="116">
        <v>1196.5</v>
      </c>
      <c r="Q553" s="116">
        <v>1190.25</v>
      </c>
      <c r="R553">
        <v>33412</v>
      </c>
    </row>
    <row r="554" spans="1:18" x14ac:dyDescent="0.25">
      <c r="A554" s="170">
        <v>42817</v>
      </c>
      <c r="B554" s="116">
        <v>1199.95</v>
      </c>
      <c r="C554" s="116">
        <v>1192.6500000000001</v>
      </c>
      <c r="D554" s="116">
        <v>1190</v>
      </c>
      <c r="E554" s="116">
        <v>1199</v>
      </c>
      <c r="F554" s="116">
        <v>1192.6500000000001</v>
      </c>
      <c r="G554">
        <v>2100</v>
      </c>
      <c r="H554" s="116"/>
      <c r="I554" s="116"/>
      <c r="L554" s="170">
        <v>42817</v>
      </c>
      <c r="M554" s="116">
        <v>1190.3</v>
      </c>
      <c r="N554" s="116">
        <v>1203.9000000000001</v>
      </c>
      <c r="O554" s="116">
        <v>1188.0999999999999</v>
      </c>
      <c r="P554" s="116">
        <v>1203.9000000000001</v>
      </c>
      <c r="Q554" s="116">
        <v>1190.3</v>
      </c>
      <c r="R554">
        <v>15404</v>
      </c>
    </row>
    <row r="555" spans="1:18" x14ac:dyDescent="0.25">
      <c r="A555" s="170">
        <v>42818</v>
      </c>
      <c r="B555" s="116">
        <v>1205</v>
      </c>
      <c r="C555" s="116">
        <v>1193.75</v>
      </c>
      <c r="D555" s="116">
        <v>1186.4000000000001</v>
      </c>
      <c r="E555" s="116">
        <v>1192</v>
      </c>
      <c r="F555" s="116">
        <v>1193.75</v>
      </c>
      <c r="G555">
        <v>4811</v>
      </c>
      <c r="H555" s="116"/>
      <c r="I555" s="116"/>
      <c r="L555" s="170">
        <v>42818</v>
      </c>
      <c r="M555" s="116">
        <v>1198.8</v>
      </c>
      <c r="N555" s="116">
        <v>1204.95</v>
      </c>
      <c r="O555" s="116">
        <v>1182.3499999999999</v>
      </c>
      <c r="P555" s="116">
        <v>1190.45</v>
      </c>
      <c r="Q555" s="116">
        <v>1198.8</v>
      </c>
      <c r="R555">
        <v>58058</v>
      </c>
    </row>
    <row r="556" spans="1:18" x14ac:dyDescent="0.25">
      <c r="A556" s="170">
        <v>42821</v>
      </c>
      <c r="B556" s="116">
        <v>1200</v>
      </c>
      <c r="C556" s="116">
        <v>1183.3</v>
      </c>
      <c r="D556" s="116">
        <v>1180.5</v>
      </c>
      <c r="E556" s="116">
        <v>1195</v>
      </c>
      <c r="F556" s="116">
        <v>1183.3</v>
      </c>
      <c r="G556">
        <v>6093</v>
      </c>
      <c r="H556" s="116"/>
      <c r="I556" s="116"/>
      <c r="L556" s="170">
        <v>42821</v>
      </c>
      <c r="M556" s="116">
        <v>1185.0999999999999</v>
      </c>
      <c r="N556" s="116">
        <v>1203.9000000000001</v>
      </c>
      <c r="O556" s="116">
        <v>1180.2</v>
      </c>
      <c r="P556" s="116">
        <v>1203.9000000000001</v>
      </c>
      <c r="Q556" s="116">
        <v>1185.0999999999999</v>
      </c>
      <c r="R556">
        <v>17306</v>
      </c>
    </row>
    <row r="557" spans="1:18" x14ac:dyDescent="0.25">
      <c r="A557" s="170">
        <v>42822</v>
      </c>
      <c r="B557" s="116">
        <v>1195.2</v>
      </c>
      <c r="C557" s="116">
        <v>1190.6500000000001</v>
      </c>
      <c r="D557" s="116">
        <v>1182.0999999999999</v>
      </c>
      <c r="E557" s="116">
        <v>1194.95</v>
      </c>
      <c r="F557" s="116">
        <v>1190.6500000000001</v>
      </c>
      <c r="G557">
        <v>3450</v>
      </c>
      <c r="H557" s="116"/>
      <c r="I557" s="116"/>
      <c r="L557" s="170">
        <v>42822</v>
      </c>
      <c r="M557" s="116">
        <v>1190.9000000000001</v>
      </c>
      <c r="N557" s="116">
        <v>1195</v>
      </c>
      <c r="O557" s="116">
        <v>1180</v>
      </c>
      <c r="P557" s="116">
        <v>1185.0999999999999</v>
      </c>
      <c r="Q557" s="116">
        <v>1190.9000000000001</v>
      </c>
      <c r="R557">
        <v>72041</v>
      </c>
    </row>
    <row r="558" spans="1:18" x14ac:dyDescent="0.25">
      <c r="A558" s="170">
        <v>42823</v>
      </c>
      <c r="B558" s="116">
        <v>1222</v>
      </c>
      <c r="C558" s="116">
        <v>1212.05</v>
      </c>
      <c r="D558" s="116">
        <v>1185.7</v>
      </c>
      <c r="E558" s="116">
        <v>1194</v>
      </c>
      <c r="F558" s="116">
        <v>1212.05</v>
      </c>
      <c r="G558">
        <v>8064</v>
      </c>
      <c r="H558" s="116"/>
      <c r="I558" s="116"/>
      <c r="L558" s="170">
        <v>42823</v>
      </c>
      <c r="M558" s="116">
        <v>1214.55</v>
      </c>
      <c r="N558" s="116">
        <v>1222</v>
      </c>
      <c r="O558" s="116">
        <v>1188</v>
      </c>
      <c r="P558" s="116">
        <v>1190</v>
      </c>
      <c r="Q558" s="116">
        <v>1214.55</v>
      </c>
      <c r="R558">
        <v>78200</v>
      </c>
    </row>
    <row r="559" spans="1:18" x14ac:dyDescent="0.25">
      <c r="A559" s="170">
        <v>42824</v>
      </c>
      <c r="B559" s="116">
        <v>1271</v>
      </c>
      <c r="C559" s="116">
        <v>1262.25</v>
      </c>
      <c r="D559" s="116">
        <v>1203.25</v>
      </c>
      <c r="E559" s="116">
        <v>1214.95</v>
      </c>
      <c r="F559" s="116">
        <v>1262.25</v>
      </c>
      <c r="G559">
        <v>24516</v>
      </c>
      <c r="H559" s="116"/>
      <c r="I559" s="116"/>
      <c r="L559" s="170">
        <v>42824</v>
      </c>
      <c r="M559" s="116">
        <v>1263.2</v>
      </c>
      <c r="N559" s="116">
        <v>1273.8499999999999</v>
      </c>
      <c r="O559" s="116">
        <v>1201.5</v>
      </c>
      <c r="P559" s="116">
        <v>1214.55</v>
      </c>
      <c r="Q559" s="116">
        <v>1263.2</v>
      </c>
      <c r="R559">
        <v>270587</v>
      </c>
    </row>
    <row r="560" spans="1:18" x14ac:dyDescent="0.25">
      <c r="A560" s="170">
        <v>42825</v>
      </c>
      <c r="B560" s="116">
        <v>1292.9000000000001</v>
      </c>
      <c r="C560" s="116">
        <v>1279.6500000000001</v>
      </c>
      <c r="D560" s="116">
        <v>1244</v>
      </c>
      <c r="E560" s="116">
        <v>1247.1500000000001</v>
      </c>
      <c r="F560" s="116">
        <v>1279.6500000000001</v>
      </c>
      <c r="G560">
        <v>15897</v>
      </c>
      <c r="H560" s="116"/>
      <c r="I560" s="116"/>
      <c r="L560" s="170">
        <v>42825</v>
      </c>
      <c r="M560" s="116">
        <v>1279.9000000000001</v>
      </c>
      <c r="N560" s="116">
        <v>1292</v>
      </c>
      <c r="O560" s="116">
        <v>1242</v>
      </c>
      <c r="P560" s="116">
        <v>1245</v>
      </c>
      <c r="Q560" s="116">
        <v>1279.9000000000001</v>
      </c>
      <c r="R560">
        <v>196449</v>
      </c>
    </row>
    <row r="561" spans="1:18" x14ac:dyDescent="0.25">
      <c r="A561" s="170">
        <v>42828</v>
      </c>
      <c r="B561" s="116">
        <v>1330</v>
      </c>
      <c r="C561" s="116">
        <v>1319.95</v>
      </c>
      <c r="D561" s="116">
        <v>1280.7</v>
      </c>
      <c r="E561" s="116">
        <v>1283</v>
      </c>
      <c r="F561" s="116">
        <v>1319.95</v>
      </c>
      <c r="G561">
        <v>15990</v>
      </c>
      <c r="H561" s="116"/>
      <c r="I561" s="116"/>
      <c r="L561" s="170">
        <v>42828</v>
      </c>
      <c r="M561" s="116">
        <v>1321.55</v>
      </c>
      <c r="N561" s="116">
        <v>1330</v>
      </c>
      <c r="O561" s="116">
        <v>1282.5</v>
      </c>
      <c r="P561" s="116">
        <v>1285</v>
      </c>
      <c r="Q561" s="116">
        <v>1321.55</v>
      </c>
      <c r="R561">
        <v>117066</v>
      </c>
    </row>
    <row r="562" spans="1:18" x14ac:dyDescent="0.25">
      <c r="A562" s="170">
        <v>42830</v>
      </c>
      <c r="B562" s="116">
        <v>1330</v>
      </c>
      <c r="C562" s="116">
        <v>1323.05</v>
      </c>
      <c r="D562" s="116">
        <v>1308</v>
      </c>
      <c r="E562" s="116">
        <v>1318</v>
      </c>
      <c r="F562" s="116">
        <v>1323.05</v>
      </c>
      <c r="G562">
        <v>8025</v>
      </c>
      <c r="H562" s="116"/>
      <c r="I562" s="116"/>
      <c r="L562" s="170">
        <v>42830</v>
      </c>
      <c r="M562" s="116">
        <v>1320.75</v>
      </c>
      <c r="N562" s="116">
        <v>1333</v>
      </c>
      <c r="O562" s="116">
        <v>1305</v>
      </c>
      <c r="P562" s="116">
        <v>1320.2</v>
      </c>
      <c r="Q562" s="116">
        <v>1320.75</v>
      </c>
      <c r="R562">
        <v>438664</v>
      </c>
    </row>
    <row r="563" spans="1:18" x14ac:dyDescent="0.25">
      <c r="A563" s="170">
        <v>42831</v>
      </c>
      <c r="B563" s="116">
        <v>1327</v>
      </c>
      <c r="C563" s="116">
        <v>1300.7</v>
      </c>
      <c r="D563" s="116">
        <v>1296.1500000000001</v>
      </c>
      <c r="E563" s="116">
        <v>1320</v>
      </c>
      <c r="F563" s="116">
        <v>1300.7</v>
      </c>
      <c r="G563">
        <v>6542</v>
      </c>
      <c r="H563" s="116"/>
      <c r="I563" s="116"/>
      <c r="L563" s="170">
        <v>42831</v>
      </c>
      <c r="M563" s="116">
        <v>1303.25</v>
      </c>
      <c r="N563" s="116">
        <v>1326.15</v>
      </c>
      <c r="O563" s="116">
        <v>1295.5</v>
      </c>
      <c r="P563" s="116">
        <v>1320</v>
      </c>
      <c r="Q563" s="116">
        <v>1303.25</v>
      </c>
      <c r="R563">
        <v>28986</v>
      </c>
    </row>
    <row r="564" spans="1:18" x14ac:dyDescent="0.25">
      <c r="A564" s="170">
        <v>42832</v>
      </c>
      <c r="B564" s="116">
        <v>1393</v>
      </c>
      <c r="C564" s="116">
        <v>1380.55</v>
      </c>
      <c r="D564" s="116">
        <v>1298</v>
      </c>
      <c r="E564" s="116">
        <v>1298</v>
      </c>
      <c r="F564" s="116">
        <v>1380.55</v>
      </c>
      <c r="G564">
        <v>27447</v>
      </c>
      <c r="H564" s="116"/>
      <c r="I564" s="116"/>
      <c r="L564" s="170">
        <v>42832</v>
      </c>
      <c r="M564" s="116">
        <v>1379.85</v>
      </c>
      <c r="N564" s="116">
        <v>1388.75</v>
      </c>
      <c r="O564" s="116">
        <v>1300.5</v>
      </c>
      <c r="P564" s="116">
        <v>1300.5</v>
      </c>
      <c r="Q564" s="116">
        <v>1379.85</v>
      </c>
      <c r="R564">
        <v>160940</v>
      </c>
    </row>
    <row r="565" spans="1:18" x14ac:dyDescent="0.25">
      <c r="A565" s="170">
        <v>42835</v>
      </c>
      <c r="B565" s="116">
        <v>1459.7</v>
      </c>
      <c r="C565" s="116">
        <v>1407.95</v>
      </c>
      <c r="D565" s="116">
        <v>1360</v>
      </c>
      <c r="E565" s="116">
        <v>1374.55</v>
      </c>
      <c r="F565" s="116">
        <v>1407.95</v>
      </c>
      <c r="G565">
        <v>37300</v>
      </c>
      <c r="H565" s="116"/>
      <c r="I565" s="116"/>
      <c r="L565" s="170">
        <v>42835</v>
      </c>
      <c r="M565" s="116">
        <v>1405.95</v>
      </c>
      <c r="N565" s="116">
        <v>1459</v>
      </c>
      <c r="O565" s="116">
        <v>1356.65</v>
      </c>
      <c r="P565" s="116">
        <v>1374.2</v>
      </c>
      <c r="Q565" s="116">
        <v>1405.95</v>
      </c>
      <c r="R565">
        <v>293573</v>
      </c>
    </row>
    <row r="566" spans="1:18" x14ac:dyDescent="0.25">
      <c r="A566" s="170">
        <v>42836</v>
      </c>
      <c r="B566" s="116">
        <v>1455</v>
      </c>
      <c r="C566" s="116">
        <v>1447</v>
      </c>
      <c r="D566" s="116">
        <v>1400.05</v>
      </c>
      <c r="E566" s="116">
        <v>1400.05</v>
      </c>
      <c r="F566" s="116">
        <v>1447</v>
      </c>
      <c r="G566">
        <v>18004</v>
      </c>
      <c r="H566" s="116"/>
      <c r="I566" s="116"/>
      <c r="L566" s="170">
        <v>42836</v>
      </c>
      <c r="M566" s="116">
        <v>1447.7</v>
      </c>
      <c r="N566" s="116">
        <v>1455</v>
      </c>
      <c r="O566" s="116">
        <v>1400.2</v>
      </c>
      <c r="P566" s="116">
        <v>1407.5</v>
      </c>
      <c r="Q566" s="116">
        <v>1447.7</v>
      </c>
      <c r="R566">
        <v>153782</v>
      </c>
    </row>
    <row r="567" spans="1:18" x14ac:dyDescent="0.25">
      <c r="A567" s="170">
        <v>42837</v>
      </c>
      <c r="B567" s="116">
        <v>1461</v>
      </c>
      <c r="C567" s="116">
        <v>1457.75</v>
      </c>
      <c r="D567" s="116">
        <v>1436.05</v>
      </c>
      <c r="E567" s="116">
        <v>1444</v>
      </c>
      <c r="F567" s="116">
        <v>1457.75</v>
      </c>
      <c r="G567">
        <v>13168</v>
      </c>
      <c r="H567" s="116"/>
      <c r="I567" s="116"/>
      <c r="L567" s="170">
        <v>42837</v>
      </c>
      <c r="M567" s="116">
        <v>1457.7</v>
      </c>
      <c r="N567" s="116">
        <v>1462.3</v>
      </c>
      <c r="O567" s="116">
        <v>1435.05</v>
      </c>
      <c r="P567" s="116">
        <v>1451</v>
      </c>
      <c r="Q567" s="116">
        <v>1457.7</v>
      </c>
      <c r="R567">
        <v>644352</v>
      </c>
    </row>
    <row r="568" spans="1:18" x14ac:dyDescent="0.25">
      <c r="A568" s="170">
        <v>42838</v>
      </c>
      <c r="B568" s="116">
        <v>1467.65</v>
      </c>
      <c r="C568" s="116">
        <v>1455.3</v>
      </c>
      <c r="D568" s="116">
        <v>1443.85</v>
      </c>
      <c r="E568" s="116">
        <v>1448.75</v>
      </c>
      <c r="F568" s="116">
        <v>1455.3</v>
      </c>
      <c r="G568">
        <v>8283</v>
      </c>
      <c r="H568" s="116"/>
      <c r="I568" s="116"/>
      <c r="L568" s="170">
        <v>42838</v>
      </c>
      <c r="M568" s="116">
        <v>1452.9</v>
      </c>
      <c r="N568" s="116">
        <v>1468.3</v>
      </c>
      <c r="O568" s="116">
        <v>1440.5</v>
      </c>
      <c r="P568" s="116">
        <v>1440.5</v>
      </c>
      <c r="Q568" s="116">
        <v>1452.9</v>
      </c>
      <c r="R568">
        <v>60987</v>
      </c>
    </row>
    <row r="569" spans="1:18" x14ac:dyDescent="0.25">
      <c r="A569" s="170">
        <v>42842</v>
      </c>
      <c r="B569" s="116">
        <v>1467.35</v>
      </c>
      <c r="C569" s="116">
        <v>1451.9</v>
      </c>
      <c r="D569" s="116">
        <v>1430</v>
      </c>
      <c r="E569" s="116">
        <v>1431.15</v>
      </c>
      <c r="F569" s="116">
        <v>1451.9</v>
      </c>
      <c r="G569">
        <v>11983</v>
      </c>
      <c r="H569" s="116"/>
      <c r="I569" s="116"/>
      <c r="L569" s="170">
        <v>42842</v>
      </c>
      <c r="M569" s="116">
        <v>1456.8</v>
      </c>
      <c r="N569" s="116">
        <v>1468</v>
      </c>
      <c r="O569" s="116">
        <v>1416.75</v>
      </c>
      <c r="P569" s="116">
        <v>1451</v>
      </c>
      <c r="Q569" s="116">
        <v>1456.8</v>
      </c>
      <c r="R569">
        <v>59659</v>
      </c>
    </row>
    <row r="570" spans="1:18" x14ac:dyDescent="0.25">
      <c r="A570" s="170">
        <v>42843</v>
      </c>
      <c r="B570" s="116">
        <v>1482.25</v>
      </c>
      <c r="C570" s="116">
        <v>1410.95</v>
      </c>
      <c r="D570" s="116">
        <v>1396.05</v>
      </c>
      <c r="E570" s="116">
        <v>1446.25</v>
      </c>
      <c r="F570" s="116">
        <v>1410.95</v>
      </c>
      <c r="G570">
        <v>15631</v>
      </c>
      <c r="H570" s="116"/>
      <c r="I570" s="116"/>
      <c r="L570" s="170">
        <v>42843</v>
      </c>
      <c r="M570" s="116">
        <v>1412.4</v>
      </c>
      <c r="N570" s="116">
        <v>1484</v>
      </c>
      <c r="O570" s="116">
        <v>1401</v>
      </c>
      <c r="P570" s="116">
        <v>1456</v>
      </c>
      <c r="Q570" s="116">
        <v>1412.4</v>
      </c>
      <c r="R570">
        <v>87056</v>
      </c>
    </row>
    <row r="571" spans="1:18" x14ac:dyDescent="0.25">
      <c r="A571" s="170">
        <v>42844</v>
      </c>
      <c r="B571" s="116">
        <v>1439.95</v>
      </c>
      <c r="C571" s="116">
        <v>1410.4</v>
      </c>
      <c r="D571" s="116">
        <v>1405</v>
      </c>
      <c r="E571" s="116">
        <v>1409.95</v>
      </c>
      <c r="F571" s="116">
        <v>1410.4</v>
      </c>
      <c r="G571">
        <v>3270</v>
      </c>
      <c r="H571" s="116"/>
      <c r="I571" s="116"/>
      <c r="L571" s="170">
        <v>42844</v>
      </c>
      <c r="M571" s="116">
        <v>1407.6</v>
      </c>
      <c r="N571" s="116">
        <v>1445</v>
      </c>
      <c r="O571" s="116">
        <v>1400</v>
      </c>
      <c r="P571" s="116">
        <v>1445</v>
      </c>
      <c r="Q571" s="116">
        <v>1407.6</v>
      </c>
      <c r="R571">
        <v>46799</v>
      </c>
    </row>
    <row r="572" spans="1:18" x14ac:dyDescent="0.25">
      <c r="A572" s="170">
        <v>42845</v>
      </c>
      <c r="B572" s="116">
        <v>1426.55</v>
      </c>
      <c r="C572" s="116">
        <v>1404.95</v>
      </c>
      <c r="D572" s="116">
        <v>1395</v>
      </c>
      <c r="E572" s="116">
        <v>1414</v>
      </c>
      <c r="F572" s="116">
        <v>1404.95</v>
      </c>
      <c r="G572">
        <v>4601</v>
      </c>
      <c r="H572" s="116"/>
      <c r="I572" s="116"/>
      <c r="L572" s="170">
        <v>42845</v>
      </c>
      <c r="M572" s="116">
        <v>1409.6</v>
      </c>
      <c r="N572" s="116">
        <v>1430</v>
      </c>
      <c r="O572" s="116">
        <v>1402.05</v>
      </c>
      <c r="P572" s="116">
        <v>1406</v>
      </c>
      <c r="Q572" s="116">
        <v>1409.6</v>
      </c>
      <c r="R572">
        <v>209213</v>
      </c>
    </row>
    <row r="573" spans="1:18" x14ac:dyDescent="0.25">
      <c r="A573" s="170">
        <v>42846</v>
      </c>
      <c r="B573" s="116">
        <v>1425</v>
      </c>
      <c r="C573" s="116">
        <v>1401.6</v>
      </c>
      <c r="D573" s="116">
        <v>1395</v>
      </c>
      <c r="E573" s="116">
        <v>1405</v>
      </c>
      <c r="F573" s="116">
        <v>1401.6</v>
      </c>
      <c r="G573">
        <v>2151</v>
      </c>
      <c r="H573" s="116"/>
      <c r="I573" s="116"/>
      <c r="L573" s="170">
        <v>42846</v>
      </c>
      <c r="M573" s="116">
        <v>1400.6</v>
      </c>
      <c r="N573" s="116">
        <v>1425</v>
      </c>
      <c r="O573" s="116">
        <v>1393.15</v>
      </c>
      <c r="P573" s="116">
        <v>1409.5</v>
      </c>
      <c r="Q573" s="116">
        <v>1400.6</v>
      </c>
      <c r="R573">
        <v>36932</v>
      </c>
    </row>
    <row r="574" spans="1:18" x14ac:dyDescent="0.25">
      <c r="A574" s="170">
        <v>42849</v>
      </c>
      <c r="B574" s="116">
        <v>1411</v>
      </c>
      <c r="C574" s="116">
        <v>1398.25</v>
      </c>
      <c r="D574" s="116">
        <v>1391</v>
      </c>
      <c r="E574" s="116">
        <v>1401</v>
      </c>
      <c r="F574" s="116">
        <v>1398.25</v>
      </c>
      <c r="G574">
        <v>3067</v>
      </c>
      <c r="H574" s="116"/>
      <c r="I574" s="116"/>
      <c r="L574" s="170">
        <v>42849</v>
      </c>
      <c r="M574" s="116">
        <v>1399.65</v>
      </c>
      <c r="N574" s="116">
        <v>1420</v>
      </c>
      <c r="O574" s="116">
        <v>1392.25</v>
      </c>
      <c r="P574" s="116">
        <v>1401</v>
      </c>
      <c r="Q574" s="116">
        <v>1399.65</v>
      </c>
      <c r="R574">
        <v>29924</v>
      </c>
    </row>
    <row r="575" spans="1:18" x14ac:dyDescent="0.25">
      <c r="A575" s="170">
        <v>42850</v>
      </c>
      <c r="B575" s="116">
        <v>1431</v>
      </c>
      <c r="C575" s="116">
        <v>1413.05</v>
      </c>
      <c r="D575" s="116">
        <v>1399</v>
      </c>
      <c r="E575" s="116">
        <v>1399</v>
      </c>
      <c r="F575" s="116">
        <v>1413.05</v>
      </c>
      <c r="G575">
        <v>6965</v>
      </c>
      <c r="H575" s="116"/>
      <c r="I575" s="116"/>
      <c r="L575" s="170">
        <v>42850</v>
      </c>
      <c r="M575" s="116">
        <v>1410.25</v>
      </c>
      <c r="N575" s="116">
        <v>1430.75</v>
      </c>
      <c r="O575" s="116">
        <v>1403.7</v>
      </c>
      <c r="P575" s="116">
        <v>1403.7</v>
      </c>
      <c r="Q575" s="116">
        <v>1410.25</v>
      </c>
      <c r="R575">
        <v>81542</v>
      </c>
    </row>
    <row r="576" spans="1:18" x14ac:dyDescent="0.25">
      <c r="A576" s="170">
        <v>42851</v>
      </c>
      <c r="B576" s="116">
        <v>1440</v>
      </c>
      <c r="C576" s="116">
        <v>1424.6</v>
      </c>
      <c r="D576" s="116">
        <v>1410.05</v>
      </c>
      <c r="E576" s="116">
        <v>1410.05</v>
      </c>
      <c r="F576" s="116">
        <v>1424.6</v>
      </c>
      <c r="G576">
        <v>6381</v>
      </c>
      <c r="H576" s="116"/>
      <c r="I576" s="116"/>
      <c r="L576" s="170">
        <v>42851</v>
      </c>
      <c r="M576" s="116">
        <v>1424</v>
      </c>
      <c r="N576" s="116">
        <v>1441.8</v>
      </c>
      <c r="O576" s="116">
        <v>1414.1</v>
      </c>
      <c r="P576" s="116">
        <v>1415</v>
      </c>
      <c r="Q576" s="116">
        <v>1424</v>
      </c>
      <c r="R576">
        <v>47570</v>
      </c>
    </row>
    <row r="577" spans="1:18" x14ac:dyDescent="0.25">
      <c r="A577" s="170">
        <v>42852</v>
      </c>
      <c r="B577" s="116">
        <v>1426.75</v>
      </c>
      <c r="C577" s="116">
        <v>1409.1</v>
      </c>
      <c r="D577" s="116">
        <v>1401</v>
      </c>
      <c r="E577" s="116">
        <v>1424</v>
      </c>
      <c r="F577" s="116">
        <v>1409.1</v>
      </c>
      <c r="G577">
        <v>9684</v>
      </c>
      <c r="H577" s="116"/>
      <c r="I577" s="116"/>
      <c r="L577" s="170">
        <v>42852</v>
      </c>
      <c r="M577" s="116">
        <v>1407</v>
      </c>
      <c r="N577" s="116">
        <v>1435</v>
      </c>
      <c r="O577" s="116">
        <v>1397</v>
      </c>
      <c r="P577" s="116">
        <v>1435</v>
      </c>
      <c r="Q577" s="116">
        <v>1407</v>
      </c>
      <c r="R577">
        <v>148023</v>
      </c>
    </row>
    <row r="578" spans="1:18" x14ac:dyDescent="0.25">
      <c r="A578" s="170">
        <v>42853</v>
      </c>
      <c r="B578" s="116">
        <v>1421.75</v>
      </c>
      <c r="C578" s="116">
        <v>1410.45</v>
      </c>
      <c r="D578" s="116">
        <v>1390</v>
      </c>
      <c r="E578" s="116">
        <v>1396</v>
      </c>
      <c r="F578" s="116">
        <v>1410.45</v>
      </c>
      <c r="G578">
        <v>4707</v>
      </c>
      <c r="H578" s="116"/>
      <c r="I578" s="116"/>
      <c r="L578" s="170">
        <v>42853</v>
      </c>
      <c r="M578" s="116">
        <v>1409.6</v>
      </c>
      <c r="N578" s="116">
        <v>1422.95</v>
      </c>
      <c r="O578" s="116">
        <v>1387.85</v>
      </c>
      <c r="P578" s="116">
        <v>1408.1</v>
      </c>
      <c r="Q578" s="116">
        <v>1409.6</v>
      </c>
      <c r="R578">
        <v>54920</v>
      </c>
    </row>
    <row r="579" spans="1:18" x14ac:dyDescent="0.25">
      <c r="A579" s="170">
        <v>42857</v>
      </c>
      <c r="B579" s="116">
        <v>1424</v>
      </c>
      <c r="C579" s="116">
        <v>1410.6</v>
      </c>
      <c r="D579" s="116">
        <v>1404</v>
      </c>
      <c r="E579" s="116">
        <v>1421.2</v>
      </c>
      <c r="F579" s="116">
        <v>1410.6</v>
      </c>
      <c r="G579">
        <v>3305</v>
      </c>
      <c r="H579" s="116"/>
      <c r="I579" s="116"/>
      <c r="L579" s="170">
        <v>42857</v>
      </c>
      <c r="M579" s="116">
        <v>1411.4</v>
      </c>
      <c r="N579" s="116">
        <v>1427</v>
      </c>
      <c r="O579" s="116">
        <v>1404.95</v>
      </c>
      <c r="P579" s="116">
        <v>1419.9</v>
      </c>
      <c r="Q579" s="116">
        <v>1411.4</v>
      </c>
      <c r="R579">
        <v>35173</v>
      </c>
    </row>
    <row r="580" spans="1:18" x14ac:dyDescent="0.25">
      <c r="A580" s="170">
        <v>42858</v>
      </c>
      <c r="B580" s="116">
        <v>1434.95</v>
      </c>
      <c r="C580" s="116">
        <v>1419.9</v>
      </c>
      <c r="D580" s="116">
        <v>1410</v>
      </c>
      <c r="E580" s="116">
        <v>1420</v>
      </c>
      <c r="F580" s="116">
        <v>1419.9</v>
      </c>
      <c r="G580">
        <v>4681</v>
      </c>
      <c r="H580" s="116"/>
      <c r="I580" s="116"/>
      <c r="L580" s="170">
        <v>42858</v>
      </c>
      <c r="M580" s="116">
        <v>1419.6</v>
      </c>
      <c r="N580" s="116">
        <v>1435.1</v>
      </c>
      <c r="O580" s="116">
        <v>1411</v>
      </c>
      <c r="P580" s="116">
        <v>1416</v>
      </c>
      <c r="Q580" s="116">
        <v>1419.6</v>
      </c>
      <c r="R580">
        <v>54871</v>
      </c>
    </row>
    <row r="581" spans="1:18" x14ac:dyDescent="0.25">
      <c r="A581" s="170">
        <v>42859</v>
      </c>
      <c r="B581" s="116">
        <v>1427</v>
      </c>
      <c r="C581" s="116">
        <v>1422.9</v>
      </c>
      <c r="D581" s="116">
        <v>1417.9</v>
      </c>
      <c r="E581" s="116">
        <v>1418</v>
      </c>
      <c r="F581" s="116">
        <v>1422.9</v>
      </c>
      <c r="G581">
        <v>4811</v>
      </c>
      <c r="H581" s="116"/>
      <c r="I581" s="116"/>
      <c r="L581" s="170">
        <v>42859</v>
      </c>
      <c r="M581" s="116">
        <v>1421.05</v>
      </c>
      <c r="N581" s="116">
        <v>1427.9</v>
      </c>
      <c r="O581" s="116">
        <v>1415</v>
      </c>
      <c r="P581" s="116">
        <v>1419</v>
      </c>
      <c r="Q581" s="116">
        <v>1421.05</v>
      </c>
      <c r="R581">
        <v>27903</v>
      </c>
    </row>
    <row r="582" spans="1:18" x14ac:dyDescent="0.25">
      <c r="A582" s="170">
        <v>42860</v>
      </c>
      <c r="B582" s="116">
        <v>1441.5</v>
      </c>
      <c r="C582" s="116">
        <v>1412.3</v>
      </c>
      <c r="D582" s="116">
        <v>1406.95</v>
      </c>
      <c r="E582" s="116">
        <v>1422.55</v>
      </c>
      <c r="F582" s="116">
        <v>1412.3</v>
      </c>
      <c r="G582">
        <v>5180</v>
      </c>
      <c r="H582" s="116"/>
      <c r="I582" s="116"/>
      <c r="L582" s="170">
        <v>42860</v>
      </c>
      <c r="M582" s="116">
        <v>1415.9</v>
      </c>
      <c r="N582" s="116">
        <v>1442.05</v>
      </c>
      <c r="O582" s="116">
        <v>1408.1</v>
      </c>
      <c r="P582" s="116">
        <v>1430</v>
      </c>
      <c r="Q582" s="116">
        <v>1415.9</v>
      </c>
      <c r="R582">
        <v>43627</v>
      </c>
    </row>
    <row r="583" spans="1:18" x14ac:dyDescent="0.25">
      <c r="A583" s="170">
        <v>42863</v>
      </c>
      <c r="B583" s="116">
        <v>1445</v>
      </c>
      <c r="C583" s="116">
        <v>1401.75</v>
      </c>
      <c r="D583" s="116">
        <v>1391.1</v>
      </c>
      <c r="E583" s="116">
        <v>1422</v>
      </c>
      <c r="F583" s="116">
        <v>1401.75</v>
      </c>
      <c r="G583">
        <v>14159</v>
      </c>
      <c r="H583" s="116"/>
      <c r="I583" s="116"/>
      <c r="L583" s="170">
        <v>42863</v>
      </c>
      <c r="M583" s="116">
        <v>1406.1</v>
      </c>
      <c r="N583" s="116">
        <v>1450</v>
      </c>
      <c r="O583" s="116">
        <v>1393.2</v>
      </c>
      <c r="P583" s="116">
        <v>1429.7</v>
      </c>
      <c r="Q583" s="116">
        <v>1406.1</v>
      </c>
      <c r="R583">
        <v>82816</v>
      </c>
    </row>
    <row r="584" spans="1:18" x14ac:dyDescent="0.25">
      <c r="A584" s="170">
        <v>42864</v>
      </c>
      <c r="B584" s="116">
        <v>1595</v>
      </c>
      <c r="C584" s="116">
        <v>1537.8</v>
      </c>
      <c r="D584" s="116">
        <v>1403.95</v>
      </c>
      <c r="E584" s="116">
        <v>1413</v>
      </c>
      <c r="F584" s="116">
        <v>1537.8</v>
      </c>
      <c r="G584">
        <v>220420</v>
      </c>
      <c r="H584" s="116"/>
      <c r="I584" s="116"/>
      <c r="L584" s="170">
        <v>42864</v>
      </c>
      <c r="M584" s="116">
        <v>1532.35</v>
      </c>
      <c r="N584" s="116">
        <v>1593.8</v>
      </c>
      <c r="O584" s="116">
        <v>1401.95</v>
      </c>
      <c r="P584" s="116">
        <v>1402</v>
      </c>
      <c r="Q584" s="116">
        <v>1532.35</v>
      </c>
      <c r="R584">
        <v>1484320</v>
      </c>
    </row>
    <row r="585" spans="1:18" x14ac:dyDescent="0.25">
      <c r="A585" s="170">
        <v>42865</v>
      </c>
      <c r="B585" s="116">
        <v>1619.45</v>
      </c>
      <c r="C585" s="116">
        <v>1598.8</v>
      </c>
      <c r="D585" s="116">
        <v>1532</v>
      </c>
      <c r="E585" s="116">
        <v>1543</v>
      </c>
      <c r="F585" s="116">
        <v>1598.8</v>
      </c>
      <c r="G585">
        <v>135180</v>
      </c>
      <c r="H585" s="116"/>
      <c r="I585" s="116"/>
      <c r="L585" s="170">
        <v>42865</v>
      </c>
      <c r="M585" s="116">
        <v>1601.95</v>
      </c>
      <c r="N585" s="116">
        <v>1620</v>
      </c>
      <c r="O585" s="116">
        <v>1531.3</v>
      </c>
      <c r="P585" s="116">
        <v>1549.8</v>
      </c>
      <c r="Q585" s="116">
        <v>1601.95</v>
      </c>
      <c r="R585">
        <v>776039</v>
      </c>
    </row>
    <row r="586" spans="1:18" x14ac:dyDescent="0.25">
      <c r="A586" s="170">
        <v>42866</v>
      </c>
      <c r="B586" s="116">
        <v>1601</v>
      </c>
      <c r="C586" s="116">
        <v>1529</v>
      </c>
      <c r="D586" s="116">
        <v>1518.9</v>
      </c>
      <c r="E586" s="116">
        <v>1600.05</v>
      </c>
      <c r="F586" s="116">
        <v>1529</v>
      </c>
      <c r="G586">
        <v>39153</v>
      </c>
      <c r="H586" s="116"/>
      <c r="I586" s="116"/>
      <c r="L586" s="170">
        <v>42866</v>
      </c>
      <c r="M586" s="116">
        <v>1532.4</v>
      </c>
      <c r="N586" s="116">
        <v>1602</v>
      </c>
      <c r="O586" s="116">
        <v>1520</v>
      </c>
      <c r="P586" s="116">
        <v>1601</v>
      </c>
      <c r="Q586" s="116">
        <v>1532.4</v>
      </c>
      <c r="R586">
        <v>292749</v>
      </c>
    </row>
    <row r="587" spans="1:18" x14ac:dyDescent="0.25">
      <c r="A587" s="170">
        <v>42867</v>
      </c>
      <c r="B587" s="116">
        <v>1568.9</v>
      </c>
      <c r="C587" s="116">
        <v>1546.15</v>
      </c>
      <c r="D587" s="116">
        <v>1533.9</v>
      </c>
      <c r="E587" s="116">
        <v>1545</v>
      </c>
      <c r="F587" s="116">
        <v>1546.15</v>
      </c>
      <c r="G587">
        <v>24658</v>
      </c>
      <c r="H587" s="116"/>
      <c r="I587" s="116"/>
      <c r="L587" s="170">
        <v>42867</v>
      </c>
      <c r="M587" s="116">
        <v>1545.45</v>
      </c>
      <c r="N587" s="116">
        <v>1570</v>
      </c>
      <c r="O587" s="116">
        <v>1540</v>
      </c>
      <c r="P587" s="116">
        <v>1540</v>
      </c>
      <c r="Q587" s="116">
        <v>1545.45</v>
      </c>
      <c r="R587">
        <v>257539</v>
      </c>
    </row>
    <row r="588" spans="1:18" x14ac:dyDescent="0.25">
      <c r="A588" s="170">
        <v>42870</v>
      </c>
      <c r="B588" s="116">
        <v>1573.9</v>
      </c>
      <c r="C588" s="116">
        <v>1563.75</v>
      </c>
      <c r="D588" s="116">
        <v>1526.55</v>
      </c>
      <c r="E588" s="116">
        <v>1550</v>
      </c>
      <c r="F588" s="116">
        <v>1563.75</v>
      </c>
      <c r="G588">
        <v>15725</v>
      </c>
      <c r="H588" s="116"/>
      <c r="I588" s="116"/>
      <c r="L588" s="170">
        <v>42870</v>
      </c>
      <c r="M588" s="116">
        <v>1569.1</v>
      </c>
      <c r="N588" s="116">
        <v>1575.45</v>
      </c>
      <c r="O588" s="116">
        <v>1524.85</v>
      </c>
      <c r="P588" s="116">
        <v>1550</v>
      </c>
      <c r="Q588" s="116">
        <v>1569.1</v>
      </c>
      <c r="R588">
        <v>118785</v>
      </c>
    </row>
    <row r="589" spans="1:18" x14ac:dyDescent="0.25">
      <c r="A589" s="170">
        <v>42871</v>
      </c>
      <c r="B589" s="116">
        <v>1565</v>
      </c>
      <c r="C589" s="116">
        <v>1546</v>
      </c>
      <c r="D589" s="116">
        <v>1535</v>
      </c>
      <c r="E589" s="116">
        <v>1562</v>
      </c>
      <c r="F589" s="116">
        <v>1546</v>
      </c>
      <c r="G589">
        <v>14650</v>
      </c>
      <c r="H589" s="116"/>
      <c r="I589" s="116"/>
      <c r="L589" s="170">
        <v>42871</v>
      </c>
      <c r="M589" s="116">
        <v>1549.55</v>
      </c>
      <c r="N589" s="116">
        <v>1569</v>
      </c>
      <c r="O589" s="116">
        <v>1536</v>
      </c>
      <c r="P589" s="116">
        <v>1565</v>
      </c>
      <c r="Q589" s="116">
        <v>1549.55</v>
      </c>
      <c r="R589">
        <v>131250</v>
      </c>
    </row>
    <row r="590" spans="1:18" x14ac:dyDescent="0.25">
      <c r="A590" s="170">
        <v>42872</v>
      </c>
      <c r="B590" s="116">
        <v>1585</v>
      </c>
      <c r="C590" s="116">
        <v>1560.6</v>
      </c>
      <c r="D590" s="116">
        <v>1544.95</v>
      </c>
      <c r="E590" s="116">
        <v>1544.95</v>
      </c>
      <c r="F590" s="116">
        <v>1560.6</v>
      </c>
      <c r="G590">
        <v>12502</v>
      </c>
      <c r="H590" s="116"/>
      <c r="I590" s="116"/>
      <c r="L590" s="170">
        <v>42872</v>
      </c>
      <c r="M590" s="116">
        <v>1560.75</v>
      </c>
      <c r="N590" s="116">
        <v>1587</v>
      </c>
      <c r="O590" s="116">
        <v>1545.05</v>
      </c>
      <c r="P590" s="116">
        <v>1548.9</v>
      </c>
      <c r="Q590" s="116">
        <v>1560.75</v>
      </c>
      <c r="R590">
        <v>131756</v>
      </c>
    </row>
    <row r="591" spans="1:18" x14ac:dyDescent="0.25">
      <c r="A591" s="170">
        <v>42873</v>
      </c>
      <c r="B591" s="116">
        <v>1558</v>
      </c>
      <c r="C591" s="116">
        <v>1504.7</v>
      </c>
      <c r="D591" s="116">
        <v>1481.5</v>
      </c>
      <c r="E591" s="116">
        <v>1558</v>
      </c>
      <c r="F591" s="116">
        <v>1504.7</v>
      </c>
      <c r="G591">
        <v>9011</v>
      </c>
      <c r="H591" s="116"/>
      <c r="I591" s="116"/>
      <c r="L591" s="170">
        <v>42873</v>
      </c>
      <c r="M591" s="116">
        <v>1503.95</v>
      </c>
      <c r="N591" s="116">
        <v>1558</v>
      </c>
      <c r="O591" s="116">
        <v>1466.65</v>
      </c>
      <c r="P591" s="116">
        <v>1558</v>
      </c>
      <c r="Q591" s="116">
        <v>1503.95</v>
      </c>
      <c r="R591">
        <v>56582</v>
      </c>
    </row>
    <row r="592" spans="1:18" x14ac:dyDescent="0.25">
      <c r="A592" s="170">
        <v>42874</v>
      </c>
      <c r="B592" s="116">
        <v>1557.6</v>
      </c>
      <c r="C592" s="116">
        <v>1527.65</v>
      </c>
      <c r="D592" s="116">
        <v>1506.95</v>
      </c>
      <c r="E592" s="116">
        <v>1506.95</v>
      </c>
      <c r="F592" s="116">
        <v>1527.65</v>
      </c>
      <c r="G592">
        <v>10662</v>
      </c>
      <c r="H592" s="116"/>
      <c r="I592" s="116"/>
      <c r="L592" s="170">
        <v>42874</v>
      </c>
      <c r="M592" s="116">
        <v>1526.85</v>
      </c>
      <c r="N592" s="116">
        <v>1557.9</v>
      </c>
      <c r="O592" s="116">
        <v>1510.7</v>
      </c>
      <c r="P592" s="116">
        <v>1520.95</v>
      </c>
      <c r="Q592" s="116">
        <v>1526.85</v>
      </c>
      <c r="R592">
        <v>149987</v>
      </c>
    </row>
    <row r="593" spans="1:18" x14ac:dyDescent="0.25">
      <c r="A593" s="170">
        <v>42877</v>
      </c>
      <c r="B593" s="116">
        <v>1546.1</v>
      </c>
      <c r="C593" s="116">
        <v>1499.4</v>
      </c>
      <c r="D593" s="116">
        <v>1494.4</v>
      </c>
      <c r="E593" s="116">
        <v>1533</v>
      </c>
      <c r="F593" s="116">
        <v>1499.4</v>
      </c>
      <c r="G593">
        <v>7052</v>
      </c>
      <c r="H593" s="116"/>
      <c r="I593" s="116"/>
      <c r="L593" s="170">
        <v>42877</v>
      </c>
      <c r="M593" s="116">
        <v>1503.9</v>
      </c>
      <c r="N593" s="116">
        <v>1548.95</v>
      </c>
      <c r="O593" s="116">
        <v>1498</v>
      </c>
      <c r="P593" s="116">
        <v>1532.8</v>
      </c>
      <c r="Q593" s="116">
        <v>1503.9</v>
      </c>
      <c r="R593">
        <v>37999</v>
      </c>
    </row>
    <row r="594" spans="1:18" x14ac:dyDescent="0.25">
      <c r="A594" s="170">
        <v>42878</v>
      </c>
      <c r="B594" s="116">
        <v>1518.9</v>
      </c>
      <c r="C594" s="116">
        <v>1454.65</v>
      </c>
      <c r="D594" s="116">
        <v>1449.95</v>
      </c>
      <c r="E594" s="116">
        <v>1506.4</v>
      </c>
      <c r="F594" s="116">
        <v>1454.65</v>
      </c>
      <c r="G594">
        <v>11049</v>
      </c>
      <c r="H594" s="116"/>
      <c r="I594" s="116"/>
      <c r="L594" s="170">
        <v>42878</v>
      </c>
      <c r="M594" s="116">
        <v>1450.15</v>
      </c>
      <c r="N594" s="116">
        <v>1512.15</v>
      </c>
      <c r="O594" s="116">
        <v>1445</v>
      </c>
      <c r="P594" s="116">
        <v>1511</v>
      </c>
      <c r="Q594" s="116">
        <v>1450.15</v>
      </c>
      <c r="R594">
        <v>62588</v>
      </c>
    </row>
    <row r="595" spans="1:18" x14ac:dyDescent="0.25">
      <c r="A595" s="170">
        <v>42879</v>
      </c>
      <c r="B595" s="116">
        <v>1522.9</v>
      </c>
      <c r="C595" s="116">
        <v>1470.4</v>
      </c>
      <c r="D595" s="116">
        <v>1449.85</v>
      </c>
      <c r="E595" s="116">
        <v>1464.05</v>
      </c>
      <c r="F595" s="116">
        <v>1470.4</v>
      </c>
      <c r="G595">
        <v>20068</v>
      </c>
      <c r="H595" s="116"/>
      <c r="I595" s="116"/>
      <c r="L595" s="170">
        <v>42879</v>
      </c>
      <c r="M595" s="116">
        <v>1472.35</v>
      </c>
      <c r="N595" s="116">
        <v>1520</v>
      </c>
      <c r="O595" s="116">
        <v>1447</v>
      </c>
      <c r="P595" s="116">
        <v>1450</v>
      </c>
      <c r="Q595" s="116">
        <v>1472.35</v>
      </c>
      <c r="R595">
        <v>75618</v>
      </c>
    </row>
    <row r="596" spans="1:18" x14ac:dyDescent="0.25">
      <c r="A596" s="170">
        <v>42880</v>
      </c>
      <c r="B596" s="116">
        <v>1505.85</v>
      </c>
      <c r="C596" s="116">
        <v>1478.4</v>
      </c>
      <c r="D596" s="116">
        <v>1453</v>
      </c>
      <c r="E596" s="116">
        <v>1471.75</v>
      </c>
      <c r="F596" s="116">
        <v>1478.4</v>
      </c>
      <c r="G596">
        <v>12756</v>
      </c>
      <c r="H596" s="116"/>
      <c r="I596" s="116"/>
      <c r="L596" s="170">
        <v>42880</v>
      </c>
      <c r="M596" s="116">
        <v>1478.7</v>
      </c>
      <c r="N596" s="116">
        <v>1505</v>
      </c>
      <c r="O596" s="116">
        <v>1448.8</v>
      </c>
      <c r="P596" s="116">
        <v>1472.35</v>
      </c>
      <c r="Q596" s="116">
        <v>1478.7</v>
      </c>
      <c r="R596">
        <v>52604</v>
      </c>
    </row>
    <row r="597" spans="1:18" x14ac:dyDescent="0.25">
      <c r="A597" s="170">
        <v>42881</v>
      </c>
      <c r="B597" s="116">
        <v>1509.2</v>
      </c>
      <c r="C597" s="116">
        <v>1478.4</v>
      </c>
      <c r="D597" s="116">
        <v>1468.4</v>
      </c>
      <c r="E597" s="116">
        <v>1470.6</v>
      </c>
      <c r="F597" s="116">
        <v>1478.4</v>
      </c>
      <c r="G597">
        <v>48726</v>
      </c>
      <c r="H597" s="116"/>
      <c r="I597" s="116"/>
      <c r="L597" s="170">
        <v>42881</v>
      </c>
      <c r="M597" s="116">
        <v>1483.45</v>
      </c>
      <c r="N597" s="116">
        <v>1509</v>
      </c>
      <c r="O597" s="116">
        <v>1472</v>
      </c>
      <c r="P597" s="116">
        <v>1488</v>
      </c>
      <c r="Q597" s="116">
        <v>1483.45</v>
      </c>
      <c r="R597">
        <v>96892</v>
      </c>
    </row>
    <row r="598" spans="1:18" x14ac:dyDescent="0.25">
      <c r="A598" s="170">
        <v>42884</v>
      </c>
      <c r="B598" s="116">
        <v>1551</v>
      </c>
      <c r="C598" s="116">
        <v>1467.55</v>
      </c>
      <c r="D598" s="116">
        <v>1456.25</v>
      </c>
      <c r="E598" s="116">
        <v>1551</v>
      </c>
      <c r="F598" s="116">
        <v>1467.55</v>
      </c>
      <c r="G598">
        <v>9325</v>
      </c>
      <c r="H598" s="116"/>
      <c r="I598" s="116"/>
      <c r="L598" s="170">
        <v>42884</v>
      </c>
      <c r="M598" s="116">
        <v>1464.5</v>
      </c>
      <c r="N598" s="116">
        <v>1496.95</v>
      </c>
      <c r="O598" s="116">
        <v>1458</v>
      </c>
      <c r="P598" s="116">
        <v>1483</v>
      </c>
      <c r="Q598" s="116">
        <v>1464.5</v>
      </c>
      <c r="R598">
        <v>21512</v>
      </c>
    </row>
    <row r="599" spans="1:18" x14ac:dyDescent="0.25">
      <c r="A599" s="170">
        <v>42885</v>
      </c>
      <c r="B599" s="116">
        <v>1481</v>
      </c>
      <c r="C599" s="116">
        <v>1453.45</v>
      </c>
      <c r="D599" s="116">
        <v>1440.3</v>
      </c>
      <c r="E599" s="116">
        <v>1467.6</v>
      </c>
      <c r="F599" s="116">
        <v>1453.45</v>
      </c>
      <c r="G599">
        <v>4279</v>
      </c>
      <c r="H599" s="116"/>
      <c r="I599" s="116"/>
      <c r="L599" s="170">
        <v>42885</v>
      </c>
      <c r="M599" s="116">
        <v>1458</v>
      </c>
      <c r="N599" s="116">
        <v>1484</v>
      </c>
      <c r="O599" s="116">
        <v>1437.15</v>
      </c>
      <c r="P599" s="116">
        <v>1460.1</v>
      </c>
      <c r="Q599" s="116">
        <v>1458</v>
      </c>
      <c r="R599">
        <v>37494</v>
      </c>
    </row>
    <row r="600" spans="1:18" x14ac:dyDescent="0.25">
      <c r="A600" s="170">
        <v>42886</v>
      </c>
      <c r="B600" s="116">
        <v>1478.35</v>
      </c>
      <c r="C600" s="116">
        <v>1459.65</v>
      </c>
      <c r="D600" s="116">
        <v>1455</v>
      </c>
      <c r="E600" s="116">
        <v>1471.1</v>
      </c>
      <c r="F600" s="116">
        <v>1459.65</v>
      </c>
      <c r="G600">
        <v>4016</v>
      </c>
      <c r="H600" s="116"/>
      <c r="I600" s="116"/>
      <c r="L600" s="170">
        <v>42886</v>
      </c>
      <c r="M600" s="116">
        <v>1459.6</v>
      </c>
      <c r="N600" s="116">
        <v>1479.95</v>
      </c>
      <c r="O600" s="116">
        <v>1455</v>
      </c>
      <c r="P600" s="116">
        <v>1479.95</v>
      </c>
      <c r="Q600" s="116">
        <v>1459.6</v>
      </c>
      <c r="R600">
        <v>29906</v>
      </c>
    </row>
    <row r="601" spans="1:18" x14ac:dyDescent="0.25">
      <c r="A601" s="170">
        <v>42887</v>
      </c>
      <c r="B601" s="116">
        <v>1469.6</v>
      </c>
      <c r="C601" s="116">
        <v>1444.9</v>
      </c>
      <c r="D601" s="116">
        <v>1435.15</v>
      </c>
      <c r="E601" s="116">
        <v>1469.6</v>
      </c>
      <c r="F601" s="116">
        <v>1444.9</v>
      </c>
      <c r="G601">
        <v>3841</v>
      </c>
      <c r="H601" s="116"/>
      <c r="I601" s="116"/>
      <c r="L601" s="170">
        <v>42887</v>
      </c>
      <c r="M601" s="116">
        <v>1448.4</v>
      </c>
      <c r="N601" s="116">
        <v>1467.4</v>
      </c>
      <c r="O601" s="116">
        <v>1440</v>
      </c>
      <c r="P601" s="116">
        <v>1458.6</v>
      </c>
      <c r="Q601" s="116">
        <v>1448.4</v>
      </c>
      <c r="R601">
        <v>22382</v>
      </c>
    </row>
    <row r="602" spans="1:18" x14ac:dyDescent="0.25">
      <c r="A602" s="170">
        <v>42888</v>
      </c>
      <c r="B602" s="116">
        <v>1466.7</v>
      </c>
      <c r="C602" s="116">
        <v>1448.95</v>
      </c>
      <c r="D602" s="116">
        <v>1437.65</v>
      </c>
      <c r="E602" s="116">
        <v>1460</v>
      </c>
      <c r="F602" s="116">
        <v>1448.95</v>
      </c>
      <c r="G602">
        <v>505148</v>
      </c>
      <c r="H602" s="116"/>
      <c r="I602" s="116"/>
      <c r="L602" s="170">
        <v>42888</v>
      </c>
      <c r="M602" s="116">
        <v>1448</v>
      </c>
      <c r="N602" s="116">
        <v>1468.05</v>
      </c>
      <c r="O602" s="116">
        <v>1435</v>
      </c>
      <c r="P602" s="116">
        <v>1463</v>
      </c>
      <c r="Q602" s="116">
        <v>1448</v>
      </c>
      <c r="R602">
        <v>131295</v>
      </c>
    </row>
    <row r="603" spans="1:18" x14ac:dyDescent="0.25">
      <c r="A603" s="170">
        <v>42891</v>
      </c>
      <c r="B603" s="116">
        <v>1450</v>
      </c>
      <c r="C603" s="116">
        <v>1444.75</v>
      </c>
      <c r="D603" s="116">
        <v>1438</v>
      </c>
      <c r="E603" s="116">
        <v>1443.95</v>
      </c>
      <c r="F603" s="116">
        <v>1444.75</v>
      </c>
      <c r="G603">
        <v>4504</v>
      </c>
      <c r="H603" s="116"/>
      <c r="I603" s="116"/>
      <c r="L603" s="170">
        <v>42891</v>
      </c>
      <c r="M603" s="116">
        <v>1437.3</v>
      </c>
      <c r="N603" s="116">
        <v>1450</v>
      </c>
      <c r="O603" s="116">
        <v>1435</v>
      </c>
      <c r="P603" s="116">
        <v>1441.6</v>
      </c>
      <c r="Q603" s="116">
        <v>1437.3</v>
      </c>
      <c r="R603">
        <v>20079</v>
      </c>
    </row>
    <row r="604" spans="1:18" x14ac:dyDescent="0.25">
      <c r="A604" s="170">
        <v>42892</v>
      </c>
      <c r="B604" s="116">
        <v>1451.4</v>
      </c>
      <c r="C604" s="116">
        <v>1417.85</v>
      </c>
      <c r="D604" s="116">
        <v>1376.5</v>
      </c>
      <c r="E604" s="116">
        <v>1451.4</v>
      </c>
      <c r="F604" s="116">
        <v>1417.85</v>
      </c>
      <c r="G604">
        <v>9418</v>
      </c>
      <c r="H604" s="116"/>
      <c r="I604" s="116"/>
      <c r="L604" s="170">
        <v>42892</v>
      </c>
      <c r="M604" s="116">
        <v>1413.5</v>
      </c>
      <c r="N604" s="116">
        <v>1449.5</v>
      </c>
      <c r="O604" s="116">
        <v>1376</v>
      </c>
      <c r="P604" s="116">
        <v>1440.05</v>
      </c>
      <c r="Q604" s="116">
        <v>1413.5</v>
      </c>
      <c r="R604">
        <v>89875</v>
      </c>
    </row>
    <row r="605" spans="1:18" x14ac:dyDescent="0.25">
      <c r="A605" s="170">
        <v>42893</v>
      </c>
      <c r="B605" s="116">
        <v>1452.7</v>
      </c>
      <c r="C605" s="116">
        <v>1423.6</v>
      </c>
      <c r="D605" s="116">
        <v>1400.15</v>
      </c>
      <c r="E605" s="116">
        <v>1410.05</v>
      </c>
      <c r="F605" s="116">
        <v>1423.6</v>
      </c>
      <c r="G605">
        <v>13491</v>
      </c>
      <c r="H605" s="116"/>
      <c r="I605" s="116"/>
      <c r="L605" s="170">
        <v>42893</v>
      </c>
      <c r="M605" s="116">
        <v>1421.9</v>
      </c>
      <c r="N605" s="116">
        <v>1451.95</v>
      </c>
      <c r="O605" s="116">
        <v>1401.85</v>
      </c>
      <c r="P605" s="116">
        <v>1415</v>
      </c>
      <c r="Q605" s="116">
        <v>1421.9</v>
      </c>
      <c r="R605">
        <v>93847</v>
      </c>
    </row>
    <row r="606" spans="1:18" x14ac:dyDescent="0.25">
      <c r="A606" s="170">
        <v>42894</v>
      </c>
      <c r="B606" s="116">
        <v>1500</v>
      </c>
      <c r="C606" s="116">
        <v>1472.95</v>
      </c>
      <c r="D606" s="116">
        <v>1398</v>
      </c>
      <c r="E606" s="116">
        <v>1398</v>
      </c>
      <c r="F606" s="116">
        <v>1472.95</v>
      </c>
      <c r="G606">
        <v>13496</v>
      </c>
      <c r="H606" s="116"/>
      <c r="I606" s="116"/>
      <c r="L606" s="170">
        <v>42894</v>
      </c>
      <c r="M606" s="116">
        <v>1478.8</v>
      </c>
      <c r="N606" s="116">
        <v>1502</v>
      </c>
      <c r="O606" s="116">
        <v>1415.95</v>
      </c>
      <c r="P606" s="116">
        <v>1436</v>
      </c>
      <c r="Q606" s="116">
        <v>1478.8</v>
      </c>
      <c r="R606">
        <v>59212</v>
      </c>
    </row>
    <row r="607" spans="1:18" x14ac:dyDescent="0.25">
      <c r="A607" s="170">
        <v>42895</v>
      </c>
      <c r="B607" s="116">
        <v>1482</v>
      </c>
      <c r="C607" s="116">
        <v>1456.7</v>
      </c>
      <c r="D607" s="116">
        <v>1441.6</v>
      </c>
      <c r="E607" s="116">
        <v>1482</v>
      </c>
      <c r="F607" s="116">
        <v>1456.7</v>
      </c>
      <c r="G607">
        <v>10229</v>
      </c>
      <c r="H607" s="116"/>
      <c r="I607" s="116"/>
      <c r="L607" s="170">
        <v>42895</v>
      </c>
      <c r="M607" s="116">
        <v>1459.45</v>
      </c>
      <c r="N607" s="116">
        <v>1479.05</v>
      </c>
      <c r="O607" s="116">
        <v>1450</v>
      </c>
      <c r="P607" s="116">
        <v>1477</v>
      </c>
      <c r="Q607" s="116">
        <v>1459.45</v>
      </c>
      <c r="R607">
        <v>52670</v>
      </c>
    </row>
    <row r="608" spans="1:18" x14ac:dyDescent="0.25">
      <c r="A608" s="170">
        <v>42898</v>
      </c>
      <c r="B608" s="116">
        <v>1491.6</v>
      </c>
      <c r="C608" s="116">
        <v>1462.95</v>
      </c>
      <c r="D608" s="116">
        <v>1448</v>
      </c>
      <c r="E608" s="116">
        <v>1458</v>
      </c>
      <c r="F608" s="116">
        <v>1462.95</v>
      </c>
      <c r="G608">
        <v>13411</v>
      </c>
      <c r="H608" s="116"/>
      <c r="I608" s="116"/>
      <c r="L608" s="170">
        <v>42898</v>
      </c>
      <c r="M608" s="116">
        <v>1461.75</v>
      </c>
      <c r="N608" s="116">
        <v>1490</v>
      </c>
      <c r="O608" s="116">
        <v>1445.3</v>
      </c>
      <c r="P608" s="116">
        <v>1461</v>
      </c>
      <c r="Q608" s="116">
        <v>1461.75</v>
      </c>
      <c r="R608">
        <v>67063</v>
      </c>
    </row>
    <row r="609" spans="1:18" x14ac:dyDescent="0.25">
      <c r="A609" s="170">
        <v>42899</v>
      </c>
      <c r="B609" s="116">
        <v>1484</v>
      </c>
      <c r="C609" s="116">
        <v>1458.7</v>
      </c>
      <c r="D609" s="116">
        <v>1452.5</v>
      </c>
      <c r="E609" s="116">
        <v>1484</v>
      </c>
      <c r="F609" s="116">
        <v>1458.7</v>
      </c>
      <c r="G609">
        <v>7270</v>
      </c>
      <c r="H609" s="116"/>
      <c r="I609" s="116"/>
      <c r="L609" s="170">
        <v>42899</v>
      </c>
      <c r="M609" s="116">
        <v>1455.85</v>
      </c>
      <c r="N609" s="116">
        <v>1484</v>
      </c>
      <c r="O609" s="116">
        <v>1450</v>
      </c>
      <c r="P609" s="116">
        <v>1463</v>
      </c>
      <c r="Q609" s="116">
        <v>1455.85</v>
      </c>
      <c r="R609">
        <v>44295</v>
      </c>
    </row>
    <row r="610" spans="1:18" x14ac:dyDescent="0.25">
      <c r="A610" s="170">
        <v>42900</v>
      </c>
      <c r="B610" s="116">
        <v>1470.25</v>
      </c>
      <c r="C610" s="116">
        <v>1457.4</v>
      </c>
      <c r="D610" s="116">
        <v>1452</v>
      </c>
      <c r="E610" s="116">
        <v>1469.55</v>
      </c>
      <c r="F610" s="116">
        <v>1457.4</v>
      </c>
      <c r="G610">
        <v>7306</v>
      </c>
      <c r="H610" s="116"/>
      <c r="I610" s="116"/>
      <c r="L610" s="170">
        <v>42900</v>
      </c>
      <c r="M610" s="116">
        <v>1458</v>
      </c>
      <c r="N610" s="116">
        <v>1480</v>
      </c>
      <c r="O610" s="116">
        <v>1454.1</v>
      </c>
      <c r="P610" s="116">
        <v>1480</v>
      </c>
      <c r="Q610" s="116">
        <v>1458</v>
      </c>
      <c r="R610">
        <v>37156</v>
      </c>
    </row>
    <row r="611" spans="1:18" x14ac:dyDescent="0.25">
      <c r="A611" s="170">
        <v>42901</v>
      </c>
      <c r="B611" s="116">
        <v>1523.8</v>
      </c>
      <c r="C611" s="116">
        <v>1505.15</v>
      </c>
      <c r="D611" s="116">
        <v>1454.05</v>
      </c>
      <c r="E611" s="116">
        <v>1454.05</v>
      </c>
      <c r="F611" s="116">
        <v>1505.15</v>
      </c>
      <c r="G611">
        <v>27241</v>
      </c>
      <c r="H611" s="116"/>
      <c r="I611" s="116"/>
      <c r="L611" s="170">
        <v>42901</v>
      </c>
      <c r="M611" s="116">
        <v>1505.6</v>
      </c>
      <c r="N611" s="116">
        <v>1538.3</v>
      </c>
      <c r="O611" s="116">
        <v>1454.15</v>
      </c>
      <c r="P611" s="116">
        <v>1465</v>
      </c>
      <c r="Q611" s="116">
        <v>1505.6</v>
      </c>
      <c r="R611">
        <v>65528</v>
      </c>
    </row>
    <row r="612" spans="1:18" x14ac:dyDescent="0.25">
      <c r="A612" s="170">
        <v>42902</v>
      </c>
      <c r="B612" s="116">
        <v>1524</v>
      </c>
      <c r="C612" s="116">
        <v>1511.2</v>
      </c>
      <c r="D612" s="116">
        <v>1500</v>
      </c>
      <c r="E612" s="116">
        <v>1510</v>
      </c>
      <c r="F612" s="116">
        <v>1511.2</v>
      </c>
      <c r="G612">
        <v>7530</v>
      </c>
      <c r="H612" s="116"/>
      <c r="I612" s="116"/>
      <c r="L612" s="170">
        <v>42902</v>
      </c>
      <c r="M612" s="116">
        <v>1510.25</v>
      </c>
      <c r="N612" s="116">
        <v>1525</v>
      </c>
      <c r="O612" s="116">
        <v>1500</v>
      </c>
      <c r="P612" s="116">
        <v>1510</v>
      </c>
      <c r="Q612" s="116">
        <v>1510.25</v>
      </c>
      <c r="R612">
        <v>64893</v>
      </c>
    </row>
    <row r="613" spans="1:18" x14ac:dyDescent="0.25">
      <c r="A613" s="170">
        <v>42905</v>
      </c>
      <c r="B613" s="116">
        <v>1538.1</v>
      </c>
      <c r="C613" s="116">
        <v>1507.25</v>
      </c>
      <c r="D613" s="116">
        <v>1497</v>
      </c>
      <c r="E613" s="116">
        <v>1511.2</v>
      </c>
      <c r="F613" s="116">
        <v>1507.25</v>
      </c>
      <c r="G613">
        <v>11171</v>
      </c>
      <c r="H613" s="116"/>
      <c r="I613" s="116"/>
      <c r="L613" s="170">
        <v>42905</v>
      </c>
      <c r="M613" s="116">
        <v>1510.6</v>
      </c>
      <c r="N613" s="116">
        <v>1537.7</v>
      </c>
      <c r="O613" s="116">
        <v>1495.2</v>
      </c>
      <c r="P613" s="116">
        <v>1512</v>
      </c>
      <c r="Q613" s="116">
        <v>1510.6</v>
      </c>
      <c r="R613">
        <v>89997</v>
      </c>
    </row>
    <row r="614" spans="1:18" x14ac:dyDescent="0.25">
      <c r="A614" s="170">
        <v>42906</v>
      </c>
      <c r="B614" s="116">
        <v>1520</v>
      </c>
      <c r="C614" s="116">
        <v>1495.55</v>
      </c>
      <c r="D614" s="116">
        <v>1491</v>
      </c>
      <c r="E614" s="116">
        <v>1514</v>
      </c>
      <c r="F614" s="116">
        <v>1495.55</v>
      </c>
      <c r="G614">
        <v>5648</v>
      </c>
      <c r="H614" s="116"/>
      <c r="I614" s="116"/>
      <c r="L614" s="170">
        <v>42906</v>
      </c>
      <c r="M614" s="116">
        <v>1498.9</v>
      </c>
      <c r="N614" s="116">
        <v>1522.45</v>
      </c>
      <c r="O614" s="116">
        <v>1492.35</v>
      </c>
      <c r="P614" s="116">
        <v>1514</v>
      </c>
      <c r="Q614" s="116">
        <v>1498.9</v>
      </c>
      <c r="R614">
        <v>26842</v>
      </c>
    </row>
    <row r="615" spans="1:18" x14ac:dyDescent="0.25">
      <c r="A615" s="170">
        <v>42907</v>
      </c>
      <c r="B615" s="116">
        <v>1556.95</v>
      </c>
      <c r="C615" s="116">
        <v>1506.3</v>
      </c>
      <c r="D615" s="116">
        <v>1500.2</v>
      </c>
      <c r="E615" s="116">
        <v>1524.95</v>
      </c>
      <c r="F615" s="116">
        <v>1506.3</v>
      </c>
      <c r="G615">
        <v>29607</v>
      </c>
      <c r="H615" s="116"/>
      <c r="I615" s="116"/>
      <c r="L615" s="170">
        <v>42907</v>
      </c>
      <c r="M615" s="116">
        <v>1512.1</v>
      </c>
      <c r="N615" s="116">
        <v>1559</v>
      </c>
      <c r="O615" s="116">
        <v>1503.65</v>
      </c>
      <c r="P615" s="116">
        <v>1522</v>
      </c>
      <c r="Q615" s="116">
        <v>1512.1</v>
      </c>
      <c r="R615">
        <v>165700</v>
      </c>
    </row>
    <row r="616" spans="1:18" x14ac:dyDescent="0.25">
      <c r="A616" s="170">
        <v>42908</v>
      </c>
      <c r="B616" s="116">
        <v>1528</v>
      </c>
      <c r="C616" s="116">
        <v>1486.3</v>
      </c>
      <c r="D616" s="116">
        <v>1481</v>
      </c>
      <c r="E616" s="116">
        <v>1515</v>
      </c>
      <c r="F616" s="116">
        <v>1486.3</v>
      </c>
      <c r="G616">
        <v>8129</v>
      </c>
      <c r="H616" s="116"/>
      <c r="I616" s="116"/>
      <c r="L616" s="170">
        <v>42908</v>
      </c>
      <c r="M616" s="116">
        <v>1490</v>
      </c>
      <c r="N616" s="116">
        <v>1528.45</v>
      </c>
      <c r="O616" s="116">
        <v>1486.1</v>
      </c>
      <c r="P616" s="116">
        <v>1515.55</v>
      </c>
      <c r="Q616" s="116">
        <v>1490</v>
      </c>
      <c r="R616">
        <v>25461</v>
      </c>
    </row>
    <row r="617" spans="1:18" x14ac:dyDescent="0.25">
      <c r="A617" s="170">
        <v>42909</v>
      </c>
      <c r="B617" s="116">
        <v>1503</v>
      </c>
      <c r="C617" s="116">
        <v>1440.55</v>
      </c>
      <c r="D617" s="116">
        <v>1430.2</v>
      </c>
      <c r="E617" s="116">
        <v>1500.35</v>
      </c>
      <c r="F617" s="116">
        <v>1440.55</v>
      </c>
      <c r="G617">
        <v>10963</v>
      </c>
      <c r="H617" s="116"/>
      <c r="I617" s="116"/>
      <c r="L617" s="170">
        <v>42909</v>
      </c>
      <c r="M617" s="116">
        <v>1443.35</v>
      </c>
      <c r="N617" s="116">
        <v>1506</v>
      </c>
      <c r="O617" s="116">
        <v>1424.05</v>
      </c>
      <c r="P617" s="116">
        <v>1502</v>
      </c>
      <c r="Q617" s="116">
        <v>1443.35</v>
      </c>
      <c r="R617">
        <v>108282</v>
      </c>
    </row>
    <row r="618" spans="1:18" x14ac:dyDescent="0.25">
      <c r="A618" s="170">
        <v>42913</v>
      </c>
      <c r="B618" s="116">
        <v>1457</v>
      </c>
      <c r="C618" s="116">
        <v>1442.95</v>
      </c>
      <c r="D618" s="116">
        <v>1428.85</v>
      </c>
      <c r="E618" s="116">
        <v>1445</v>
      </c>
      <c r="F618" s="116">
        <v>1442.95</v>
      </c>
      <c r="G618">
        <v>9015</v>
      </c>
      <c r="H618" s="116"/>
      <c r="I618" s="116"/>
      <c r="L618" s="170">
        <v>42913</v>
      </c>
      <c r="M618" s="116">
        <v>1440.75</v>
      </c>
      <c r="N618" s="116">
        <v>1456</v>
      </c>
      <c r="O618" s="116">
        <v>1427.55</v>
      </c>
      <c r="P618" s="116">
        <v>1442</v>
      </c>
      <c r="Q618" s="116">
        <v>1440.75</v>
      </c>
      <c r="R618">
        <v>70395</v>
      </c>
    </row>
    <row r="619" spans="1:18" x14ac:dyDescent="0.25">
      <c r="A619" s="170">
        <v>42914</v>
      </c>
      <c r="B619" s="116">
        <v>1458</v>
      </c>
      <c r="C619" s="116">
        <v>1452.4</v>
      </c>
      <c r="D619" s="116">
        <v>1425.8</v>
      </c>
      <c r="E619" s="116">
        <v>1443</v>
      </c>
      <c r="F619" s="116">
        <v>1452.4</v>
      </c>
      <c r="G619">
        <v>5662</v>
      </c>
      <c r="H619" s="116"/>
      <c r="I619" s="116"/>
      <c r="L619" s="170">
        <v>42914</v>
      </c>
      <c r="M619" s="116">
        <v>1452</v>
      </c>
      <c r="N619" s="116">
        <v>1459.7</v>
      </c>
      <c r="O619" s="116">
        <v>1424</v>
      </c>
      <c r="P619" s="116">
        <v>1444</v>
      </c>
      <c r="Q619" s="116">
        <v>1452</v>
      </c>
      <c r="R619">
        <v>49387</v>
      </c>
    </row>
    <row r="620" spans="1:18" x14ac:dyDescent="0.25">
      <c r="A620" s="170">
        <v>42915</v>
      </c>
      <c r="B620" s="116">
        <v>1479</v>
      </c>
      <c r="C620" s="116">
        <v>1439.8</v>
      </c>
      <c r="D620" s="116">
        <v>1435</v>
      </c>
      <c r="E620" s="116">
        <v>1458</v>
      </c>
      <c r="F620" s="116">
        <v>1439.8</v>
      </c>
      <c r="G620">
        <v>8416</v>
      </c>
      <c r="H620" s="116"/>
      <c r="I620" s="116"/>
      <c r="L620" s="170">
        <v>42915</v>
      </c>
      <c r="M620" s="116">
        <v>1441.8</v>
      </c>
      <c r="N620" s="116">
        <v>1480</v>
      </c>
      <c r="O620" s="116">
        <v>1435</v>
      </c>
      <c r="P620" s="116">
        <v>1452</v>
      </c>
      <c r="Q620" s="116">
        <v>1441.8</v>
      </c>
      <c r="R620">
        <v>34870</v>
      </c>
    </row>
    <row r="621" spans="1:18" x14ac:dyDescent="0.25">
      <c r="A621" s="170">
        <v>42916</v>
      </c>
      <c r="B621" s="116">
        <v>1460</v>
      </c>
      <c r="C621" s="116">
        <v>1451.1</v>
      </c>
      <c r="D621" s="116">
        <v>1411.25</v>
      </c>
      <c r="E621" s="116">
        <v>1419.25</v>
      </c>
      <c r="F621" s="116">
        <v>1451.1</v>
      </c>
      <c r="G621">
        <v>4764</v>
      </c>
      <c r="H621" s="116"/>
      <c r="I621" s="116"/>
      <c r="L621" s="170">
        <v>42916</v>
      </c>
      <c r="M621" s="116">
        <v>1450.65</v>
      </c>
      <c r="N621" s="116">
        <v>1464.85</v>
      </c>
      <c r="O621" s="116">
        <v>1432.55</v>
      </c>
      <c r="P621" s="116">
        <v>1440</v>
      </c>
      <c r="Q621" s="116">
        <v>1450.65</v>
      </c>
      <c r="R621">
        <v>46144</v>
      </c>
    </row>
    <row r="622" spans="1:18" x14ac:dyDescent="0.25">
      <c r="A622" s="170">
        <v>42919</v>
      </c>
      <c r="B622" s="116">
        <v>1470.95</v>
      </c>
      <c r="C622" s="116">
        <v>1448.65</v>
      </c>
      <c r="D622" s="116">
        <v>1437</v>
      </c>
      <c r="E622" s="116">
        <v>1454</v>
      </c>
      <c r="F622" s="116">
        <v>1448.65</v>
      </c>
      <c r="G622">
        <v>71313</v>
      </c>
      <c r="H622" s="116"/>
      <c r="I622" s="116"/>
      <c r="L622" s="170">
        <v>42919</v>
      </c>
      <c r="M622" s="116">
        <v>1448.4</v>
      </c>
      <c r="N622" s="116">
        <v>1472</v>
      </c>
      <c r="O622" s="116">
        <v>1441</v>
      </c>
      <c r="P622" s="116">
        <v>1453.7</v>
      </c>
      <c r="Q622" s="116">
        <v>1448.4</v>
      </c>
      <c r="R622">
        <v>72206</v>
      </c>
    </row>
    <row r="623" spans="1:18" x14ac:dyDescent="0.25">
      <c r="A623" s="170">
        <v>42920</v>
      </c>
      <c r="B623" s="116">
        <v>1470</v>
      </c>
      <c r="C623" s="116">
        <v>1449.9</v>
      </c>
      <c r="D623" s="116">
        <v>1446.05</v>
      </c>
      <c r="E623" s="116">
        <v>1450</v>
      </c>
      <c r="F623" s="116">
        <v>1449.9</v>
      </c>
      <c r="G623">
        <v>1823</v>
      </c>
      <c r="H623" s="116"/>
      <c r="I623" s="116"/>
      <c r="L623" s="170">
        <v>42920</v>
      </c>
      <c r="M623" s="116">
        <v>1451.55</v>
      </c>
      <c r="N623" s="116">
        <v>1472</v>
      </c>
      <c r="O623" s="116">
        <v>1442</v>
      </c>
      <c r="P623" s="116">
        <v>1442</v>
      </c>
      <c r="Q623" s="116">
        <v>1451.55</v>
      </c>
      <c r="R623">
        <v>20074</v>
      </c>
    </row>
    <row r="624" spans="1:18" x14ac:dyDescent="0.25">
      <c r="A624" s="170">
        <v>42921</v>
      </c>
      <c r="B624" s="116">
        <v>1473.5</v>
      </c>
      <c r="C624" s="116">
        <v>1438.2</v>
      </c>
      <c r="D624" s="116">
        <v>1432.55</v>
      </c>
      <c r="E624" s="116">
        <v>1449.05</v>
      </c>
      <c r="F624" s="116">
        <v>1438.2</v>
      </c>
      <c r="G624">
        <v>7386</v>
      </c>
      <c r="H624" s="116"/>
      <c r="I624" s="116"/>
      <c r="L624" s="170">
        <v>42921</v>
      </c>
      <c r="M624" s="116">
        <v>1435.05</v>
      </c>
      <c r="N624" s="116">
        <v>1454.7</v>
      </c>
      <c r="O624" s="116">
        <v>1430</v>
      </c>
      <c r="P624" s="116">
        <v>1450.6</v>
      </c>
      <c r="Q624" s="116">
        <v>1435.05</v>
      </c>
      <c r="R624">
        <v>49756</v>
      </c>
    </row>
    <row r="625" spans="1:18" x14ac:dyDescent="0.25">
      <c r="A625" s="170">
        <v>42922</v>
      </c>
      <c r="B625" s="116">
        <v>1460.8</v>
      </c>
      <c r="C625" s="116">
        <v>1445.75</v>
      </c>
      <c r="D625" s="116">
        <v>1439.2</v>
      </c>
      <c r="E625" s="116">
        <v>1454.8</v>
      </c>
      <c r="F625" s="116">
        <v>1445.75</v>
      </c>
      <c r="G625">
        <v>105765</v>
      </c>
      <c r="H625" s="116"/>
      <c r="I625" s="116"/>
      <c r="L625" s="170">
        <v>42922</v>
      </c>
      <c r="M625" s="116">
        <v>1451.3</v>
      </c>
      <c r="N625" s="116">
        <v>1459.75</v>
      </c>
      <c r="O625" s="116">
        <v>1433.55</v>
      </c>
      <c r="P625" s="116">
        <v>1439.9</v>
      </c>
      <c r="Q625" s="116">
        <v>1451.3</v>
      </c>
      <c r="R625">
        <v>48083</v>
      </c>
    </row>
    <row r="626" spans="1:18" x14ac:dyDescent="0.25">
      <c r="A626" s="170">
        <v>42923</v>
      </c>
      <c r="B626" s="116">
        <v>1469.95</v>
      </c>
      <c r="C626" s="116">
        <v>1452.9</v>
      </c>
      <c r="D626" s="116">
        <v>1443.8</v>
      </c>
      <c r="E626" s="116">
        <v>1457.7</v>
      </c>
      <c r="F626" s="116">
        <v>1452.9</v>
      </c>
      <c r="G626">
        <v>6195</v>
      </c>
      <c r="H626" s="116"/>
      <c r="I626" s="116"/>
      <c r="L626" s="170">
        <v>42923</v>
      </c>
      <c r="M626" s="116">
        <v>1458</v>
      </c>
      <c r="N626" s="116">
        <v>1470</v>
      </c>
      <c r="O626" s="116">
        <v>1446</v>
      </c>
      <c r="P626" s="116">
        <v>1450</v>
      </c>
      <c r="Q626" s="116">
        <v>1458</v>
      </c>
      <c r="R626">
        <v>37203</v>
      </c>
    </row>
    <row r="627" spans="1:18" x14ac:dyDescent="0.25">
      <c r="A627" s="170">
        <v>42926</v>
      </c>
      <c r="B627" s="116">
        <v>1480</v>
      </c>
      <c r="C627" s="116">
        <v>1455.4</v>
      </c>
      <c r="D627" s="116">
        <v>1450</v>
      </c>
      <c r="E627" s="116">
        <v>1452</v>
      </c>
      <c r="F627" s="116">
        <v>1455.4</v>
      </c>
      <c r="G627">
        <v>8227</v>
      </c>
      <c r="H627" s="116"/>
      <c r="I627" s="116"/>
      <c r="L627" s="170">
        <v>42926</v>
      </c>
      <c r="M627" s="116">
        <v>1451.45</v>
      </c>
      <c r="N627" s="116">
        <v>1475</v>
      </c>
      <c r="O627" s="116">
        <v>1450</v>
      </c>
      <c r="P627" s="116">
        <v>1458</v>
      </c>
      <c r="Q627" s="116">
        <v>1451.45</v>
      </c>
      <c r="R627">
        <v>6354</v>
      </c>
    </row>
    <row r="628" spans="1:18" x14ac:dyDescent="0.25">
      <c r="A628" s="170">
        <v>42927</v>
      </c>
      <c r="B628" s="116">
        <v>1494.95</v>
      </c>
      <c r="C628" s="116">
        <v>1467.4</v>
      </c>
      <c r="D628" s="116">
        <v>1455.55</v>
      </c>
      <c r="E628" s="116">
        <v>1455.55</v>
      </c>
      <c r="F628" s="116">
        <v>1467.4</v>
      </c>
      <c r="G628">
        <v>57696</v>
      </c>
      <c r="H628" s="116"/>
      <c r="I628" s="116"/>
      <c r="L628" s="170">
        <v>42927</v>
      </c>
      <c r="M628" s="116">
        <v>1464.6</v>
      </c>
      <c r="N628" s="116">
        <v>1494.95</v>
      </c>
      <c r="O628" s="116">
        <v>1452.1</v>
      </c>
      <c r="P628" s="116">
        <v>1468.75</v>
      </c>
      <c r="Q628" s="116">
        <v>1464.6</v>
      </c>
      <c r="R628">
        <v>159263</v>
      </c>
    </row>
    <row r="629" spans="1:18" x14ac:dyDescent="0.25">
      <c r="A629" s="170">
        <v>42928</v>
      </c>
      <c r="B629" s="116">
        <v>1477.55</v>
      </c>
      <c r="C629" s="116">
        <v>1458.45</v>
      </c>
      <c r="D629" s="116">
        <v>1454.1</v>
      </c>
      <c r="E629" s="116">
        <v>1470</v>
      </c>
      <c r="F629" s="116">
        <v>1458.45</v>
      </c>
      <c r="G629">
        <v>47666</v>
      </c>
      <c r="H629" s="116"/>
      <c r="I629" s="116"/>
      <c r="L629" s="170">
        <v>42928</v>
      </c>
      <c r="M629" s="116">
        <v>1462</v>
      </c>
      <c r="N629" s="116">
        <v>1481.2</v>
      </c>
      <c r="O629" s="116">
        <v>1459.7</v>
      </c>
      <c r="P629" s="116">
        <v>1468.5</v>
      </c>
      <c r="Q629" s="116">
        <v>1462</v>
      </c>
      <c r="R629">
        <v>587988</v>
      </c>
    </row>
    <row r="630" spans="1:18" x14ac:dyDescent="0.25">
      <c r="A630" s="170">
        <v>42929</v>
      </c>
      <c r="B630" s="116">
        <v>1504</v>
      </c>
      <c r="C630" s="116">
        <v>1476.85</v>
      </c>
      <c r="D630" s="116">
        <v>1473</v>
      </c>
      <c r="E630" s="116">
        <v>1485</v>
      </c>
      <c r="F630" s="116">
        <v>1476.85</v>
      </c>
      <c r="G630">
        <v>35144</v>
      </c>
      <c r="H630" s="116"/>
      <c r="I630" s="116"/>
      <c r="L630" s="170">
        <v>42929</v>
      </c>
      <c r="M630" s="116">
        <v>1473.6</v>
      </c>
      <c r="N630" s="116">
        <v>1505</v>
      </c>
      <c r="O630" s="116">
        <v>1469.9</v>
      </c>
      <c r="P630" s="116">
        <v>1490</v>
      </c>
      <c r="Q630" s="116">
        <v>1473.6</v>
      </c>
      <c r="R630">
        <v>330563</v>
      </c>
    </row>
    <row r="631" spans="1:18" x14ac:dyDescent="0.25">
      <c r="A631" s="170">
        <v>42930</v>
      </c>
      <c r="B631" s="116">
        <v>1485.5</v>
      </c>
      <c r="C631" s="116">
        <v>1468.45</v>
      </c>
      <c r="D631" s="116">
        <v>1460</v>
      </c>
      <c r="E631" s="116">
        <v>1483.8</v>
      </c>
      <c r="F631" s="116">
        <v>1468.45</v>
      </c>
      <c r="G631">
        <v>9010</v>
      </c>
      <c r="H631" s="116"/>
      <c r="I631" s="116"/>
      <c r="L631" s="170">
        <v>42930</v>
      </c>
      <c r="M631" s="116">
        <v>1466.5</v>
      </c>
      <c r="N631" s="116">
        <v>1488.85</v>
      </c>
      <c r="O631" s="116">
        <v>1460.05</v>
      </c>
      <c r="P631" s="116">
        <v>1488.85</v>
      </c>
      <c r="Q631" s="116">
        <v>1466.5</v>
      </c>
      <c r="R631">
        <v>28880</v>
      </c>
    </row>
    <row r="632" spans="1:18" x14ac:dyDescent="0.25">
      <c r="A632" s="170">
        <v>42933</v>
      </c>
      <c r="B632" s="116">
        <v>1474.95</v>
      </c>
      <c r="C632" s="116">
        <v>1445.65</v>
      </c>
      <c r="D632" s="116">
        <v>1432.5</v>
      </c>
      <c r="E632" s="116">
        <v>1470.1</v>
      </c>
      <c r="F632" s="116">
        <v>1445.65</v>
      </c>
      <c r="G632">
        <v>18946</v>
      </c>
      <c r="H632" s="116"/>
      <c r="I632" s="116"/>
      <c r="L632" s="170">
        <v>42933</v>
      </c>
      <c r="M632" s="116">
        <v>1443.35</v>
      </c>
      <c r="N632" s="116">
        <v>1475</v>
      </c>
      <c r="O632" s="116">
        <v>1430</v>
      </c>
      <c r="P632" s="116">
        <v>1475</v>
      </c>
      <c r="Q632" s="116">
        <v>1443.35</v>
      </c>
      <c r="R632">
        <v>74989</v>
      </c>
    </row>
    <row r="633" spans="1:18" x14ac:dyDescent="0.25">
      <c r="A633" s="170">
        <v>42934</v>
      </c>
      <c r="B633" s="116">
        <v>1460</v>
      </c>
      <c r="C633" s="116">
        <v>1424.5</v>
      </c>
      <c r="D633" s="116">
        <v>1175</v>
      </c>
      <c r="E633" s="116">
        <v>1460</v>
      </c>
      <c r="F633" s="116">
        <v>1424.5</v>
      </c>
      <c r="G633">
        <v>30121</v>
      </c>
      <c r="H633" s="116"/>
      <c r="I633" s="116"/>
      <c r="L633" s="170">
        <v>42934</v>
      </c>
      <c r="M633" s="116">
        <v>1428.1</v>
      </c>
      <c r="N633" s="116">
        <v>1450</v>
      </c>
      <c r="O633" s="116">
        <v>1351.05</v>
      </c>
      <c r="P633" s="116">
        <v>1450</v>
      </c>
      <c r="Q633" s="116">
        <v>1428.1</v>
      </c>
      <c r="R633">
        <v>100529</v>
      </c>
    </row>
    <row r="634" spans="1:18" x14ac:dyDescent="0.25">
      <c r="A634" s="170">
        <v>42935</v>
      </c>
      <c r="B634" s="116">
        <v>1463.9</v>
      </c>
      <c r="C634" s="116">
        <v>1452.65</v>
      </c>
      <c r="D634" s="116">
        <v>1430.3</v>
      </c>
      <c r="E634" s="116">
        <v>1440</v>
      </c>
      <c r="F634" s="116">
        <v>1452.65</v>
      </c>
      <c r="G634">
        <v>9909</v>
      </c>
      <c r="H634" s="116"/>
      <c r="I634" s="116"/>
      <c r="L634" s="170">
        <v>42935</v>
      </c>
      <c r="M634" s="116">
        <v>1453.7</v>
      </c>
      <c r="N634" s="116">
        <v>1461.85</v>
      </c>
      <c r="O634" s="116">
        <v>1430</v>
      </c>
      <c r="P634" s="116">
        <v>1430</v>
      </c>
      <c r="Q634" s="116">
        <v>1453.7</v>
      </c>
      <c r="R634">
        <v>127225</v>
      </c>
    </row>
    <row r="635" spans="1:18" x14ac:dyDescent="0.25">
      <c r="A635" s="170">
        <v>42936</v>
      </c>
      <c r="B635" s="116">
        <v>1548.4</v>
      </c>
      <c r="C635" s="116">
        <v>1458.7</v>
      </c>
      <c r="D635" s="116">
        <v>1440</v>
      </c>
      <c r="E635" s="116">
        <v>1464.95</v>
      </c>
      <c r="F635" s="116">
        <v>1458.7</v>
      </c>
      <c r="G635">
        <v>141332</v>
      </c>
      <c r="H635" s="116"/>
      <c r="I635" s="116"/>
      <c r="L635" s="170">
        <v>42936</v>
      </c>
      <c r="M635" s="116">
        <v>1462.2</v>
      </c>
      <c r="N635" s="116">
        <v>1549.65</v>
      </c>
      <c r="O635" s="116">
        <v>1440</v>
      </c>
      <c r="P635" s="116">
        <v>1463</v>
      </c>
      <c r="Q635" s="116">
        <v>1462.2</v>
      </c>
      <c r="R635">
        <v>971920</v>
      </c>
    </row>
    <row r="636" spans="1:18" x14ac:dyDescent="0.25">
      <c r="A636" s="170">
        <v>42937</v>
      </c>
      <c r="B636" s="116">
        <v>1483</v>
      </c>
      <c r="C636" s="116">
        <v>1461.4</v>
      </c>
      <c r="D636" s="116">
        <v>1445.05</v>
      </c>
      <c r="E636" s="116">
        <v>1461</v>
      </c>
      <c r="F636" s="116">
        <v>1461.4</v>
      </c>
      <c r="G636">
        <v>20930</v>
      </c>
      <c r="H636" s="116"/>
      <c r="I636" s="116"/>
      <c r="L636" s="170">
        <v>42937</v>
      </c>
      <c r="M636" s="116">
        <v>1462.65</v>
      </c>
      <c r="N636" s="116">
        <v>1484</v>
      </c>
      <c r="O636" s="116">
        <v>1445.6</v>
      </c>
      <c r="P636" s="116">
        <v>1459</v>
      </c>
      <c r="Q636" s="116">
        <v>1462.65</v>
      </c>
      <c r="R636">
        <v>158719</v>
      </c>
    </row>
    <row r="637" spans="1:18" x14ac:dyDescent="0.25">
      <c r="A637" s="170">
        <v>42940</v>
      </c>
      <c r="B637" s="116">
        <v>1478.75</v>
      </c>
      <c r="C637" s="116">
        <v>1448.15</v>
      </c>
      <c r="D637" s="116">
        <v>1433.35</v>
      </c>
      <c r="E637" s="116">
        <v>1478.75</v>
      </c>
      <c r="F637" s="116">
        <v>1448.15</v>
      </c>
      <c r="G637">
        <v>11575</v>
      </c>
      <c r="H637" s="116"/>
      <c r="I637" s="116"/>
      <c r="L637" s="170">
        <v>42940</v>
      </c>
      <c r="M637" s="116">
        <v>1450.75</v>
      </c>
      <c r="N637" s="116">
        <v>1464.85</v>
      </c>
      <c r="O637" s="116">
        <v>1432</v>
      </c>
      <c r="P637" s="116">
        <v>1460</v>
      </c>
      <c r="Q637" s="116">
        <v>1450.75</v>
      </c>
      <c r="R637">
        <v>65279</v>
      </c>
    </row>
    <row r="638" spans="1:18" x14ac:dyDescent="0.25">
      <c r="A638" s="170">
        <v>42941</v>
      </c>
      <c r="B638" s="116">
        <v>1447</v>
      </c>
      <c r="C638" s="116">
        <v>1432.05</v>
      </c>
      <c r="D638" s="116">
        <v>1425</v>
      </c>
      <c r="E638" s="116">
        <v>1446</v>
      </c>
      <c r="F638" s="116">
        <v>1432.05</v>
      </c>
      <c r="G638">
        <v>16549</v>
      </c>
      <c r="H638" s="116"/>
      <c r="I638" s="116"/>
      <c r="L638" s="170">
        <v>42941</v>
      </c>
      <c r="M638" s="116">
        <v>1430.1</v>
      </c>
      <c r="N638" s="116">
        <v>1449.8</v>
      </c>
      <c r="O638" s="116">
        <v>1425</v>
      </c>
      <c r="P638" s="116">
        <v>1449.8</v>
      </c>
      <c r="Q638" s="116">
        <v>1430.1</v>
      </c>
      <c r="R638">
        <v>67902</v>
      </c>
    </row>
    <row r="639" spans="1:18" x14ac:dyDescent="0.25">
      <c r="A639" s="170">
        <v>42942</v>
      </c>
      <c r="B639" s="116">
        <v>1471</v>
      </c>
      <c r="C639" s="116">
        <v>1444.65</v>
      </c>
      <c r="D639" s="116">
        <v>1432.05</v>
      </c>
      <c r="E639" s="116">
        <v>1432.05</v>
      </c>
      <c r="F639" s="116">
        <v>1444.65</v>
      </c>
      <c r="G639">
        <v>16859</v>
      </c>
      <c r="H639" s="116"/>
      <c r="I639" s="116"/>
      <c r="L639" s="170">
        <v>42942</v>
      </c>
      <c r="M639" s="116">
        <v>1441</v>
      </c>
      <c r="N639" s="116">
        <v>1470</v>
      </c>
      <c r="O639" s="116">
        <v>1431.3</v>
      </c>
      <c r="P639" s="116">
        <v>1431.3</v>
      </c>
      <c r="Q639" s="116">
        <v>1441</v>
      </c>
      <c r="R639">
        <v>97974</v>
      </c>
    </row>
    <row r="640" spans="1:18" x14ac:dyDescent="0.25">
      <c r="A640" s="170">
        <v>42943</v>
      </c>
      <c r="B640" s="116">
        <v>1443.85</v>
      </c>
      <c r="C640" s="116">
        <v>1427.05</v>
      </c>
      <c r="D640" s="116">
        <v>1423.55</v>
      </c>
      <c r="E640" s="116">
        <v>1443</v>
      </c>
      <c r="F640" s="116">
        <v>1427.05</v>
      </c>
      <c r="G640">
        <v>7808</v>
      </c>
      <c r="H640" s="116"/>
      <c r="I640" s="116"/>
      <c r="L640" s="170">
        <v>42943</v>
      </c>
      <c r="M640" s="116">
        <v>1429.3</v>
      </c>
      <c r="N640" s="116">
        <v>1446.8</v>
      </c>
      <c r="O640" s="116">
        <v>1424</v>
      </c>
      <c r="P640" s="116">
        <v>1441</v>
      </c>
      <c r="Q640" s="116">
        <v>1429.3</v>
      </c>
      <c r="R640">
        <v>43624</v>
      </c>
    </row>
    <row r="641" spans="1:18" x14ac:dyDescent="0.25">
      <c r="A641" s="170">
        <v>42944</v>
      </c>
      <c r="B641" s="116">
        <v>1445.35</v>
      </c>
      <c r="C641" s="116">
        <v>1424.45</v>
      </c>
      <c r="D641" s="116">
        <v>1409.65</v>
      </c>
      <c r="E641" s="116">
        <v>1427.3</v>
      </c>
      <c r="F641" s="116">
        <v>1424.45</v>
      </c>
      <c r="G641">
        <v>7325</v>
      </c>
      <c r="H641" s="116"/>
      <c r="I641" s="116"/>
      <c r="L641" s="170">
        <v>42944</v>
      </c>
      <c r="M641" s="116">
        <v>1418.7</v>
      </c>
      <c r="N641" s="116">
        <v>1443.95</v>
      </c>
      <c r="O641" s="116">
        <v>1410</v>
      </c>
      <c r="P641" s="116">
        <v>1428</v>
      </c>
      <c r="Q641" s="116">
        <v>1418.7</v>
      </c>
      <c r="R641">
        <v>38365</v>
      </c>
    </row>
    <row r="642" spans="1:18" x14ac:dyDescent="0.25">
      <c r="A642" s="170">
        <v>42947</v>
      </c>
      <c r="B642" s="116">
        <v>1445</v>
      </c>
      <c r="C642" s="116">
        <v>1427.6</v>
      </c>
      <c r="D642" s="116">
        <v>1415.55</v>
      </c>
      <c r="E642" s="116">
        <v>1423</v>
      </c>
      <c r="F642" s="116">
        <v>1427.6</v>
      </c>
      <c r="G642">
        <v>6753</v>
      </c>
      <c r="H642" s="116"/>
      <c r="I642" s="116"/>
      <c r="L642" s="170">
        <v>42947</v>
      </c>
      <c r="M642" s="116">
        <v>1421</v>
      </c>
      <c r="N642" s="116">
        <v>1439.8</v>
      </c>
      <c r="O642" s="116">
        <v>1410.25</v>
      </c>
      <c r="P642" s="116">
        <v>1439.8</v>
      </c>
      <c r="Q642" s="116">
        <v>1421</v>
      </c>
      <c r="R642">
        <v>20511</v>
      </c>
    </row>
    <row r="643" spans="1:18" x14ac:dyDescent="0.25">
      <c r="A643" s="170">
        <v>42948</v>
      </c>
      <c r="B643" s="116">
        <v>1431</v>
      </c>
      <c r="C643" s="116">
        <v>1427.1</v>
      </c>
      <c r="D643" s="116">
        <v>1418</v>
      </c>
      <c r="E643" s="116">
        <v>1427.55</v>
      </c>
      <c r="F643" s="116">
        <v>1427.1</v>
      </c>
      <c r="G643">
        <v>7302</v>
      </c>
      <c r="H643" s="116"/>
      <c r="I643" s="116"/>
      <c r="L643" s="170">
        <v>42948</v>
      </c>
      <c r="M643" s="116">
        <v>1426.8</v>
      </c>
      <c r="N643" s="116">
        <v>1433.95</v>
      </c>
      <c r="O643" s="116">
        <v>1415</v>
      </c>
      <c r="P643" s="116">
        <v>1433.95</v>
      </c>
      <c r="Q643" s="116">
        <v>1426.8</v>
      </c>
      <c r="R643">
        <v>22933</v>
      </c>
    </row>
    <row r="644" spans="1:18" x14ac:dyDescent="0.25">
      <c r="A644" s="170">
        <v>42949</v>
      </c>
      <c r="B644" s="116">
        <v>1435</v>
      </c>
      <c r="C644" s="116">
        <v>1412.7</v>
      </c>
      <c r="D644" s="116">
        <v>1410.1</v>
      </c>
      <c r="E644" s="116">
        <v>1429.1</v>
      </c>
      <c r="F644" s="116">
        <v>1412.7</v>
      </c>
      <c r="G644">
        <v>7446</v>
      </c>
      <c r="H644" s="116"/>
      <c r="I644" s="116"/>
      <c r="L644" s="170">
        <v>42949</v>
      </c>
      <c r="M644" s="116">
        <v>1414.65</v>
      </c>
      <c r="N644" s="116">
        <v>1434</v>
      </c>
      <c r="O644" s="116">
        <v>1410.6</v>
      </c>
      <c r="P644" s="116">
        <v>1431.1</v>
      </c>
      <c r="Q644" s="116">
        <v>1414.65</v>
      </c>
      <c r="R644">
        <v>26267</v>
      </c>
    </row>
    <row r="645" spans="1:18" x14ac:dyDescent="0.25">
      <c r="A645" s="170">
        <v>42950</v>
      </c>
      <c r="B645" s="116">
        <v>1430.05</v>
      </c>
      <c r="C645" s="116">
        <v>1410.85</v>
      </c>
      <c r="D645" s="116">
        <v>1391</v>
      </c>
      <c r="E645" s="116">
        <v>1415.9</v>
      </c>
      <c r="F645" s="116">
        <v>1410.85</v>
      </c>
      <c r="G645">
        <v>13066</v>
      </c>
      <c r="H645" s="116"/>
      <c r="I645" s="116"/>
      <c r="L645" s="170">
        <v>42950</v>
      </c>
      <c r="M645" s="116">
        <v>1409.85</v>
      </c>
      <c r="N645" s="116">
        <v>1429.65</v>
      </c>
      <c r="O645" s="116">
        <v>1387</v>
      </c>
      <c r="P645" s="116">
        <v>1415.95</v>
      </c>
      <c r="Q645" s="116">
        <v>1409.85</v>
      </c>
      <c r="R645">
        <v>57741</v>
      </c>
    </row>
    <row r="646" spans="1:18" x14ac:dyDescent="0.25">
      <c r="A646" s="170">
        <v>42951</v>
      </c>
      <c r="B646" s="116">
        <v>1432.5</v>
      </c>
      <c r="C646" s="116">
        <v>1424.85</v>
      </c>
      <c r="D646" s="116">
        <v>1386</v>
      </c>
      <c r="E646" s="116">
        <v>1396.15</v>
      </c>
      <c r="F646" s="116">
        <v>1424.85</v>
      </c>
      <c r="G646">
        <v>14697</v>
      </c>
      <c r="H646" s="116"/>
      <c r="I646" s="116"/>
      <c r="L646" s="170">
        <v>42951</v>
      </c>
      <c r="M646" s="116">
        <v>1426.2</v>
      </c>
      <c r="N646" s="116">
        <v>1438</v>
      </c>
      <c r="O646" s="116">
        <v>1383</v>
      </c>
      <c r="P646" s="116">
        <v>1394</v>
      </c>
      <c r="Q646" s="116">
        <v>1426.2</v>
      </c>
      <c r="R646">
        <v>59896</v>
      </c>
    </row>
    <row r="647" spans="1:18" x14ac:dyDescent="0.25">
      <c r="A647" s="170">
        <v>42954</v>
      </c>
      <c r="B647" s="116">
        <v>1424.85</v>
      </c>
      <c r="C647" s="116">
        <v>1400.65</v>
      </c>
      <c r="D647" s="116">
        <v>1395.9</v>
      </c>
      <c r="E647" s="116">
        <v>1416.3</v>
      </c>
      <c r="F647" s="116">
        <v>1400.65</v>
      </c>
      <c r="G647">
        <v>14975</v>
      </c>
      <c r="H647" s="116"/>
      <c r="I647" s="116"/>
      <c r="L647" s="170">
        <v>42954</v>
      </c>
      <c r="M647" s="116">
        <v>1405.9</v>
      </c>
      <c r="N647" s="116">
        <v>1440</v>
      </c>
      <c r="O647" s="116">
        <v>1400.05</v>
      </c>
      <c r="P647" s="116">
        <v>1440</v>
      </c>
      <c r="Q647" s="116">
        <v>1405.9</v>
      </c>
      <c r="R647">
        <v>26755</v>
      </c>
    </row>
    <row r="648" spans="1:18" x14ac:dyDescent="0.25">
      <c r="A648" s="170">
        <v>42955</v>
      </c>
      <c r="B648" s="116">
        <v>1419.3</v>
      </c>
      <c r="C648" s="116">
        <v>1389.1</v>
      </c>
      <c r="D648" s="116">
        <v>1385</v>
      </c>
      <c r="E648" s="116">
        <v>1402.95</v>
      </c>
      <c r="F648" s="116">
        <v>1389.1</v>
      </c>
      <c r="G648">
        <v>6086</v>
      </c>
      <c r="H648" s="116"/>
      <c r="I648" s="116"/>
      <c r="L648" s="170">
        <v>42955</v>
      </c>
      <c r="M648" s="116">
        <v>1391.75</v>
      </c>
      <c r="N648" s="116">
        <v>1420</v>
      </c>
      <c r="O648" s="116">
        <v>1390.1</v>
      </c>
      <c r="P648" s="116">
        <v>1420</v>
      </c>
      <c r="Q648" s="116">
        <v>1391.75</v>
      </c>
      <c r="R648">
        <v>29205</v>
      </c>
    </row>
    <row r="649" spans="1:18" x14ac:dyDescent="0.25">
      <c r="A649" s="170">
        <v>42956</v>
      </c>
      <c r="B649" s="116">
        <v>1399</v>
      </c>
      <c r="C649" s="116">
        <v>1388.3</v>
      </c>
      <c r="D649" s="116">
        <v>1365</v>
      </c>
      <c r="E649" s="116">
        <v>1390.05</v>
      </c>
      <c r="F649" s="116">
        <v>1388.3</v>
      </c>
      <c r="G649">
        <v>6763</v>
      </c>
      <c r="H649" s="116"/>
      <c r="I649" s="116"/>
      <c r="L649" s="170">
        <v>42956</v>
      </c>
      <c r="M649" s="116">
        <v>1386.35</v>
      </c>
      <c r="N649" s="116">
        <v>1399</v>
      </c>
      <c r="O649" s="116">
        <v>1368.75</v>
      </c>
      <c r="P649" s="116">
        <v>1391</v>
      </c>
      <c r="Q649" s="116">
        <v>1386.35</v>
      </c>
      <c r="R649">
        <v>37418</v>
      </c>
    </row>
    <row r="650" spans="1:18" x14ac:dyDescent="0.25">
      <c r="A650" s="170">
        <v>42957</v>
      </c>
      <c r="B650" s="116">
        <v>1394.8</v>
      </c>
      <c r="C650" s="116">
        <v>1342.3</v>
      </c>
      <c r="D650" s="116">
        <v>1337.05</v>
      </c>
      <c r="E650" s="116">
        <v>1394.8</v>
      </c>
      <c r="F650" s="116">
        <v>1342.3</v>
      </c>
      <c r="G650">
        <v>10076</v>
      </c>
      <c r="H650" s="116"/>
      <c r="I650" s="116"/>
      <c r="L650" s="170">
        <v>42957</v>
      </c>
      <c r="M650" s="116">
        <v>1341.6</v>
      </c>
      <c r="N650" s="116">
        <v>1383.95</v>
      </c>
      <c r="O650" s="116">
        <v>1333</v>
      </c>
      <c r="P650" s="116">
        <v>1375</v>
      </c>
      <c r="Q650" s="116">
        <v>1341.6</v>
      </c>
      <c r="R650">
        <v>47753</v>
      </c>
    </row>
    <row r="651" spans="1:18" x14ac:dyDescent="0.25">
      <c r="A651" s="170">
        <v>42958</v>
      </c>
      <c r="B651" s="116">
        <v>1347.7</v>
      </c>
      <c r="C651" s="116">
        <v>1336.25</v>
      </c>
      <c r="D651" s="116">
        <v>1292.0999999999999</v>
      </c>
      <c r="E651" s="116">
        <v>1337</v>
      </c>
      <c r="F651" s="116">
        <v>1336.25</v>
      </c>
      <c r="G651">
        <v>8451</v>
      </c>
      <c r="H651" s="116"/>
      <c r="I651" s="116"/>
      <c r="L651" s="170">
        <v>42958</v>
      </c>
      <c r="M651" s="116">
        <v>1343.05</v>
      </c>
      <c r="N651" s="116">
        <v>1350</v>
      </c>
      <c r="O651" s="116">
        <v>1302</v>
      </c>
      <c r="P651" s="116">
        <v>1332.3</v>
      </c>
      <c r="Q651" s="116">
        <v>1343.05</v>
      </c>
      <c r="R651">
        <v>48105</v>
      </c>
    </row>
    <row r="652" spans="1:18" x14ac:dyDescent="0.25">
      <c r="A652" s="170">
        <v>42961</v>
      </c>
      <c r="B652" s="116">
        <v>1355</v>
      </c>
      <c r="C652" s="116">
        <v>1347.35</v>
      </c>
      <c r="D652" s="116">
        <v>1340.05</v>
      </c>
      <c r="E652" s="116">
        <v>1351</v>
      </c>
      <c r="F652" s="116">
        <v>1347.35</v>
      </c>
      <c r="G652">
        <v>3216</v>
      </c>
      <c r="H652" s="116"/>
      <c r="I652" s="116"/>
      <c r="L652" s="170">
        <v>42961</v>
      </c>
      <c r="M652" s="116">
        <v>1349.95</v>
      </c>
      <c r="N652" s="116">
        <v>1364.3</v>
      </c>
      <c r="O652" s="116">
        <v>1340</v>
      </c>
      <c r="P652" s="116">
        <v>1350</v>
      </c>
      <c r="Q652" s="116">
        <v>1349.95</v>
      </c>
      <c r="R652">
        <v>58794</v>
      </c>
    </row>
    <row r="653" spans="1:18" x14ac:dyDescent="0.25">
      <c r="A653" s="170">
        <v>42963</v>
      </c>
      <c r="B653" s="116">
        <v>1374.95</v>
      </c>
      <c r="C653" s="116">
        <v>1360.5</v>
      </c>
      <c r="D653" s="116">
        <v>1335</v>
      </c>
      <c r="E653" s="116">
        <v>1356.85</v>
      </c>
      <c r="F653" s="116">
        <v>1360.5</v>
      </c>
      <c r="G653">
        <v>11233</v>
      </c>
      <c r="H653" s="116"/>
      <c r="I653" s="116"/>
      <c r="L653" s="170">
        <v>42963</v>
      </c>
      <c r="M653" s="116">
        <v>1357.6</v>
      </c>
      <c r="N653" s="116">
        <v>1375</v>
      </c>
      <c r="O653" s="116">
        <v>1331.35</v>
      </c>
      <c r="P653" s="116">
        <v>1351.1</v>
      </c>
      <c r="Q653" s="116">
        <v>1357.6</v>
      </c>
      <c r="R653">
        <v>47424</v>
      </c>
    </row>
    <row r="654" spans="1:18" x14ac:dyDescent="0.25">
      <c r="A654" s="170">
        <v>42964</v>
      </c>
      <c r="B654" s="116">
        <v>1374</v>
      </c>
      <c r="C654" s="116">
        <v>1368.6</v>
      </c>
      <c r="D654" s="116">
        <v>1351</v>
      </c>
      <c r="E654" s="116">
        <v>1360.85</v>
      </c>
      <c r="F654" s="116">
        <v>1368.6</v>
      </c>
      <c r="G654">
        <v>4148</v>
      </c>
      <c r="H654" s="116"/>
      <c r="I654" s="116"/>
      <c r="L654" s="170">
        <v>42964</v>
      </c>
      <c r="M654" s="116">
        <v>1365.6</v>
      </c>
      <c r="N654" s="116">
        <v>1375</v>
      </c>
      <c r="O654" s="116">
        <v>1351.35</v>
      </c>
      <c r="P654" s="116">
        <v>1375</v>
      </c>
      <c r="Q654" s="116">
        <v>1365.6</v>
      </c>
      <c r="R654">
        <v>40252</v>
      </c>
    </row>
    <row r="655" spans="1:18" x14ac:dyDescent="0.25">
      <c r="A655" s="170">
        <v>42965</v>
      </c>
      <c r="B655" s="116">
        <v>1377</v>
      </c>
      <c r="C655" s="116">
        <v>1363</v>
      </c>
      <c r="D655" s="116">
        <v>1336</v>
      </c>
      <c r="E655" s="116">
        <v>1354.4</v>
      </c>
      <c r="F655" s="116">
        <v>1363</v>
      </c>
      <c r="G655">
        <v>5649</v>
      </c>
      <c r="H655" s="116"/>
      <c r="I655" s="116"/>
      <c r="L655" s="170">
        <v>42965</v>
      </c>
      <c r="M655" s="116">
        <v>1372.5</v>
      </c>
      <c r="N655" s="116">
        <v>1378</v>
      </c>
      <c r="O655" s="116">
        <v>1331.5</v>
      </c>
      <c r="P655" s="116">
        <v>1367.95</v>
      </c>
      <c r="Q655" s="116">
        <v>1372.5</v>
      </c>
      <c r="R655">
        <v>47472</v>
      </c>
    </row>
    <row r="656" spans="1:18" x14ac:dyDescent="0.25">
      <c r="A656" s="170">
        <v>42968</v>
      </c>
      <c r="B656" s="116">
        <v>1382.8</v>
      </c>
      <c r="C656" s="116">
        <v>1351.65</v>
      </c>
      <c r="D656" s="116">
        <v>1337.85</v>
      </c>
      <c r="E656" s="116">
        <v>1382.8</v>
      </c>
      <c r="F656" s="116">
        <v>1351.65</v>
      </c>
      <c r="G656">
        <v>1747</v>
      </c>
      <c r="H656" s="116"/>
      <c r="I656" s="116"/>
      <c r="L656" s="170">
        <v>42968</v>
      </c>
      <c r="M656" s="116">
        <v>1356.1</v>
      </c>
      <c r="N656" s="116">
        <v>1375.85</v>
      </c>
      <c r="O656" s="116">
        <v>1346.5</v>
      </c>
      <c r="P656" s="116">
        <v>1365</v>
      </c>
      <c r="Q656" s="116">
        <v>1356.1</v>
      </c>
      <c r="R656">
        <v>35376</v>
      </c>
    </row>
    <row r="657" spans="1:18" x14ac:dyDescent="0.25">
      <c r="A657" s="170">
        <v>42969</v>
      </c>
      <c r="B657" s="116">
        <v>1361</v>
      </c>
      <c r="C657" s="116">
        <v>1350.85</v>
      </c>
      <c r="D657" s="116">
        <v>1327.6</v>
      </c>
      <c r="E657" s="116">
        <v>1356</v>
      </c>
      <c r="F657" s="116">
        <v>1350.85</v>
      </c>
      <c r="G657">
        <v>3132</v>
      </c>
      <c r="H657" s="116"/>
      <c r="I657" s="116"/>
      <c r="L657" s="170">
        <v>42969</v>
      </c>
      <c r="M657" s="116">
        <v>1357.4</v>
      </c>
      <c r="N657" s="116">
        <v>1363.6</v>
      </c>
      <c r="O657" s="116">
        <v>1330</v>
      </c>
      <c r="P657" s="116">
        <v>1356</v>
      </c>
      <c r="Q657" s="116">
        <v>1357.4</v>
      </c>
      <c r="R657">
        <v>61604</v>
      </c>
    </row>
    <row r="658" spans="1:18" x14ac:dyDescent="0.25">
      <c r="A658" s="170">
        <v>42970</v>
      </c>
      <c r="B658" s="116">
        <v>1361.6</v>
      </c>
      <c r="C658" s="116">
        <v>1354.1</v>
      </c>
      <c r="D658" s="116">
        <v>1347.35</v>
      </c>
      <c r="E658" s="116">
        <v>1354</v>
      </c>
      <c r="F658" s="116">
        <v>1354.1</v>
      </c>
      <c r="G658">
        <v>3177</v>
      </c>
      <c r="H658" s="116"/>
      <c r="I658" s="116"/>
      <c r="L658" s="170">
        <v>42970</v>
      </c>
      <c r="M658" s="116">
        <v>1349.85</v>
      </c>
      <c r="N658" s="116">
        <v>1364.95</v>
      </c>
      <c r="O658" s="116">
        <v>1345.85</v>
      </c>
      <c r="P658" s="116">
        <v>1351</v>
      </c>
      <c r="Q658" s="116">
        <v>1349.85</v>
      </c>
      <c r="R658">
        <v>44354</v>
      </c>
    </row>
    <row r="659" spans="1:18" x14ac:dyDescent="0.25">
      <c r="A659" s="170">
        <v>42971</v>
      </c>
      <c r="B659" s="116">
        <v>1360.05</v>
      </c>
      <c r="C659" s="116">
        <v>1350.5</v>
      </c>
      <c r="D659" s="116">
        <v>1332.65</v>
      </c>
      <c r="E659" s="116">
        <v>1357</v>
      </c>
      <c r="F659" s="116">
        <v>1350.5</v>
      </c>
      <c r="G659">
        <v>6248</v>
      </c>
      <c r="H659" s="116"/>
      <c r="I659" s="116"/>
      <c r="L659" s="170">
        <v>42971</v>
      </c>
      <c r="M659" s="116">
        <v>1349.7</v>
      </c>
      <c r="N659" s="116">
        <v>1355.05</v>
      </c>
      <c r="O659" s="116">
        <v>1333</v>
      </c>
      <c r="P659" s="116">
        <v>1355</v>
      </c>
      <c r="Q659" s="116">
        <v>1349.7</v>
      </c>
      <c r="R659">
        <v>59194</v>
      </c>
    </row>
    <row r="660" spans="1:18" x14ac:dyDescent="0.25">
      <c r="A660" s="170">
        <v>42975</v>
      </c>
      <c r="B660" s="116">
        <v>1371.9</v>
      </c>
      <c r="C660" s="116">
        <v>1361.7</v>
      </c>
      <c r="D660" s="116">
        <v>1348</v>
      </c>
      <c r="E660" s="116">
        <v>1358.8</v>
      </c>
      <c r="F660" s="116">
        <v>1361.7</v>
      </c>
      <c r="G660">
        <v>2831</v>
      </c>
      <c r="H660" s="116"/>
      <c r="I660" s="116"/>
      <c r="L660" s="170">
        <v>42975</v>
      </c>
      <c r="M660" s="116">
        <v>1364.35</v>
      </c>
      <c r="N660" s="116">
        <v>1374</v>
      </c>
      <c r="O660" s="116">
        <v>1350</v>
      </c>
      <c r="P660" s="116">
        <v>1350</v>
      </c>
      <c r="Q660" s="116">
        <v>1364.35</v>
      </c>
      <c r="R660">
        <v>42283</v>
      </c>
    </row>
    <row r="661" spans="1:18" x14ac:dyDescent="0.25">
      <c r="A661" s="170">
        <v>42976</v>
      </c>
      <c r="B661" s="116">
        <v>1362.9</v>
      </c>
      <c r="C661" s="116">
        <v>1352.8</v>
      </c>
      <c r="D661" s="116">
        <v>1349.9</v>
      </c>
      <c r="E661" s="116">
        <v>1350</v>
      </c>
      <c r="F661" s="116">
        <v>1352.8</v>
      </c>
      <c r="G661">
        <v>2317</v>
      </c>
      <c r="H661" s="116"/>
      <c r="I661" s="116"/>
      <c r="L661" s="170">
        <v>42976</v>
      </c>
      <c r="M661" s="116">
        <v>1351.25</v>
      </c>
      <c r="N661" s="116">
        <v>1364</v>
      </c>
      <c r="O661" s="116">
        <v>1346.3</v>
      </c>
      <c r="P661" s="116">
        <v>1356</v>
      </c>
      <c r="Q661" s="116">
        <v>1351.25</v>
      </c>
      <c r="R661">
        <v>9926</v>
      </c>
    </row>
    <row r="662" spans="1:18" x14ac:dyDescent="0.25">
      <c r="A662" s="170">
        <v>42977</v>
      </c>
      <c r="B662" s="116">
        <v>1367</v>
      </c>
      <c r="C662" s="116">
        <v>1347.3</v>
      </c>
      <c r="D662" s="116">
        <v>1340</v>
      </c>
      <c r="E662" s="116">
        <v>1353</v>
      </c>
      <c r="F662" s="116">
        <v>1347.3</v>
      </c>
      <c r="G662">
        <v>3118</v>
      </c>
      <c r="H662" s="116"/>
      <c r="I662" s="116"/>
      <c r="L662" s="170">
        <v>42977</v>
      </c>
      <c r="M662" s="116">
        <v>1348.6</v>
      </c>
      <c r="N662" s="116">
        <v>1363.95</v>
      </c>
      <c r="O662" s="116">
        <v>1340</v>
      </c>
      <c r="P662" s="116">
        <v>1355</v>
      </c>
      <c r="Q662" s="116">
        <v>1348.6</v>
      </c>
      <c r="R662">
        <v>22051</v>
      </c>
    </row>
    <row r="663" spans="1:18" x14ac:dyDescent="0.25">
      <c r="A663" s="170">
        <v>42978</v>
      </c>
      <c r="B663" s="116">
        <v>1356.45</v>
      </c>
      <c r="C663" s="116">
        <v>1343.75</v>
      </c>
      <c r="D663" s="116">
        <v>1335.05</v>
      </c>
      <c r="E663" s="116">
        <v>1356.45</v>
      </c>
      <c r="F663" s="116">
        <v>1343.75</v>
      </c>
      <c r="G663">
        <v>10685</v>
      </c>
      <c r="H663" s="116"/>
      <c r="I663" s="116"/>
      <c r="L663" s="170">
        <v>42978</v>
      </c>
      <c r="M663" s="116">
        <v>1340.3</v>
      </c>
      <c r="N663" s="116">
        <v>1357</v>
      </c>
      <c r="O663" s="116">
        <v>1335</v>
      </c>
      <c r="P663" s="116">
        <v>1354.75</v>
      </c>
      <c r="Q663" s="116">
        <v>1340.3</v>
      </c>
      <c r="R663">
        <v>69081</v>
      </c>
    </row>
    <row r="664" spans="1:18" x14ac:dyDescent="0.25">
      <c r="A664" s="170">
        <v>42979</v>
      </c>
      <c r="B664" s="116">
        <v>1372</v>
      </c>
      <c r="C664" s="116">
        <v>1332.45</v>
      </c>
      <c r="D664" s="116">
        <v>1325</v>
      </c>
      <c r="E664" s="116">
        <v>1360</v>
      </c>
      <c r="F664" s="116">
        <v>1332.45</v>
      </c>
      <c r="G664">
        <v>8848</v>
      </c>
      <c r="H664" s="116"/>
      <c r="I664" s="116"/>
      <c r="L664" s="170">
        <v>42979</v>
      </c>
      <c r="M664" s="116">
        <v>1333.2</v>
      </c>
      <c r="N664" s="116">
        <v>1378.7</v>
      </c>
      <c r="O664" s="116">
        <v>1322.9</v>
      </c>
      <c r="P664" s="116">
        <v>1353.2</v>
      </c>
      <c r="Q664" s="116">
        <v>1333.2</v>
      </c>
      <c r="R664">
        <v>78986</v>
      </c>
    </row>
    <row r="665" spans="1:18" x14ac:dyDescent="0.25">
      <c r="A665" s="170">
        <v>42982</v>
      </c>
      <c r="B665" s="116">
        <v>1342.5</v>
      </c>
      <c r="C665" s="116">
        <v>1315.55</v>
      </c>
      <c r="D665" s="116">
        <v>1298.3499999999999</v>
      </c>
      <c r="E665" s="116">
        <v>1339.95</v>
      </c>
      <c r="F665" s="116">
        <v>1315.55</v>
      </c>
      <c r="G665">
        <v>7198</v>
      </c>
      <c r="H665" s="116"/>
      <c r="I665" s="116"/>
      <c r="L665" s="170">
        <v>42982</v>
      </c>
      <c r="M665" s="116">
        <v>1318.2</v>
      </c>
      <c r="N665" s="116">
        <v>1344.2</v>
      </c>
      <c r="O665" s="116">
        <v>1298.8</v>
      </c>
      <c r="P665" s="116">
        <v>1333</v>
      </c>
      <c r="Q665" s="116">
        <v>1318.2</v>
      </c>
      <c r="R665">
        <v>80703</v>
      </c>
    </row>
    <row r="666" spans="1:18" x14ac:dyDescent="0.25">
      <c r="A666" s="170">
        <v>42983</v>
      </c>
      <c r="B666" s="116">
        <v>1365</v>
      </c>
      <c r="C666" s="116">
        <v>1341.75</v>
      </c>
      <c r="D666" s="116">
        <v>1302</v>
      </c>
      <c r="E666" s="116">
        <v>1302</v>
      </c>
      <c r="F666" s="116">
        <v>1341.75</v>
      </c>
      <c r="G666">
        <v>13680</v>
      </c>
      <c r="H666" s="116"/>
      <c r="I666" s="116"/>
      <c r="L666" s="170">
        <v>42983</v>
      </c>
      <c r="M666" s="116">
        <v>1337.8</v>
      </c>
      <c r="N666" s="116">
        <v>1365</v>
      </c>
      <c r="O666" s="116">
        <v>1312</v>
      </c>
      <c r="P666" s="116">
        <v>1317.2</v>
      </c>
      <c r="Q666" s="116">
        <v>1337.8</v>
      </c>
      <c r="R666">
        <v>102490</v>
      </c>
    </row>
    <row r="667" spans="1:18" x14ac:dyDescent="0.25">
      <c r="A667" s="170">
        <v>42984</v>
      </c>
      <c r="B667" s="116">
        <v>1341</v>
      </c>
      <c r="C667" s="116">
        <v>1335.15</v>
      </c>
      <c r="D667" s="116">
        <v>1314</v>
      </c>
      <c r="E667" s="116">
        <v>1321.45</v>
      </c>
      <c r="F667" s="116">
        <v>1335.15</v>
      </c>
      <c r="G667">
        <v>5509</v>
      </c>
      <c r="H667" s="116"/>
      <c r="I667" s="116"/>
      <c r="L667" s="170">
        <v>42984</v>
      </c>
      <c r="M667" s="116">
        <v>1335.65</v>
      </c>
      <c r="N667" s="116">
        <v>1341.5</v>
      </c>
      <c r="O667" s="116">
        <v>1310</v>
      </c>
      <c r="P667" s="116">
        <v>1321.15</v>
      </c>
      <c r="Q667" s="116">
        <v>1335.65</v>
      </c>
      <c r="R667">
        <v>72298</v>
      </c>
    </row>
    <row r="668" spans="1:18" x14ac:dyDescent="0.25">
      <c r="A668" s="170">
        <v>42985</v>
      </c>
      <c r="B668" s="116">
        <v>1362.2</v>
      </c>
      <c r="C668" s="116">
        <v>1340.9</v>
      </c>
      <c r="D668" s="116">
        <v>1329.45</v>
      </c>
      <c r="E668" s="116">
        <v>1331.95</v>
      </c>
      <c r="F668" s="116">
        <v>1340.9</v>
      </c>
      <c r="G668">
        <v>6545</v>
      </c>
      <c r="H668" s="116"/>
      <c r="I668" s="116"/>
      <c r="L668" s="170">
        <v>42985</v>
      </c>
      <c r="M668" s="116">
        <v>1345.95</v>
      </c>
      <c r="N668" s="116">
        <v>1364</v>
      </c>
      <c r="O668" s="116">
        <v>1331</v>
      </c>
      <c r="P668" s="116">
        <v>1331</v>
      </c>
      <c r="Q668" s="116">
        <v>1345.95</v>
      </c>
      <c r="R668">
        <v>103634</v>
      </c>
    </row>
    <row r="669" spans="1:18" x14ac:dyDescent="0.25">
      <c r="A669" s="170">
        <v>42986</v>
      </c>
      <c r="B669" s="116">
        <v>1370</v>
      </c>
      <c r="C669" s="116">
        <v>1340.95</v>
      </c>
      <c r="D669" s="116">
        <v>1332.6</v>
      </c>
      <c r="E669" s="116">
        <v>1352.35</v>
      </c>
      <c r="F669" s="116">
        <v>1340.95</v>
      </c>
      <c r="G669">
        <v>4977</v>
      </c>
      <c r="H669" s="116"/>
      <c r="I669" s="116"/>
      <c r="L669" s="170">
        <v>42986</v>
      </c>
      <c r="M669" s="116">
        <v>1341.2</v>
      </c>
      <c r="N669" s="116">
        <v>1372.5</v>
      </c>
      <c r="O669" s="116">
        <v>1330</v>
      </c>
      <c r="P669" s="116">
        <v>1354</v>
      </c>
      <c r="Q669" s="116">
        <v>1341.2</v>
      </c>
      <c r="R669">
        <v>201044</v>
      </c>
    </row>
    <row r="670" spans="1:18" x14ac:dyDescent="0.25">
      <c r="A670" s="170">
        <v>42989</v>
      </c>
      <c r="B670" s="116">
        <v>1371</v>
      </c>
      <c r="C670" s="116">
        <v>1363.9</v>
      </c>
      <c r="D670" s="116">
        <v>1345.5</v>
      </c>
      <c r="E670" s="116">
        <v>1349.4</v>
      </c>
      <c r="F670" s="116">
        <v>1363.9</v>
      </c>
      <c r="G670">
        <v>9854</v>
      </c>
      <c r="H670" s="116"/>
      <c r="I670" s="116"/>
      <c r="L670" s="170">
        <v>42989</v>
      </c>
      <c r="M670" s="116">
        <v>1364.75</v>
      </c>
      <c r="N670" s="116">
        <v>1372</v>
      </c>
      <c r="O670" s="116">
        <v>1341.25</v>
      </c>
      <c r="P670" s="116">
        <v>1341.25</v>
      </c>
      <c r="Q670" s="116">
        <v>1364.75</v>
      </c>
      <c r="R670">
        <v>177040</v>
      </c>
    </row>
    <row r="671" spans="1:18" x14ac:dyDescent="0.25">
      <c r="A671" s="170">
        <v>42990</v>
      </c>
      <c r="B671" s="116">
        <v>1420.95</v>
      </c>
      <c r="C671" s="116">
        <v>1392.55</v>
      </c>
      <c r="D671" s="116">
        <v>1370</v>
      </c>
      <c r="E671" s="116">
        <v>1370</v>
      </c>
      <c r="F671" s="116">
        <v>1392.55</v>
      </c>
      <c r="G671">
        <v>17971</v>
      </c>
      <c r="H671" s="116"/>
      <c r="I671" s="116"/>
      <c r="L671" s="170">
        <v>42990</v>
      </c>
      <c r="M671" s="116">
        <v>1397.6</v>
      </c>
      <c r="N671" s="116">
        <v>1425.6</v>
      </c>
      <c r="O671" s="116">
        <v>1370.2</v>
      </c>
      <c r="P671" s="116">
        <v>1371</v>
      </c>
      <c r="Q671" s="116">
        <v>1397.6</v>
      </c>
      <c r="R671">
        <v>156289</v>
      </c>
    </row>
    <row r="672" spans="1:18" x14ac:dyDescent="0.25">
      <c r="A672" s="170">
        <v>42991</v>
      </c>
      <c r="B672" s="116">
        <v>1402</v>
      </c>
      <c r="C672" s="116">
        <v>1385.25</v>
      </c>
      <c r="D672" s="116">
        <v>1379</v>
      </c>
      <c r="E672" s="116">
        <v>1382</v>
      </c>
      <c r="F672" s="116">
        <v>1385.25</v>
      </c>
      <c r="G672">
        <v>8724</v>
      </c>
      <c r="H672" s="116"/>
      <c r="I672" s="116"/>
      <c r="L672" s="170">
        <v>42991</v>
      </c>
      <c r="M672" s="116">
        <v>1382.95</v>
      </c>
      <c r="N672" s="116">
        <v>1406.85</v>
      </c>
      <c r="O672" s="116">
        <v>1375.55</v>
      </c>
      <c r="P672" s="116">
        <v>1392</v>
      </c>
      <c r="Q672" s="116">
        <v>1382.95</v>
      </c>
      <c r="R672">
        <v>31901</v>
      </c>
    </row>
    <row r="673" spans="1:18" x14ac:dyDescent="0.25">
      <c r="A673" s="170">
        <v>42992</v>
      </c>
      <c r="B673" s="116">
        <v>1428</v>
      </c>
      <c r="C673" s="116">
        <v>1422.7</v>
      </c>
      <c r="D673" s="116">
        <v>1382.85</v>
      </c>
      <c r="E673" s="116">
        <v>1399.6</v>
      </c>
      <c r="F673" s="116">
        <v>1422.7</v>
      </c>
      <c r="G673">
        <v>17946</v>
      </c>
      <c r="H673" s="116"/>
      <c r="I673" s="116"/>
      <c r="L673" s="170">
        <v>42992</v>
      </c>
      <c r="M673" s="116">
        <v>1426.25</v>
      </c>
      <c r="N673" s="116">
        <v>1434.8</v>
      </c>
      <c r="O673" s="116">
        <v>1380</v>
      </c>
      <c r="P673" s="116">
        <v>1384</v>
      </c>
      <c r="Q673" s="116">
        <v>1426.25</v>
      </c>
      <c r="R673">
        <v>193483</v>
      </c>
    </row>
    <row r="674" spans="1:18" x14ac:dyDescent="0.25">
      <c r="A674" s="170">
        <v>42993</v>
      </c>
      <c r="B674" s="116">
        <v>1436.95</v>
      </c>
      <c r="C674" s="116">
        <v>1420.75</v>
      </c>
      <c r="D674" s="116">
        <v>1400.8</v>
      </c>
      <c r="E674" s="116">
        <v>1430</v>
      </c>
      <c r="F674" s="116">
        <v>1420.75</v>
      </c>
      <c r="G674">
        <v>8761</v>
      </c>
      <c r="H674" s="116"/>
      <c r="I674" s="116"/>
      <c r="L674" s="170">
        <v>42993</v>
      </c>
      <c r="M674" s="116">
        <v>1425.6</v>
      </c>
      <c r="N674" s="116">
        <v>1439</v>
      </c>
      <c r="O674" s="116">
        <v>1401.75</v>
      </c>
      <c r="P674" s="116">
        <v>1425</v>
      </c>
      <c r="Q674" s="116">
        <v>1425.6</v>
      </c>
      <c r="R674">
        <v>83969</v>
      </c>
    </row>
    <row r="675" spans="1:18" x14ac:dyDescent="0.25">
      <c r="A675" s="170">
        <v>42996</v>
      </c>
      <c r="B675" s="116">
        <v>1439</v>
      </c>
      <c r="C675" s="116">
        <v>1418.65</v>
      </c>
      <c r="D675" s="116">
        <v>1413</v>
      </c>
      <c r="E675" s="116">
        <v>1434.3</v>
      </c>
      <c r="F675" s="116">
        <v>1418.65</v>
      </c>
      <c r="G675">
        <v>6331</v>
      </c>
      <c r="H675" s="116"/>
      <c r="I675" s="116"/>
      <c r="L675" s="170">
        <v>42996</v>
      </c>
      <c r="M675" s="116">
        <v>1421.1</v>
      </c>
      <c r="N675" s="116">
        <v>1442</v>
      </c>
      <c r="O675" s="116">
        <v>1412</v>
      </c>
      <c r="P675" s="116">
        <v>1425.6</v>
      </c>
      <c r="Q675" s="116">
        <v>1421.1</v>
      </c>
      <c r="R675">
        <v>38846</v>
      </c>
    </row>
    <row r="676" spans="1:18" x14ac:dyDescent="0.25">
      <c r="A676" s="170">
        <v>42997</v>
      </c>
      <c r="B676" s="116">
        <v>1454</v>
      </c>
      <c r="C676" s="116">
        <v>1440.45</v>
      </c>
      <c r="D676" s="116">
        <v>1425</v>
      </c>
      <c r="E676" s="116">
        <v>1425.75</v>
      </c>
      <c r="F676" s="116">
        <v>1440.45</v>
      </c>
      <c r="G676">
        <v>13074</v>
      </c>
      <c r="H676" s="116"/>
      <c r="I676" s="116"/>
      <c r="L676" s="170">
        <v>42997</v>
      </c>
      <c r="M676" s="116">
        <v>1442.35</v>
      </c>
      <c r="N676" s="116">
        <v>1456</v>
      </c>
      <c r="O676" s="116">
        <v>1422.8</v>
      </c>
      <c r="P676" s="116">
        <v>1432</v>
      </c>
      <c r="Q676" s="116">
        <v>1442.35</v>
      </c>
      <c r="R676">
        <v>101852</v>
      </c>
    </row>
    <row r="677" spans="1:18" x14ac:dyDescent="0.25">
      <c r="A677" s="170">
        <v>42998</v>
      </c>
      <c r="B677" s="116">
        <v>1493</v>
      </c>
      <c r="C677" s="116">
        <v>1466.6</v>
      </c>
      <c r="D677" s="116">
        <v>1454.65</v>
      </c>
      <c r="E677" s="116">
        <v>1454.65</v>
      </c>
      <c r="F677" s="116">
        <v>1466.6</v>
      </c>
      <c r="G677">
        <v>23523</v>
      </c>
      <c r="H677" s="116"/>
      <c r="I677" s="116"/>
      <c r="L677" s="170">
        <v>42998</v>
      </c>
      <c r="M677" s="116">
        <v>1464.75</v>
      </c>
      <c r="N677" s="116">
        <v>1493</v>
      </c>
      <c r="O677" s="116">
        <v>1452.55</v>
      </c>
      <c r="P677" s="116">
        <v>1459</v>
      </c>
      <c r="Q677" s="116">
        <v>1464.75</v>
      </c>
      <c r="R677">
        <v>126878</v>
      </c>
    </row>
    <row r="678" spans="1:18" x14ac:dyDescent="0.25">
      <c r="A678" s="170">
        <v>42999</v>
      </c>
      <c r="B678" s="116">
        <v>1479.4</v>
      </c>
      <c r="C678" s="116">
        <v>1446.05</v>
      </c>
      <c r="D678" s="116">
        <v>1432</v>
      </c>
      <c r="E678" s="116">
        <v>1473.25</v>
      </c>
      <c r="F678" s="116">
        <v>1446.05</v>
      </c>
      <c r="G678">
        <v>10970</v>
      </c>
      <c r="H678" s="116"/>
      <c r="I678" s="116"/>
      <c r="L678" s="170">
        <v>42999</v>
      </c>
      <c r="M678" s="116">
        <v>1448.35</v>
      </c>
      <c r="N678" s="116">
        <v>1480</v>
      </c>
      <c r="O678" s="116">
        <v>1430</v>
      </c>
      <c r="P678" s="116">
        <v>1467</v>
      </c>
      <c r="Q678" s="116">
        <v>1448.35</v>
      </c>
      <c r="R678">
        <v>42709</v>
      </c>
    </row>
    <row r="679" spans="1:18" x14ac:dyDescent="0.25">
      <c r="A679" s="170">
        <v>43000</v>
      </c>
      <c r="B679" s="116">
        <v>1446</v>
      </c>
      <c r="C679" s="116">
        <v>1424</v>
      </c>
      <c r="D679" s="116">
        <v>1392.8</v>
      </c>
      <c r="E679" s="116">
        <v>1445</v>
      </c>
      <c r="F679" s="116">
        <v>1424</v>
      </c>
      <c r="G679">
        <v>14551</v>
      </c>
      <c r="H679" s="116"/>
      <c r="I679" s="116"/>
      <c r="L679" s="170">
        <v>43000</v>
      </c>
      <c r="M679" s="116">
        <v>1429.2</v>
      </c>
      <c r="N679" s="116">
        <v>1450.95</v>
      </c>
      <c r="O679" s="116">
        <v>1392.05</v>
      </c>
      <c r="P679" s="116">
        <v>1450.95</v>
      </c>
      <c r="Q679" s="116">
        <v>1429.2</v>
      </c>
      <c r="R679">
        <v>55630</v>
      </c>
    </row>
    <row r="680" spans="1:18" x14ac:dyDescent="0.25">
      <c r="A680" s="170">
        <v>43003</v>
      </c>
      <c r="B680" s="116">
        <v>1445</v>
      </c>
      <c r="C680" s="116">
        <v>1429.05</v>
      </c>
      <c r="D680" s="116">
        <v>1380</v>
      </c>
      <c r="E680" s="116">
        <v>1440.8</v>
      </c>
      <c r="F680" s="116">
        <v>1429.05</v>
      </c>
      <c r="G680">
        <v>6898</v>
      </c>
      <c r="H680" s="116"/>
      <c r="I680" s="116"/>
      <c r="L680" s="170">
        <v>43003</v>
      </c>
      <c r="M680" s="116">
        <v>1434.4</v>
      </c>
      <c r="N680" s="116">
        <v>1449</v>
      </c>
      <c r="O680" s="116">
        <v>1380.1</v>
      </c>
      <c r="P680" s="116">
        <v>1432</v>
      </c>
      <c r="Q680" s="116">
        <v>1434.4</v>
      </c>
      <c r="R680">
        <v>65842</v>
      </c>
    </row>
    <row r="681" spans="1:18" x14ac:dyDescent="0.25">
      <c r="A681" s="170">
        <v>43004</v>
      </c>
      <c r="B681" s="116">
        <v>1450</v>
      </c>
      <c r="C681" s="116">
        <v>1431.9</v>
      </c>
      <c r="D681" s="116">
        <v>1411.2</v>
      </c>
      <c r="E681" s="116">
        <v>1450</v>
      </c>
      <c r="F681" s="116">
        <v>1431.9</v>
      </c>
      <c r="G681">
        <v>9985</v>
      </c>
      <c r="H681" s="116"/>
      <c r="I681" s="116"/>
      <c r="L681" s="170">
        <v>43004</v>
      </c>
      <c r="M681" s="116">
        <v>1431.65</v>
      </c>
      <c r="N681" s="116">
        <v>1455</v>
      </c>
      <c r="O681" s="116">
        <v>1411</v>
      </c>
      <c r="P681" s="116">
        <v>1451.5</v>
      </c>
      <c r="Q681" s="116">
        <v>1431.65</v>
      </c>
      <c r="R681">
        <v>40805</v>
      </c>
    </row>
    <row r="682" spans="1:18" x14ac:dyDescent="0.25">
      <c r="A682" s="170">
        <v>43005</v>
      </c>
      <c r="B682" s="116">
        <v>1444</v>
      </c>
      <c r="C682" s="116">
        <v>1437.65</v>
      </c>
      <c r="D682" s="116">
        <v>1407.45</v>
      </c>
      <c r="E682" s="116">
        <v>1425.9</v>
      </c>
      <c r="F682" s="116">
        <v>1437.65</v>
      </c>
      <c r="G682">
        <v>6961</v>
      </c>
      <c r="H682" s="116"/>
      <c r="I682" s="116"/>
      <c r="L682" s="170">
        <v>43005</v>
      </c>
      <c r="M682" s="116">
        <v>1440.05</v>
      </c>
      <c r="N682" s="116">
        <v>1450.4</v>
      </c>
      <c r="O682" s="116">
        <v>1412</v>
      </c>
      <c r="P682" s="116">
        <v>1431.65</v>
      </c>
      <c r="Q682" s="116">
        <v>1440.05</v>
      </c>
      <c r="R682">
        <v>54416</v>
      </c>
    </row>
    <row r="683" spans="1:18" x14ac:dyDescent="0.25">
      <c r="A683" s="170">
        <v>43006</v>
      </c>
      <c r="B683" s="116">
        <v>1441</v>
      </c>
      <c r="C683" s="116">
        <v>1408.7</v>
      </c>
      <c r="D683" s="116">
        <v>1403.15</v>
      </c>
      <c r="E683" s="116">
        <v>1441</v>
      </c>
      <c r="F683" s="116">
        <v>1408.7</v>
      </c>
      <c r="G683">
        <v>5218</v>
      </c>
      <c r="H683" s="116"/>
      <c r="I683" s="116"/>
      <c r="L683" s="170">
        <v>43006</v>
      </c>
      <c r="M683" s="116">
        <v>1408.7</v>
      </c>
      <c r="N683" s="116">
        <v>1440.05</v>
      </c>
      <c r="O683" s="116">
        <v>1402</v>
      </c>
      <c r="P683" s="116">
        <v>1440.05</v>
      </c>
      <c r="Q683" s="116">
        <v>1408.7</v>
      </c>
      <c r="R683">
        <v>36599</v>
      </c>
    </row>
    <row r="684" spans="1:18" x14ac:dyDescent="0.25">
      <c r="A684" s="170">
        <v>43007</v>
      </c>
      <c r="B684" s="116">
        <v>1428</v>
      </c>
      <c r="C684" s="116">
        <v>1396.05</v>
      </c>
      <c r="D684" s="116">
        <v>1386.85</v>
      </c>
      <c r="E684" s="116">
        <v>1408.75</v>
      </c>
      <c r="F684" s="116">
        <v>1396.05</v>
      </c>
      <c r="G684">
        <v>4819</v>
      </c>
      <c r="H684" s="116"/>
      <c r="I684" s="116"/>
      <c r="L684" s="170">
        <v>43007</v>
      </c>
      <c r="M684" s="116">
        <v>1398.9</v>
      </c>
      <c r="N684" s="116">
        <v>1430</v>
      </c>
      <c r="O684" s="116">
        <v>1392</v>
      </c>
      <c r="P684" s="116">
        <v>1410.05</v>
      </c>
      <c r="Q684" s="116">
        <v>1398.9</v>
      </c>
      <c r="R684">
        <v>28770</v>
      </c>
    </row>
    <row r="685" spans="1:18" x14ac:dyDescent="0.25">
      <c r="A685" s="170">
        <v>43011</v>
      </c>
      <c r="B685" s="116">
        <v>1415.85</v>
      </c>
      <c r="C685" s="116">
        <v>1394.2</v>
      </c>
      <c r="D685" s="116">
        <v>1386.85</v>
      </c>
      <c r="E685" s="116">
        <v>1402.55</v>
      </c>
      <c r="F685" s="116">
        <v>1394.2</v>
      </c>
      <c r="G685">
        <v>2264</v>
      </c>
      <c r="H685" s="116"/>
      <c r="I685" s="116"/>
      <c r="L685" s="170">
        <v>43011</v>
      </c>
      <c r="M685" s="116">
        <v>1395.55</v>
      </c>
      <c r="N685" s="116">
        <v>1419.9</v>
      </c>
      <c r="O685" s="116">
        <v>1384.4</v>
      </c>
      <c r="P685" s="116">
        <v>1403</v>
      </c>
      <c r="Q685" s="116">
        <v>1395.55</v>
      </c>
      <c r="R685">
        <v>28916</v>
      </c>
    </row>
    <row r="686" spans="1:18" x14ac:dyDescent="0.25">
      <c r="A686" s="170">
        <v>43012</v>
      </c>
      <c r="B686" s="116">
        <v>1403.95</v>
      </c>
      <c r="C686" s="116">
        <v>1380.95</v>
      </c>
      <c r="D686" s="116">
        <v>1375</v>
      </c>
      <c r="E686" s="116">
        <v>1390</v>
      </c>
      <c r="F686" s="116">
        <v>1380.95</v>
      </c>
      <c r="G686">
        <v>4058</v>
      </c>
      <c r="H686" s="116"/>
      <c r="I686" s="116"/>
      <c r="L686" s="170">
        <v>43012</v>
      </c>
      <c r="M686" s="116">
        <v>1380.55</v>
      </c>
      <c r="N686" s="116">
        <v>1408</v>
      </c>
      <c r="O686" s="116">
        <v>1375.55</v>
      </c>
      <c r="P686" s="116">
        <v>1400</v>
      </c>
      <c r="Q686" s="116">
        <v>1380.55</v>
      </c>
      <c r="R686">
        <v>27436</v>
      </c>
    </row>
    <row r="687" spans="1:18" x14ac:dyDescent="0.25">
      <c r="A687" s="170">
        <v>43013</v>
      </c>
      <c r="B687" s="116">
        <v>1410</v>
      </c>
      <c r="C687" s="116">
        <v>1387.95</v>
      </c>
      <c r="D687" s="116">
        <v>1380</v>
      </c>
      <c r="E687" s="116">
        <v>1410</v>
      </c>
      <c r="F687" s="116">
        <v>1387.95</v>
      </c>
      <c r="G687">
        <v>2757</v>
      </c>
      <c r="H687" s="116"/>
      <c r="I687" s="116"/>
      <c r="L687" s="170">
        <v>43013</v>
      </c>
      <c r="M687" s="116">
        <v>1385.95</v>
      </c>
      <c r="N687" s="116">
        <v>1400.05</v>
      </c>
      <c r="O687" s="116">
        <v>1376.6</v>
      </c>
      <c r="P687" s="116">
        <v>1380</v>
      </c>
      <c r="Q687" s="116">
        <v>1385.95</v>
      </c>
      <c r="R687">
        <v>27426</v>
      </c>
    </row>
    <row r="688" spans="1:18" x14ac:dyDescent="0.25">
      <c r="A688" s="170">
        <v>43014</v>
      </c>
      <c r="B688" s="116">
        <v>1410</v>
      </c>
      <c r="C688" s="116">
        <v>1368.7</v>
      </c>
      <c r="D688" s="116">
        <v>1365.25</v>
      </c>
      <c r="E688" s="116">
        <v>1394</v>
      </c>
      <c r="F688" s="116">
        <v>1368.7</v>
      </c>
      <c r="G688">
        <v>4509</v>
      </c>
      <c r="H688" s="116"/>
      <c r="I688" s="116"/>
      <c r="L688" s="170">
        <v>43014</v>
      </c>
      <c r="M688" s="116">
        <v>1372.1</v>
      </c>
      <c r="N688" s="116">
        <v>1418</v>
      </c>
      <c r="O688" s="116">
        <v>1370</v>
      </c>
      <c r="P688" s="116">
        <v>1395</v>
      </c>
      <c r="Q688" s="116">
        <v>1372.1</v>
      </c>
      <c r="R688">
        <v>49408</v>
      </c>
    </row>
    <row r="689" spans="1:18" x14ac:dyDescent="0.25">
      <c r="A689" s="170">
        <v>43017</v>
      </c>
      <c r="B689" s="116">
        <v>1388.1</v>
      </c>
      <c r="C689" s="116">
        <v>1367.45</v>
      </c>
      <c r="D689" s="116">
        <v>1361.05</v>
      </c>
      <c r="E689" s="116">
        <v>1375</v>
      </c>
      <c r="F689" s="116">
        <v>1367.45</v>
      </c>
      <c r="G689">
        <v>3612</v>
      </c>
      <c r="H689" s="116"/>
      <c r="I689" s="116"/>
      <c r="L689" s="170">
        <v>43017</v>
      </c>
      <c r="M689" s="116">
        <v>1375.35</v>
      </c>
      <c r="N689" s="116">
        <v>1398.7</v>
      </c>
      <c r="O689" s="116">
        <v>1364</v>
      </c>
      <c r="P689" s="116">
        <v>1398.7</v>
      </c>
      <c r="Q689" s="116">
        <v>1375.35</v>
      </c>
      <c r="R689">
        <v>63120</v>
      </c>
    </row>
    <row r="690" spans="1:18" x14ac:dyDescent="0.25">
      <c r="A690" s="170">
        <v>43018</v>
      </c>
      <c r="B690" s="116">
        <v>1389.95</v>
      </c>
      <c r="C690" s="116">
        <v>1353.6</v>
      </c>
      <c r="D690" s="116">
        <v>1350</v>
      </c>
      <c r="E690" s="116">
        <v>1385</v>
      </c>
      <c r="F690" s="116">
        <v>1353.6</v>
      </c>
      <c r="G690">
        <v>9278</v>
      </c>
      <c r="H690" s="116"/>
      <c r="I690" s="116"/>
      <c r="L690" s="170">
        <v>43018</v>
      </c>
      <c r="M690" s="116">
        <v>1353.55</v>
      </c>
      <c r="N690" s="116">
        <v>1390.5</v>
      </c>
      <c r="O690" s="116">
        <v>1350.55</v>
      </c>
      <c r="P690" s="116">
        <v>1385</v>
      </c>
      <c r="Q690" s="116">
        <v>1353.55</v>
      </c>
      <c r="R690">
        <v>48407</v>
      </c>
    </row>
    <row r="691" spans="1:18" x14ac:dyDescent="0.25">
      <c r="A691" s="170">
        <v>43019</v>
      </c>
      <c r="B691" s="116">
        <v>1364</v>
      </c>
      <c r="C691" s="116">
        <v>1349.4</v>
      </c>
      <c r="D691" s="116">
        <v>1338.15</v>
      </c>
      <c r="E691" s="116">
        <v>1360.65</v>
      </c>
      <c r="F691" s="116">
        <v>1349.4</v>
      </c>
      <c r="G691">
        <v>3506</v>
      </c>
      <c r="H691" s="116"/>
      <c r="I691" s="116"/>
      <c r="L691" s="170">
        <v>43019</v>
      </c>
      <c r="M691" s="116">
        <v>1359.2</v>
      </c>
      <c r="N691" s="116">
        <v>1368.7</v>
      </c>
      <c r="O691" s="116">
        <v>1337.1</v>
      </c>
      <c r="P691" s="116">
        <v>1360</v>
      </c>
      <c r="Q691" s="116">
        <v>1359.2</v>
      </c>
      <c r="R691">
        <v>91643</v>
      </c>
    </row>
    <row r="692" spans="1:18" x14ac:dyDescent="0.25">
      <c r="A692" s="170">
        <v>43020</v>
      </c>
      <c r="B692" s="116">
        <v>1371.5</v>
      </c>
      <c r="C692" s="116">
        <v>1359.85</v>
      </c>
      <c r="D692" s="116">
        <v>1338.65</v>
      </c>
      <c r="E692" s="116">
        <v>1338.65</v>
      </c>
      <c r="F692" s="116">
        <v>1359.85</v>
      </c>
      <c r="G692">
        <v>32401</v>
      </c>
      <c r="H692" s="116"/>
      <c r="I692" s="116"/>
      <c r="L692" s="170">
        <v>43020</v>
      </c>
      <c r="M692" s="116">
        <v>1362</v>
      </c>
      <c r="N692" s="116">
        <v>1370</v>
      </c>
      <c r="O692" s="116">
        <v>1340.15</v>
      </c>
      <c r="P692" s="116">
        <v>1362.95</v>
      </c>
      <c r="Q692" s="116">
        <v>1362</v>
      </c>
      <c r="R692">
        <v>70437</v>
      </c>
    </row>
    <row r="693" spans="1:18" x14ac:dyDescent="0.25">
      <c r="A693" s="170">
        <v>43021</v>
      </c>
      <c r="B693" s="116">
        <v>1359.95</v>
      </c>
      <c r="C693" s="116">
        <v>1346.45</v>
      </c>
      <c r="D693" s="116">
        <v>1341.35</v>
      </c>
      <c r="E693" s="116">
        <v>1355.05</v>
      </c>
      <c r="F693" s="116">
        <v>1346.45</v>
      </c>
      <c r="G693">
        <v>3624</v>
      </c>
      <c r="H693" s="116"/>
      <c r="I693" s="116"/>
      <c r="L693" s="170">
        <v>43021</v>
      </c>
      <c r="M693" s="116">
        <v>1345.5</v>
      </c>
      <c r="N693" s="116">
        <v>1361.85</v>
      </c>
      <c r="O693" s="116">
        <v>1342</v>
      </c>
      <c r="P693" s="116">
        <v>1358.95</v>
      </c>
      <c r="Q693" s="116">
        <v>1345.5</v>
      </c>
      <c r="R693">
        <v>38538</v>
      </c>
    </row>
    <row r="694" spans="1:18" x14ac:dyDescent="0.25">
      <c r="A694" s="170">
        <v>43024</v>
      </c>
      <c r="B694" s="116">
        <v>1371.25</v>
      </c>
      <c r="C694" s="116">
        <v>1354.45</v>
      </c>
      <c r="D694" s="116">
        <v>1346.5</v>
      </c>
      <c r="E694" s="116">
        <v>1346.5</v>
      </c>
      <c r="F694" s="116">
        <v>1354.45</v>
      </c>
      <c r="G694">
        <v>4254</v>
      </c>
      <c r="H694" s="116"/>
      <c r="I694" s="116"/>
      <c r="L694" s="170">
        <v>43024</v>
      </c>
      <c r="M694" s="116">
        <v>1352.65</v>
      </c>
      <c r="N694" s="116">
        <v>1375</v>
      </c>
      <c r="O694" s="116">
        <v>1347.2</v>
      </c>
      <c r="P694" s="116">
        <v>1351.95</v>
      </c>
      <c r="Q694" s="116">
        <v>1352.65</v>
      </c>
      <c r="R694">
        <v>82245</v>
      </c>
    </row>
    <row r="695" spans="1:18" x14ac:dyDescent="0.25">
      <c r="A695" s="170">
        <v>43025</v>
      </c>
      <c r="B695" s="116">
        <v>1357.5</v>
      </c>
      <c r="C695" s="116">
        <v>1342.8</v>
      </c>
      <c r="D695" s="116">
        <v>1340.55</v>
      </c>
      <c r="E695" s="116">
        <v>1345</v>
      </c>
      <c r="F695" s="116">
        <v>1342.8</v>
      </c>
      <c r="G695">
        <v>2614</v>
      </c>
      <c r="H695" s="116"/>
      <c r="I695" s="116"/>
      <c r="L695" s="170">
        <v>43025</v>
      </c>
      <c r="M695" s="116">
        <v>1343.35</v>
      </c>
      <c r="N695" s="116">
        <v>1357.75</v>
      </c>
      <c r="O695" s="116">
        <v>1340</v>
      </c>
      <c r="P695" s="116">
        <v>1354</v>
      </c>
      <c r="Q695" s="116">
        <v>1343.35</v>
      </c>
      <c r="R695">
        <v>22267</v>
      </c>
    </row>
    <row r="696" spans="1:18" x14ac:dyDescent="0.25">
      <c r="A696" s="170">
        <v>43026</v>
      </c>
      <c r="B696" s="116">
        <v>1360</v>
      </c>
      <c r="C696" s="116">
        <v>1325.85</v>
      </c>
      <c r="D696" s="116">
        <v>1306.6500000000001</v>
      </c>
      <c r="E696" s="116">
        <v>1346</v>
      </c>
      <c r="F696" s="116">
        <v>1325.85</v>
      </c>
      <c r="G696">
        <v>8373</v>
      </c>
      <c r="H696" s="116"/>
      <c r="I696" s="116"/>
      <c r="L696" s="170">
        <v>43026</v>
      </c>
      <c r="M696" s="116">
        <v>1335.95</v>
      </c>
      <c r="N696" s="116">
        <v>1359.9</v>
      </c>
      <c r="O696" s="116">
        <v>1330.1</v>
      </c>
      <c r="P696" s="116">
        <v>1343.5</v>
      </c>
      <c r="Q696" s="116">
        <v>1335.95</v>
      </c>
      <c r="R696">
        <v>27534</v>
      </c>
    </row>
    <row r="697" spans="1:18" x14ac:dyDescent="0.25">
      <c r="A697" s="170">
        <v>43027</v>
      </c>
      <c r="B697" s="116">
        <v>1352.8</v>
      </c>
      <c r="C697" s="116">
        <v>1339.75</v>
      </c>
      <c r="D697" s="116">
        <v>1330</v>
      </c>
      <c r="E697" s="116">
        <v>1340.5</v>
      </c>
      <c r="F697" s="116">
        <v>1339.75</v>
      </c>
      <c r="G697">
        <v>1341</v>
      </c>
      <c r="H697" s="116"/>
      <c r="I697" s="116"/>
      <c r="L697" s="170">
        <v>43027</v>
      </c>
      <c r="M697" s="116">
        <v>1340.35</v>
      </c>
      <c r="N697" s="116">
        <v>1349</v>
      </c>
      <c r="O697" s="116">
        <v>1330</v>
      </c>
      <c r="P697" s="116">
        <v>1336.75</v>
      </c>
      <c r="Q697" s="116">
        <v>1340.35</v>
      </c>
      <c r="R697">
        <v>6619</v>
      </c>
    </row>
    <row r="698" spans="1:18" x14ac:dyDescent="0.25">
      <c r="A698" s="170">
        <v>43031</v>
      </c>
      <c r="B698" s="116">
        <v>1354.65</v>
      </c>
      <c r="C698" s="116">
        <v>1332</v>
      </c>
      <c r="D698" s="116">
        <v>1331.05</v>
      </c>
      <c r="E698" s="116">
        <v>1350.85</v>
      </c>
      <c r="F698" s="116">
        <v>1332</v>
      </c>
      <c r="G698">
        <v>3026</v>
      </c>
      <c r="H698" s="116"/>
      <c r="I698" s="116"/>
      <c r="L698" s="170">
        <v>43031</v>
      </c>
      <c r="M698" s="116">
        <v>1333.85</v>
      </c>
      <c r="N698" s="116">
        <v>1359.9</v>
      </c>
      <c r="O698" s="116">
        <v>1331.1</v>
      </c>
      <c r="P698" s="116">
        <v>1345</v>
      </c>
      <c r="Q698" s="116">
        <v>1333.85</v>
      </c>
      <c r="R698">
        <v>64910</v>
      </c>
    </row>
    <row r="699" spans="1:18" x14ac:dyDescent="0.25">
      <c r="A699" s="170">
        <v>43032</v>
      </c>
      <c r="B699" s="116">
        <v>1365</v>
      </c>
      <c r="C699" s="116">
        <v>1356.4</v>
      </c>
      <c r="D699" s="116">
        <v>1340</v>
      </c>
      <c r="E699" s="116">
        <v>1348</v>
      </c>
      <c r="F699" s="116">
        <v>1356.4</v>
      </c>
      <c r="G699">
        <v>211027</v>
      </c>
      <c r="H699" s="116"/>
      <c r="I699" s="116"/>
      <c r="L699" s="170">
        <v>43032</v>
      </c>
      <c r="M699" s="116">
        <v>1356.6</v>
      </c>
      <c r="N699" s="116">
        <v>1365</v>
      </c>
      <c r="O699" s="116">
        <v>1336.25</v>
      </c>
      <c r="P699" s="116">
        <v>1340</v>
      </c>
      <c r="Q699" s="116">
        <v>1356.6</v>
      </c>
      <c r="R699">
        <v>176574</v>
      </c>
    </row>
    <row r="700" spans="1:18" x14ac:dyDescent="0.25">
      <c r="A700" s="170">
        <v>43033</v>
      </c>
      <c r="B700" s="116">
        <v>1391</v>
      </c>
      <c r="C700" s="116">
        <v>1384.95</v>
      </c>
      <c r="D700" s="116">
        <v>1335</v>
      </c>
      <c r="E700" s="116">
        <v>1355.65</v>
      </c>
      <c r="F700" s="116">
        <v>1384.95</v>
      </c>
      <c r="G700">
        <v>14747</v>
      </c>
      <c r="H700" s="116"/>
      <c r="I700" s="116"/>
      <c r="L700" s="170">
        <v>43033</v>
      </c>
      <c r="M700" s="116">
        <v>1387.35</v>
      </c>
      <c r="N700" s="116">
        <v>1392.15</v>
      </c>
      <c r="O700" s="116">
        <v>1334</v>
      </c>
      <c r="P700" s="116">
        <v>1360</v>
      </c>
      <c r="Q700" s="116">
        <v>1387.35</v>
      </c>
      <c r="R700">
        <v>182208</v>
      </c>
    </row>
    <row r="701" spans="1:18" x14ac:dyDescent="0.25">
      <c r="A701" s="170">
        <v>43034</v>
      </c>
      <c r="B701" s="116">
        <v>1410</v>
      </c>
      <c r="C701" s="116">
        <v>1399.55</v>
      </c>
      <c r="D701" s="116">
        <v>1356.65</v>
      </c>
      <c r="E701" s="116">
        <v>1387</v>
      </c>
      <c r="F701" s="116">
        <v>1399.55</v>
      </c>
      <c r="G701">
        <v>158956</v>
      </c>
      <c r="H701" s="116"/>
      <c r="I701" s="116"/>
      <c r="L701" s="170">
        <v>43034</v>
      </c>
      <c r="M701" s="116">
        <v>1397.5</v>
      </c>
      <c r="N701" s="116">
        <v>1415</v>
      </c>
      <c r="O701" s="116">
        <v>1377.55</v>
      </c>
      <c r="P701" s="116">
        <v>1391</v>
      </c>
      <c r="Q701" s="116">
        <v>1397.5</v>
      </c>
      <c r="R701">
        <v>177958</v>
      </c>
    </row>
    <row r="702" spans="1:18" x14ac:dyDescent="0.25">
      <c r="A702" s="170">
        <v>43035</v>
      </c>
      <c r="B702" s="116">
        <v>1412</v>
      </c>
      <c r="C702" s="116">
        <v>1403</v>
      </c>
      <c r="D702" s="116">
        <v>1390</v>
      </c>
      <c r="E702" s="116">
        <v>1405.3</v>
      </c>
      <c r="F702" s="116">
        <v>1403</v>
      </c>
      <c r="G702">
        <v>158160</v>
      </c>
      <c r="H702" s="116"/>
      <c r="I702" s="116"/>
      <c r="L702" s="170">
        <v>43035</v>
      </c>
      <c r="M702" s="116">
        <v>1404.4</v>
      </c>
      <c r="N702" s="116">
        <v>1415.95</v>
      </c>
      <c r="O702" s="116">
        <v>1394.95</v>
      </c>
      <c r="P702" s="116">
        <v>1397.5</v>
      </c>
      <c r="Q702" s="116">
        <v>1404.4</v>
      </c>
      <c r="R702">
        <v>173361</v>
      </c>
    </row>
    <row r="703" spans="1:18" x14ac:dyDescent="0.25">
      <c r="A703" s="170">
        <v>43038</v>
      </c>
      <c r="B703" s="116">
        <v>1419.55</v>
      </c>
      <c r="C703" s="116">
        <v>1401.2</v>
      </c>
      <c r="D703" s="116">
        <v>1390</v>
      </c>
      <c r="E703" s="116">
        <v>1403</v>
      </c>
      <c r="F703" s="116">
        <v>1401.2</v>
      </c>
      <c r="G703">
        <v>72629</v>
      </c>
      <c r="H703" s="116"/>
      <c r="I703" s="116"/>
      <c r="L703" s="170">
        <v>43038</v>
      </c>
      <c r="M703" s="116">
        <v>1399.15</v>
      </c>
      <c r="N703" s="116">
        <v>1422.7</v>
      </c>
      <c r="O703" s="116">
        <v>1386.3</v>
      </c>
      <c r="P703" s="116">
        <v>1405</v>
      </c>
      <c r="Q703" s="116">
        <v>1399.15</v>
      </c>
      <c r="R703">
        <v>77169</v>
      </c>
    </row>
    <row r="704" spans="1:18" x14ac:dyDescent="0.25">
      <c r="A704" s="170">
        <v>43039</v>
      </c>
      <c r="B704" s="116">
        <v>1406.95</v>
      </c>
      <c r="C704" s="116">
        <v>1382.85</v>
      </c>
      <c r="D704" s="116">
        <v>1369.95</v>
      </c>
      <c r="E704" s="116">
        <v>1400</v>
      </c>
      <c r="F704" s="116">
        <v>1382.85</v>
      </c>
      <c r="G704">
        <v>13833</v>
      </c>
      <c r="H704" s="116"/>
      <c r="I704" s="116"/>
      <c r="L704" s="170">
        <v>43039</v>
      </c>
      <c r="M704" s="116">
        <v>1385.85</v>
      </c>
      <c r="N704" s="116">
        <v>1409.15</v>
      </c>
      <c r="O704" s="116">
        <v>1351.75</v>
      </c>
      <c r="P704" s="116">
        <v>1400</v>
      </c>
      <c r="Q704" s="116">
        <v>1385.85</v>
      </c>
      <c r="R704">
        <v>120291</v>
      </c>
    </row>
    <row r="705" spans="1:18" x14ac:dyDescent="0.25">
      <c r="A705" s="170">
        <v>43040</v>
      </c>
      <c r="B705" s="116">
        <v>1398.45</v>
      </c>
      <c r="C705" s="116">
        <v>1389.95</v>
      </c>
      <c r="D705" s="116">
        <v>1379</v>
      </c>
      <c r="E705" s="116">
        <v>1387.05</v>
      </c>
      <c r="F705" s="116">
        <v>1389.95</v>
      </c>
      <c r="G705">
        <v>53586</v>
      </c>
      <c r="H705" s="116"/>
      <c r="I705" s="116"/>
      <c r="L705" s="170">
        <v>43040</v>
      </c>
      <c r="M705" s="116">
        <v>1392.8</v>
      </c>
      <c r="N705" s="116">
        <v>1403</v>
      </c>
      <c r="O705" s="116">
        <v>1379</v>
      </c>
      <c r="P705" s="116">
        <v>1400</v>
      </c>
      <c r="Q705" s="116">
        <v>1392.8</v>
      </c>
      <c r="R705">
        <v>37700</v>
      </c>
    </row>
    <row r="706" spans="1:18" x14ac:dyDescent="0.25">
      <c r="A706" s="170">
        <v>43041</v>
      </c>
      <c r="B706" s="116">
        <v>1401</v>
      </c>
      <c r="C706" s="116">
        <v>1388.6</v>
      </c>
      <c r="D706" s="116">
        <v>1375</v>
      </c>
      <c r="E706" s="116">
        <v>1395</v>
      </c>
      <c r="F706" s="116">
        <v>1388.6</v>
      </c>
      <c r="G706">
        <v>52687</v>
      </c>
      <c r="H706" s="116"/>
      <c r="I706" s="116"/>
      <c r="L706" s="170">
        <v>43041</v>
      </c>
      <c r="M706" s="116">
        <v>1384.95</v>
      </c>
      <c r="N706" s="116">
        <v>1403.5</v>
      </c>
      <c r="O706" s="116">
        <v>1380</v>
      </c>
      <c r="P706" s="116">
        <v>1402</v>
      </c>
      <c r="Q706" s="116">
        <v>1384.95</v>
      </c>
      <c r="R706">
        <v>19290</v>
      </c>
    </row>
    <row r="707" spans="1:18" x14ac:dyDescent="0.25">
      <c r="A707" s="170">
        <v>43042</v>
      </c>
      <c r="B707" s="116">
        <v>1402</v>
      </c>
      <c r="C707" s="116">
        <v>1381.15</v>
      </c>
      <c r="D707" s="116">
        <v>1380</v>
      </c>
      <c r="E707" s="116">
        <v>1396.45</v>
      </c>
      <c r="F707" s="116">
        <v>1381.15</v>
      </c>
      <c r="G707">
        <v>51233</v>
      </c>
      <c r="H707" s="116"/>
      <c r="I707" s="116"/>
      <c r="L707" s="170">
        <v>43042</v>
      </c>
      <c r="M707" s="116">
        <v>1382.25</v>
      </c>
      <c r="N707" s="116">
        <v>1406</v>
      </c>
      <c r="O707" s="116">
        <v>1380</v>
      </c>
      <c r="P707" s="116">
        <v>1394</v>
      </c>
      <c r="Q707" s="116">
        <v>1382.25</v>
      </c>
      <c r="R707">
        <v>136317</v>
      </c>
    </row>
    <row r="708" spans="1:18" x14ac:dyDescent="0.25">
      <c r="A708" s="170">
        <v>43045</v>
      </c>
      <c r="B708" s="116">
        <v>1386.95</v>
      </c>
      <c r="C708" s="116">
        <v>1362.6</v>
      </c>
      <c r="D708" s="116">
        <v>1358</v>
      </c>
      <c r="E708" s="116">
        <v>1386.95</v>
      </c>
      <c r="F708" s="116">
        <v>1362.6</v>
      </c>
      <c r="G708">
        <v>105333</v>
      </c>
      <c r="H708" s="116"/>
      <c r="I708" s="116"/>
      <c r="L708" s="170">
        <v>43045</v>
      </c>
      <c r="M708" s="116">
        <v>1368</v>
      </c>
      <c r="N708" s="116">
        <v>1388.7</v>
      </c>
      <c r="O708" s="116">
        <v>1365</v>
      </c>
      <c r="P708" s="116">
        <v>1380</v>
      </c>
      <c r="Q708" s="116">
        <v>1368</v>
      </c>
      <c r="R708">
        <v>24350</v>
      </c>
    </row>
    <row r="709" spans="1:18" x14ac:dyDescent="0.25">
      <c r="A709" s="170">
        <v>43046</v>
      </c>
      <c r="B709" s="116">
        <v>1387.5</v>
      </c>
      <c r="C709" s="116">
        <v>1334.3</v>
      </c>
      <c r="D709" s="116">
        <v>1325</v>
      </c>
      <c r="E709" s="116">
        <v>1377.95</v>
      </c>
      <c r="F709" s="116">
        <v>1334.3</v>
      </c>
      <c r="G709">
        <v>113237</v>
      </c>
      <c r="H709" s="116"/>
      <c r="I709" s="116"/>
      <c r="L709" s="170">
        <v>43046</v>
      </c>
      <c r="M709" s="116">
        <v>1334</v>
      </c>
      <c r="N709" s="116">
        <v>1392.95</v>
      </c>
      <c r="O709" s="116">
        <v>1326.55</v>
      </c>
      <c r="P709" s="116">
        <v>1370</v>
      </c>
      <c r="Q709" s="116">
        <v>1334</v>
      </c>
      <c r="R709">
        <v>37681</v>
      </c>
    </row>
    <row r="710" spans="1:18" x14ac:dyDescent="0.25">
      <c r="A710" s="170">
        <v>43047</v>
      </c>
      <c r="B710" s="116">
        <v>1357.1</v>
      </c>
      <c r="C710" s="116">
        <v>1316.85</v>
      </c>
      <c r="D710" s="116">
        <v>1308</v>
      </c>
      <c r="E710" s="116">
        <v>1340</v>
      </c>
      <c r="F710" s="116">
        <v>1316.85</v>
      </c>
      <c r="G710">
        <v>4658</v>
      </c>
      <c r="H710" s="116"/>
      <c r="I710" s="116"/>
      <c r="L710" s="170">
        <v>43047</v>
      </c>
      <c r="M710" s="116">
        <v>1324.5</v>
      </c>
      <c r="N710" s="116">
        <v>1357.2</v>
      </c>
      <c r="O710" s="116">
        <v>1307.8499999999999</v>
      </c>
      <c r="P710" s="116">
        <v>1328.1</v>
      </c>
      <c r="Q710" s="116">
        <v>1324.5</v>
      </c>
      <c r="R710">
        <v>50906</v>
      </c>
    </row>
    <row r="711" spans="1:18" x14ac:dyDescent="0.25">
      <c r="A711" s="170">
        <v>43048</v>
      </c>
      <c r="B711" s="116">
        <v>1360.1</v>
      </c>
      <c r="C711" s="116">
        <v>1349.3</v>
      </c>
      <c r="D711" s="116">
        <v>1319</v>
      </c>
      <c r="E711" s="116">
        <v>1319</v>
      </c>
      <c r="F711" s="116">
        <v>1349.3</v>
      </c>
      <c r="G711">
        <v>2154</v>
      </c>
      <c r="H711" s="116"/>
      <c r="I711" s="116"/>
      <c r="L711" s="170">
        <v>43048</v>
      </c>
      <c r="M711" s="116">
        <v>1348.4</v>
      </c>
      <c r="N711" s="116">
        <v>1362.85</v>
      </c>
      <c r="O711" s="116">
        <v>1330</v>
      </c>
      <c r="P711" s="116">
        <v>1330</v>
      </c>
      <c r="Q711" s="116">
        <v>1348.4</v>
      </c>
      <c r="R711">
        <v>19839</v>
      </c>
    </row>
    <row r="712" spans="1:18" x14ac:dyDescent="0.25">
      <c r="A712" s="170">
        <v>43049</v>
      </c>
      <c r="B712" s="116">
        <v>1360</v>
      </c>
      <c r="C712" s="116">
        <v>1354.6</v>
      </c>
      <c r="D712" s="116">
        <v>1334</v>
      </c>
      <c r="E712" s="116">
        <v>1349</v>
      </c>
      <c r="F712" s="116">
        <v>1354.6</v>
      </c>
      <c r="G712">
        <v>2412</v>
      </c>
      <c r="H712" s="116"/>
      <c r="I712" s="116"/>
      <c r="L712" s="170">
        <v>43049</v>
      </c>
      <c r="M712" s="116">
        <v>1355.45</v>
      </c>
      <c r="N712" s="116">
        <v>1360</v>
      </c>
      <c r="O712" s="116">
        <v>1305.0999999999999</v>
      </c>
      <c r="P712" s="116">
        <v>1355</v>
      </c>
      <c r="Q712" s="116">
        <v>1355.45</v>
      </c>
      <c r="R712">
        <v>27058</v>
      </c>
    </row>
    <row r="713" spans="1:18" x14ac:dyDescent="0.25">
      <c r="A713" s="170">
        <v>43052</v>
      </c>
      <c r="B713" s="116">
        <v>1368</v>
      </c>
      <c r="C713" s="116">
        <v>1356.9</v>
      </c>
      <c r="D713" s="116">
        <v>1350</v>
      </c>
      <c r="E713" s="116">
        <v>1363</v>
      </c>
      <c r="F713" s="116">
        <v>1356.9</v>
      </c>
      <c r="G713">
        <v>2193</v>
      </c>
      <c r="H713" s="116"/>
      <c r="I713" s="116"/>
      <c r="L713" s="170">
        <v>43052</v>
      </c>
      <c r="M713" s="116">
        <v>1359.4</v>
      </c>
      <c r="N713" s="116">
        <v>1368.3</v>
      </c>
      <c r="O713" s="116">
        <v>1351.1</v>
      </c>
      <c r="P713" s="116">
        <v>1355.5</v>
      </c>
      <c r="Q713" s="116">
        <v>1359.4</v>
      </c>
      <c r="R713">
        <v>13055</v>
      </c>
    </row>
    <row r="714" spans="1:18" x14ac:dyDescent="0.25">
      <c r="A714" s="170">
        <v>43053</v>
      </c>
      <c r="B714" s="116">
        <v>1370</v>
      </c>
      <c r="C714" s="116">
        <v>1361.4</v>
      </c>
      <c r="D714" s="116">
        <v>1355.35</v>
      </c>
      <c r="E714" s="116">
        <v>1355.35</v>
      </c>
      <c r="F714" s="116">
        <v>1361.4</v>
      </c>
      <c r="G714">
        <v>1577</v>
      </c>
      <c r="H714" s="116"/>
      <c r="I714" s="116"/>
      <c r="L714" s="170">
        <v>43053</v>
      </c>
      <c r="M714" s="116">
        <v>1366.55</v>
      </c>
      <c r="N714" s="116">
        <v>1372.95</v>
      </c>
      <c r="O714" s="116">
        <v>1360</v>
      </c>
      <c r="P714" s="116">
        <v>1364</v>
      </c>
      <c r="Q714" s="116">
        <v>1366.55</v>
      </c>
      <c r="R714">
        <v>9545</v>
      </c>
    </row>
    <row r="715" spans="1:18" x14ac:dyDescent="0.25">
      <c r="A715" s="170">
        <v>43054</v>
      </c>
      <c r="B715" s="116">
        <v>1370</v>
      </c>
      <c r="C715" s="116">
        <v>1353.4</v>
      </c>
      <c r="D715" s="116">
        <v>1325.05</v>
      </c>
      <c r="E715" s="116">
        <v>1370</v>
      </c>
      <c r="F715" s="116">
        <v>1353.4</v>
      </c>
      <c r="G715">
        <v>4049</v>
      </c>
      <c r="H715" s="116"/>
      <c r="I715" s="116"/>
      <c r="L715" s="170">
        <v>43054</v>
      </c>
      <c r="M715" s="116">
        <v>1359.15</v>
      </c>
      <c r="N715" s="116">
        <v>1374</v>
      </c>
      <c r="O715" s="116">
        <v>1320.3</v>
      </c>
      <c r="P715" s="116">
        <v>1374</v>
      </c>
      <c r="Q715" s="116">
        <v>1359.15</v>
      </c>
      <c r="R715">
        <v>44878</v>
      </c>
    </row>
    <row r="716" spans="1:18" x14ac:dyDescent="0.25">
      <c r="A716" s="170">
        <v>43055</v>
      </c>
      <c r="B716" s="116">
        <v>1374.5</v>
      </c>
      <c r="C716" s="116">
        <v>1365.9</v>
      </c>
      <c r="D716" s="116">
        <v>1344.65</v>
      </c>
      <c r="E716" s="116">
        <v>1367</v>
      </c>
      <c r="F716" s="116">
        <v>1365.9</v>
      </c>
      <c r="G716">
        <v>2492</v>
      </c>
      <c r="H716" s="116"/>
      <c r="I716" s="116"/>
      <c r="L716" s="170">
        <v>43055</v>
      </c>
      <c r="M716" s="116">
        <v>1365.8</v>
      </c>
      <c r="N716" s="116">
        <v>1372</v>
      </c>
      <c r="O716" s="116">
        <v>1341.3</v>
      </c>
      <c r="P716" s="116">
        <v>1365</v>
      </c>
      <c r="Q716" s="116">
        <v>1365.8</v>
      </c>
      <c r="R716">
        <v>10401</v>
      </c>
    </row>
    <row r="717" spans="1:18" x14ac:dyDescent="0.25">
      <c r="A717" s="170">
        <v>43056</v>
      </c>
      <c r="B717" s="116">
        <v>1387.15</v>
      </c>
      <c r="C717" s="116">
        <v>1373.8</v>
      </c>
      <c r="D717" s="116">
        <v>1350</v>
      </c>
      <c r="E717" s="116">
        <v>1372</v>
      </c>
      <c r="F717" s="116">
        <v>1373.8</v>
      </c>
      <c r="G717">
        <v>5237</v>
      </c>
      <c r="H717" s="116"/>
      <c r="I717" s="116"/>
      <c r="L717" s="170">
        <v>43056</v>
      </c>
      <c r="M717" s="116">
        <v>1378.75</v>
      </c>
      <c r="N717" s="116">
        <v>1382</v>
      </c>
      <c r="O717" s="116">
        <v>1353.75</v>
      </c>
      <c r="P717" s="116">
        <v>1370</v>
      </c>
      <c r="Q717" s="116">
        <v>1378.75</v>
      </c>
      <c r="R717">
        <v>34583</v>
      </c>
    </row>
    <row r="718" spans="1:18" x14ac:dyDescent="0.25">
      <c r="A718" s="170">
        <v>43059</v>
      </c>
      <c r="B718" s="116">
        <v>1390</v>
      </c>
      <c r="C718" s="116">
        <v>1384.35</v>
      </c>
      <c r="D718" s="116">
        <v>1356.65</v>
      </c>
      <c r="E718" s="116">
        <v>1384.15</v>
      </c>
      <c r="F718" s="116">
        <v>1384.35</v>
      </c>
      <c r="G718">
        <v>4294</v>
      </c>
      <c r="H718" s="116"/>
      <c r="I718" s="116"/>
      <c r="L718" s="170">
        <v>43059</v>
      </c>
      <c r="M718" s="116">
        <v>1381.4</v>
      </c>
      <c r="N718" s="116">
        <v>1390</v>
      </c>
      <c r="O718" s="116">
        <v>1337.4</v>
      </c>
      <c r="P718" s="116">
        <v>1370.65</v>
      </c>
      <c r="Q718" s="116">
        <v>1381.4</v>
      </c>
      <c r="R718">
        <v>32965</v>
      </c>
    </row>
    <row r="719" spans="1:18" x14ac:dyDescent="0.25">
      <c r="A719" s="170">
        <v>43060</v>
      </c>
      <c r="B719" s="116">
        <v>1386</v>
      </c>
      <c r="C719" s="116">
        <v>1382.6</v>
      </c>
      <c r="D719" s="116">
        <v>1371.65</v>
      </c>
      <c r="E719" s="116">
        <v>1384</v>
      </c>
      <c r="F719" s="116">
        <v>1382.6</v>
      </c>
      <c r="G719">
        <v>1237</v>
      </c>
      <c r="H719" s="116"/>
      <c r="I719" s="116"/>
      <c r="L719" s="170">
        <v>43060</v>
      </c>
      <c r="M719" s="116">
        <v>1385.25</v>
      </c>
      <c r="N719" s="116">
        <v>1390</v>
      </c>
      <c r="O719" s="116">
        <v>1374</v>
      </c>
      <c r="P719" s="116">
        <v>1387</v>
      </c>
      <c r="Q719" s="116">
        <v>1385.25</v>
      </c>
      <c r="R719">
        <v>9715</v>
      </c>
    </row>
    <row r="720" spans="1:18" x14ac:dyDescent="0.25">
      <c r="A720" s="170">
        <v>43061</v>
      </c>
      <c r="B720" s="116">
        <v>1421.35</v>
      </c>
      <c r="C720" s="116">
        <v>1407.75</v>
      </c>
      <c r="D720" s="116">
        <v>1381.15</v>
      </c>
      <c r="E720" s="116">
        <v>1381.25</v>
      </c>
      <c r="F720" s="116">
        <v>1407.75</v>
      </c>
      <c r="G720">
        <v>4425</v>
      </c>
      <c r="H720" s="116"/>
      <c r="I720" s="116"/>
      <c r="L720" s="170">
        <v>43061</v>
      </c>
      <c r="M720" s="116">
        <v>1408.7</v>
      </c>
      <c r="N720" s="116">
        <v>1414.4</v>
      </c>
      <c r="O720" s="116">
        <v>1384.95</v>
      </c>
      <c r="P720" s="116">
        <v>1386</v>
      </c>
      <c r="Q720" s="116">
        <v>1408.7</v>
      </c>
      <c r="R720">
        <v>121727</v>
      </c>
    </row>
    <row r="721" spans="1:18" x14ac:dyDescent="0.25">
      <c r="A721" s="170">
        <v>43062</v>
      </c>
      <c r="B721" s="116">
        <v>1415</v>
      </c>
      <c r="C721" s="116">
        <v>1411.75</v>
      </c>
      <c r="D721" s="116">
        <v>1396.55</v>
      </c>
      <c r="E721" s="116">
        <v>1405</v>
      </c>
      <c r="F721" s="116">
        <v>1411.75</v>
      </c>
      <c r="G721">
        <v>3212</v>
      </c>
      <c r="H721" s="116"/>
      <c r="I721" s="116"/>
      <c r="L721" s="170">
        <v>43062</v>
      </c>
      <c r="M721" s="116">
        <v>1409.75</v>
      </c>
      <c r="N721" s="116">
        <v>1415.7</v>
      </c>
      <c r="O721" s="116">
        <v>1390.05</v>
      </c>
      <c r="P721" s="116">
        <v>1408</v>
      </c>
      <c r="Q721" s="116">
        <v>1409.75</v>
      </c>
      <c r="R721">
        <v>34994</v>
      </c>
    </row>
    <row r="722" spans="1:18" x14ac:dyDescent="0.25">
      <c r="A722" s="170">
        <v>43063</v>
      </c>
      <c r="B722" s="116">
        <v>1419.2</v>
      </c>
      <c r="C722" s="116">
        <v>1410.65</v>
      </c>
      <c r="D722" s="116">
        <v>1400</v>
      </c>
      <c r="E722" s="116">
        <v>1404.45</v>
      </c>
      <c r="F722" s="116">
        <v>1410.65</v>
      </c>
      <c r="G722">
        <v>1598</v>
      </c>
      <c r="H722" s="116"/>
      <c r="I722" s="116"/>
      <c r="L722" s="170">
        <v>43063</v>
      </c>
      <c r="M722" s="116">
        <v>1408.25</v>
      </c>
      <c r="N722" s="116">
        <v>1419.8</v>
      </c>
      <c r="O722" s="116">
        <v>1400.55</v>
      </c>
      <c r="P722" s="116">
        <v>1408</v>
      </c>
      <c r="Q722" s="116">
        <v>1408.25</v>
      </c>
      <c r="R722">
        <v>17509</v>
      </c>
    </row>
    <row r="723" spans="1:18" x14ac:dyDescent="0.25">
      <c r="A723" s="170">
        <v>43066</v>
      </c>
      <c r="B723" s="116">
        <v>1410.95</v>
      </c>
      <c r="C723" s="116">
        <v>1386.7</v>
      </c>
      <c r="D723" s="116">
        <v>1380.6</v>
      </c>
      <c r="E723" s="116">
        <v>1410.65</v>
      </c>
      <c r="F723" s="116">
        <v>1386.7</v>
      </c>
      <c r="G723">
        <v>3312</v>
      </c>
      <c r="H723" s="116"/>
      <c r="I723" s="116"/>
      <c r="L723" s="170">
        <v>43066</v>
      </c>
      <c r="M723" s="116">
        <v>1387.25</v>
      </c>
      <c r="N723" s="116">
        <v>1408</v>
      </c>
      <c r="O723" s="116">
        <v>1375</v>
      </c>
      <c r="P723" s="116">
        <v>1408</v>
      </c>
      <c r="Q723" s="116">
        <v>1387.25</v>
      </c>
      <c r="R723">
        <v>25087</v>
      </c>
    </row>
    <row r="724" spans="1:18" x14ac:dyDescent="0.25">
      <c r="A724" s="170">
        <v>43067</v>
      </c>
      <c r="B724" s="116">
        <v>1415.05</v>
      </c>
      <c r="C724" s="116">
        <v>1411.85</v>
      </c>
      <c r="D724" s="116">
        <v>1389.55</v>
      </c>
      <c r="E724" s="116">
        <v>1389.55</v>
      </c>
      <c r="F724" s="116">
        <v>1411.85</v>
      </c>
      <c r="G724">
        <v>82168</v>
      </c>
      <c r="H724" s="116"/>
      <c r="I724" s="116"/>
      <c r="L724" s="170">
        <v>43067</v>
      </c>
      <c r="M724" s="116">
        <v>1410.85</v>
      </c>
      <c r="N724" s="116">
        <v>1417.65</v>
      </c>
      <c r="O724" s="116">
        <v>1378.25</v>
      </c>
      <c r="P724" s="116">
        <v>1378.25</v>
      </c>
      <c r="Q724" s="116">
        <v>1410.85</v>
      </c>
      <c r="R724">
        <v>88084</v>
      </c>
    </row>
    <row r="725" spans="1:18" x14ac:dyDescent="0.25">
      <c r="A725" s="170">
        <v>43068</v>
      </c>
      <c r="B725" s="116">
        <v>1444</v>
      </c>
      <c r="C725" s="116">
        <v>1406.55</v>
      </c>
      <c r="D725" s="116">
        <v>1400</v>
      </c>
      <c r="E725" s="116">
        <v>1416.95</v>
      </c>
      <c r="F725" s="116">
        <v>1406.55</v>
      </c>
      <c r="G725">
        <v>9055</v>
      </c>
      <c r="H725" s="116"/>
      <c r="I725" s="116"/>
      <c r="L725" s="170">
        <v>43068</v>
      </c>
      <c r="M725" s="116">
        <v>1411.65</v>
      </c>
      <c r="N725" s="116">
        <v>1448</v>
      </c>
      <c r="O725" s="116">
        <v>1400.8</v>
      </c>
      <c r="P725" s="116">
        <v>1411</v>
      </c>
      <c r="Q725" s="116">
        <v>1411.65</v>
      </c>
      <c r="R725">
        <v>121332</v>
      </c>
    </row>
    <row r="726" spans="1:18" x14ac:dyDescent="0.25">
      <c r="A726" s="170">
        <v>43069</v>
      </c>
      <c r="B726" s="116">
        <v>1418</v>
      </c>
      <c r="C726" s="116">
        <v>1394.55</v>
      </c>
      <c r="D726" s="116">
        <v>1382.05</v>
      </c>
      <c r="E726" s="116">
        <v>1397.45</v>
      </c>
      <c r="F726" s="116">
        <v>1394.55</v>
      </c>
      <c r="G726">
        <v>196970</v>
      </c>
      <c r="H726" s="116"/>
      <c r="I726" s="116"/>
      <c r="L726" s="170">
        <v>43069</v>
      </c>
      <c r="M726" s="116">
        <v>1398.8</v>
      </c>
      <c r="N726" s="116">
        <v>1424</v>
      </c>
      <c r="O726" s="116">
        <v>1381.8</v>
      </c>
      <c r="P726" s="116">
        <v>1410.1</v>
      </c>
      <c r="Q726" s="116">
        <v>1398.8</v>
      </c>
      <c r="R726">
        <v>65578</v>
      </c>
    </row>
    <row r="727" spans="1:18" x14ac:dyDescent="0.25">
      <c r="A727" s="170">
        <v>43070</v>
      </c>
      <c r="B727" s="116">
        <v>1412</v>
      </c>
      <c r="C727" s="116">
        <v>1389.8</v>
      </c>
      <c r="D727" s="116">
        <v>1382</v>
      </c>
      <c r="E727" s="116">
        <v>1400</v>
      </c>
      <c r="F727" s="116">
        <v>1389.8</v>
      </c>
      <c r="G727">
        <v>4529</v>
      </c>
      <c r="H727" s="116"/>
      <c r="I727" s="116"/>
      <c r="L727" s="170">
        <v>43070</v>
      </c>
      <c r="M727" s="116">
        <v>1397.2</v>
      </c>
      <c r="N727" s="116">
        <v>1412.75</v>
      </c>
      <c r="O727" s="116">
        <v>1381</v>
      </c>
      <c r="P727" s="116">
        <v>1394.05</v>
      </c>
      <c r="Q727" s="116">
        <v>1397.2</v>
      </c>
      <c r="R727">
        <v>22197</v>
      </c>
    </row>
    <row r="728" spans="1:18" x14ac:dyDescent="0.25">
      <c r="A728" s="170">
        <v>43073</v>
      </c>
      <c r="B728" s="116">
        <v>1412.85</v>
      </c>
      <c r="C728" s="116">
        <v>1383.5</v>
      </c>
      <c r="D728" s="116">
        <v>1375.15</v>
      </c>
      <c r="E728" s="116">
        <v>1402.6</v>
      </c>
      <c r="F728" s="116">
        <v>1383.5</v>
      </c>
      <c r="G728">
        <v>49405</v>
      </c>
      <c r="H728" s="116"/>
      <c r="I728" s="116"/>
      <c r="L728" s="170">
        <v>43073</v>
      </c>
      <c r="M728" s="116">
        <v>1383.9</v>
      </c>
      <c r="N728" s="116">
        <v>1405</v>
      </c>
      <c r="O728" s="116">
        <v>1375.15</v>
      </c>
      <c r="P728" s="116">
        <v>1394</v>
      </c>
      <c r="Q728" s="116">
        <v>1383.9</v>
      </c>
      <c r="R728">
        <v>38421</v>
      </c>
    </row>
    <row r="729" spans="1:18" x14ac:dyDescent="0.25">
      <c r="A729" s="170">
        <v>43074</v>
      </c>
      <c r="B729" s="116">
        <v>1378</v>
      </c>
      <c r="C729" s="116">
        <v>1362.6</v>
      </c>
      <c r="D729" s="116">
        <v>1353.95</v>
      </c>
      <c r="E729" s="116">
        <v>1375.15</v>
      </c>
      <c r="F729" s="116">
        <v>1362.6</v>
      </c>
      <c r="G729">
        <v>47299</v>
      </c>
      <c r="H729" s="116"/>
      <c r="I729" s="116"/>
      <c r="L729" s="170">
        <v>43074</v>
      </c>
      <c r="M729" s="116">
        <v>1367.7</v>
      </c>
      <c r="N729" s="116">
        <v>1385</v>
      </c>
      <c r="O729" s="116">
        <v>1358</v>
      </c>
      <c r="P729" s="116">
        <v>1385</v>
      </c>
      <c r="Q729" s="116">
        <v>1367.7</v>
      </c>
      <c r="R729">
        <v>23607</v>
      </c>
    </row>
    <row r="730" spans="1:18" x14ac:dyDescent="0.25">
      <c r="A730" s="170">
        <v>43075</v>
      </c>
      <c r="B730" s="116">
        <v>1367.45</v>
      </c>
      <c r="C730" s="116">
        <v>1343.8</v>
      </c>
      <c r="D730" s="116">
        <v>1340.15</v>
      </c>
      <c r="E730" s="116">
        <v>1363.9</v>
      </c>
      <c r="F730" s="116">
        <v>1343.8</v>
      </c>
      <c r="G730">
        <v>82628</v>
      </c>
      <c r="H730" s="116"/>
      <c r="I730" s="116"/>
      <c r="L730" s="170">
        <v>43075</v>
      </c>
      <c r="M730" s="116">
        <v>1346.7</v>
      </c>
      <c r="N730" s="116">
        <v>1374</v>
      </c>
      <c r="O730" s="116">
        <v>1341.45</v>
      </c>
      <c r="P730" s="116">
        <v>1374</v>
      </c>
      <c r="Q730" s="116">
        <v>1346.7</v>
      </c>
      <c r="R730">
        <v>27921</v>
      </c>
    </row>
    <row r="731" spans="1:18" x14ac:dyDescent="0.25">
      <c r="A731" s="170">
        <v>43076</v>
      </c>
      <c r="B731" s="116">
        <v>1380.75</v>
      </c>
      <c r="C731" s="116">
        <v>1371.5</v>
      </c>
      <c r="D731" s="116">
        <v>1349.85</v>
      </c>
      <c r="E731" s="116">
        <v>1349.85</v>
      </c>
      <c r="F731" s="116">
        <v>1371.5</v>
      </c>
      <c r="G731">
        <v>2556</v>
      </c>
      <c r="H731" s="116"/>
      <c r="I731" s="116"/>
      <c r="L731" s="170">
        <v>43076</v>
      </c>
      <c r="M731" s="116">
        <v>1368.05</v>
      </c>
      <c r="N731" s="116">
        <v>1375</v>
      </c>
      <c r="O731" s="116">
        <v>1345.5</v>
      </c>
      <c r="P731" s="116">
        <v>1346.95</v>
      </c>
      <c r="Q731" s="116">
        <v>1368.05</v>
      </c>
      <c r="R731">
        <v>33310</v>
      </c>
    </row>
    <row r="732" spans="1:18" x14ac:dyDescent="0.25">
      <c r="A732" s="170">
        <v>43077</v>
      </c>
      <c r="B732" s="116">
        <v>1396</v>
      </c>
      <c r="C732" s="116">
        <v>1342.95</v>
      </c>
      <c r="D732" s="116">
        <v>1335</v>
      </c>
      <c r="E732" s="116">
        <v>1377</v>
      </c>
      <c r="F732" s="116">
        <v>1342.95</v>
      </c>
      <c r="G732">
        <v>13630</v>
      </c>
      <c r="H732" s="116"/>
      <c r="I732" s="116"/>
      <c r="L732" s="170">
        <v>43077</v>
      </c>
      <c r="M732" s="116">
        <v>1342.95</v>
      </c>
      <c r="N732" s="116">
        <v>1389</v>
      </c>
      <c r="O732" s="116">
        <v>1338</v>
      </c>
      <c r="P732" s="116">
        <v>1371</v>
      </c>
      <c r="Q732" s="116">
        <v>1342.95</v>
      </c>
      <c r="R732">
        <v>63384</v>
      </c>
    </row>
    <row r="733" spans="1:18" x14ac:dyDescent="0.25">
      <c r="A733" s="170">
        <v>43080</v>
      </c>
      <c r="B733" s="116">
        <v>1386</v>
      </c>
      <c r="C733" s="116">
        <v>1372</v>
      </c>
      <c r="D733" s="116">
        <v>1350</v>
      </c>
      <c r="E733" s="116">
        <v>1350</v>
      </c>
      <c r="F733" s="116">
        <v>1372</v>
      </c>
      <c r="G733">
        <v>67475</v>
      </c>
      <c r="H733" s="116"/>
      <c r="I733" s="116"/>
      <c r="L733" s="170">
        <v>43080</v>
      </c>
      <c r="M733" s="116">
        <v>1373.9</v>
      </c>
      <c r="N733" s="116">
        <v>1388</v>
      </c>
      <c r="O733" s="116">
        <v>1352</v>
      </c>
      <c r="P733" s="116">
        <v>1352</v>
      </c>
      <c r="Q733" s="116">
        <v>1373.9</v>
      </c>
      <c r="R733">
        <v>55376</v>
      </c>
    </row>
    <row r="734" spans="1:18" x14ac:dyDescent="0.25">
      <c r="A734" s="170">
        <v>43081</v>
      </c>
      <c r="B734" s="116">
        <v>1383.55</v>
      </c>
      <c r="C734" s="116">
        <v>1368.55</v>
      </c>
      <c r="D734" s="116">
        <v>1366</v>
      </c>
      <c r="E734" s="116">
        <v>1367.9</v>
      </c>
      <c r="F734" s="116">
        <v>1368.55</v>
      </c>
      <c r="G734">
        <v>1969</v>
      </c>
      <c r="H734" s="116"/>
      <c r="I734" s="116"/>
      <c r="L734" s="170">
        <v>43081</v>
      </c>
      <c r="M734" s="116">
        <v>1372.4</v>
      </c>
      <c r="N734" s="116">
        <v>1383.7</v>
      </c>
      <c r="O734" s="116">
        <v>1363.9</v>
      </c>
      <c r="P734" s="116">
        <v>1369</v>
      </c>
      <c r="Q734" s="116">
        <v>1372.4</v>
      </c>
      <c r="R734">
        <v>12518</v>
      </c>
    </row>
    <row r="735" spans="1:18" x14ac:dyDescent="0.25">
      <c r="A735" s="170">
        <v>43082</v>
      </c>
      <c r="B735" s="116">
        <v>1394.9</v>
      </c>
      <c r="C735" s="116">
        <v>1358.35</v>
      </c>
      <c r="D735" s="116">
        <v>1346.25</v>
      </c>
      <c r="E735" s="116">
        <v>1370</v>
      </c>
      <c r="F735" s="116">
        <v>1358.35</v>
      </c>
      <c r="G735">
        <v>7839</v>
      </c>
      <c r="H735" s="116"/>
      <c r="I735" s="116"/>
      <c r="L735" s="170">
        <v>43082</v>
      </c>
      <c r="M735" s="116">
        <v>1356.3</v>
      </c>
      <c r="N735" s="116">
        <v>1406.9</v>
      </c>
      <c r="O735" s="116">
        <v>1344.65</v>
      </c>
      <c r="P735" s="116">
        <v>1371.9</v>
      </c>
      <c r="Q735" s="116">
        <v>1356.3</v>
      </c>
      <c r="R735">
        <v>31413</v>
      </c>
    </row>
    <row r="736" spans="1:18" x14ac:dyDescent="0.25">
      <c r="A736" s="170">
        <v>43083</v>
      </c>
      <c r="B736" s="116">
        <v>1372.4</v>
      </c>
      <c r="C736" s="116">
        <v>1348.45</v>
      </c>
      <c r="D736" s="116">
        <v>1339.95</v>
      </c>
      <c r="E736" s="116">
        <v>1372</v>
      </c>
      <c r="F736" s="116">
        <v>1348.45</v>
      </c>
      <c r="G736">
        <v>6166</v>
      </c>
      <c r="H736" s="116"/>
      <c r="I736" s="116"/>
      <c r="L736" s="170">
        <v>43083</v>
      </c>
      <c r="M736" s="116">
        <v>1347.25</v>
      </c>
      <c r="N736" s="116">
        <v>1372.45</v>
      </c>
      <c r="O736" s="116">
        <v>1337</v>
      </c>
      <c r="P736" s="116">
        <v>1356.3</v>
      </c>
      <c r="Q736" s="116">
        <v>1347.25</v>
      </c>
      <c r="R736">
        <v>24586</v>
      </c>
    </row>
    <row r="737" spans="1:18" x14ac:dyDescent="0.25">
      <c r="A737" s="170">
        <v>43084</v>
      </c>
      <c r="B737" s="116">
        <v>1387</v>
      </c>
      <c r="C737" s="116">
        <v>1378.5</v>
      </c>
      <c r="D737" s="116">
        <v>1364</v>
      </c>
      <c r="E737" s="116">
        <v>1368</v>
      </c>
      <c r="F737" s="116">
        <v>1378.5</v>
      </c>
      <c r="G737">
        <v>2226</v>
      </c>
      <c r="H737" s="116"/>
      <c r="I737" s="116"/>
      <c r="L737" s="170">
        <v>43084</v>
      </c>
      <c r="M737" s="116">
        <v>1378.45</v>
      </c>
      <c r="N737" s="116">
        <v>1388.5</v>
      </c>
      <c r="O737" s="116">
        <v>1354.85</v>
      </c>
      <c r="P737" s="116">
        <v>1354.85</v>
      </c>
      <c r="Q737" s="116">
        <v>1378.45</v>
      </c>
      <c r="R737">
        <v>42860</v>
      </c>
    </row>
    <row r="738" spans="1:18" x14ac:dyDescent="0.25">
      <c r="A738" s="170">
        <v>43087</v>
      </c>
      <c r="B738" s="116">
        <v>1416.1</v>
      </c>
      <c r="C738" s="116">
        <v>1386.55</v>
      </c>
      <c r="D738" s="116">
        <v>1355.15</v>
      </c>
      <c r="E738" s="116">
        <v>1380</v>
      </c>
      <c r="F738" s="116">
        <v>1386.55</v>
      </c>
      <c r="G738">
        <v>5169</v>
      </c>
      <c r="H738" s="116"/>
      <c r="I738" s="116"/>
      <c r="L738" s="170">
        <v>43087</v>
      </c>
      <c r="M738" s="116">
        <v>1389.35</v>
      </c>
      <c r="N738" s="116">
        <v>1416</v>
      </c>
      <c r="O738" s="116">
        <v>1358.8</v>
      </c>
      <c r="P738" s="116">
        <v>1387</v>
      </c>
      <c r="Q738" s="116">
        <v>1389.35</v>
      </c>
      <c r="R738">
        <v>54768</v>
      </c>
    </row>
    <row r="739" spans="1:18" x14ac:dyDescent="0.25">
      <c r="A739" s="170">
        <v>43088</v>
      </c>
      <c r="B739" s="116">
        <v>1418.35</v>
      </c>
      <c r="C739" s="116">
        <v>1392.15</v>
      </c>
      <c r="D739" s="116">
        <v>1386.7</v>
      </c>
      <c r="E739" s="116">
        <v>1386.7</v>
      </c>
      <c r="F739" s="116">
        <v>1392.15</v>
      </c>
      <c r="G739">
        <v>5740</v>
      </c>
      <c r="H739" s="116"/>
      <c r="I739" s="116"/>
      <c r="L739" s="170">
        <v>43088</v>
      </c>
      <c r="M739" s="116">
        <v>1392.5</v>
      </c>
      <c r="N739" s="116">
        <v>1421.95</v>
      </c>
      <c r="O739" s="116">
        <v>1389.35</v>
      </c>
      <c r="P739" s="116">
        <v>1389.35</v>
      </c>
      <c r="Q739" s="116">
        <v>1392.5</v>
      </c>
      <c r="R739">
        <v>83269</v>
      </c>
    </row>
    <row r="740" spans="1:18" x14ac:dyDescent="0.25">
      <c r="A740" s="170">
        <v>43089</v>
      </c>
      <c r="B740" s="116">
        <v>1410.9</v>
      </c>
      <c r="C740" s="116">
        <v>1386.1</v>
      </c>
      <c r="D740" s="116">
        <v>1382.5</v>
      </c>
      <c r="E740" s="116">
        <v>1395.9</v>
      </c>
      <c r="F740" s="116">
        <v>1386.1</v>
      </c>
      <c r="G740">
        <v>4457</v>
      </c>
      <c r="H740" s="116"/>
      <c r="I740" s="116"/>
      <c r="L740" s="170">
        <v>43089</v>
      </c>
      <c r="M740" s="116">
        <v>1383.1</v>
      </c>
      <c r="N740" s="116">
        <v>1415</v>
      </c>
      <c r="O740" s="116">
        <v>1380</v>
      </c>
      <c r="P740" s="116">
        <v>1385</v>
      </c>
      <c r="Q740" s="116">
        <v>1383.1</v>
      </c>
      <c r="R740">
        <v>73536</v>
      </c>
    </row>
    <row r="741" spans="1:18" x14ac:dyDescent="0.25">
      <c r="A741" s="170">
        <v>43090</v>
      </c>
      <c r="B741" s="116">
        <v>1400.7</v>
      </c>
      <c r="C741" s="116">
        <v>1377.2</v>
      </c>
      <c r="D741" s="116">
        <v>1373</v>
      </c>
      <c r="E741" s="116">
        <v>1386.1</v>
      </c>
      <c r="F741" s="116">
        <v>1377.2</v>
      </c>
      <c r="G741">
        <v>5653</v>
      </c>
      <c r="H741" s="116"/>
      <c r="I741" s="116"/>
      <c r="L741" s="170">
        <v>43090</v>
      </c>
      <c r="M741" s="116">
        <v>1374</v>
      </c>
      <c r="N741" s="116">
        <v>1410</v>
      </c>
      <c r="O741" s="116">
        <v>1370</v>
      </c>
      <c r="P741" s="116">
        <v>1392</v>
      </c>
      <c r="Q741" s="116">
        <v>1374</v>
      </c>
      <c r="R741">
        <v>49256</v>
      </c>
    </row>
    <row r="742" spans="1:18" x14ac:dyDescent="0.25">
      <c r="A742" s="170">
        <v>43091</v>
      </c>
      <c r="B742" s="116">
        <v>1435.7</v>
      </c>
      <c r="C742" s="116">
        <v>1378.05</v>
      </c>
      <c r="D742" s="116">
        <v>1373</v>
      </c>
      <c r="E742" s="116">
        <v>1390</v>
      </c>
      <c r="F742" s="116">
        <v>1378.05</v>
      </c>
      <c r="G742">
        <v>84763</v>
      </c>
      <c r="H742" s="116"/>
      <c r="I742" s="116"/>
      <c r="L742" s="170">
        <v>43091</v>
      </c>
      <c r="M742" s="116">
        <v>1378.3</v>
      </c>
      <c r="N742" s="116">
        <v>1399</v>
      </c>
      <c r="O742" s="116">
        <v>1371.3</v>
      </c>
      <c r="P742" s="116">
        <v>1385</v>
      </c>
      <c r="Q742" s="116">
        <v>1378.3</v>
      </c>
      <c r="R742">
        <v>105716</v>
      </c>
    </row>
    <row r="743" spans="1:18" x14ac:dyDescent="0.25">
      <c r="A743" s="170">
        <v>43095</v>
      </c>
      <c r="B743" s="116">
        <v>1399.9</v>
      </c>
      <c r="C743" s="116">
        <v>1391.05</v>
      </c>
      <c r="D743" s="116">
        <v>1374.15</v>
      </c>
      <c r="E743" s="116">
        <v>1389</v>
      </c>
      <c r="F743" s="116">
        <v>1391.05</v>
      </c>
      <c r="G743">
        <v>95555</v>
      </c>
      <c r="H743" s="116"/>
      <c r="I743" s="116"/>
      <c r="L743" s="170">
        <v>43095</v>
      </c>
      <c r="M743" s="116">
        <v>1393.35</v>
      </c>
      <c r="N743" s="116">
        <v>1402</v>
      </c>
      <c r="O743" s="116">
        <v>1374.5</v>
      </c>
      <c r="P743" s="116">
        <v>1387.95</v>
      </c>
      <c r="Q743" s="116">
        <v>1393.35</v>
      </c>
      <c r="R743">
        <v>78276</v>
      </c>
    </row>
    <row r="744" spans="1:18" x14ac:dyDescent="0.25">
      <c r="A744" s="170">
        <v>43096</v>
      </c>
      <c r="B744" s="116">
        <v>1408</v>
      </c>
      <c r="C744" s="116">
        <v>1387</v>
      </c>
      <c r="D744" s="116">
        <v>1373.6</v>
      </c>
      <c r="E744" s="116">
        <v>1395.95</v>
      </c>
      <c r="F744" s="116">
        <v>1387</v>
      </c>
      <c r="G744">
        <v>81504</v>
      </c>
      <c r="H744" s="116"/>
      <c r="I744" s="116"/>
      <c r="L744" s="170">
        <v>43096</v>
      </c>
      <c r="M744" s="116">
        <v>1388.3</v>
      </c>
      <c r="N744" s="116">
        <v>1406.95</v>
      </c>
      <c r="O744" s="116">
        <v>1375.15</v>
      </c>
      <c r="P744" s="116">
        <v>1400</v>
      </c>
      <c r="Q744" s="116">
        <v>1388.3</v>
      </c>
      <c r="R744">
        <v>34701</v>
      </c>
    </row>
    <row r="745" spans="1:18" x14ac:dyDescent="0.25">
      <c r="A745" s="170">
        <v>43097</v>
      </c>
      <c r="B745" s="116">
        <v>1433.4</v>
      </c>
      <c r="C745" s="116">
        <v>1388.15</v>
      </c>
      <c r="D745" s="116">
        <v>1383.85</v>
      </c>
      <c r="E745" s="116">
        <v>1393.45</v>
      </c>
      <c r="F745" s="116">
        <v>1388.15</v>
      </c>
      <c r="G745">
        <v>42186</v>
      </c>
      <c r="H745" s="116"/>
      <c r="I745" s="116"/>
      <c r="L745" s="170">
        <v>43097</v>
      </c>
      <c r="M745" s="116">
        <v>1387.15</v>
      </c>
      <c r="N745" s="116">
        <v>1439.9</v>
      </c>
      <c r="O745" s="116">
        <v>1381</v>
      </c>
      <c r="P745" s="116">
        <v>1390.15</v>
      </c>
      <c r="Q745" s="116">
        <v>1387.15</v>
      </c>
      <c r="R745">
        <v>95923</v>
      </c>
    </row>
    <row r="746" spans="1:18" x14ac:dyDescent="0.25">
      <c r="A746" s="170">
        <v>43098</v>
      </c>
      <c r="B746" s="116">
        <v>1407</v>
      </c>
      <c r="C746" s="116">
        <v>1399.5</v>
      </c>
      <c r="D746" s="116">
        <v>1391.2</v>
      </c>
      <c r="E746" s="116">
        <v>1399.8</v>
      </c>
      <c r="F746" s="116">
        <v>1399.5</v>
      </c>
      <c r="G746">
        <v>61580</v>
      </c>
      <c r="H746" s="116"/>
      <c r="I746" s="116"/>
      <c r="L746" s="170">
        <v>43098</v>
      </c>
      <c r="M746" s="116">
        <v>1402.9</v>
      </c>
      <c r="N746" s="116">
        <v>1409</v>
      </c>
      <c r="O746" s="116">
        <v>1382.1</v>
      </c>
      <c r="P746" s="116">
        <v>1382.1</v>
      </c>
      <c r="Q746" s="116">
        <v>1402.9</v>
      </c>
      <c r="R746">
        <v>79135</v>
      </c>
    </row>
    <row r="747" spans="1:18" x14ac:dyDescent="0.25">
      <c r="A747" s="170">
        <v>43101</v>
      </c>
      <c r="B747" s="116">
        <v>1409.85</v>
      </c>
      <c r="C747" s="116">
        <v>1396.25</v>
      </c>
      <c r="D747" s="116">
        <v>1391.2</v>
      </c>
      <c r="E747" s="116">
        <v>1402.95</v>
      </c>
      <c r="F747" s="116">
        <v>1396.25</v>
      </c>
      <c r="G747">
        <v>1703</v>
      </c>
      <c r="H747" s="116"/>
      <c r="I747" s="116"/>
      <c r="L747" s="170">
        <v>43101</v>
      </c>
      <c r="M747" s="116">
        <v>1399.65</v>
      </c>
      <c r="N747" s="116">
        <v>1413</v>
      </c>
      <c r="O747" s="116">
        <v>1390.05</v>
      </c>
      <c r="P747" s="116">
        <v>1412</v>
      </c>
      <c r="Q747" s="116">
        <v>1399.65</v>
      </c>
      <c r="R747">
        <v>44720</v>
      </c>
    </row>
    <row r="748" spans="1:18" x14ac:dyDescent="0.25">
      <c r="A748" s="170">
        <v>43102</v>
      </c>
      <c r="B748" s="116">
        <v>1424.95</v>
      </c>
      <c r="C748" s="116">
        <v>1396.6</v>
      </c>
      <c r="D748" s="116">
        <v>1393.65</v>
      </c>
      <c r="E748" s="116">
        <v>1403.9</v>
      </c>
      <c r="F748" s="116">
        <v>1396.6</v>
      </c>
      <c r="G748">
        <v>6788</v>
      </c>
      <c r="H748" s="116"/>
      <c r="I748" s="116"/>
      <c r="L748" s="170">
        <v>43102</v>
      </c>
      <c r="M748" s="116">
        <v>1400.2</v>
      </c>
      <c r="N748" s="116">
        <v>1424.8</v>
      </c>
      <c r="O748" s="116">
        <v>1392.05</v>
      </c>
      <c r="P748" s="116">
        <v>1400</v>
      </c>
      <c r="Q748" s="116">
        <v>1400.2</v>
      </c>
      <c r="R748">
        <v>62917</v>
      </c>
    </row>
    <row r="749" spans="1:18" x14ac:dyDescent="0.25">
      <c r="A749" s="170">
        <v>43103</v>
      </c>
      <c r="B749" s="116">
        <v>1422.8</v>
      </c>
      <c r="C749" s="116">
        <v>1416.95</v>
      </c>
      <c r="D749" s="116">
        <v>1404.9</v>
      </c>
      <c r="E749" s="116">
        <v>1407</v>
      </c>
      <c r="F749" s="116">
        <v>1416.95</v>
      </c>
      <c r="G749">
        <v>6861</v>
      </c>
      <c r="H749" s="116"/>
      <c r="I749" s="116"/>
      <c r="L749" s="170">
        <v>43103</v>
      </c>
      <c r="M749" s="116">
        <v>1414.45</v>
      </c>
      <c r="N749" s="116">
        <v>1424.5</v>
      </c>
      <c r="O749" s="116">
        <v>1401</v>
      </c>
      <c r="P749" s="116">
        <v>1401</v>
      </c>
      <c r="Q749" s="116">
        <v>1414.45</v>
      </c>
      <c r="R749">
        <v>57470</v>
      </c>
    </row>
    <row r="750" spans="1:18" x14ac:dyDescent="0.25">
      <c r="A750" s="170">
        <v>43104</v>
      </c>
      <c r="B750" s="116">
        <v>1447.95</v>
      </c>
      <c r="C750" s="116">
        <v>1432.65</v>
      </c>
      <c r="D750" s="116">
        <v>1413.7</v>
      </c>
      <c r="E750" s="116">
        <v>1416.15</v>
      </c>
      <c r="F750" s="116">
        <v>1432.65</v>
      </c>
      <c r="G750">
        <v>14694</v>
      </c>
      <c r="H750" s="116"/>
      <c r="I750" s="116"/>
      <c r="L750" s="170">
        <v>43104</v>
      </c>
      <c r="M750" s="116">
        <v>1433.3</v>
      </c>
      <c r="N750" s="116">
        <v>1449.95</v>
      </c>
      <c r="O750" s="116">
        <v>1415</v>
      </c>
      <c r="P750" s="116">
        <v>1420</v>
      </c>
      <c r="Q750" s="116">
        <v>1433.3</v>
      </c>
      <c r="R750">
        <v>154339</v>
      </c>
    </row>
    <row r="751" spans="1:18" x14ac:dyDescent="0.25">
      <c r="A751" s="170">
        <v>43105</v>
      </c>
      <c r="B751" s="116">
        <v>1455</v>
      </c>
      <c r="C751" s="116">
        <v>1438.55</v>
      </c>
      <c r="D751" s="116">
        <v>1432.8</v>
      </c>
      <c r="E751" s="116">
        <v>1432.8</v>
      </c>
      <c r="F751" s="116">
        <v>1438.55</v>
      </c>
      <c r="G751">
        <v>56465</v>
      </c>
      <c r="H751" s="116"/>
      <c r="I751" s="116"/>
      <c r="L751" s="170">
        <v>43105</v>
      </c>
      <c r="M751" s="116">
        <v>1435.1</v>
      </c>
      <c r="N751" s="116">
        <v>1458</v>
      </c>
      <c r="O751" s="116">
        <v>1430</v>
      </c>
      <c r="P751" s="116">
        <v>1432</v>
      </c>
      <c r="Q751" s="116">
        <v>1435.1</v>
      </c>
      <c r="R751">
        <v>99155</v>
      </c>
    </row>
    <row r="752" spans="1:18" x14ac:dyDescent="0.25">
      <c r="A752" s="170">
        <v>43108</v>
      </c>
      <c r="B752" s="116">
        <v>1447.85</v>
      </c>
      <c r="C752" s="116">
        <v>1434.05</v>
      </c>
      <c r="D752" s="116">
        <v>1426.4</v>
      </c>
      <c r="E752" s="116">
        <v>1441.5</v>
      </c>
      <c r="F752" s="116">
        <v>1434.05</v>
      </c>
      <c r="G752">
        <v>5380</v>
      </c>
      <c r="H752" s="116"/>
      <c r="I752" s="116"/>
      <c r="L752" s="170">
        <v>43108</v>
      </c>
      <c r="M752" s="116">
        <v>1437.6</v>
      </c>
      <c r="N752" s="116">
        <v>1447.45</v>
      </c>
      <c r="O752" s="116">
        <v>1430</v>
      </c>
      <c r="P752" s="116">
        <v>1444</v>
      </c>
      <c r="Q752" s="116">
        <v>1437.6</v>
      </c>
      <c r="R752">
        <v>130805</v>
      </c>
    </row>
    <row r="753" spans="1:18" x14ac:dyDescent="0.25">
      <c r="A753" s="170">
        <v>43109</v>
      </c>
      <c r="B753" s="116">
        <v>1442.1</v>
      </c>
      <c r="C753" s="116">
        <v>1422.6</v>
      </c>
      <c r="D753" s="116">
        <v>1414</v>
      </c>
      <c r="E753" s="116">
        <v>1438.3</v>
      </c>
      <c r="F753" s="116">
        <v>1422.6</v>
      </c>
      <c r="G753">
        <v>54550</v>
      </c>
      <c r="H753" s="116"/>
      <c r="I753" s="116"/>
      <c r="L753" s="170">
        <v>43109</v>
      </c>
      <c r="M753" s="116">
        <v>1419.3</v>
      </c>
      <c r="N753" s="116">
        <v>1444.6</v>
      </c>
      <c r="O753" s="116">
        <v>1412.2</v>
      </c>
      <c r="P753" s="116">
        <v>1444.6</v>
      </c>
      <c r="Q753" s="116">
        <v>1419.3</v>
      </c>
      <c r="R753">
        <v>86725</v>
      </c>
    </row>
    <row r="754" spans="1:18" x14ac:dyDescent="0.25">
      <c r="A754" s="170">
        <v>43110</v>
      </c>
      <c r="B754" s="116">
        <v>1427.75</v>
      </c>
      <c r="C754" s="116">
        <v>1417.2</v>
      </c>
      <c r="D754" s="116">
        <v>1400.15</v>
      </c>
      <c r="E754" s="116">
        <v>1424.05</v>
      </c>
      <c r="F754" s="116">
        <v>1417.2</v>
      </c>
      <c r="G754">
        <v>83374</v>
      </c>
      <c r="H754" s="116"/>
      <c r="I754" s="116"/>
      <c r="L754" s="170">
        <v>43110</v>
      </c>
      <c r="M754" s="116">
        <v>1415.4</v>
      </c>
      <c r="N754" s="116">
        <v>1427</v>
      </c>
      <c r="O754" s="116">
        <v>1398.55</v>
      </c>
      <c r="P754" s="116">
        <v>1420.2</v>
      </c>
      <c r="Q754" s="116">
        <v>1415.4</v>
      </c>
      <c r="R754">
        <v>67304</v>
      </c>
    </row>
    <row r="755" spans="1:18" x14ac:dyDescent="0.25">
      <c r="A755" s="170">
        <v>43111</v>
      </c>
      <c r="B755" s="116">
        <v>1432</v>
      </c>
      <c r="C755" s="116">
        <v>1400.5</v>
      </c>
      <c r="D755" s="116">
        <v>1395.6</v>
      </c>
      <c r="E755" s="116">
        <v>1415.05</v>
      </c>
      <c r="F755" s="116">
        <v>1400.5</v>
      </c>
      <c r="G755">
        <v>19583</v>
      </c>
      <c r="H755" s="116"/>
      <c r="I755" s="116"/>
      <c r="L755" s="170">
        <v>43111</v>
      </c>
      <c r="M755" s="116">
        <v>1399.6</v>
      </c>
      <c r="N755" s="116">
        <v>1420</v>
      </c>
      <c r="O755" s="116">
        <v>1395.55</v>
      </c>
      <c r="P755" s="116">
        <v>1420</v>
      </c>
      <c r="Q755" s="116">
        <v>1399.6</v>
      </c>
      <c r="R755">
        <v>32089</v>
      </c>
    </row>
    <row r="756" spans="1:18" x14ac:dyDescent="0.25">
      <c r="A756" s="170">
        <v>43112</v>
      </c>
      <c r="B756" s="116">
        <v>1515.2</v>
      </c>
      <c r="C756" s="116">
        <v>1471.5</v>
      </c>
      <c r="D756" s="116">
        <v>1402.45</v>
      </c>
      <c r="E756" s="116">
        <v>1405</v>
      </c>
      <c r="F756" s="116">
        <v>1471.5</v>
      </c>
      <c r="G756">
        <v>101704</v>
      </c>
      <c r="H756" s="116"/>
      <c r="I756" s="116"/>
      <c r="L756" s="170">
        <v>43112</v>
      </c>
      <c r="M756" s="116">
        <v>1477.8</v>
      </c>
      <c r="N756" s="116">
        <v>1519</v>
      </c>
      <c r="O756" s="116">
        <v>1403.1</v>
      </c>
      <c r="P756" s="116">
        <v>1403.1</v>
      </c>
      <c r="Q756" s="116">
        <v>1477.8</v>
      </c>
      <c r="R756">
        <v>308177</v>
      </c>
    </row>
    <row r="757" spans="1:18" x14ac:dyDescent="0.25">
      <c r="A757" s="170">
        <v>43115</v>
      </c>
      <c r="B757" s="116">
        <v>1523.15</v>
      </c>
      <c r="C757" s="116">
        <v>1511.8</v>
      </c>
      <c r="D757" s="116">
        <v>1475</v>
      </c>
      <c r="E757" s="116">
        <v>1475</v>
      </c>
      <c r="F757" s="116">
        <v>1511.8</v>
      </c>
      <c r="G757">
        <v>71967</v>
      </c>
      <c r="H757" s="116"/>
      <c r="I757" s="116"/>
      <c r="L757" s="170">
        <v>43115</v>
      </c>
      <c r="M757" s="116">
        <v>1514.8</v>
      </c>
      <c r="N757" s="116">
        <v>1525</v>
      </c>
      <c r="O757" s="116">
        <v>1478.8</v>
      </c>
      <c r="P757" s="116">
        <v>1485</v>
      </c>
      <c r="Q757" s="116">
        <v>1514.8</v>
      </c>
      <c r="R757">
        <v>287693</v>
      </c>
    </row>
    <row r="758" spans="1:18" x14ac:dyDescent="0.25">
      <c r="A758" s="170">
        <v>43116</v>
      </c>
      <c r="B758" s="116">
        <v>1535</v>
      </c>
      <c r="C758" s="116">
        <v>1506.4</v>
      </c>
      <c r="D758" s="116">
        <v>1480.8</v>
      </c>
      <c r="E758" s="116">
        <v>1519</v>
      </c>
      <c r="F758" s="116">
        <v>1506.4</v>
      </c>
      <c r="G758">
        <v>9518</v>
      </c>
      <c r="H758" s="116"/>
      <c r="I758" s="116"/>
      <c r="L758" s="170">
        <v>43116</v>
      </c>
      <c r="M758" s="116">
        <v>1509.25</v>
      </c>
      <c r="N758" s="116">
        <v>1538.9</v>
      </c>
      <c r="O758" s="116">
        <v>1472.6</v>
      </c>
      <c r="P758" s="116">
        <v>1522</v>
      </c>
      <c r="Q758" s="116">
        <v>1509.25</v>
      </c>
      <c r="R758">
        <v>131256</v>
      </c>
    </row>
    <row r="759" spans="1:18" x14ac:dyDescent="0.25">
      <c r="A759" s="170">
        <v>43117</v>
      </c>
      <c r="B759" s="116">
        <v>1552</v>
      </c>
      <c r="C759" s="116">
        <v>1544.35</v>
      </c>
      <c r="D759" s="116">
        <v>1470</v>
      </c>
      <c r="E759" s="116">
        <v>1470</v>
      </c>
      <c r="F759" s="116">
        <v>1544.35</v>
      </c>
      <c r="G759">
        <v>11868</v>
      </c>
      <c r="H759" s="116"/>
      <c r="I759" s="116"/>
      <c r="L759" s="170">
        <v>43117</v>
      </c>
      <c r="M759" s="116">
        <v>1548.5</v>
      </c>
      <c r="N759" s="116">
        <v>1557.7</v>
      </c>
      <c r="O759" s="116">
        <v>1485.55</v>
      </c>
      <c r="P759" s="116">
        <v>1515</v>
      </c>
      <c r="Q759" s="116">
        <v>1548.5</v>
      </c>
      <c r="R759">
        <v>91330</v>
      </c>
    </row>
    <row r="760" spans="1:18" x14ac:dyDescent="0.25">
      <c r="A760" s="170">
        <v>43118</v>
      </c>
      <c r="B760" s="116">
        <v>1560</v>
      </c>
      <c r="C760" s="116">
        <v>1541.05</v>
      </c>
      <c r="D760" s="116">
        <v>1495.1</v>
      </c>
      <c r="E760" s="116">
        <v>1548.45</v>
      </c>
      <c r="F760" s="116">
        <v>1541.05</v>
      </c>
      <c r="G760">
        <v>10921</v>
      </c>
      <c r="H760" s="116"/>
      <c r="I760" s="116"/>
      <c r="L760" s="170">
        <v>43118</v>
      </c>
      <c r="M760" s="116">
        <v>1541.9</v>
      </c>
      <c r="N760" s="116">
        <v>1565</v>
      </c>
      <c r="O760" s="116">
        <v>1495</v>
      </c>
      <c r="P760" s="116">
        <v>1552</v>
      </c>
      <c r="Q760" s="116">
        <v>1541.9</v>
      </c>
      <c r="R760">
        <v>100083</v>
      </c>
    </row>
    <row r="761" spans="1:18" x14ac:dyDescent="0.25">
      <c r="A761" s="170">
        <v>43119</v>
      </c>
      <c r="B761" s="116">
        <v>1612.5</v>
      </c>
      <c r="C761" s="116">
        <v>1580.35</v>
      </c>
      <c r="D761" s="116">
        <v>1511.25</v>
      </c>
      <c r="E761" s="116">
        <v>1535</v>
      </c>
      <c r="F761" s="116">
        <v>1580.35</v>
      </c>
      <c r="G761">
        <v>10074</v>
      </c>
      <c r="H761" s="116"/>
      <c r="I761" s="116"/>
      <c r="L761" s="170">
        <v>43119</v>
      </c>
      <c r="M761" s="116">
        <v>1585.85</v>
      </c>
      <c r="N761" s="116">
        <v>1620</v>
      </c>
      <c r="O761" s="116">
        <v>1512.6</v>
      </c>
      <c r="P761" s="116">
        <v>1540.55</v>
      </c>
      <c r="Q761" s="116">
        <v>1585.85</v>
      </c>
      <c r="R761">
        <v>105094</v>
      </c>
    </row>
    <row r="762" spans="1:18" x14ac:dyDescent="0.25">
      <c r="A762" s="170">
        <v>43122</v>
      </c>
      <c r="B762" s="116">
        <v>1607.35</v>
      </c>
      <c r="C762" s="116">
        <v>1597.6</v>
      </c>
      <c r="D762" s="116">
        <v>1563.8</v>
      </c>
      <c r="E762" s="116">
        <v>1583</v>
      </c>
      <c r="F762" s="116">
        <v>1597.6</v>
      </c>
      <c r="G762">
        <v>11934</v>
      </c>
      <c r="H762" s="116"/>
      <c r="I762" s="116"/>
      <c r="L762" s="170">
        <v>43122</v>
      </c>
      <c r="M762" s="116">
        <v>1602.3</v>
      </c>
      <c r="N762" s="116">
        <v>1611.2</v>
      </c>
      <c r="O762" s="116">
        <v>1565</v>
      </c>
      <c r="P762" s="116">
        <v>1595</v>
      </c>
      <c r="Q762" s="116">
        <v>1602.3</v>
      </c>
      <c r="R762">
        <v>79849</v>
      </c>
    </row>
    <row r="763" spans="1:18" x14ac:dyDescent="0.25">
      <c r="A763" s="170">
        <v>43123</v>
      </c>
      <c r="B763" s="116">
        <v>1645</v>
      </c>
      <c r="C763" s="116">
        <v>1634.7</v>
      </c>
      <c r="D763" s="116">
        <v>1580.15</v>
      </c>
      <c r="E763" s="116">
        <v>1625.1</v>
      </c>
      <c r="F763" s="116">
        <v>1634.7</v>
      </c>
      <c r="G763">
        <v>21896</v>
      </c>
      <c r="H763" s="116"/>
      <c r="I763" s="116"/>
      <c r="L763" s="170">
        <v>43123</v>
      </c>
      <c r="M763" s="116">
        <v>1639.7</v>
      </c>
      <c r="N763" s="116">
        <v>1650</v>
      </c>
      <c r="O763" s="116">
        <v>1580</v>
      </c>
      <c r="P763" s="116">
        <v>1612</v>
      </c>
      <c r="Q763" s="116">
        <v>1639.7</v>
      </c>
      <c r="R763">
        <v>227856</v>
      </c>
    </row>
    <row r="764" spans="1:18" x14ac:dyDescent="0.25">
      <c r="A764" s="170">
        <v>43124</v>
      </c>
      <c r="B764" s="116">
        <v>1670</v>
      </c>
      <c r="C764" s="116">
        <v>1662.35</v>
      </c>
      <c r="D764" s="116">
        <v>1591</v>
      </c>
      <c r="E764" s="116">
        <v>1622.1</v>
      </c>
      <c r="F764" s="116">
        <v>1662.35</v>
      </c>
      <c r="G764">
        <v>24975</v>
      </c>
      <c r="H764" s="116"/>
      <c r="I764" s="116"/>
      <c r="L764" s="170">
        <v>43124</v>
      </c>
      <c r="M764" s="116">
        <v>1667.65</v>
      </c>
      <c r="N764" s="116">
        <v>1675</v>
      </c>
      <c r="O764" s="116">
        <v>1552</v>
      </c>
      <c r="P764" s="116">
        <v>1552</v>
      </c>
      <c r="Q764" s="116">
        <v>1667.65</v>
      </c>
      <c r="R764">
        <v>128734</v>
      </c>
    </row>
    <row r="765" spans="1:18" x14ac:dyDescent="0.25">
      <c r="A765" s="170">
        <v>43125</v>
      </c>
      <c r="B765" s="116">
        <v>1686</v>
      </c>
      <c r="C765" s="116">
        <v>1659.4</v>
      </c>
      <c r="D765" s="116">
        <v>1640</v>
      </c>
      <c r="E765" s="116">
        <v>1666</v>
      </c>
      <c r="F765" s="116">
        <v>1659.4</v>
      </c>
      <c r="G765">
        <v>13244</v>
      </c>
      <c r="H765" s="116"/>
      <c r="I765" s="116"/>
      <c r="L765" s="170">
        <v>43125</v>
      </c>
      <c r="M765" s="116">
        <v>1659.3</v>
      </c>
      <c r="N765" s="116">
        <v>1687</v>
      </c>
      <c r="O765" s="116">
        <v>1625</v>
      </c>
      <c r="P765" s="116">
        <v>1652</v>
      </c>
      <c r="Q765" s="116">
        <v>1659.3</v>
      </c>
      <c r="R765">
        <v>82745</v>
      </c>
    </row>
    <row r="766" spans="1:18" x14ac:dyDescent="0.25">
      <c r="A766" s="170">
        <v>43129</v>
      </c>
      <c r="B766" s="116">
        <v>1655</v>
      </c>
      <c r="C766" s="116">
        <v>1619.5</v>
      </c>
      <c r="D766" s="116">
        <v>1611</v>
      </c>
      <c r="E766" s="116">
        <v>1652.65</v>
      </c>
      <c r="F766" s="116">
        <v>1619.5</v>
      </c>
      <c r="G766">
        <v>7347</v>
      </c>
      <c r="H766" s="116"/>
      <c r="I766" s="116"/>
      <c r="L766" s="170">
        <v>43129</v>
      </c>
      <c r="M766" s="116">
        <v>1621.8</v>
      </c>
      <c r="N766" s="116">
        <v>1659.4</v>
      </c>
      <c r="O766" s="116">
        <v>1610</v>
      </c>
      <c r="P766" s="116">
        <v>1659.4</v>
      </c>
      <c r="Q766" s="116">
        <v>1621.8</v>
      </c>
      <c r="R766">
        <v>95398</v>
      </c>
    </row>
    <row r="767" spans="1:18" x14ac:dyDescent="0.25">
      <c r="A767" s="170">
        <v>43130</v>
      </c>
      <c r="B767" s="116">
        <v>1631.5</v>
      </c>
      <c r="C767" s="116">
        <v>1604.3</v>
      </c>
      <c r="D767" s="116">
        <v>1599</v>
      </c>
      <c r="E767" s="116">
        <v>1622</v>
      </c>
      <c r="F767" s="116">
        <v>1604.3</v>
      </c>
      <c r="G767">
        <v>8987</v>
      </c>
      <c r="H767" s="116"/>
      <c r="I767" s="116"/>
      <c r="L767" s="170">
        <v>43130</v>
      </c>
      <c r="M767" s="116">
        <v>1605.8</v>
      </c>
      <c r="N767" s="116">
        <v>1635</v>
      </c>
      <c r="O767" s="116">
        <v>1597.6</v>
      </c>
      <c r="P767" s="116">
        <v>1625</v>
      </c>
      <c r="Q767" s="116">
        <v>1605.8</v>
      </c>
      <c r="R767">
        <v>39453</v>
      </c>
    </row>
    <row r="768" spans="1:18" x14ac:dyDescent="0.25">
      <c r="A768" s="170">
        <v>43131</v>
      </c>
      <c r="B768" s="116">
        <v>1670</v>
      </c>
      <c r="C768" s="116">
        <v>1657.3</v>
      </c>
      <c r="D768" s="116">
        <v>1590.4</v>
      </c>
      <c r="E768" s="116">
        <v>1615.9</v>
      </c>
      <c r="F768" s="116">
        <v>1657.3</v>
      </c>
      <c r="G768">
        <v>59874</v>
      </c>
      <c r="H768" s="116"/>
      <c r="I768" s="116"/>
      <c r="L768" s="170">
        <v>43131</v>
      </c>
      <c r="M768" s="116">
        <v>1653.2</v>
      </c>
      <c r="N768" s="116">
        <v>1665</v>
      </c>
      <c r="O768" s="116">
        <v>1585.55</v>
      </c>
      <c r="P768" s="116">
        <v>1600.05</v>
      </c>
      <c r="Q768" s="116">
        <v>1653.2</v>
      </c>
      <c r="R768">
        <v>125376</v>
      </c>
    </row>
    <row r="769" spans="1:18" x14ac:dyDescent="0.25">
      <c r="A769" s="170">
        <v>43132</v>
      </c>
      <c r="B769" s="116">
        <v>1715.35</v>
      </c>
      <c r="C769" s="116">
        <v>1702.25</v>
      </c>
      <c r="D769" s="116">
        <v>1635</v>
      </c>
      <c r="E769" s="116">
        <v>1637.05</v>
      </c>
      <c r="F769" s="116">
        <v>1702.25</v>
      </c>
      <c r="G769">
        <v>24718</v>
      </c>
      <c r="H769" s="116"/>
      <c r="I769" s="116"/>
      <c r="L769" s="170">
        <v>43132</v>
      </c>
      <c r="M769" s="116">
        <v>1700.45</v>
      </c>
      <c r="N769" s="116">
        <v>1721.9</v>
      </c>
      <c r="O769" s="116">
        <v>1637</v>
      </c>
      <c r="P769" s="116">
        <v>1650</v>
      </c>
      <c r="Q769" s="116">
        <v>1700.45</v>
      </c>
      <c r="R769">
        <v>200484</v>
      </c>
    </row>
    <row r="770" spans="1:18" x14ac:dyDescent="0.25">
      <c r="A770" s="170">
        <v>43133</v>
      </c>
      <c r="B770" s="116">
        <v>1744.4</v>
      </c>
      <c r="C770" s="116">
        <v>1678.1</v>
      </c>
      <c r="D770" s="116">
        <v>1650</v>
      </c>
      <c r="E770" s="116">
        <v>1686</v>
      </c>
      <c r="F770" s="116">
        <v>1678.1</v>
      </c>
      <c r="G770">
        <v>14403</v>
      </c>
      <c r="H770" s="116"/>
      <c r="I770" s="116"/>
      <c r="L770" s="170">
        <v>43133</v>
      </c>
      <c r="M770" s="116">
        <v>1678.55</v>
      </c>
      <c r="N770" s="116">
        <v>1749.2</v>
      </c>
      <c r="O770" s="116">
        <v>1650</v>
      </c>
      <c r="P770" s="116">
        <v>1692.5</v>
      </c>
      <c r="Q770" s="116">
        <v>1678.55</v>
      </c>
      <c r="R770">
        <v>147057</v>
      </c>
    </row>
    <row r="771" spans="1:18" x14ac:dyDescent="0.25">
      <c r="A771" s="170">
        <v>43136</v>
      </c>
      <c r="B771" s="116">
        <v>1682.05</v>
      </c>
      <c r="C771" s="116">
        <v>1628.55</v>
      </c>
      <c r="D771" s="116">
        <v>1613.9</v>
      </c>
      <c r="E771" s="116">
        <v>1669</v>
      </c>
      <c r="F771" s="116">
        <v>1628.55</v>
      </c>
      <c r="G771">
        <v>10490</v>
      </c>
      <c r="H771" s="116"/>
      <c r="I771" s="116"/>
      <c r="L771" s="170">
        <v>43136</v>
      </c>
      <c r="M771" s="116">
        <v>1627.85</v>
      </c>
      <c r="N771" s="116">
        <v>1685</v>
      </c>
      <c r="O771" s="116">
        <v>1615.05</v>
      </c>
      <c r="P771" s="116">
        <v>1640.55</v>
      </c>
      <c r="Q771" s="116">
        <v>1627.85</v>
      </c>
      <c r="R771">
        <v>94627</v>
      </c>
    </row>
    <row r="772" spans="1:18" x14ac:dyDescent="0.25">
      <c r="A772" s="170">
        <v>43137</v>
      </c>
      <c r="B772" s="116">
        <v>1628</v>
      </c>
      <c r="C772" s="116">
        <v>1611.5</v>
      </c>
      <c r="D772" s="116">
        <v>1547</v>
      </c>
      <c r="E772" s="116">
        <v>1619.75</v>
      </c>
      <c r="F772" s="116">
        <v>1611.5</v>
      </c>
      <c r="G772">
        <v>14902</v>
      </c>
      <c r="H772" s="116"/>
      <c r="I772" s="116"/>
      <c r="L772" s="170">
        <v>43137</v>
      </c>
      <c r="M772" s="116">
        <v>1618.65</v>
      </c>
      <c r="N772" s="116">
        <v>1628</v>
      </c>
      <c r="O772" s="116">
        <v>1555</v>
      </c>
      <c r="P772" s="116">
        <v>1588</v>
      </c>
      <c r="Q772" s="116">
        <v>1618.65</v>
      </c>
      <c r="R772">
        <v>44842</v>
      </c>
    </row>
    <row r="773" spans="1:18" x14ac:dyDescent="0.25">
      <c r="A773" s="170">
        <v>43138</v>
      </c>
      <c r="B773" s="116">
        <v>1657.45</v>
      </c>
      <c r="C773" s="116">
        <v>1581.45</v>
      </c>
      <c r="D773" s="116">
        <v>1575.1</v>
      </c>
      <c r="E773" s="116">
        <v>1616.15</v>
      </c>
      <c r="F773" s="116">
        <v>1581.45</v>
      </c>
      <c r="G773">
        <v>8011</v>
      </c>
      <c r="H773" s="116"/>
      <c r="I773" s="116"/>
      <c r="L773" s="170">
        <v>43138</v>
      </c>
      <c r="M773" s="116">
        <v>1578.5</v>
      </c>
      <c r="N773" s="116">
        <v>1661.3</v>
      </c>
      <c r="O773" s="116">
        <v>1570</v>
      </c>
      <c r="P773" s="116">
        <v>1619</v>
      </c>
      <c r="Q773" s="116">
        <v>1578.5</v>
      </c>
      <c r="R773">
        <v>45375</v>
      </c>
    </row>
    <row r="774" spans="1:18" x14ac:dyDescent="0.25">
      <c r="A774" s="170">
        <v>43139</v>
      </c>
      <c r="B774" s="116">
        <v>1623.3</v>
      </c>
      <c r="C774" s="116">
        <v>1598.2</v>
      </c>
      <c r="D774" s="116">
        <v>1586.45</v>
      </c>
      <c r="E774" s="116">
        <v>1598</v>
      </c>
      <c r="F774" s="116">
        <v>1598.2</v>
      </c>
      <c r="G774">
        <v>16222</v>
      </c>
      <c r="H774" s="116"/>
      <c r="I774" s="116"/>
      <c r="L774" s="170">
        <v>43139</v>
      </c>
      <c r="M774" s="116">
        <v>1594.85</v>
      </c>
      <c r="N774" s="116">
        <v>1637</v>
      </c>
      <c r="O774" s="116">
        <v>1581</v>
      </c>
      <c r="P774" s="116">
        <v>1590.55</v>
      </c>
      <c r="Q774" s="116">
        <v>1594.85</v>
      </c>
      <c r="R774">
        <v>104852</v>
      </c>
    </row>
    <row r="775" spans="1:18" x14ac:dyDescent="0.25">
      <c r="A775" s="170">
        <v>43140</v>
      </c>
      <c r="B775" s="116">
        <v>1609.05</v>
      </c>
      <c r="C775" s="116">
        <v>1591.6</v>
      </c>
      <c r="D775" s="116">
        <v>1560</v>
      </c>
      <c r="E775" s="116">
        <v>1565.45</v>
      </c>
      <c r="F775" s="116">
        <v>1591.6</v>
      </c>
      <c r="G775">
        <v>4819</v>
      </c>
      <c r="H775" s="116"/>
      <c r="I775" s="116"/>
      <c r="L775" s="170">
        <v>43140</v>
      </c>
      <c r="M775" s="116">
        <v>1590.8</v>
      </c>
      <c r="N775" s="116">
        <v>1616.9</v>
      </c>
      <c r="O775" s="116">
        <v>1557.05</v>
      </c>
      <c r="P775" s="116">
        <v>1580</v>
      </c>
      <c r="Q775" s="116">
        <v>1590.8</v>
      </c>
      <c r="R775">
        <v>152775</v>
      </c>
    </row>
    <row r="776" spans="1:18" x14ac:dyDescent="0.25">
      <c r="A776" s="170">
        <v>43143</v>
      </c>
      <c r="B776" s="116">
        <v>1622</v>
      </c>
      <c r="C776" s="116">
        <v>1612.8</v>
      </c>
      <c r="D776" s="116">
        <v>1570.05</v>
      </c>
      <c r="E776" s="116">
        <v>1597</v>
      </c>
      <c r="F776" s="116">
        <v>1612.8</v>
      </c>
      <c r="G776">
        <v>8405</v>
      </c>
      <c r="H776" s="116"/>
      <c r="I776" s="116"/>
      <c r="L776" s="170">
        <v>43143</v>
      </c>
      <c r="M776" s="116">
        <v>1610.65</v>
      </c>
      <c r="N776" s="116">
        <v>1617</v>
      </c>
      <c r="O776" s="116">
        <v>1568</v>
      </c>
      <c r="P776" s="116">
        <v>1590.8</v>
      </c>
      <c r="Q776" s="116">
        <v>1610.65</v>
      </c>
      <c r="R776">
        <v>36442</v>
      </c>
    </row>
    <row r="777" spans="1:18" x14ac:dyDescent="0.25">
      <c r="A777" s="170">
        <v>43145</v>
      </c>
      <c r="B777" s="116">
        <v>1629</v>
      </c>
      <c r="C777" s="116">
        <v>1571.65</v>
      </c>
      <c r="D777" s="116">
        <v>1560</v>
      </c>
      <c r="E777" s="116">
        <v>1620</v>
      </c>
      <c r="F777" s="116">
        <v>1571.65</v>
      </c>
      <c r="G777">
        <v>8084</v>
      </c>
      <c r="H777" s="116"/>
      <c r="I777" s="116"/>
      <c r="L777" s="170">
        <v>43145</v>
      </c>
      <c r="M777" s="116">
        <v>1572.1</v>
      </c>
      <c r="N777" s="116">
        <v>1634</v>
      </c>
      <c r="O777" s="116">
        <v>1561.5</v>
      </c>
      <c r="P777" s="116">
        <v>1622</v>
      </c>
      <c r="Q777" s="116">
        <v>1572.1</v>
      </c>
      <c r="R777">
        <v>43054</v>
      </c>
    </row>
    <row r="778" spans="1:18" x14ac:dyDescent="0.25">
      <c r="A778" s="170">
        <v>43146</v>
      </c>
      <c r="B778" s="116">
        <v>1586</v>
      </c>
      <c r="C778" s="116">
        <v>1554.4</v>
      </c>
      <c r="D778" s="116">
        <v>1551</v>
      </c>
      <c r="E778" s="116">
        <v>1580.8</v>
      </c>
      <c r="F778" s="116">
        <v>1554.4</v>
      </c>
      <c r="G778">
        <v>6709</v>
      </c>
      <c r="H778" s="116"/>
      <c r="I778" s="116"/>
      <c r="L778" s="170">
        <v>43146</v>
      </c>
      <c r="M778" s="116">
        <v>1550.5</v>
      </c>
      <c r="N778" s="116">
        <v>1587.75</v>
      </c>
      <c r="O778" s="116">
        <v>1548</v>
      </c>
      <c r="P778" s="116">
        <v>1587.75</v>
      </c>
      <c r="Q778" s="116">
        <v>1550.5</v>
      </c>
      <c r="R778">
        <v>34965</v>
      </c>
    </row>
    <row r="779" spans="1:18" x14ac:dyDescent="0.25">
      <c r="A779" s="170">
        <v>43147</v>
      </c>
      <c r="B779" s="116">
        <v>1570</v>
      </c>
      <c r="C779" s="116">
        <v>1507.45</v>
      </c>
      <c r="D779" s="116">
        <v>1495</v>
      </c>
      <c r="E779" s="116">
        <v>1556</v>
      </c>
      <c r="F779" s="116">
        <v>1507.45</v>
      </c>
      <c r="G779">
        <v>13070</v>
      </c>
      <c r="H779" s="116"/>
      <c r="I779" s="116"/>
      <c r="L779" s="170">
        <v>43147</v>
      </c>
      <c r="M779" s="116">
        <v>1514.65</v>
      </c>
      <c r="N779" s="116">
        <v>1569.45</v>
      </c>
      <c r="O779" s="116">
        <v>1507</v>
      </c>
      <c r="P779" s="116">
        <v>1559.9</v>
      </c>
      <c r="Q779" s="116">
        <v>1514.65</v>
      </c>
      <c r="R779">
        <v>50718</v>
      </c>
    </row>
    <row r="780" spans="1:18" x14ac:dyDescent="0.25">
      <c r="A780" s="170">
        <v>43150</v>
      </c>
      <c r="B780" s="116">
        <v>1518.5</v>
      </c>
      <c r="C780" s="116">
        <v>1478.55</v>
      </c>
      <c r="D780" s="116">
        <v>1469.45</v>
      </c>
      <c r="E780" s="116">
        <v>1518.5</v>
      </c>
      <c r="F780" s="116">
        <v>1478.55</v>
      </c>
      <c r="G780">
        <v>10407</v>
      </c>
      <c r="H780" s="116"/>
      <c r="I780" s="116"/>
      <c r="L780" s="170">
        <v>43150</v>
      </c>
      <c r="M780" s="116">
        <v>1487.35</v>
      </c>
      <c r="N780" s="116">
        <v>1514.55</v>
      </c>
      <c r="O780" s="116">
        <v>1471.2</v>
      </c>
      <c r="P780" s="116">
        <v>1510</v>
      </c>
      <c r="Q780" s="116">
        <v>1487.35</v>
      </c>
      <c r="R780">
        <v>29427</v>
      </c>
    </row>
    <row r="781" spans="1:18" x14ac:dyDescent="0.25">
      <c r="A781" s="170">
        <v>43151</v>
      </c>
      <c r="B781" s="116">
        <v>1530.95</v>
      </c>
      <c r="C781" s="116">
        <v>1513.2</v>
      </c>
      <c r="D781" s="116">
        <v>1474.8</v>
      </c>
      <c r="E781" s="116">
        <v>1486.15</v>
      </c>
      <c r="F781" s="116">
        <v>1513.2</v>
      </c>
      <c r="G781">
        <v>9692</v>
      </c>
      <c r="H781" s="116"/>
      <c r="I781" s="116"/>
      <c r="L781" s="170">
        <v>43151</v>
      </c>
      <c r="M781" s="116">
        <v>1509.3</v>
      </c>
      <c r="N781" s="116">
        <v>1531.7</v>
      </c>
      <c r="O781" s="116">
        <v>1476.3</v>
      </c>
      <c r="P781" s="116">
        <v>1492.85</v>
      </c>
      <c r="Q781" s="116">
        <v>1509.3</v>
      </c>
      <c r="R781">
        <v>46224</v>
      </c>
    </row>
    <row r="782" spans="1:18" x14ac:dyDescent="0.25">
      <c r="A782" s="170">
        <v>43152</v>
      </c>
      <c r="B782" s="116">
        <v>1550</v>
      </c>
      <c r="C782" s="116">
        <v>1513.15</v>
      </c>
      <c r="D782" s="116">
        <v>1509.05</v>
      </c>
      <c r="E782" s="116">
        <v>1517.1</v>
      </c>
      <c r="F782" s="116">
        <v>1513.15</v>
      </c>
      <c r="G782">
        <v>2983</v>
      </c>
      <c r="H782" s="116"/>
      <c r="I782" s="116"/>
      <c r="L782" s="170">
        <v>43152</v>
      </c>
      <c r="M782" s="116">
        <v>1511.4</v>
      </c>
      <c r="N782" s="116">
        <v>1534.95</v>
      </c>
      <c r="O782" s="116">
        <v>1506.15</v>
      </c>
      <c r="P782" s="116">
        <v>1524.35</v>
      </c>
      <c r="Q782" s="116">
        <v>1511.4</v>
      </c>
      <c r="R782">
        <v>35217</v>
      </c>
    </row>
    <row r="783" spans="1:18" x14ac:dyDescent="0.25">
      <c r="A783" s="170">
        <v>43153</v>
      </c>
      <c r="B783" s="116">
        <v>1522</v>
      </c>
      <c r="C783" s="116">
        <v>1510.85</v>
      </c>
      <c r="D783" s="116">
        <v>1492.6</v>
      </c>
      <c r="E783" s="116">
        <v>1510.05</v>
      </c>
      <c r="F783" s="116">
        <v>1510.85</v>
      </c>
      <c r="G783">
        <v>3643</v>
      </c>
      <c r="H783" s="116"/>
      <c r="I783" s="116"/>
      <c r="L783" s="170">
        <v>43153</v>
      </c>
      <c r="M783" s="116">
        <v>1516.25</v>
      </c>
      <c r="N783" s="116">
        <v>1525</v>
      </c>
      <c r="O783" s="116">
        <v>1490.2</v>
      </c>
      <c r="P783" s="116">
        <v>1520</v>
      </c>
      <c r="Q783" s="116">
        <v>1516.25</v>
      </c>
      <c r="R783">
        <v>32347</v>
      </c>
    </row>
    <row r="784" spans="1:18" x14ac:dyDescent="0.25">
      <c r="A784" s="170">
        <v>43154</v>
      </c>
      <c r="B784" s="116">
        <v>1532.25</v>
      </c>
      <c r="C784" s="116">
        <v>1521.95</v>
      </c>
      <c r="D784" s="116">
        <v>1511.4</v>
      </c>
      <c r="E784" s="116">
        <v>1523.5</v>
      </c>
      <c r="F784" s="116">
        <v>1521.95</v>
      </c>
      <c r="G784">
        <v>3086</v>
      </c>
      <c r="H784" s="116"/>
      <c r="I784" s="116"/>
      <c r="L784" s="170">
        <v>43154</v>
      </c>
      <c r="M784" s="116">
        <v>1523.25</v>
      </c>
      <c r="N784" s="116">
        <v>1533.95</v>
      </c>
      <c r="O784" s="116">
        <v>1506</v>
      </c>
      <c r="P784" s="116">
        <v>1506</v>
      </c>
      <c r="Q784" s="116">
        <v>1523.25</v>
      </c>
      <c r="R784">
        <v>34475</v>
      </c>
    </row>
    <row r="785" spans="1:18" x14ac:dyDescent="0.25">
      <c r="A785" s="170">
        <v>43157</v>
      </c>
      <c r="B785" s="116">
        <v>1538</v>
      </c>
      <c r="C785" s="116">
        <v>1515.15</v>
      </c>
      <c r="D785" s="116">
        <v>1512.7</v>
      </c>
      <c r="E785" s="116">
        <v>1534.75</v>
      </c>
      <c r="F785" s="116">
        <v>1515.15</v>
      </c>
      <c r="G785">
        <v>39147</v>
      </c>
      <c r="H785" s="116"/>
      <c r="I785" s="116"/>
      <c r="L785" s="170">
        <v>43157</v>
      </c>
      <c r="M785" s="116">
        <v>1518.1</v>
      </c>
      <c r="N785" s="116">
        <v>1542.65</v>
      </c>
      <c r="O785" s="116">
        <v>1513.1</v>
      </c>
      <c r="P785" s="116">
        <v>1535</v>
      </c>
      <c r="Q785" s="116">
        <v>1518.1</v>
      </c>
      <c r="R785">
        <v>63273</v>
      </c>
    </row>
    <row r="786" spans="1:18" x14ac:dyDescent="0.25">
      <c r="A786" s="170">
        <v>43158</v>
      </c>
      <c r="B786" s="116">
        <v>1540</v>
      </c>
      <c r="C786" s="116">
        <v>1530.35</v>
      </c>
      <c r="D786" s="116">
        <v>1516</v>
      </c>
      <c r="E786" s="116">
        <v>1516</v>
      </c>
      <c r="F786" s="116">
        <v>1530.35</v>
      </c>
      <c r="G786">
        <v>4883</v>
      </c>
      <c r="H786" s="116"/>
      <c r="I786" s="116"/>
      <c r="L786" s="170">
        <v>43158</v>
      </c>
      <c r="M786" s="116">
        <v>1528.35</v>
      </c>
      <c r="N786" s="116">
        <v>1541</v>
      </c>
      <c r="O786" s="116">
        <v>1520.25</v>
      </c>
      <c r="P786" s="116">
        <v>1522</v>
      </c>
      <c r="Q786" s="116">
        <v>1528.35</v>
      </c>
      <c r="R786">
        <v>41198</v>
      </c>
    </row>
    <row r="787" spans="1:18" x14ac:dyDescent="0.25">
      <c r="A787" s="170">
        <v>43159</v>
      </c>
      <c r="B787" s="116">
        <v>1550.2</v>
      </c>
      <c r="C787" s="116">
        <v>1534.55</v>
      </c>
      <c r="D787" s="116">
        <v>1507.45</v>
      </c>
      <c r="E787" s="116">
        <v>1530</v>
      </c>
      <c r="F787" s="116">
        <v>1534.55</v>
      </c>
      <c r="G787">
        <v>6650</v>
      </c>
      <c r="H787" s="116"/>
      <c r="I787" s="116"/>
      <c r="L787" s="170">
        <v>43159</v>
      </c>
      <c r="M787" s="116">
        <v>1531.75</v>
      </c>
      <c r="N787" s="116">
        <v>1550</v>
      </c>
      <c r="O787" s="116">
        <v>1510</v>
      </c>
      <c r="P787" s="116">
        <v>1519</v>
      </c>
      <c r="Q787" s="116">
        <v>1531.75</v>
      </c>
      <c r="R787">
        <v>118705</v>
      </c>
    </row>
    <row r="788" spans="1:18" x14ac:dyDescent="0.25">
      <c r="A788" s="170">
        <v>43160</v>
      </c>
      <c r="B788" s="116">
        <v>1560.55</v>
      </c>
      <c r="C788" s="116">
        <v>1527.85</v>
      </c>
      <c r="D788" s="116">
        <v>1512.55</v>
      </c>
      <c r="E788" s="116">
        <v>1529.95</v>
      </c>
      <c r="F788" s="116">
        <v>1527.85</v>
      </c>
      <c r="G788">
        <v>4952</v>
      </c>
      <c r="H788" s="116"/>
      <c r="I788" s="116"/>
      <c r="L788" s="170">
        <v>43160</v>
      </c>
      <c r="M788" s="116">
        <v>1525.15</v>
      </c>
      <c r="N788" s="116">
        <v>1548.5</v>
      </c>
      <c r="O788" s="116">
        <v>1506.35</v>
      </c>
      <c r="P788" s="116">
        <v>1520</v>
      </c>
      <c r="Q788" s="116">
        <v>1525.15</v>
      </c>
      <c r="R788">
        <v>74109</v>
      </c>
    </row>
    <row r="789" spans="1:18" x14ac:dyDescent="0.25">
      <c r="A789" s="170">
        <v>43164</v>
      </c>
      <c r="B789" s="116">
        <v>1527.65</v>
      </c>
      <c r="C789" s="116">
        <v>1488.9</v>
      </c>
      <c r="D789" s="116">
        <v>1480.05</v>
      </c>
      <c r="E789" s="116">
        <v>1527.65</v>
      </c>
      <c r="F789" s="116">
        <v>1488.9</v>
      </c>
      <c r="G789">
        <v>6859</v>
      </c>
      <c r="H789" s="116"/>
      <c r="I789" s="116"/>
      <c r="L789" s="170">
        <v>43164</v>
      </c>
      <c r="M789" s="116">
        <v>1490.5</v>
      </c>
      <c r="N789" s="116">
        <v>1530.65</v>
      </c>
      <c r="O789" s="116">
        <v>1481.5</v>
      </c>
      <c r="P789" s="116">
        <v>1525.15</v>
      </c>
      <c r="Q789" s="116">
        <v>1490.5</v>
      </c>
      <c r="R789">
        <v>38820</v>
      </c>
    </row>
    <row r="790" spans="1:18" x14ac:dyDescent="0.25">
      <c r="A790" s="170">
        <v>43165</v>
      </c>
      <c r="B790" s="116">
        <v>1508.25</v>
      </c>
      <c r="C790" s="116">
        <v>1475.7</v>
      </c>
      <c r="D790" s="116">
        <v>1452.05</v>
      </c>
      <c r="E790" s="116">
        <v>1505.45</v>
      </c>
      <c r="F790" s="116">
        <v>1475.7</v>
      </c>
      <c r="G790">
        <v>9193</v>
      </c>
      <c r="H790" s="116"/>
      <c r="I790" s="116"/>
      <c r="L790" s="170">
        <v>43165</v>
      </c>
      <c r="M790" s="116">
        <v>1475.45</v>
      </c>
      <c r="N790" s="116">
        <v>1524</v>
      </c>
      <c r="O790" s="116">
        <v>1451</v>
      </c>
      <c r="P790" s="116">
        <v>1500</v>
      </c>
      <c r="Q790" s="116">
        <v>1475.45</v>
      </c>
      <c r="R790">
        <v>72789</v>
      </c>
    </row>
    <row r="791" spans="1:18" x14ac:dyDescent="0.25">
      <c r="A791" s="170">
        <v>43166</v>
      </c>
      <c r="B791" s="116">
        <v>1474.8</v>
      </c>
      <c r="C791" s="116">
        <v>1431.05</v>
      </c>
      <c r="D791" s="116">
        <v>1423</v>
      </c>
      <c r="E791" s="116">
        <v>1474.8</v>
      </c>
      <c r="F791" s="116">
        <v>1431.05</v>
      </c>
      <c r="G791">
        <v>13597</v>
      </c>
      <c r="H791" s="116"/>
      <c r="I791" s="116"/>
      <c r="L791" s="170">
        <v>43166</v>
      </c>
      <c r="M791" s="116">
        <v>1435.55</v>
      </c>
      <c r="N791" s="116">
        <v>1470</v>
      </c>
      <c r="O791" s="116">
        <v>1422.3</v>
      </c>
      <c r="P791" s="116">
        <v>1461.05</v>
      </c>
      <c r="Q791" s="116">
        <v>1435.55</v>
      </c>
      <c r="R791">
        <v>69131</v>
      </c>
    </row>
    <row r="792" spans="1:18" x14ac:dyDescent="0.25">
      <c r="A792" s="170">
        <v>43167</v>
      </c>
      <c r="B792" s="116">
        <v>1452.8</v>
      </c>
      <c r="C792" s="116">
        <v>1428.95</v>
      </c>
      <c r="D792" s="116">
        <v>1420</v>
      </c>
      <c r="E792" s="116">
        <v>1445.1</v>
      </c>
      <c r="F792" s="116">
        <v>1428.95</v>
      </c>
      <c r="G792">
        <v>2674</v>
      </c>
      <c r="H792" s="116"/>
      <c r="I792" s="116"/>
      <c r="L792" s="170">
        <v>43167</v>
      </c>
      <c r="M792" s="116">
        <v>1425.75</v>
      </c>
      <c r="N792" s="116">
        <v>1449.85</v>
      </c>
      <c r="O792" s="116">
        <v>1420.05</v>
      </c>
      <c r="P792" s="116">
        <v>1449.85</v>
      </c>
      <c r="Q792" s="116">
        <v>1425.75</v>
      </c>
      <c r="R792">
        <v>24570</v>
      </c>
    </row>
    <row r="793" spans="1:18" x14ac:dyDescent="0.25">
      <c r="A793" s="170">
        <v>43168</v>
      </c>
      <c r="B793" s="116">
        <v>1450</v>
      </c>
      <c r="C793" s="116">
        <v>1435.1</v>
      </c>
      <c r="D793" s="116">
        <v>1430.1</v>
      </c>
      <c r="E793" s="116">
        <v>1430.1</v>
      </c>
      <c r="F793" s="116">
        <v>1435.1</v>
      </c>
      <c r="G793">
        <v>12130</v>
      </c>
      <c r="H793" s="116"/>
      <c r="I793" s="116"/>
      <c r="L793" s="170">
        <v>43168</v>
      </c>
      <c r="M793" s="116">
        <v>1437.7</v>
      </c>
      <c r="N793" s="116">
        <v>1450.4</v>
      </c>
      <c r="O793" s="116">
        <v>1431</v>
      </c>
      <c r="P793" s="116">
        <v>1432</v>
      </c>
      <c r="Q793" s="116">
        <v>1437.7</v>
      </c>
      <c r="R793">
        <v>157434</v>
      </c>
    </row>
    <row r="794" spans="1:18" x14ac:dyDescent="0.25">
      <c r="A794" s="170">
        <v>43171</v>
      </c>
      <c r="B794" s="116">
        <v>1448.9</v>
      </c>
      <c r="C794" s="116">
        <v>1431.1</v>
      </c>
      <c r="D794" s="116">
        <v>1425.7</v>
      </c>
      <c r="E794" s="116">
        <v>1444.6</v>
      </c>
      <c r="F794" s="116">
        <v>1431.1</v>
      </c>
      <c r="G794">
        <v>2095</v>
      </c>
      <c r="H794" s="116"/>
      <c r="I794" s="116"/>
      <c r="L794" s="170">
        <v>43171</v>
      </c>
      <c r="M794" s="116">
        <v>1433.6</v>
      </c>
      <c r="N794" s="116">
        <v>1450</v>
      </c>
      <c r="O794" s="116">
        <v>1423.6</v>
      </c>
      <c r="P794" s="116">
        <v>1449.8</v>
      </c>
      <c r="Q794" s="116">
        <v>1433.6</v>
      </c>
      <c r="R794">
        <v>16143</v>
      </c>
    </row>
    <row r="795" spans="1:18" x14ac:dyDescent="0.25">
      <c r="A795" s="170">
        <v>43172</v>
      </c>
      <c r="B795" s="116">
        <v>1435.45</v>
      </c>
      <c r="C795" s="116">
        <v>1406.05</v>
      </c>
      <c r="D795" s="116">
        <v>1387.65</v>
      </c>
      <c r="E795" s="116">
        <v>1431.4</v>
      </c>
      <c r="F795" s="116">
        <v>1406.05</v>
      </c>
      <c r="G795">
        <v>4392</v>
      </c>
      <c r="H795" s="116"/>
      <c r="I795" s="116"/>
      <c r="L795" s="170">
        <v>43172</v>
      </c>
      <c r="M795" s="116">
        <v>1410.8</v>
      </c>
      <c r="N795" s="116">
        <v>1439.85</v>
      </c>
      <c r="O795" s="116">
        <v>1402</v>
      </c>
      <c r="P795" s="116">
        <v>1438.6</v>
      </c>
      <c r="Q795" s="116">
        <v>1410.8</v>
      </c>
      <c r="R795">
        <v>38286</v>
      </c>
    </row>
    <row r="796" spans="1:18" x14ac:dyDescent="0.25">
      <c r="A796" s="170">
        <v>43173</v>
      </c>
      <c r="B796" s="116">
        <v>1416.3</v>
      </c>
      <c r="C796" s="116">
        <v>1390.35</v>
      </c>
      <c r="D796" s="116">
        <v>1385.95</v>
      </c>
      <c r="E796" s="116">
        <v>1413.95</v>
      </c>
      <c r="F796" s="116">
        <v>1390.35</v>
      </c>
      <c r="G796">
        <v>8153</v>
      </c>
      <c r="H796" s="116"/>
      <c r="I796" s="116"/>
      <c r="L796" s="170">
        <v>43173</v>
      </c>
      <c r="M796" s="116">
        <v>1390.25</v>
      </c>
      <c r="N796" s="116">
        <v>1413</v>
      </c>
      <c r="O796" s="116">
        <v>1381</v>
      </c>
      <c r="P796" s="116">
        <v>1413</v>
      </c>
      <c r="Q796" s="116">
        <v>1390.25</v>
      </c>
      <c r="R796">
        <v>49362</v>
      </c>
    </row>
    <row r="797" spans="1:18" x14ac:dyDescent="0.25">
      <c r="A797" s="170">
        <v>43174</v>
      </c>
      <c r="B797" s="116">
        <v>1400</v>
      </c>
      <c r="C797" s="116">
        <v>1374.4</v>
      </c>
      <c r="D797" s="116">
        <v>1371</v>
      </c>
      <c r="E797" s="116">
        <v>1382</v>
      </c>
      <c r="F797" s="116">
        <v>1374.4</v>
      </c>
      <c r="G797">
        <v>4208</v>
      </c>
      <c r="H797" s="116"/>
      <c r="I797" s="116"/>
      <c r="L797" s="170">
        <v>43174</v>
      </c>
      <c r="M797" s="116">
        <v>1373.1</v>
      </c>
      <c r="N797" s="116">
        <v>1400.25</v>
      </c>
      <c r="O797" s="116">
        <v>1369</v>
      </c>
      <c r="P797" s="116">
        <v>1397</v>
      </c>
      <c r="Q797" s="116">
        <v>1373.1</v>
      </c>
      <c r="R797">
        <v>55919</v>
      </c>
    </row>
    <row r="798" spans="1:18" x14ac:dyDescent="0.25">
      <c r="A798" s="170">
        <v>43175</v>
      </c>
      <c r="B798" s="116">
        <v>1383.7</v>
      </c>
      <c r="C798" s="116">
        <v>1340.5</v>
      </c>
      <c r="D798" s="116">
        <v>1332</v>
      </c>
      <c r="E798" s="116">
        <v>1376.35</v>
      </c>
      <c r="F798" s="116">
        <v>1340.5</v>
      </c>
      <c r="G798">
        <v>5461</v>
      </c>
      <c r="H798" s="116"/>
      <c r="I798" s="116"/>
      <c r="L798" s="170">
        <v>43175</v>
      </c>
      <c r="M798" s="116">
        <v>1336.8</v>
      </c>
      <c r="N798" s="116">
        <v>1383</v>
      </c>
      <c r="O798" s="116">
        <v>1326.65</v>
      </c>
      <c r="P798" s="116">
        <v>1381</v>
      </c>
      <c r="Q798" s="116">
        <v>1336.8</v>
      </c>
      <c r="R798">
        <v>101855</v>
      </c>
    </row>
    <row r="799" spans="1:18" x14ac:dyDescent="0.25">
      <c r="A799" s="170">
        <v>43178</v>
      </c>
      <c r="B799" s="116">
        <v>1346.15</v>
      </c>
      <c r="C799" s="116">
        <v>1315.65</v>
      </c>
      <c r="D799" s="116">
        <v>1304</v>
      </c>
      <c r="E799" s="116">
        <v>1340.7</v>
      </c>
      <c r="F799" s="116">
        <v>1315.65</v>
      </c>
      <c r="G799">
        <v>13614</v>
      </c>
      <c r="H799" s="116"/>
      <c r="I799" s="116"/>
      <c r="L799" s="170">
        <v>43178</v>
      </c>
      <c r="M799" s="116">
        <v>1317.3</v>
      </c>
      <c r="N799" s="116">
        <v>1345</v>
      </c>
      <c r="O799" s="116">
        <v>1310</v>
      </c>
      <c r="P799" s="116">
        <v>1340</v>
      </c>
      <c r="Q799" s="116">
        <v>1317.3</v>
      </c>
      <c r="R799">
        <v>53198</v>
      </c>
    </row>
    <row r="800" spans="1:18" x14ac:dyDescent="0.25">
      <c r="A800" s="170">
        <v>43179</v>
      </c>
      <c r="B800" s="116">
        <v>1325.5</v>
      </c>
      <c r="C800" s="116">
        <v>1308.8</v>
      </c>
      <c r="D800" s="116">
        <v>1299.9000000000001</v>
      </c>
      <c r="E800" s="116">
        <v>1315.65</v>
      </c>
      <c r="F800" s="116">
        <v>1308.8</v>
      </c>
      <c r="G800">
        <v>17970</v>
      </c>
      <c r="H800" s="116"/>
      <c r="I800" s="116"/>
      <c r="L800" s="170">
        <v>43179</v>
      </c>
      <c r="M800" s="116">
        <v>1304.7</v>
      </c>
      <c r="N800" s="116">
        <v>1326</v>
      </c>
      <c r="O800" s="116">
        <v>1297</v>
      </c>
      <c r="P800" s="116">
        <v>1319.9</v>
      </c>
      <c r="Q800" s="116">
        <v>1304.7</v>
      </c>
      <c r="R800">
        <v>116191</v>
      </c>
    </row>
    <row r="801" spans="1:18" x14ac:dyDescent="0.25">
      <c r="A801" s="170">
        <v>43180</v>
      </c>
      <c r="B801" s="116">
        <v>1314</v>
      </c>
      <c r="C801" s="116">
        <v>1301.5</v>
      </c>
      <c r="D801" s="116">
        <v>1298.7</v>
      </c>
      <c r="E801" s="116">
        <v>1306.2</v>
      </c>
      <c r="F801" s="116">
        <v>1301.5</v>
      </c>
      <c r="G801">
        <v>4828</v>
      </c>
      <c r="H801" s="116"/>
      <c r="I801" s="116"/>
      <c r="L801" s="170">
        <v>43180</v>
      </c>
      <c r="M801" s="116">
        <v>1297</v>
      </c>
      <c r="N801" s="116">
        <v>1314.8</v>
      </c>
      <c r="O801" s="116">
        <v>1293.0999999999999</v>
      </c>
      <c r="P801" s="116">
        <v>1314.8</v>
      </c>
      <c r="Q801" s="116">
        <v>1297</v>
      </c>
      <c r="R801">
        <v>49317</v>
      </c>
    </row>
    <row r="802" spans="1:18" x14ac:dyDescent="0.25">
      <c r="A802" s="170">
        <v>43181</v>
      </c>
      <c r="B802" s="116">
        <v>1314.75</v>
      </c>
      <c r="C802" s="116">
        <v>1292.1500000000001</v>
      </c>
      <c r="D802" s="116">
        <v>1282.45</v>
      </c>
      <c r="E802" s="116">
        <v>1302.45</v>
      </c>
      <c r="F802" s="116">
        <v>1292.1500000000001</v>
      </c>
      <c r="G802">
        <v>3382</v>
      </c>
      <c r="H802" s="116"/>
      <c r="I802" s="116"/>
      <c r="L802" s="170">
        <v>43181</v>
      </c>
      <c r="M802" s="116">
        <v>1289.8</v>
      </c>
      <c r="N802" s="116">
        <v>1313.95</v>
      </c>
      <c r="O802" s="116">
        <v>1275</v>
      </c>
      <c r="P802" s="116">
        <v>1309.5</v>
      </c>
      <c r="Q802" s="116">
        <v>1289.8</v>
      </c>
      <c r="R802">
        <v>55053</v>
      </c>
    </row>
    <row r="803" spans="1:18" x14ac:dyDescent="0.25">
      <c r="A803" s="170">
        <v>43182</v>
      </c>
      <c r="B803" s="116">
        <v>1289.95</v>
      </c>
      <c r="C803" s="116">
        <v>1280.4000000000001</v>
      </c>
      <c r="D803" s="116">
        <v>1267.1500000000001</v>
      </c>
      <c r="E803" s="116">
        <v>1289.95</v>
      </c>
      <c r="F803" s="116">
        <v>1280.4000000000001</v>
      </c>
      <c r="G803">
        <v>5538</v>
      </c>
      <c r="H803" s="116"/>
      <c r="I803" s="116"/>
      <c r="L803" s="170">
        <v>43182</v>
      </c>
      <c r="M803" s="116">
        <v>1277.9000000000001</v>
      </c>
      <c r="N803" s="116">
        <v>1288.8</v>
      </c>
      <c r="O803" s="116">
        <v>1270</v>
      </c>
      <c r="P803" s="116">
        <v>1276</v>
      </c>
      <c r="Q803" s="116">
        <v>1277.9000000000001</v>
      </c>
      <c r="R803">
        <v>35739</v>
      </c>
    </row>
    <row r="804" spans="1:18" x14ac:dyDescent="0.25">
      <c r="A804" s="170">
        <v>43185</v>
      </c>
      <c r="B804" s="116">
        <v>1301.8</v>
      </c>
      <c r="C804" s="116">
        <v>1285.4000000000001</v>
      </c>
      <c r="D804" s="116">
        <v>1275</v>
      </c>
      <c r="E804" s="116">
        <v>1283.4000000000001</v>
      </c>
      <c r="F804" s="116">
        <v>1285.4000000000001</v>
      </c>
      <c r="G804">
        <v>5787</v>
      </c>
      <c r="H804" s="116"/>
      <c r="I804" s="116"/>
      <c r="L804" s="170">
        <v>43185</v>
      </c>
      <c r="M804" s="116">
        <v>1281.9000000000001</v>
      </c>
      <c r="N804" s="116">
        <v>1301.6500000000001</v>
      </c>
      <c r="O804" s="116">
        <v>1273.8</v>
      </c>
      <c r="P804" s="116">
        <v>1280</v>
      </c>
      <c r="Q804" s="116">
        <v>1281.9000000000001</v>
      </c>
      <c r="R804">
        <v>35033</v>
      </c>
    </row>
    <row r="805" spans="1:18" x14ac:dyDescent="0.25">
      <c r="A805" s="170">
        <v>43186</v>
      </c>
      <c r="B805" s="116">
        <v>1312</v>
      </c>
      <c r="C805" s="116">
        <v>1279.2</v>
      </c>
      <c r="D805" s="116">
        <v>1274</v>
      </c>
      <c r="E805" s="116">
        <v>1290.05</v>
      </c>
      <c r="F805" s="116">
        <v>1279.2</v>
      </c>
      <c r="G805">
        <v>277626</v>
      </c>
      <c r="H805" s="116"/>
      <c r="I805" s="116"/>
      <c r="L805" s="170">
        <v>43186</v>
      </c>
      <c r="M805" s="116">
        <v>1274.95</v>
      </c>
      <c r="N805" s="116">
        <v>1309.95</v>
      </c>
      <c r="O805" s="116">
        <v>1267.25</v>
      </c>
      <c r="P805" s="116">
        <v>1285.55</v>
      </c>
      <c r="Q805" s="116">
        <v>1274.95</v>
      </c>
      <c r="R805">
        <v>51840</v>
      </c>
    </row>
    <row r="806" spans="1:18" x14ac:dyDescent="0.25">
      <c r="A806" s="170">
        <v>43187</v>
      </c>
      <c r="B806" s="116">
        <v>1298.4000000000001</v>
      </c>
      <c r="C806" s="116">
        <v>1286.5999999999999</v>
      </c>
      <c r="D806" s="116">
        <v>1275.3</v>
      </c>
      <c r="E806" s="116">
        <v>1282.55</v>
      </c>
      <c r="F806" s="116">
        <v>1286.5999999999999</v>
      </c>
      <c r="G806">
        <v>2429</v>
      </c>
      <c r="H806" s="116"/>
      <c r="I806" s="116"/>
      <c r="L806" s="170">
        <v>43187</v>
      </c>
      <c r="M806" s="116">
        <v>1294.6500000000001</v>
      </c>
      <c r="N806" s="116">
        <v>1300</v>
      </c>
      <c r="O806" s="116">
        <v>1273</v>
      </c>
      <c r="P806" s="116">
        <v>1284.5</v>
      </c>
      <c r="Q806" s="116">
        <v>1294.6500000000001</v>
      </c>
      <c r="R806">
        <v>67876</v>
      </c>
    </row>
    <row r="807" spans="1:18" x14ac:dyDescent="0.25">
      <c r="A807" s="170">
        <v>43192</v>
      </c>
      <c r="B807" s="116">
        <v>1315.15</v>
      </c>
      <c r="C807" s="116">
        <v>1292.6500000000001</v>
      </c>
      <c r="D807" s="116">
        <v>1288</v>
      </c>
      <c r="E807" s="116">
        <v>1302</v>
      </c>
      <c r="F807" s="116">
        <v>1292.6500000000001</v>
      </c>
      <c r="G807">
        <v>30124</v>
      </c>
      <c r="H807" s="116"/>
      <c r="I807" s="116"/>
      <c r="L807" s="170">
        <v>43192</v>
      </c>
      <c r="M807" s="116">
        <v>1292.75</v>
      </c>
      <c r="N807" s="116">
        <v>1321.75</v>
      </c>
      <c r="O807" s="116">
        <v>1287</v>
      </c>
      <c r="P807" s="116">
        <v>1321.7</v>
      </c>
      <c r="Q807" s="116">
        <v>1292.75</v>
      </c>
      <c r="R807">
        <v>29977</v>
      </c>
    </row>
    <row r="808" spans="1:18" x14ac:dyDescent="0.25">
      <c r="A808" s="170">
        <v>43193</v>
      </c>
      <c r="B808" s="116">
        <v>1300</v>
      </c>
      <c r="C808" s="116">
        <v>1282.8499999999999</v>
      </c>
      <c r="D808" s="116">
        <v>1280</v>
      </c>
      <c r="E808" s="116">
        <v>1300</v>
      </c>
      <c r="F808" s="116">
        <v>1282.8499999999999</v>
      </c>
      <c r="G808">
        <v>3850</v>
      </c>
      <c r="H808" s="116"/>
      <c r="I808" s="116"/>
      <c r="L808" s="170">
        <v>43193</v>
      </c>
      <c r="M808" s="116">
        <v>1283.1500000000001</v>
      </c>
      <c r="N808" s="116">
        <v>1300.05</v>
      </c>
      <c r="O808" s="116">
        <v>1277.2</v>
      </c>
      <c r="P808" s="116">
        <v>1300</v>
      </c>
      <c r="Q808" s="116">
        <v>1283.1500000000001</v>
      </c>
      <c r="R808">
        <v>68357</v>
      </c>
    </row>
    <row r="809" spans="1:18" x14ac:dyDescent="0.25">
      <c r="A809" s="170">
        <v>43194</v>
      </c>
      <c r="B809" s="116">
        <v>1300.5</v>
      </c>
      <c r="C809" s="116">
        <v>1272.8</v>
      </c>
      <c r="D809" s="116">
        <v>1270</v>
      </c>
      <c r="E809" s="116">
        <v>1288.7</v>
      </c>
      <c r="F809" s="116">
        <v>1272.8</v>
      </c>
      <c r="G809">
        <v>3274</v>
      </c>
      <c r="H809" s="116"/>
      <c r="I809" s="116"/>
      <c r="L809" s="170">
        <v>43194</v>
      </c>
      <c r="M809" s="116">
        <v>1271.3499999999999</v>
      </c>
      <c r="N809" s="116">
        <v>1300</v>
      </c>
      <c r="O809" s="116">
        <v>1267.55</v>
      </c>
      <c r="P809" s="116">
        <v>1294.9000000000001</v>
      </c>
      <c r="Q809" s="116">
        <v>1271.3499999999999</v>
      </c>
      <c r="R809">
        <v>44414</v>
      </c>
    </row>
    <row r="810" spans="1:18" x14ac:dyDescent="0.25">
      <c r="A810" s="170">
        <v>43195</v>
      </c>
      <c r="B810" s="116">
        <v>1300</v>
      </c>
      <c r="C810" s="116">
        <v>1275.2</v>
      </c>
      <c r="D810" s="116">
        <v>1269.55</v>
      </c>
      <c r="E810" s="116">
        <v>1281.4000000000001</v>
      </c>
      <c r="F810" s="116">
        <v>1275.2</v>
      </c>
      <c r="G810">
        <v>204880</v>
      </c>
      <c r="H810" s="116"/>
      <c r="I810" s="116"/>
      <c r="L810" s="170">
        <v>43195</v>
      </c>
      <c r="M810" s="116">
        <v>1278.5999999999999</v>
      </c>
      <c r="N810" s="116">
        <v>1300</v>
      </c>
      <c r="O810" s="116">
        <v>1275</v>
      </c>
      <c r="P810" s="116">
        <v>1295</v>
      </c>
      <c r="Q810" s="116">
        <v>1278.5999999999999</v>
      </c>
      <c r="R810">
        <v>100475</v>
      </c>
    </row>
    <row r="811" spans="1:18" x14ac:dyDescent="0.25">
      <c r="A811" s="170">
        <v>43196</v>
      </c>
      <c r="B811" s="116">
        <v>1298.95</v>
      </c>
      <c r="C811" s="116">
        <v>1295.3</v>
      </c>
      <c r="D811" s="116">
        <v>1279.9000000000001</v>
      </c>
      <c r="E811" s="116">
        <v>1279.9000000000001</v>
      </c>
      <c r="F811" s="116">
        <v>1295.3</v>
      </c>
      <c r="G811">
        <v>4599</v>
      </c>
      <c r="H811" s="116"/>
      <c r="I811" s="116"/>
      <c r="L811" s="170">
        <v>43196</v>
      </c>
      <c r="M811" s="116">
        <v>1291.3499999999999</v>
      </c>
      <c r="N811" s="116">
        <v>1300</v>
      </c>
      <c r="O811" s="116">
        <v>1283.3</v>
      </c>
      <c r="P811" s="116">
        <v>1286.4000000000001</v>
      </c>
      <c r="Q811" s="116">
        <v>1291.3499999999999</v>
      </c>
      <c r="R811">
        <v>37582</v>
      </c>
    </row>
    <row r="812" spans="1:18" x14ac:dyDescent="0.25">
      <c r="A812" s="170">
        <v>43199</v>
      </c>
      <c r="B812" s="116">
        <v>1300</v>
      </c>
      <c r="C812" s="116">
        <v>1288.5</v>
      </c>
      <c r="D812" s="116">
        <v>1285</v>
      </c>
      <c r="E812" s="116">
        <v>1295.4000000000001</v>
      </c>
      <c r="F812" s="116">
        <v>1288.5</v>
      </c>
      <c r="G812">
        <v>5278</v>
      </c>
      <c r="H812" s="116"/>
      <c r="I812" s="116"/>
      <c r="L812" s="170">
        <v>43199</v>
      </c>
      <c r="M812" s="116">
        <v>1290.9000000000001</v>
      </c>
      <c r="N812" s="116">
        <v>1300</v>
      </c>
      <c r="O812" s="116">
        <v>1286.45</v>
      </c>
      <c r="P812" s="116">
        <v>1290.55</v>
      </c>
      <c r="Q812" s="116">
        <v>1290.9000000000001</v>
      </c>
      <c r="R812">
        <v>89662</v>
      </c>
    </row>
    <row r="813" spans="1:18" x14ac:dyDescent="0.25">
      <c r="A813" s="170">
        <v>43200</v>
      </c>
      <c r="B813" s="116">
        <v>1315</v>
      </c>
      <c r="C813" s="116">
        <v>1288.45</v>
      </c>
      <c r="D813" s="116">
        <v>1285.05</v>
      </c>
      <c r="E813" s="116">
        <v>1315</v>
      </c>
      <c r="F813" s="116">
        <v>1288.45</v>
      </c>
      <c r="G813">
        <v>3973</v>
      </c>
      <c r="H813" s="116"/>
      <c r="I813" s="116"/>
      <c r="L813" s="170">
        <v>43200</v>
      </c>
      <c r="M813" s="116">
        <v>1289.45</v>
      </c>
      <c r="N813" s="116">
        <v>1307.45</v>
      </c>
      <c r="O813" s="116">
        <v>1287</v>
      </c>
      <c r="P813" s="116">
        <v>1299.95</v>
      </c>
      <c r="Q813" s="116">
        <v>1289.45</v>
      </c>
      <c r="R813">
        <v>34975</v>
      </c>
    </row>
    <row r="814" spans="1:18" x14ac:dyDescent="0.25">
      <c r="A814" s="170">
        <v>43201</v>
      </c>
      <c r="B814" s="116">
        <v>1298.3</v>
      </c>
      <c r="C814" s="116">
        <v>1275.0999999999999</v>
      </c>
      <c r="D814" s="116">
        <v>1271</v>
      </c>
      <c r="E814" s="116">
        <v>1294.0999999999999</v>
      </c>
      <c r="F814" s="116">
        <v>1275.0999999999999</v>
      </c>
      <c r="G814">
        <v>6391</v>
      </c>
      <c r="H814" s="116"/>
      <c r="I814" s="116"/>
      <c r="L814" s="170">
        <v>43201</v>
      </c>
      <c r="M814" s="116">
        <v>1277.95</v>
      </c>
      <c r="N814" s="116">
        <v>1299.8499999999999</v>
      </c>
      <c r="O814" s="116">
        <v>1275.05</v>
      </c>
      <c r="P814" s="116">
        <v>1295</v>
      </c>
      <c r="Q814" s="116">
        <v>1277.95</v>
      </c>
      <c r="R814">
        <v>45795</v>
      </c>
    </row>
    <row r="815" spans="1:18" x14ac:dyDescent="0.25">
      <c r="A815" s="170">
        <v>43202</v>
      </c>
      <c r="B815" s="116">
        <v>1285</v>
      </c>
      <c r="C815" s="116">
        <v>1269.95</v>
      </c>
      <c r="D815" s="116">
        <v>1265</v>
      </c>
      <c r="E815" s="116">
        <v>1275</v>
      </c>
      <c r="F815" s="116">
        <v>1269.95</v>
      </c>
      <c r="G815">
        <v>6157</v>
      </c>
      <c r="H815" s="116"/>
      <c r="I815" s="116"/>
      <c r="L815" s="170">
        <v>43202</v>
      </c>
      <c r="M815" s="116">
        <v>1272.25</v>
      </c>
      <c r="N815" s="116">
        <v>1284.05</v>
      </c>
      <c r="O815" s="116">
        <v>1269</v>
      </c>
      <c r="P815" s="116">
        <v>1275</v>
      </c>
      <c r="Q815" s="116">
        <v>1272.25</v>
      </c>
      <c r="R815">
        <v>67231</v>
      </c>
    </row>
    <row r="816" spans="1:18" x14ac:dyDescent="0.25">
      <c r="A816" s="170">
        <v>43203</v>
      </c>
      <c r="B816" s="116">
        <v>1290</v>
      </c>
      <c r="C816" s="116">
        <v>1273.5999999999999</v>
      </c>
      <c r="D816" s="116">
        <v>1266.05</v>
      </c>
      <c r="E816" s="116">
        <v>1272.0999999999999</v>
      </c>
      <c r="F816" s="116">
        <v>1273.5999999999999</v>
      </c>
      <c r="G816">
        <v>3335</v>
      </c>
      <c r="H816" s="116"/>
      <c r="I816" s="116"/>
      <c r="L816" s="170">
        <v>43203</v>
      </c>
      <c r="M816" s="116">
        <v>1271.7</v>
      </c>
      <c r="N816" s="116">
        <v>1292.5</v>
      </c>
      <c r="O816" s="116">
        <v>1267.95</v>
      </c>
      <c r="P816" s="116">
        <v>1270</v>
      </c>
      <c r="Q816" s="116">
        <v>1271.7</v>
      </c>
      <c r="R816">
        <v>50332</v>
      </c>
    </row>
    <row r="817" spans="1:18" x14ac:dyDescent="0.25">
      <c r="A817" s="170">
        <v>43206</v>
      </c>
      <c r="B817" s="116">
        <v>1276.5999999999999</v>
      </c>
      <c r="C817" s="116">
        <v>1258.9000000000001</v>
      </c>
      <c r="D817" s="116">
        <v>1251.05</v>
      </c>
      <c r="E817" s="116">
        <v>1271.7</v>
      </c>
      <c r="F817" s="116">
        <v>1258.9000000000001</v>
      </c>
      <c r="G817">
        <v>6112</v>
      </c>
      <c r="H817" s="116"/>
      <c r="I817" s="116"/>
      <c r="L817" s="170">
        <v>43206</v>
      </c>
      <c r="M817" s="116">
        <v>1257.45</v>
      </c>
      <c r="N817" s="116">
        <v>1277.0999999999999</v>
      </c>
      <c r="O817" s="116">
        <v>1248</v>
      </c>
      <c r="P817" s="116">
        <v>1265.55</v>
      </c>
      <c r="Q817" s="116">
        <v>1257.45</v>
      </c>
      <c r="R817">
        <v>155236</v>
      </c>
    </row>
    <row r="818" spans="1:18" x14ac:dyDescent="0.25">
      <c r="A818" s="170">
        <v>43207</v>
      </c>
      <c r="B818" s="116">
        <v>1276.6500000000001</v>
      </c>
      <c r="C818" s="116">
        <v>1262.8</v>
      </c>
      <c r="D818" s="116">
        <v>1257</v>
      </c>
      <c r="E818" s="116">
        <v>1265</v>
      </c>
      <c r="F818" s="116">
        <v>1262.8</v>
      </c>
      <c r="G818">
        <v>3370</v>
      </c>
      <c r="H818" s="116"/>
      <c r="I818" s="116"/>
      <c r="L818" s="170">
        <v>43207</v>
      </c>
      <c r="M818" s="116">
        <v>1264.5</v>
      </c>
      <c r="N818" s="116">
        <v>1276</v>
      </c>
      <c r="O818" s="116">
        <v>1260.3499999999999</v>
      </c>
      <c r="P818" s="116">
        <v>1260.3499999999999</v>
      </c>
      <c r="Q818" s="116">
        <v>1264.5</v>
      </c>
      <c r="R818">
        <v>32226</v>
      </c>
    </row>
    <row r="819" spans="1:18" x14ac:dyDescent="0.25">
      <c r="A819" s="170">
        <v>43208</v>
      </c>
      <c r="B819" s="116">
        <v>1274.4000000000001</v>
      </c>
      <c r="C819" s="116">
        <v>1256.6500000000001</v>
      </c>
      <c r="D819" s="116">
        <v>1255</v>
      </c>
      <c r="E819" s="116">
        <v>1268.45</v>
      </c>
      <c r="F819" s="116">
        <v>1256.6500000000001</v>
      </c>
      <c r="G819">
        <v>2603</v>
      </c>
      <c r="H819" s="116"/>
      <c r="I819" s="116"/>
      <c r="L819" s="170">
        <v>43208</v>
      </c>
      <c r="M819" s="116">
        <v>1255.6500000000001</v>
      </c>
      <c r="N819" s="116">
        <v>1273.95</v>
      </c>
      <c r="O819" s="116">
        <v>1254</v>
      </c>
      <c r="P819" s="116">
        <v>1273.95</v>
      </c>
      <c r="Q819" s="116">
        <v>1255.6500000000001</v>
      </c>
      <c r="R819">
        <v>26940</v>
      </c>
    </row>
    <row r="820" spans="1:18" x14ac:dyDescent="0.25">
      <c r="A820" s="170">
        <v>43209</v>
      </c>
      <c r="B820" s="116">
        <v>1270</v>
      </c>
      <c r="C820" s="116">
        <v>1249</v>
      </c>
      <c r="D820" s="116">
        <v>1245</v>
      </c>
      <c r="E820" s="116">
        <v>1259.75</v>
      </c>
      <c r="F820" s="116">
        <v>1249</v>
      </c>
      <c r="G820">
        <v>5114</v>
      </c>
      <c r="H820" s="116"/>
      <c r="I820" s="116"/>
      <c r="L820" s="170">
        <v>43209</v>
      </c>
      <c r="M820" s="116">
        <v>1249.6500000000001</v>
      </c>
      <c r="N820" s="116">
        <v>1270</v>
      </c>
      <c r="O820" s="116">
        <v>1248</v>
      </c>
      <c r="P820" s="116">
        <v>1257.1500000000001</v>
      </c>
      <c r="Q820" s="116">
        <v>1249.6500000000001</v>
      </c>
      <c r="R820">
        <v>47701</v>
      </c>
    </row>
    <row r="821" spans="1:18" x14ac:dyDescent="0.25">
      <c r="A821" s="170">
        <v>43210</v>
      </c>
      <c r="B821" s="116">
        <v>1299</v>
      </c>
      <c r="C821" s="116">
        <v>1281.3499999999999</v>
      </c>
      <c r="D821" s="116">
        <v>1248.3499999999999</v>
      </c>
      <c r="E821" s="116">
        <v>1252</v>
      </c>
      <c r="F821" s="116">
        <v>1281.3499999999999</v>
      </c>
      <c r="G821">
        <v>30321</v>
      </c>
      <c r="H821" s="116"/>
      <c r="I821" s="116"/>
      <c r="L821" s="170">
        <v>43210</v>
      </c>
      <c r="M821" s="116">
        <v>1274.4000000000001</v>
      </c>
      <c r="N821" s="116">
        <v>1299.75</v>
      </c>
      <c r="O821" s="116">
        <v>1249.0999999999999</v>
      </c>
      <c r="P821" s="116">
        <v>1250</v>
      </c>
      <c r="Q821" s="116">
        <v>1274.4000000000001</v>
      </c>
      <c r="R821">
        <v>235810</v>
      </c>
    </row>
    <row r="822" spans="1:18" x14ac:dyDescent="0.25">
      <c r="A822" s="170">
        <v>43213</v>
      </c>
      <c r="B822" s="116">
        <v>1349.95</v>
      </c>
      <c r="C822" s="116">
        <v>1332.65</v>
      </c>
      <c r="D822" s="116">
        <v>1267</v>
      </c>
      <c r="E822" s="116">
        <v>1284.95</v>
      </c>
      <c r="F822" s="116">
        <v>1332.65</v>
      </c>
      <c r="G822">
        <v>31037</v>
      </c>
      <c r="H822" s="116"/>
      <c r="I822" s="116"/>
      <c r="L822" s="170">
        <v>43213</v>
      </c>
      <c r="M822" s="116">
        <v>1333.3</v>
      </c>
      <c r="N822" s="116">
        <v>1350</v>
      </c>
      <c r="O822" s="116">
        <v>1280.55</v>
      </c>
      <c r="P822" s="116">
        <v>1288</v>
      </c>
      <c r="Q822" s="116">
        <v>1333.3</v>
      </c>
      <c r="R822">
        <v>252664</v>
      </c>
    </row>
    <row r="823" spans="1:18" x14ac:dyDescent="0.25">
      <c r="A823" s="170">
        <v>43214</v>
      </c>
      <c r="B823" s="116">
        <v>1370</v>
      </c>
      <c r="C823" s="116">
        <v>1359.6</v>
      </c>
      <c r="D823" s="116">
        <v>1332</v>
      </c>
      <c r="E823" s="116">
        <v>1332</v>
      </c>
      <c r="F823" s="116">
        <v>1359.6</v>
      </c>
      <c r="G823">
        <v>17451</v>
      </c>
      <c r="H823" s="116"/>
      <c r="I823" s="116"/>
      <c r="L823" s="170">
        <v>43214</v>
      </c>
      <c r="M823" s="116">
        <v>1353.65</v>
      </c>
      <c r="N823" s="116">
        <v>1366</v>
      </c>
      <c r="O823" s="116">
        <v>1335</v>
      </c>
      <c r="P823" s="116">
        <v>1340</v>
      </c>
      <c r="Q823" s="116">
        <v>1353.65</v>
      </c>
      <c r="R823">
        <v>196763</v>
      </c>
    </row>
    <row r="824" spans="1:18" x14ac:dyDescent="0.25">
      <c r="A824" s="170">
        <v>43215</v>
      </c>
      <c r="B824" s="116">
        <v>1378</v>
      </c>
      <c r="C824" s="116">
        <v>1345.1</v>
      </c>
      <c r="D824" s="116">
        <v>1315.7</v>
      </c>
      <c r="E824" s="116">
        <v>1344.85</v>
      </c>
      <c r="F824" s="116">
        <v>1345.1</v>
      </c>
      <c r="G824">
        <v>86352</v>
      </c>
      <c r="H824" s="116"/>
      <c r="I824" s="116"/>
      <c r="L824" s="170">
        <v>43215</v>
      </c>
      <c r="M824" s="116">
        <v>1353.15</v>
      </c>
      <c r="N824" s="116">
        <v>1380.9</v>
      </c>
      <c r="O824" s="116">
        <v>1314</v>
      </c>
      <c r="P824" s="116">
        <v>1349.9</v>
      </c>
      <c r="Q824" s="116">
        <v>1353.15</v>
      </c>
      <c r="R824">
        <v>223134</v>
      </c>
    </row>
    <row r="825" spans="1:18" x14ac:dyDescent="0.25">
      <c r="A825" s="170">
        <v>43216</v>
      </c>
      <c r="B825" s="116">
        <v>1380</v>
      </c>
      <c r="C825" s="116">
        <v>1348.15</v>
      </c>
      <c r="D825" s="116">
        <v>1329.05</v>
      </c>
      <c r="E825" s="116">
        <v>1355</v>
      </c>
      <c r="F825" s="116">
        <v>1348.15</v>
      </c>
      <c r="G825">
        <v>22545</v>
      </c>
      <c r="H825" s="116"/>
      <c r="I825" s="116"/>
      <c r="L825" s="170">
        <v>43216</v>
      </c>
      <c r="M825" s="116">
        <v>1341.85</v>
      </c>
      <c r="N825" s="116">
        <v>1384</v>
      </c>
      <c r="O825" s="116">
        <v>1323.25</v>
      </c>
      <c r="P825" s="116">
        <v>1356.7</v>
      </c>
      <c r="Q825" s="116">
        <v>1341.85</v>
      </c>
      <c r="R825">
        <v>103729</v>
      </c>
    </row>
    <row r="826" spans="1:18" x14ac:dyDescent="0.25">
      <c r="A826" s="170">
        <v>43217</v>
      </c>
      <c r="B826" s="116">
        <v>1375.7</v>
      </c>
      <c r="C826" s="116">
        <v>1341.95</v>
      </c>
      <c r="D826" s="116">
        <v>1335.45</v>
      </c>
      <c r="E826" s="116">
        <v>1349</v>
      </c>
      <c r="F826" s="116">
        <v>1341.95</v>
      </c>
      <c r="G826">
        <v>3988</v>
      </c>
      <c r="H826" s="116"/>
      <c r="I826" s="116"/>
      <c r="L826" s="170">
        <v>43217</v>
      </c>
      <c r="M826" s="116">
        <v>1339.75</v>
      </c>
      <c r="N826" s="116">
        <v>1378</v>
      </c>
      <c r="O826" s="116">
        <v>1331.55</v>
      </c>
      <c r="P826" s="116">
        <v>1347.7</v>
      </c>
      <c r="Q826" s="116">
        <v>1339.75</v>
      </c>
      <c r="R826">
        <v>67230</v>
      </c>
    </row>
    <row r="827" spans="1:18" x14ac:dyDescent="0.25">
      <c r="A827" s="170">
        <v>43220</v>
      </c>
      <c r="B827" s="116">
        <v>1366.8</v>
      </c>
      <c r="C827" s="116">
        <v>1355</v>
      </c>
      <c r="D827" s="116">
        <v>1343.05</v>
      </c>
      <c r="E827" s="116">
        <v>1344</v>
      </c>
      <c r="F827" s="116">
        <v>1355</v>
      </c>
      <c r="G827">
        <v>2189</v>
      </c>
      <c r="H827" s="116"/>
      <c r="I827" s="116"/>
      <c r="L827" s="170">
        <v>43220</v>
      </c>
      <c r="M827" s="116">
        <v>1358.5</v>
      </c>
      <c r="N827" s="116">
        <v>1370</v>
      </c>
      <c r="O827" s="116">
        <v>1340.15</v>
      </c>
      <c r="P827" s="116">
        <v>1349.2</v>
      </c>
      <c r="Q827" s="116">
        <v>1358.5</v>
      </c>
      <c r="R827">
        <v>52088</v>
      </c>
    </row>
    <row r="828" spans="1:18" x14ac:dyDescent="0.25">
      <c r="A828" s="170">
        <v>43222</v>
      </c>
      <c r="B828" s="116">
        <v>1374.9</v>
      </c>
      <c r="C828" s="116">
        <v>1346.95</v>
      </c>
      <c r="D828" s="116">
        <v>1337.05</v>
      </c>
      <c r="E828" s="116">
        <v>1355</v>
      </c>
      <c r="F828" s="116">
        <v>1346.95</v>
      </c>
      <c r="G828">
        <v>6997</v>
      </c>
      <c r="H828" s="116"/>
      <c r="I828" s="116"/>
      <c r="L828" s="170">
        <v>43222</v>
      </c>
      <c r="M828" s="116">
        <v>1344.1</v>
      </c>
      <c r="N828" s="116">
        <v>1369.85</v>
      </c>
      <c r="O828" s="116">
        <v>1335</v>
      </c>
      <c r="P828" s="116">
        <v>1365.5</v>
      </c>
      <c r="Q828" s="116">
        <v>1344.1</v>
      </c>
      <c r="R828">
        <v>131163</v>
      </c>
    </row>
    <row r="829" spans="1:18" x14ac:dyDescent="0.25">
      <c r="A829" s="170">
        <v>43223</v>
      </c>
      <c r="B829" s="116">
        <v>1346.95</v>
      </c>
      <c r="C829" s="116">
        <v>1310.4000000000001</v>
      </c>
      <c r="D829" s="116">
        <v>1300</v>
      </c>
      <c r="E829" s="116">
        <v>1346.95</v>
      </c>
      <c r="F829" s="116">
        <v>1310.4000000000001</v>
      </c>
      <c r="G829">
        <v>7601</v>
      </c>
      <c r="H829" s="116"/>
      <c r="I829" s="116"/>
      <c r="L829" s="170">
        <v>43223</v>
      </c>
      <c r="M829" s="116">
        <v>1308.8</v>
      </c>
      <c r="N829" s="116">
        <v>1344.9</v>
      </c>
      <c r="O829" s="116">
        <v>1298</v>
      </c>
      <c r="P829" s="116">
        <v>1344.9</v>
      </c>
      <c r="Q829" s="116">
        <v>1308.8</v>
      </c>
      <c r="R829">
        <v>69005</v>
      </c>
    </row>
    <row r="830" spans="1:18" x14ac:dyDescent="0.25">
      <c r="A830" s="170">
        <v>43224</v>
      </c>
      <c r="B830" s="116">
        <v>1327.05</v>
      </c>
      <c r="C830" s="116">
        <v>1290</v>
      </c>
      <c r="D830" s="116">
        <v>1285.25</v>
      </c>
      <c r="E830" s="116">
        <v>1312</v>
      </c>
      <c r="F830" s="116">
        <v>1290</v>
      </c>
      <c r="G830">
        <v>6868</v>
      </c>
      <c r="H830" s="116"/>
      <c r="I830" s="116"/>
      <c r="L830" s="170">
        <v>43224</v>
      </c>
      <c r="M830" s="116">
        <v>1286</v>
      </c>
      <c r="N830" s="116">
        <v>1327.4</v>
      </c>
      <c r="O830" s="116">
        <v>1283</v>
      </c>
      <c r="P830" s="116">
        <v>1309</v>
      </c>
      <c r="Q830" s="116">
        <v>1286</v>
      </c>
      <c r="R830">
        <v>110047</v>
      </c>
    </row>
    <row r="831" spans="1:18" x14ac:dyDescent="0.25">
      <c r="A831" s="170">
        <v>43227</v>
      </c>
      <c r="B831" s="116">
        <v>1320</v>
      </c>
      <c r="C831" s="116">
        <v>1282.7</v>
      </c>
      <c r="D831" s="116">
        <v>1271.25</v>
      </c>
      <c r="E831" s="116">
        <v>1320</v>
      </c>
      <c r="F831" s="116">
        <v>1282.7</v>
      </c>
      <c r="G831">
        <v>7148</v>
      </c>
      <c r="H831" s="116"/>
      <c r="I831" s="116"/>
      <c r="L831" s="170">
        <v>43227</v>
      </c>
      <c r="M831" s="116">
        <v>1284.9000000000001</v>
      </c>
      <c r="N831" s="116">
        <v>1308.95</v>
      </c>
      <c r="O831" s="116">
        <v>1273.25</v>
      </c>
      <c r="P831" s="116">
        <v>1291</v>
      </c>
      <c r="Q831" s="116">
        <v>1284.9000000000001</v>
      </c>
      <c r="R831">
        <v>106682</v>
      </c>
    </row>
    <row r="832" spans="1:18" x14ac:dyDescent="0.25">
      <c r="A832" s="170">
        <v>43228</v>
      </c>
      <c r="B832" s="116">
        <v>1310.3</v>
      </c>
      <c r="C832" s="116">
        <v>1282.05</v>
      </c>
      <c r="D832" s="116">
        <v>1270</v>
      </c>
      <c r="E832" s="116">
        <v>1294.95</v>
      </c>
      <c r="F832" s="116">
        <v>1282.05</v>
      </c>
      <c r="G832">
        <v>8582</v>
      </c>
      <c r="H832" s="116"/>
      <c r="I832" s="116"/>
      <c r="L832" s="170">
        <v>43228</v>
      </c>
      <c r="M832" s="116">
        <v>1281.0999999999999</v>
      </c>
      <c r="N832" s="116">
        <v>1306</v>
      </c>
      <c r="O832" s="116">
        <v>1271.25</v>
      </c>
      <c r="P832" s="116">
        <v>1291.95</v>
      </c>
      <c r="Q832" s="116">
        <v>1281.0999999999999</v>
      </c>
      <c r="R832">
        <v>182611</v>
      </c>
    </row>
    <row r="833" spans="1:18" x14ac:dyDescent="0.25">
      <c r="A833" s="170">
        <v>43229</v>
      </c>
      <c r="B833" s="116">
        <v>1293</v>
      </c>
      <c r="C833" s="116">
        <v>1269.6500000000001</v>
      </c>
      <c r="D833" s="116">
        <v>1254.55</v>
      </c>
      <c r="E833" s="116">
        <v>1270</v>
      </c>
      <c r="F833" s="116">
        <v>1269.6500000000001</v>
      </c>
      <c r="G833">
        <v>18349</v>
      </c>
      <c r="H833" s="116"/>
      <c r="I833" s="116"/>
      <c r="L833" s="170">
        <v>43229</v>
      </c>
      <c r="M833" s="116">
        <v>1267.25</v>
      </c>
      <c r="N833" s="116">
        <v>1295.05</v>
      </c>
      <c r="O833" s="116">
        <v>1252</v>
      </c>
      <c r="P833" s="116">
        <v>1273.6500000000001</v>
      </c>
      <c r="Q833" s="116">
        <v>1267.25</v>
      </c>
      <c r="R833">
        <v>386806</v>
      </c>
    </row>
    <row r="834" spans="1:18" x14ac:dyDescent="0.25">
      <c r="A834" s="170">
        <v>43230</v>
      </c>
      <c r="B834" s="116">
        <v>1281.25</v>
      </c>
      <c r="C834" s="116">
        <v>1265.4000000000001</v>
      </c>
      <c r="D834" s="116">
        <v>1262.3</v>
      </c>
      <c r="E834" s="116">
        <v>1266</v>
      </c>
      <c r="F834" s="116">
        <v>1265.4000000000001</v>
      </c>
      <c r="G834">
        <v>3507</v>
      </c>
      <c r="H834" s="116"/>
      <c r="I834" s="116"/>
      <c r="L834" s="170">
        <v>43230</v>
      </c>
      <c r="M834" s="116">
        <v>1268.1500000000001</v>
      </c>
      <c r="N834" s="116">
        <v>1281</v>
      </c>
      <c r="O834" s="116">
        <v>1264.8499999999999</v>
      </c>
      <c r="P834" s="116">
        <v>1281</v>
      </c>
      <c r="Q834" s="116">
        <v>1268.1500000000001</v>
      </c>
      <c r="R834">
        <v>81074</v>
      </c>
    </row>
    <row r="835" spans="1:18" x14ac:dyDescent="0.25">
      <c r="A835" s="170">
        <v>43231</v>
      </c>
      <c r="B835" s="116">
        <v>1271.05</v>
      </c>
      <c r="C835" s="116">
        <v>1249.5999999999999</v>
      </c>
      <c r="D835" s="116">
        <v>1242.05</v>
      </c>
      <c r="E835" s="116">
        <v>1271.05</v>
      </c>
      <c r="F835" s="116">
        <v>1249.5999999999999</v>
      </c>
      <c r="G835">
        <v>6464</v>
      </c>
      <c r="H835" s="116"/>
      <c r="I835" s="116"/>
      <c r="L835" s="170">
        <v>43231</v>
      </c>
      <c r="M835" s="116">
        <v>1245.1500000000001</v>
      </c>
      <c r="N835" s="116">
        <v>1276</v>
      </c>
      <c r="O835" s="116">
        <v>1235.3</v>
      </c>
      <c r="P835" s="116">
        <v>1275</v>
      </c>
      <c r="Q835" s="116">
        <v>1245.1500000000001</v>
      </c>
      <c r="R835">
        <v>138565</v>
      </c>
    </row>
    <row r="836" spans="1:18" x14ac:dyDescent="0.25">
      <c r="A836" s="170">
        <v>43234</v>
      </c>
      <c r="B836" s="116">
        <v>1262.5</v>
      </c>
      <c r="C836" s="116">
        <v>1247.1500000000001</v>
      </c>
      <c r="D836" s="116">
        <v>1218.3499999999999</v>
      </c>
      <c r="E836" s="116">
        <v>1248.0999999999999</v>
      </c>
      <c r="F836" s="116">
        <v>1247.1500000000001</v>
      </c>
      <c r="G836">
        <v>11510</v>
      </c>
      <c r="H836" s="116"/>
      <c r="I836" s="116"/>
      <c r="L836" s="170">
        <v>43234</v>
      </c>
      <c r="M836" s="116">
        <v>1251.6500000000001</v>
      </c>
      <c r="N836" s="116">
        <v>1265</v>
      </c>
      <c r="O836" s="116">
        <v>1218.5</v>
      </c>
      <c r="P836" s="116">
        <v>1245</v>
      </c>
      <c r="Q836" s="116">
        <v>1251.6500000000001</v>
      </c>
      <c r="R836">
        <v>78452</v>
      </c>
    </row>
    <row r="837" spans="1:18" x14ac:dyDescent="0.25">
      <c r="A837" s="170">
        <v>43235</v>
      </c>
      <c r="B837" s="116">
        <v>1261.45</v>
      </c>
      <c r="C837" s="116">
        <v>1241.4000000000001</v>
      </c>
      <c r="D837" s="116">
        <v>1231.6500000000001</v>
      </c>
      <c r="E837" s="116">
        <v>1246.2</v>
      </c>
      <c r="F837" s="116">
        <v>1241.4000000000001</v>
      </c>
      <c r="G837">
        <v>2586</v>
      </c>
      <c r="H837" s="116"/>
      <c r="I837" s="116"/>
      <c r="L837" s="170">
        <v>43235</v>
      </c>
      <c r="M837" s="116">
        <v>1240.8</v>
      </c>
      <c r="N837" s="116">
        <v>1263.75</v>
      </c>
      <c r="O837" s="116">
        <v>1234.95</v>
      </c>
      <c r="P837" s="116">
        <v>1250</v>
      </c>
      <c r="Q837" s="116">
        <v>1240.8</v>
      </c>
      <c r="R837">
        <v>22746</v>
      </c>
    </row>
    <row r="838" spans="1:18" x14ac:dyDescent="0.25">
      <c r="A838" s="170">
        <v>43236</v>
      </c>
      <c r="B838" s="116">
        <v>1242.8499999999999</v>
      </c>
      <c r="C838" s="116">
        <v>1233.1500000000001</v>
      </c>
      <c r="D838" s="116">
        <v>1227.2</v>
      </c>
      <c r="E838" s="116">
        <v>1240.1500000000001</v>
      </c>
      <c r="F838" s="116">
        <v>1233.1500000000001</v>
      </c>
      <c r="G838">
        <v>1851</v>
      </c>
      <c r="H838" s="116"/>
      <c r="I838" s="116"/>
      <c r="L838" s="170">
        <v>43236</v>
      </c>
      <c r="M838" s="116">
        <v>1234.5999999999999</v>
      </c>
      <c r="N838" s="116">
        <v>1244.9000000000001</v>
      </c>
      <c r="O838" s="116">
        <v>1225.55</v>
      </c>
      <c r="P838" s="116">
        <v>1240.9000000000001</v>
      </c>
      <c r="Q838" s="116">
        <v>1234.5999999999999</v>
      </c>
      <c r="R838">
        <v>30547</v>
      </c>
    </row>
    <row r="839" spans="1:18" x14ac:dyDescent="0.25">
      <c r="A839" s="170">
        <v>43237</v>
      </c>
      <c r="B839" s="116">
        <v>1241.75</v>
      </c>
      <c r="C839" s="116">
        <v>1229</v>
      </c>
      <c r="D839" s="116">
        <v>1222.9000000000001</v>
      </c>
      <c r="E839" s="116">
        <v>1237.95</v>
      </c>
      <c r="F839" s="116">
        <v>1229</v>
      </c>
      <c r="G839">
        <v>2881</v>
      </c>
      <c r="H839" s="116"/>
      <c r="I839" s="116"/>
      <c r="L839" s="170">
        <v>43237</v>
      </c>
      <c r="M839" s="116">
        <v>1228.55</v>
      </c>
      <c r="N839" s="116">
        <v>1242.95</v>
      </c>
      <c r="O839" s="116">
        <v>1222.05</v>
      </c>
      <c r="P839" s="116">
        <v>1228.4000000000001</v>
      </c>
      <c r="Q839" s="116">
        <v>1228.55</v>
      </c>
      <c r="R839">
        <v>62647</v>
      </c>
    </row>
    <row r="840" spans="1:18" x14ac:dyDescent="0.25">
      <c r="A840" s="170">
        <v>43238</v>
      </c>
      <c r="B840" s="116">
        <v>1230.1500000000001</v>
      </c>
      <c r="C840" s="116">
        <v>1216.1500000000001</v>
      </c>
      <c r="D840" s="116">
        <v>1214</v>
      </c>
      <c r="E840" s="116">
        <v>1230.05</v>
      </c>
      <c r="F840" s="116">
        <v>1216.1500000000001</v>
      </c>
      <c r="G840">
        <v>4162</v>
      </c>
      <c r="H840" s="116"/>
      <c r="I840" s="116"/>
      <c r="L840" s="170">
        <v>43238</v>
      </c>
      <c r="M840" s="116">
        <v>1216.3499999999999</v>
      </c>
      <c r="N840" s="116">
        <v>1231.5999999999999</v>
      </c>
      <c r="O840" s="116">
        <v>1214.05</v>
      </c>
      <c r="P840" s="116">
        <v>1228.4000000000001</v>
      </c>
      <c r="Q840" s="116">
        <v>1216.3499999999999</v>
      </c>
      <c r="R840">
        <v>17789</v>
      </c>
    </row>
    <row r="841" spans="1:18" x14ac:dyDescent="0.25">
      <c r="A841" s="170">
        <v>43241</v>
      </c>
      <c r="B841" s="116">
        <v>1239.0999999999999</v>
      </c>
      <c r="C841" s="116">
        <v>1202.6500000000001</v>
      </c>
      <c r="D841" s="116">
        <v>1200</v>
      </c>
      <c r="E841" s="116">
        <v>1216.0999999999999</v>
      </c>
      <c r="F841" s="116">
        <v>1202.6500000000001</v>
      </c>
      <c r="G841">
        <v>3158</v>
      </c>
      <c r="H841" s="116"/>
      <c r="I841" s="116"/>
      <c r="L841" s="170">
        <v>43241</v>
      </c>
      <c r="M841" s="116">
        <v>1200.2</v>
      </c>
      <c r="N841" s="116">
        <v>1233.8499999999999</v>
      </c>
      <c r="O841" s="116">
        <v>1198</v>
      </c>
      <c r="P841" s="116">
        <v>1220</v>
      </c>
      <c r="Q841" s="116">
        <v>1200.2</v>
      </c>
      <c r="R841">
        <v>20256</v>
      </c>
    </row>
    <row r="842" spans="1:18" x14ac:dyDescent="0.25">
      <c r="A842" s="170">
        <v>43242</v>
      </c>
      <c r="B842" s="116">
        <v>1205.5999999999999</v>
      </c>
      <c r="C842" s="116">
        <v>1202.6500000000001</v>
      </c>
      <c r="D842" s="116">
        <v>1185.05</v>
      </c>
      <c r="E842" s="116">
        <v>1205</v>
      </c>
      <c r="F842" s="116">
        <v>1202.6500000000001</v>
      </c>
      <c r="G842">
        <v>2891</v>
      </c>
      <c r="H842" s="116"/>
      <c r="I842" s="116"/>
      <c r="L842" s="170">
        <v>43242</v>
      </c>
      <c r="M842" s="116">
        <v>1208.6500000000001</v>
      </c>
      <c r="N842" s="116">
        <v>1212</v>
      </c>
      <c r="O842" s="116">
        <v>1186.2</v>
      </c>
      <c r="P842" s="116">
        <v>1195</v>
      </c>
      <c r="Q842" s="116">
        <v>1208.6500000000001</v>
      </c>
      <c r="R842">
        <v>14191</v>
      </c>
    </row>
    <row r="843" spans="1:18" x14ac:dyDescent="0.25">
      <c r="A843" s="170">
        <v>43243</v>
      </c>
      <c r="B843" s="116">
        <v>1219.5</v>
      </c>
      <c r="C843" s="116">
        <v>1196</v>
      </c>
      <c r="D843" s="116">
        <v>1189.05</v>
      </c>
      <c r="E843" s="116">
        <v>1210.0999999999999</v>
      </c>
      <c r="F843" s="116">
        <v>1196</v>
      </c>
      <c r="G843">
        <v>3349</v>
      </c>
      <c r="H843" s="116"/>
      <c r="I843" s="116"/>
      <c r="L843" s="170">
        <v>43243</v>
      </c>
      <c r="M843" s="116">
        <v>1194.6500000000001</v>
      </c>
      <c r="N843" s="116">
        <v>1223.7</v>
      </c>
      <c r="O843" s="116">
        <v>1184.55</v>
      </c>
      <c r="P843" s="116">
        <v>1207.8499999999999</v>
      </c>
      <c r="Q843" s="116">
        <v>1194.6500000000001</v>
      </c>
      <c r="R843">
        <v>162178</v>
      </c>
    </row>
    <row r="844" spans="1:18" x14ac:dyDescent="0.25">
      <c r="A844" s="170">
        <v>43244</v>
      </c>
      <c r="B844" s="116">
        <v>1206.4000000000001</v>
      </c>
      <c r="C844" s="116">
        <v>1167.3</v>
      </c>
      <c r="D844" s="116">
        <v>1156.5999999999999</v>
      </c>
      <c r="E844" s="116">
        <v>1195</v>
      </c>
      <c r="F844" s="116">
        <v>1167.3</v>
      </c>
      <c r="G844">
        <v>5584</v>
      </c>
      <c r="H844" s="116"/>
      <c r="I844" s="116"/>
      <c r="L844" s="170">
        <v>43244</v>
      </c>
      <c r="M844" s="116">
        <v>1165.5</v>
      </c>
      <c r="N844" s="116">
        <v>1207</v>
      </c>
      <c r="O844" s="116">
        <v>1156.6500000000001</v>
      </c>
      <c r="P844" s="116">
        <v>1195</v>
      </c>
      <c r="Q844" s="116">
        <v>1165.5</v>
      </c>
      <c r="R844">
        <v>42684</v>
      </c>
    </row>
    <row r="845" spans="1:18" x14ac:dyDescent="0.25">
      <c r="A845" s="170">
        <v>43245</v>
      </c>
      <c r="B845" s="116">
        <v>1173</v>
      </c>
      <c r="C845" s="116">
        <v>1165.95</v>
      </c>
      <c r="D845" s="116">
        <v>1158.8</v>
      </c>
      <c r="E845" s="116">
        <v>1172.95</v>
      </c>
      <c r="F845" s="116">
        <v>1165.95</v>
      </c>
      <c r="G845">
        <v>2792</v>
      </c>
      <c r="H845" s="116"/>
      <c r="I845" s="116"/>
      <c r="L845" s="170">
        <v>43245</v>
      </c>
      <c r="M845" s="116">
        <v>1165.5</v>
      </c>
      <c r="N845" s="116">
        <v>1173.5999999999999</v>
      </c>
      <c r="O845" s="116">
        <v>1158</v>
      </c>
      <c r="P845" s="116">
        <v>1169.3499999999999</v>
      </c>
      <c r="Q845" s="116">
        <v>1165.5</v>
      </c>
      <c r="R845">
        <v>30522</v>
      </c>
    </row>
    <row r="846" spans="1:18" x14ac:dyDescent="0.25">
      <c r="A846" s="170">
        <v>43248</v>
      </c>
      <c r="B846" s="116">
        <v>1209.4000000000001</v>
      </c>
      <c r="C846" s="116">
        <v>1203</v>
      </c>
      <c r="D846" s="116">
        <v>1164.3499999999999</v>
      </c>
      <c r="E846" s="116">
        <v>1170</v>
      </c>
      <c r="F846" s="116">
        <v>1203</v>
      </c>
      <c r="G846">
        <v>4034</v>
      </c>
      <c r="H846" s="116"/>
      <c r="I846" s="116"/>
      <c r="L846" s="170">
        <v>43248</v>
      </c>
      <c r="M846" s="116">
        <v>1203.3</v>
      </c>
      <c r="N846" s="116">
        <v>1218</v>
      </c>
      <c r="O846" s="116">
        <v>1164.8499999999999</v>
      </c>
      <c r="P846" s="116">
        <v>1165</v>
      </c>
      <c r="Q846" s="116">
        <v>1203.3</v>
      </c>
      <c r="R846">
        <v>55815</v>
      </c>
    </row>
    <row r="847" spans="1:18" x14ac:dyDescent="0.25">
      <c r="A847" s="170">
        <v>43249</v>
      </c>
      <c r="B847" s="116">
        <v>1230.5</v>
      </c>
      <c r="C847" s="116">
        <v>1226</v>
      </c>
      <c r="D847" s="116">
        <v>1191.6500000000001</v>
      </c>
      <c r="E847" s="116">
        <v>1211.5999999999999</v>
      </c>
      <c r="F847" s="116">
        <v>1226</v>
      </c>
      <c r="G847">
        <v>9733</v>
      </c>
      <c r="H847" s="116"/>
      <c r="I847" s="116"/>
      <c r="L847" s="170">
        <v>43249</v>
      </c>
      <c r="M847" s="116">
        <v>1225.9000000000001</v>
      </c>
      <c r="N847" s="116">
        <v>1231.1500000000001</v>
      </c>
      <c r="O847" s="116">
        <v>1192.8499999999999</v>
      </c>
      <c r="P847" s="116">
        <v>1211.5999999999999</v>
      </c>
      <c r="Q847" s="116">
        <v>1225.9000000000001</v>
      </c>
      <c r="R847">
        <v>39185</v>
      </c>
    </row>
    <row r="848" spans="1:18" x14ac:dyDescent="0.25">
      <c r="A848" s="170">
        <v>43250</v>
      </c>
      <c r="B848" s="116">
        <v>1252.5</v>
      </c>
      <c r="C848" s="116">
        <v>1241.3</v>
      </c>
      <c r="D848" s="116">
        <v>1212.5999999999999</v>
      </c>
      <c r="E848" s="116">
        <v>1214</v>
      </c>
      <c r="F848" s="116">
        <v>1241.3</v>
      </c>
      <c r="G848">
        <v>6441</v>
      </c>
      <c r="H848" s="116"/>
      <c r="I848" s="116"/>
      <c r="L848" s="170">
        <v>43250</v>
      </c>
      <c r="M848" s="116">
        <v>1239.45</v>
      </c>
      <c r="N848" s="116">
        <v>1251.8</v>
      </c>
      <c r="O848" s="116">
        <v>1212</v>
      </c>
      <c r="P848" s="116">
        <v>1218</v>
      </c>
      <c r="Q848" s="116">
        <v>1239.45</v>
      </c>
      <c r="R848">
        <v>50457</v>
      </c>
    </row>
    <row r="849" spans="1:18" x14ac:dyDescent="0.25">
      <c r="A849" s="170">
        <v>43251</v>
      </c>
      <c r="B849" s="116">
        <v>1258</v>
      </c>
      <c r="C849" s="116">
        <v>1227.6500000000001</v>
      </c>
      <c r="D849" s="116">
        <v>1221.8499999999999</v>
      </c>
      <c r="E849" s="116">
        <v>1258</v>
      </c>
      <c r="F849" s="116">
        <v>1227.6500000000001</v>
      </c>
      <c r="G849">
        <v>7325</v>
      </c>
      <c r="H849" s="116"/>
      <c r="I849" s="116"/>
      <c r="L849" s="170">
        <v>43251</v>
      </c>
      <c r="M849" s="116">
        <v>1231.8499999999999</v>
      </c>
      <c r="N849" s="116">
        <v>1254.95</v>
      </c>
      <c r="O849" s="116">
        <v>1220</v>
      </c>
      <c r="P849" s="116">
        <v>1242.25</v>
      </c>
      <c r="Q849" s="116">
        <v>1231.8499999999999</v>
      </c>
      <c r="R849">
        <v>41589</v>
      </c>
    </row>
    <row r="850" spans="1:18" x14ac:dyDescent="0.25">
      <c r="A850" s="170">
        <v>43252</v>
      </c>
      <c r="B850" s="116">
        <v>1240.05</v>
      </c>
      <c r="C850" s="116">
        <v>1199.0999999999999</v>
      </c>
      <c r="D850" s="116">
        <v>1191</v>
      </c>
      <c r="E850" s="116">
        <v>1234.95</v>
      </c>
      <c r="F850" s="116">
        <v>1199.0999999999999</v>
      </c>
      <c r="G850">
        <v>3449</v>
      </c>
      <c r="H850" s="116"/>
      <c r="I850" s="116"/>
      <c r="L850" s="170">
        <v>43252</v>
      </c>
      <c r="M850" s="116">
        <v>1203.8499999999999</v>
      </c>
      <c r="N850" s="116">
        <v>1245</v>
      </c>
      <c r="O850" s="116">
        <v>1191.1500000000001</v>
      </c>
      <c r="P850" s="116">
        <v>1232.55</v>
      </c>
      <c r="Q850" s="116">
        <v>1203.8499999999999</v>
      </c>
      <c r="R850">
        <v>40761</v>
      </c>
    </row>
    <row r="851" spans="1:18" x14ac:dyDescent="0.25">
      <c r="A851" s="170">
        <v>43255</v>
      </c>
      <c r="B851" s="116">
        <v>1208.1500000000001</v>
      </c>
      <c r="C851" s="116">
        <v>1190.5</v>
      </c>
      <c r="D851" s="116">
        <v>1172.0999999999999</v>
      </c>
      <c r="E851" s="116">
        <v>1201</v>
      </c>
      <c r="F851" s="116">
        <v>1190.5</v>
      </c>
      <c r="G851">
        <v>87904</v>
      </c>
      <c r="H851" s="116"/>
      <c r="I851" s="116"/>
      <c r="L851" s="170">
        <v>43255</v>
      </c>
      <c r="M851" s="116">
        <v>1185.25</v>
      </c>
      <c r="N851" s="116">
        <v>1214.9000000000001</v>
      </c>
      <c r="O851" s="116">
        <v>1173.95</v>
      </c>
      <c r="P851" s="116">
        <v>1214.9000000000001</v>
      </c>
      <c r="Q851" s="116">
        <v>1185.25</v>
      </c>
      <c r="R851">
        <v>57698</v>
      </c>
    </row>
    <row r="852" spans="1:18" x14ac:dyDescent="0.25">
      <c r="A852" s="170">
        <v>43256</v>
      </c>
      <c r="B852" s="116">
        <v>1176</v>
      </c>
      <c r="C852" s="116">
        <v>1158.7</v>
      </c>
      <c r="D852" s="116">
        <v>1151.25</v>
      </c>
      <c r="E852" s="116">
        <v>1174</v>
      </c>
      <c r="F852" s="116">
        <v>1158.7</v>
      </c>
      <c r="G852">
        <v>5415</v>
      </c>
      <c r="H852" s="116"/>
      <c r="I852" s="116"/>
      <c r="L852" s="170">
        <v>43256</v>
      </c>
      <c r="M852" s="116">
        <v>1161.1500000000001</v>
      </c>
      <c r="N852" s="116">
        <v>1182.0999999999999</v>
      </c>
      <c r="O852" s="116">
        <v>1149</v>
      </c>
      <c r="P852" s="116">
        <v>1176.5</v>
      </c>
      <c r="Q852" s="116">
        <v>1161.1500000000001</v>
      </c>
      <c r="R852">
        <v>51268</v>
      </c>
    </row>
    <row r="853" spans="1:18" x14ac:dyDescent="0.25">
      <c r="A853" s="170">
        <v>43257</v>
      </c>
      <c r="B853" s="116">
        <v>1198</v>
      </c>
      <c r="C853" s="116">
        <v>1194.55</v>
      </c>
      <c r="D853" s="116">
        <v>1152.55</v>
      </c>
      <c r="E853" s="116">
        <v>1156.4000000000001</v>
      </c>
      <c r="F853" s="116">
        <v>1194.55</v>
      </c>
      <c r="G853">
        <v>2619</v>
      </c>
      <c r="H853" s="116"/>
      <c r="I853" s="116"/>
      <c r="L853" s="170">
        <v>43257</v>
      </c>
      <c r="M853" s="116">
        <v>1196.4000000000001</v>
      </c>
      <c r="N853" s="116">
        <v>1200</v>
      </c>
      <c r="O853" s="116">
        <v>1152.95</v>
      </c>
      <c r="P853" s="116">
        <v>1160.0999999999999</v>
      </c>
      <c r="Q853" s="116">
        <v>1196.4000000000001</v>
      </c>
      <c r="R853">
        <v>51555</v>
      </c>
    </row>
    <row r="854" spans="1:18" x14ac:dyDescent="0.25">
      <c r="A854" s="170">
        <v>43258</v>
      </c>
      <c r="B854" s="116">
        <v>1279</v>
      </c>
      <c r="C854" s="116">
        <v>1258.05</v>
      </c>
      <c r="D854" s="116">
        <v>1198.25</v>
      </c>
      <c r="E854" s="116">
        <v>1208</v>
      </c>
      <c r="F854" s="116">
        <v>1258.05</v>
      </c>
      <c r="G854">
        <v>5548</v>
      </c>
      <c r="H854" s="116"/>
      <c r="I854" s="116"/>
      <c r="L854" s="170">
        <v>43258</v>
      </c>
      <c r="M854" s="116">
        <v>1258.75</v>
      </c>
      <c r="N854" s="116">
        <v>1268</v>
      </c>
      <c r="O854" s="116">
        <v>1202.05</v>
      </c>
      <c r="P854" s="116">
        <v>1209</v>
      </c>
      <c r="Q854" s="116">
        <v>1258.75</v>
      </c>
      <c r="R854">
        <v>107919</v>
      </c>
    </row>
    <row r="855" spans="1:18" x14ac:dyDescent="0.25">
      <c r="A855" s="170">
        <v>43259</v>
      </c>
      <c r="B855" s="116">
        <v>1281.3</v>
      </c>
      <c r="C855" s="116">
        <v>1239.25</v>
      </c>
      <c r="D855" s="116">
        <v>1227.2</v>
      </c>
      <c r="E855" s="116">
        <v>1240</v>
      </c>
      <c r="F855" s="116">
        <v>1239.25</v>
      </c>
      <c r="G855">
        <v>11863</v>
      </c>
      <c r="H855" s="116"/>
      <c r="I855" s="116"/>
      <c r="L855" s="170">
        <v>43259</v>
      </c>
      <c r="M855" s="116">
        <v>1248.95</v>
      </c>
      <c r="N855" s="116">
        <v>1280</v>
      </c>
      <c r="O855" s="116">
        <v>1236.0999999999999</v>
      </c>
      <c r="P855" s="116">
        <v>1252</v>
      </c>
      <c r="Q855" s="116">
        <v>1248.95</v>
      </c>
      <c r="R855">
        <v>65049</v>
      </c>
    </row>
    <row r="856" spans="1:18" x14ac:dyDescent="0.25">
      <c r="A856" s="170">
        <v>43262</v>
      </c>
      <c r="B856" s="116">
        <v>1277.95</v>
      </c>
      <c r="C856" s="116">
        <v>1247</v>
      </c>
      <c r="D856" s="116">
        <v>1230</v>
      </c>
      <c r="E856" s="116">
        <v>1253</v>
      </c>
      <c r="F856" s="116">
        <v>1247</v>
      </c>
      <c r="G856">
        <v>2504</v>
      </c>
      <c r="H856" s="116"/>
      <c r="I856" s="116"/>
      <c r="L856" s="170">
        <v>43262</v>
      </c>
      <c r="M856" s="116">
        <v>1249.3499999999999</v>
      </c>
      <c r="N856" s="116">
        <v>1280</v>
      </c>
      <c r="O856" s="116">
        <v>1230.05</v>
      </c>
      <c r="P856" s="116">
        <v>1250</v>
      </c>
      <c r="Q856" s="116">
        <v>1249.3499999999999</v>
      </c>
      <c r="R856">
        <v>36180</v>
      </c>
    </row>
    <row r="857" spans="1:18" x14ac:dyDescent="0.25">
      <c r="A857" s="170">
        <v>43263</v>
      </c>
      <c r="B857" s="116">
        <v>1292.1500000000001</v>
      </c>
      <c r="C857" s="116">
        <v>1288.5999999999999</v>
      </c>
      <c r="D857" s="116">
        <v>1246.3499999999999</v>
      </c>
      <c r="E857" s="116">
        <v>1250</v>
      </c>
      <c r="F857" s="116">
        <v>1288.5999999999999</v>
      </c>
      <c r="G857">
        <v>3765</v>
      </c>
      <c r="H857" s="116"/>
      <c r="I857" s="116"/>
      <c r="L857" s="170">
        <v>43263</v>
      </c>
      <c r="M857" s="116">
        <v>1284.3</v>
      </c>
      <c r="N857" s="116">
        <v>1293.95</v>
      </c>
      <c r="O857" s="116">
        <v>1245</v>
      </c>
      <c r="P857" s="116">
        <v>1260.5999999999999</v>
      </c>
      <c r="Q857" s="116">
        <v>1284.3</v>
      </c>
      <c r="R857">
        <v>107552</v>
      </c>
    </row>
    <row r="858" spans="1:18" x14ac:dyDescent="0.25">
      <c r="A858" s="170">
        <v>43264</v>
      </c>
      <c r="B858" s="116">
        <v>1313.1</v>
      </c>
      <c r="C858" s="116">
        <v>1260.7</v>
      </c>
      <c r="D858" s="116">
        <v>1246.1500000000001</v>
      </c>
      <c r="E858" s="116">
        <v>1296</v>
      </c>
      <c r="F858" s="116">
        <v>1260.7</v>
      </c>
      <c r="G858">
        <v>6621</v>
      </c>
      <c r="H858" s="116"/>
      <c r="I858" s="116"/>
      <c r="L858" s="170">
        <v>43264</v>
      </c>
      <c r="M858" s="116">
        <v>1262.45</v>
      </c>
      <c r="N858" s="116">
        <v>1312.75</v>
      </c>
      <c r="O858" s="116">
        <v>1250.5</v>
      </c>
      <c r="P858" s="116">
        <v>1289.5</v>
      </c>
      <c r="Q858" s="116">
        <v>1262.45</v>
      </c>
      <c r="R858">
        <v>60804</v>
      </c>
    </row>
    <row r="859" spans="1:18" x14ac:dyDescent="0.25">
      <c r="A859" s="170">
        <v>43265</v>
      </c>
      <c r="B859" s="116">
        <v>1267.4000000000001</v>
      </c>
      <c r="C859" s="116">
        <v>1259</v>
      </c>
      <c r="D859" s="116">
        <v>1253.55</v>
      </c>
      <c r="E859" s="116">
        <v>1256.5</v>
      </c>
      <c r="F859" s="116">
        <v>1259</v>
      </c>
      <c r="G859">
        <v>1277</v>
      </c>
      <c r="H859" s="116"/>
      <c r="I859" s="116"/>
      <c r="L859" s="170">
        <v>43265</v>
      </c>
      <c r="M859" s="116">
        <v>1252.8499999999999</v>
      </c>
      <c r="N859" s="116">
        <v>1267.9000000000001</v>
      </c>
      <c r="O859" s="116">
        <v>1248</v>
      </c>
      <c r="P859" s="116">
        <v>1262</v>
      </c>
      <c r="Q859" s="116">
        <v>1252.8499999999999</v>
      </c>
      <c r="R859">
        <v>13351</v>
      </c>
    </row>
    <row r="860" spans="1:18" x14ac:dyDescent="0.25">
      <c r="A860" s="170">
        <v>43266</v>
      </c>
      <c r="B860" s="116">
        <v>1267</v>
      </c>
      <c r="C860" s="116">
        <v>1218.1500000000001</v>
      </c>
      <c r="D860" s="116">
        <v>1213</v>
      </c>
      <c r="E860" s="116">
        <v>1245</v>
      </c>
      <c r="F860" s="116">
        <v>1218.1500000000001</v>
      </c>
      <c r="G860">
        <v>3434</v>
      </c>
      <c r="H860" s="116"/>
      <c r="I860" s="116"/>
      <c r="L860" s="170">
        <v>43266</v>
      </c>
      <c r="M860" s="116">
        <v>1214.7</v>
      </c>
      <c r="N860" s="116">
        <v>1264.95</v>
      </c>
      <c r="O860" s="116">
        <v>1210</v>
      </c>
      <c r="P860" s="116">
        <v>1248.8</v>
      </c>
      <c r="Q860" s="116">
        <v>1214.7</v>
      </c>
      <c r="R860">
        <v>79763</v>
      </c>
    </row>
    <row r="861" spans="1:18" x14ac:dyDescent="0.25">
      <c r="A861" s="170">
        <v>43269</v>
      </c>
      <c r="B861" s="116">
        <v>1230</v>
      </c>
      <c r="C861" s="116">
        <v>1214.8</v>
      </c>
      <c r="D861" s="116">
        <v>1212</v>
      </c>
      <c r="E861" s="116">
        <v>1220</v>
      </c>
      <c r="F861" s="116">
        <v>1214.8</v>
      </c>
      <c r="G861">
        <v>11726</v>
      </c>
      <c r="H861" s="116"/>
      <c r="I861" s="116"/>
      <c r="L861" s="170">
        <v>43269</v>
      </c>
      <c r="M861" s="116">
        <v>1211.95</v>
      </c>
      <c r="N861" s="116">
        <v>1234.8</v>
      </c>
      <c r="O861" s="116">
        <v>1208.4000000000001</v>
      </c>
      <c r="P861" s="116">
        <v>1220</v>
      </c>
      <c r="Q861" s="116">
        <v>1211.95</v>
      </c>
      <c r="R861">
        <v>37290</v>
      </c>
    </row>
    <row r="862" spans="1:18" x14ac:dyDescent="0.25">
      <c r="A862" s="170">
        <v>43270</v>
      </c>
      <c r="B862" s="116">
        <v>1224</v>
      </c>
      <c r="C862" s="116">
        <v>1211.0999999999999</v>
      </c>
      <c r="D862" s="116">
        <v>1195</v>
      </c>
      <c r="E862" s="116">
        <v>1214</v>
      </c>
      <c r="F862" s="116">
        <v>1211.0999999999999</v>
      </c>
      <c r="G862">
        <v>1876</v>
      </c>
      <c r="H862" s="116"/>
      <c r="I862" s="116"/>
      <c r="L862" s="170">
        <v>43270</v>
      </c>
      <c r="M862" s="116">
        <v>1208.55</v>
      </c>
      <c r="N862" s="116">
        <v>1223</v>
      </c>
      <c r="O862" s="116">
        <v>1192.5</v>
      </c>
      <c r="P862" s="116">
        <v>1211.95</v>
      </c>
      <c r="Q862" s="116">
        <v>1208.55</v>
      </c>
      <c r="R862">
        <v>25813</v>
      </c>
    </row>
    <row r="863" spans="1:18" x14ac:dyDescent="0.25">
      <c r="A863" s="170">
        <v>43271</v>
      </c>
      <c r="B863" s="116">
        <v>1232</v>
      </c>
      <c r="C863" s="116">
        <v>1203.3</v>
      </c>
      <c r="D863" s="116">
        <v>1195.05</v>
      </c>
      <c r="E863" s="116">
        <v>1225</v>
      </c>
      <c r="F863" s="116">
        <v>1203.3</v>
      </c>
      <c r="G863">
        <v>3690</v>
      </c>
      <c r="H863" s="116"/>
      <c r="I863" s="116"/>
      <c r="L863" s="170">
        <v>43271</v>
      </c>
      <c r="M863" s="116">
        <v>1204.4000000000001</v>
      </c>
      <c r="N863" s="116">
        <v>1235</v>
      </c>
      <c r="O863" s="116">
        <v>1198</v>
      </c>
      <c r="P863" s="116">
        <v>1225</v>
      </c>
      <c r="Q863" s="116">
        <v>1204.4000000000001</v>
      </c>
      <c r="R863">
        <v>48673</v>
      </c>
    </row>
    <row r="864" spans="1:18" x14ac:dyDescent="0.25">
      <c r="A864" s="170">
        <v>43272</v>
      </c>
      <c r="B864" s="116">
        <v>1235.4000000000001</v>
      </c>
      <c r="C864" s="116">
        <v>1206.2</v>
      </c>
      <c r="D864" s="116">
        <v>1202</v>
      </c>
      <c r="E864" s="116">
        <v>1202.3499999999999</v>
      </c>
      <c r="F864" s="116">
        <v>1206.2</v>
      </c>
      <c r="G864">
        <v>2369</v>
      </c>
      <c r="H864" s="116"/>
      <c r="I864" s="116"/>
      <c r="L864" s="170">
        <v>43272</v>
      </c>
      <c r="M864" s="116">
        <v>1205.55</v>
      </c>
      <c r="N864" s="116">
        <v>1225.5</v>
      </c>
      <c r="O864" s="116">
        <v>1200</v>
      </c>
      <c r="P864" s="116">
        <v>1219.9000000000001</v>
      </c>
      <c r="Q864" s="116">
        <v>1205.55</v>
      </c>
      <c r="R864">
        <v>29006</v>
      </c>
    </row>
    <row r="865" spans="1:18" x14ac:dyDescent="0.25">
      <c r="A865" s="170">
        <v>43273</v>
      </c>
      <c r="B865" s="116">
        <v>1218.9000000000001</v>
      </c>
      <c r="C865" s="116">
        <v>1213.3</v>
      </c>
      <c r="D865" s="116">
        <v>1177.6500000000001</v>
      </c>
      <c r="E865" s="116">
        <v>1194</v>
      </c>
      <c r="F865" s="116">
        <v>1213.3</v>
      </c>
      <c r="G865">
        <v>2969</v>
      </c>
      <c r="H865" s="116"/>
      <c r="I865" s="116"/>
      <c r="L865" s="170">
        <v>43273</v>
      </c>
      <c r="M865" s="116">
        <v>1212.25</v>
      </c>
      <c r="N865" s="116">
        <v>1218</v>
      </c>
      <c r="O865" s="116">
        <v>1196.45</v>
      </c>
      <c r="P865" s="116">
        <v>1206</v>
      </c>
      <c r="Q865" s="116">
        <v>1212.25</v>
      </c>
      <c r="R865">
        <v>31218</v>
      </c>
    </row>
    <row r="866" spans="1:18" x14ac:dyDescent="0.25">
      <c r="A866" s="170">
        <v>43276</v>
      </c>
      <c r="B866" s="116">
        <v>1214</v>
      </c>
      <c r="C866" s="116">
        <v>1186.95</v>
      </c>
      <c r="D866" s="116">
        <v>1177</v>
      </c>
      <c r="E866" s="116">
        <v>1214</v>
      </c>
      <c r="F866" s="116">
        <v>1186.95</v>
      </c>
      <c r="G866">
        <v>2688</v>
      </c>
      <c r="H866" s="116"/>
      <c r="I866" s="116"/>
      <c r="L866" s="170">
        <v>43276</v>
      </c>
      <c r="M866" s="116">
        <v>1189.25</v>
      </c>
      <c r="N866" s="116">
        <v>1213</v>
      </c>
      <c r="O866" s="116">
        <v>1183</v>
      </c>
      <c r="P866" s="116">
        <v>1213</v>
      </c>
      <c r="Q866" s="116">
        <v>1189.25</v>
      </c>
      <c r="R866">
        <v>26095</v>
      </c>
    </row>
    <row r="867" spans="1:18" x14ac:dyDescent="0.25">
      <c r="A867" s="170">
        <v>43277</v>
      </c>
      <c r="B867" s="116">
        <v>1195.3</v>
      </c>
      <c r="C867" s="116">
        <v>1188.5999999999999</v>
      </c>
      <c r="D867" s="116">
        <v>1175.75</v>
      </c>
      <c r="E867" s="116">
        <v>1182</v>
      </c>
      <c r="F867" s="116">
        <v>1188.5999999999999</v>
      </c>
      <c r="G867">
        <v>3838</v>
      </c>
      <c r="H867" s="116"/>
      <c r="I867" s="116"/>
      <c r="L867" s="170">
        <v>43277</v>
      </c>
      <c r="M867" s="116">
        <v>1188.1500000000001</v>
      </c>
      <c r="N867" s="116">
        <v>1193.95</v>
      </c>
      <c r="O867" s="116">
        <v>1165.1500000000001</v>
      </c>
      <c r="P867" s="116">
        <v>1165.1500000000001</v>
      </c>
      <c r="Q867" s="116">
        <v>1188.1500000000001</v>
      </c>
      <c r="R867">
        <v>20306</v>
      </c>
    </row>
    <row r="868" spans="1:18" x14ac:dyDescent="0.25">
      <c r="A868" s="170">
        <v>43278</v>
      </c>
      <c r="B868" s="116">
        <v>1195.0999999999999</v>
      </c>
      <c r="C868" s="116">
        <v>1189.4000000000001</v>
      </c>
      <c r="D868" s="116">
        <v>1180</v>
      </c>
      <c r="E868" s="116">
        <v>1195.05</v>
      </c>
      <c r="F868" s="116">
        <v>1189.4000000000001</v>
      </c>
      <c r="G868">
        <v>1038</v>
      </c>
      <c r="H868" s="116"/>
      <c r="I868" s="116"/>
      <c r="L868" s="170">
        <v>43278</v>
      </c>
      <c r="M868" s="116">
        <v>1185.9000000000001</v>
      </c>
      <c r="N868" s="116">
        <v>1197.25</v>
      </c>
      <c r="O868" s="116">
        <v>1175</v>
      </c>
      <c r="P868" s="116">
        <v>1191</v>
      </c>
      <c r="Q868" s="116">
        <v>1185.9000000000001</v>
      </c>
      <c r="R868">
        <v>22928</v>
      </c>
    </row>
    <row r="869" spans="1:18" x14ac:dyDescent="0.25">
      <c r="A869" s="170">
        <v>43279</v>
      </c>
      <c r="B869" s="116">
        <v>1215</v>
      </c>
      <c r="C869" s="116">
        <v>1146.5</v>
      </c>
      <c r="D869" s="116">
        <v>1123</v>
      </c>
      <c r="E869" s="116">
        <v>1215</v>
      </c>
      <c r="F869" s="116">
        <v>1146.5</v>
      </c>
      <c r="G869">
        <v>8099</v>
      </c>
      <c r="H869" s="116"/>
      <c r="I869" s="116"/>
      <c r="L869" s="170">
        <v>43279</v>
      </c>
      <c r="M869" s="116">
        <v>1157.75</v>
      </c>
      <c r="N869" s="116">
        <v>1181</v>
      </c>
      <c r="O869" s="116">
        <v>1151</v>
      </c>
      <c r="P869" s="116">
        <v>1180.5</v>
      </c>
      <c r="Q869" s="116">
        <v>1157.75</v>
      </c>
      <c r="R869">
        <v>32610</v>
      </c>
    </row>
    <row r="870" spans="1:18" x14ac:dyDescent="0.25">
      <c r="A870" s="170">
        <v>43280</v>
      </c>
      <c r="B870" s="116">
        <v>1200</v>
      </c>
      <c r="C870" s="116">
        <v>1180.5999999999999</v>
      </c>
      <c r="D870" s="116">
        <v>1155.75</v>
      </c>
      <c r="E870" s="116">
        <v>1155.75</v>
      </c>
      <c r="F870" s="116">
        <v>1180.5999999999999</v>
      </c>
      <c r="G870">
        <v>6903</v>
      </c>
      <c r="H870" s="116"/>
      <c r="I870" s="116"/>
      <c r="L870" s="170">
        <v>43280</v>
      </c>
      <c r="M870" s="116">
        <v>1178.5</v>
      </c>
      <c r="N870" s="116">
        <v>1211</v>
      </c>
      <c r="O870" s="116">
        <v>1159.95</v>
      </c>
      <c r="P870" s="116">
        <v>1159.95</v>
      </c>
      <c r="Q870" s="116">
        <v>1178.5</v>
      </c>
      <c r="R870">
        <v>80288</v>
      </c>
    </row>
    <row r="871" spans="1:18" x14ac:dyDescent="0.25">
      <c r="A871" s="170">
        <v>43283</v>
      </c>
      <c r="B871" s="116">
        <v>1192.5</v>
      </c>
      <c r="C871" s="116">
        <v>1183.75</v>
      </c>
      <c r="D871" s="116">
        <v>1165.5</v>
      </c>
      <c r="E871" s="116">
        <v>1192.5</v>
      </c>
      <c r="F871" s="116">
        <v>1183.75</v>
      </c>
      <c r="G871">
        <v>1571</v>
      </c>
      <c r="H871" s="116"/>
      <c r="I871" s="116"/>
      <c r="L871" s="170">
        <v>43283</v>
      </c>
      <c r="M871" s="116">
        <v>1181.5</v>
      </c>
      <c r="N871" s="116">
        <v>1189.8499999999999</v>
      </c>
      <c r="O871" s="116">
        <v>1163.05</v>
      </c>
      <c r="P871" s="116">
        <v>1187.3</v>
      </c>
      <c r="Q871" s="116">
        <v>1181.5</v>
      </c>
      <c r="R871">
        <v>22469</v>
      </c>
    </row>
    <row r="872" spans="1:18" x14ac:dyDescent="0.25">
      <c r="A872" s="170">
        <v>43284</v>
      </c>
      <c r="B872" s="116">
        <v>1224</v>
      </c>
      <c r="C872" s="116">
        <v>1189.7</v>
      </c>
      <c r="D872" s="116">
        <v>1175</v>
      </c>
      <c r="E872" s="116">
        <v>1183.7</v>
      </c>
      <c r="F872" s="116">
        <v>1189.7</v>
      </c>
      <c r="G872">
        <v>3088</v>
      </c>
      <c r="H872" s="116"/>
      <c r="I872" s="116"/>
      <c r="L872" s="170">
        <v>43284</v>
      </c>
      <c r="M872" s="116">
        <v>1173.55</v>
      </c>
      <c r="N872" s="116">
        <v>1188.5999999999999</v>
      </c>
      <c r="O872" s="116">
        <v>1170</v>
      </c>
      <c r="P872" s="116">
        <v>1175.5999999999999</v>
      </c>
      <c r="Q872" s="116">
        <v>1173.55</v>
      </c>
      <c r="R872">
        <v>19620</v>
      </c>
    </row>
    <row r="873" spans="1:18" x14ac:dyDescent="0.25">
      <c r="A873" s="170">
        <v>43285</v>
      </c>
      <c r="B873" s="116">
        <v>1189.3</v>
      </c>
      <c r="C873" s="116">
        <v>1185.3499999999999</v>
      </c>
      <c r="D873" s="116">
        <v>1171.3</v>
      </c>
      <c r="E873" s="116">
        <v>1172.2</v>
      </c>
      <c r="F873" s="116">
        <v>1185.3499999999999</v>
      </c>
      <c r="G873">
        <v>1279</v>
      </c>
      <c r="H873" s="116"/>
      <c r="I873" s="116"/>
      <c r="L873" s="170">
        <v>43285</v>
      </c>
      <c r="M873" s="116">
        <v>1179.3499999999999</v>
      </c>
      <c r="N873" s="116">
        <v>1189.8499999999999</v>
      </c>
      <c r="O873" s="116">
        <v>1171.05</v>
      </c>
      <c r="P873" s="116">
        <v>1175.55</v>
      </c>
      <c r="Q873" s="116">
        <v>1179.3499999999999</v>
      </c>
      <c r="R873">
        <v>20762</v>
      </c>
    </row>
    <row r="874" spans="1:18" x14ac:dyDescent="0.25">
      <c r="A874" s="170">
        <v>43286</v>
      </c>
      <c r="B874" s="116">
        <v>1189.1500000000001</v>
      </c>
      <c r="C874" s="116">
        <v>1178.05</v>
      </c>
      <c r="D874" s="116">
        <v>1170</v>
      </c>
      <c r="E874" s="116">
        <v>1175.55</v>
      </c>
      <c r="F874" s="116">
        <v>1178.05</v>
      </c>
      <c r="G874">
        <v>1959</v>
      </c>
      <c r="H874" s="116"/>
      <c r="I874" s="116"/>
      <c r="L874" s="170">
        <v>43286</v>
      </c>
      <c r="M874" s="116">
        <v>1182.3</v>
      </c>
      <c r="N874" s="116">
        <v>1189</v>
      </c>
      <c r="O874" s="116">
        <v>1170.95</v>
      </c>
      <c r="P874" s="116">
        <v>1182.9000000000001</v>
      </c>
      <c r="Q874" s="116">
        <v>1182.3</v>
      </c>
      <c r="R874">
        <v>27995</v>
      </c>
    </row>
    <row r="875" spans="1:18" x14ac:dyDescent="0.25">
      <c r="A875" s="170">
        <v>43287</v>
      </c>
      <c r="B875" s="116">
        <v>1186.5999999999999</v>
      </c>
      <c r="C875" s="116">
        <v>1173.95</v>
      </c>
      <c r="D875" s="116">
        <v>1170</v>
      </c>
      <c r="E875" s="116">
        <v>1177.0999999999999</v>
      </c>
      <c r="F875" s="116">
        <v>1173.95</v>
      </c>
      <c r="G875">
        <v>1189</v>
      </c>
      <c r="H875" s="116"/>
      <c r="I875" s="116"/>
      <c r="L875" s="170">
        <v>43287</v>
      </c>
      <c r="M875" s="116">
        <v>1174.25</v>
      </c>
      <c r="N875" s="116">
        <v>1189.95</v>
      </c>
      <c r="O875" s="116">
        <v>1170.0999999999999</v>
      </c>
      <c r="P875" s="116">
        <v>1189.95</v>
      </c>
      <c r="Q875" s="116">
        <v>1174.25</v>
      </c>
      <c r="R875">
        <v>23305</v>
      </c>
    </row>
    <row r="876" spans="1:18" x14ac:dyDescent="0.25">
      <c r="A876" s="170">
        <v>43290</v>
      </c>
      <c r="B876" s="116">
        <v>1230.7</v>
      </c>
      <c r="C876" s="116">
        <v>1209.8499999999999</v>
      </c>
      <c r="D876" s="116">
        <v>1175.05</v>
      </c>
      <c r="E876" s="116">
        <v>1175.05</v>
      </c>
      <c r="F876" s="116">
        <v>1209.8499999999999</v>
      </c>
      <c r="G876">
        <v>3352</v>
      </c>
      <c r="H876" s="116"/>
      <c r="I876" s="116"/>
      <c r="L876" s="170">
        <v>43290</v>
      </c>
      <c r="M876" s="116">
        <v>1201.1500000000001</v>
      </c>
      <c r="N876" s="116">
        <v>1206</v>
      </c>
      <c r="O876" s="116">
        <v>1175.3499999999999</v>
      </c>
      <c r="P876" s="116">
        <v>1175.3499999999999</v>
      </c>
      <c r="Q876" s="116">
        <v>1201.1500000000001</v>
      </c>
      <c r="R876">
        <v>77625</v>
      </c>
    </row>
    <row r="877" spans="1:18" x14ac:dyDescent="0.25">
      <c r="A877" s="170">
        <v>43291</v>
      </c>
      <c r="B877" s="116">
        <v>1235.5</v>
      </c>
      <c r="C877" s="116">
        <v>1224.45</v>
      </c>
      <c r="D877" s="116">
        <v>1204.5</v>
      </c>
      <c r="E877" s="116">
        <v>1210.05</v>
      </c>
      <c r="F877" s="116">
        <v>1224.45</v>
      </c>
      <c r="G877">
        <v>9245</v>
      </c>
      <c r="H877" s="116"/>
      <c r="I877" s="116"/>
      <c r="L877" s="170">
        <v>43291</v>
      </c>
      <c r="M877" s="116">
        <v>1228.4000000000001</v>
      </c>
      <c r="N877" s="116">
        <v>1235</v>
      </c>
      <c r="O877" s="116">
        <v>1205.2</v>
      </c>
      <c r="P877" s="116">
        <v>1211.3499999999999</v>
      </c>
      <c r="Q877" s="116">
        <v>1228.4000000000001</v>
      </c>
      <c r="R877">
        <v>89360</v>
      </c>
    </row>
    <row r="878" spans="1:18" x14ac:dyDescent="0.25">
      <c r="A878" s="170">
        <v>43292</v>
      </c>
      <c r="B878" s="116">
        <v>1249.8499999999999</v>
      </c>
      <c r="C878" s="116">
        <v>1245.9000000000001</v>
      </c>
      <c r="D878" s="116">
        <v>1213</v>
      </c>
      <c r="E878" s="116">
        <v>1217.45</v>
      </c>
      <c r="F878" s="116">
        <v>1245.9000000000001</v>
      </c>
      <c r="G878">
        <v>4500</v>
      </c>
      <c r="H878" s="116"/>
      <c r="I878" s="116"/>
      <c r="L878" s="170">
        <v>43292</v>
      </c>
      <c r="M878" s="116">
        <v>1248.25</v>
      </c>
      <c r="N878" s="116">
        <v>1254.2</v>
      </c>
      <c r="O878" s="116">
        <v>1212</v>
      </c>
      <c r="P878" s="116">
        <v>1227.95</v>
      </c>
      <c r="Q878" s="116">
        <v>1248.25</v>
      </c>
      <c r="R878">
        <v>81934</v>
      </c>
    </row>
    <row r="879" spans="1:18" x14ac:dyDescent="0.25">
      <c r="A879" s="170">
        <v>43293</v>
      </c>
      <c r="B879" s="116">
        <v>1259.95</v>
      </c>
      <c r="C879" s="116">
        <v>1229.45</v>
      </c>
      <c r="D879" s="116">
        <v>1217.0999999999999</v>
      </c>
      <c r="E879" s="116">
        <v>1252.0999999999999</v>
      </c>
      <c r="F879" s="116">
        <v>1229.45</v>
      </c>
      <c r="G879">
        <v>4666</v>
      </c>
      <c r="H879" s="116"/>
      <c r="I879" s="116"/>
      <c r="L879" s="170">
        <v>43293</v>
      </c>
      <c r="M879" s="116">
        <v>1229.9000000000001</v>
      </c>
      <c r="N879" s="116">
        <v>1259.9000000000001</v>
      </c>
      <c r="O879" s="116">
        <v>1222.8</v>
      </c>
      <c r="P879" s="116">
        <v>1255</v>
      </c>
      <c r="Q879" s="116">
        <v>1229.9000000000001</v>
      </c>
      <c r="R879">
        <v>42119</v>
      </c>
    </row>
    <row r="880" spans="1:18" x14ac:dyDescent="0.25">
      <c r="A880" s="170">
        <v>43294</v>
      </c>
      <c r="B880" s="116">
        <v>1234</v>
      </c>
      <c r="C880" s="116">
        <v>1221.4000000000001</v>
      </c>
      <c r="D880" s="116">
        <v>1185.5999999999999</v>
      </c>
      <c r="E880" s="116">
        <v>1222.3499999999999</v>
      </c>
      <c r="F880" s="116">
        <v>1221.4000000000001</v>
      </c>
      <c r="G880">
        <v>4329</v>
      </c>
      <c r="H880" s="116"/>
      <c r="I880" s="116"/>
      <c r="L880" s="170">
        <v>43294</v>
      </c>
      <c r="M880" s="116">
        <v>1218.5999999999999</v>
      </c>
      <c r="N880" s="116">
        <v>1233</v>
      </c>
      <c r="O880" s="116">
        <v>1183.2</v>
      </c>
      <c r="P880" s="116">
        <v>1221.0999999999999</v>
      </c>
      <c r="Q880" s="116">
        <v>1218.5999999999999</v>
      </c>
      <c r="R880">
        <v>60711</v>
      </c>
    </row>
    <row r="881" spans="1:18" x14ac:dyDescent="0.25">
      <c r="A881" s="170">
        <v>43297</v>
      </c>
      <c r="B881" s="116">
        <v>1236.5</v>
      </c>
      <c r="C881" s="116">
        <v>1198.3</v>
      </c>
      <c r="D881" s="116">
        <v>1194</v>
      </c>
      <c r="E881" s="116">
        <v>1216.9000000000001</v>
      </c>
      <c r="F881" s="116">
        <v>1198.3</v>
      </c>
      <c r="G881">
        <v>3070</v>
      </c>
      <c r="H881" s="116"/>
      <c r="I881" s="116"/>
      <c r="L881" s="170">
        <v>43297</v>
      </c>
      <c r="M881" s="116">
        <v>1194.5999999999999</v>
      </c>
      <c r="N881" s="116">
        <v>1234.95</v>
      </c>
      <c r="O881" s="116">
        <v>1191.6500000000001</v>
      </c>
      <c r="P881" s="116">
        <v>1228.4000000000001</v>
      </c>
      <c r="Q881" s="116">
        <v>1194.5999999999999</v>
      </c>
      <c r="R881">
        <v>35525</v>
      </c>
    </row>
    <row r="882" spans="1:18" x14ac:dyDescent="0.25">
      <c r="A882" s="170">
        <v>43298</v>
      </c>
      <c r="B882" s="116">
        <v>1200.55</v>
      </c>
      <c r="C882" s="116">
        <v>1183.95</v>
      </c>
      <c r="D882" s="116">
        <v>1178.75</v>
      </c>
      <c r="E882" s="116">
        <v>1189.8499999999999</v>
      </c>
      <c r="F882" s="116">
        <v>1183.95</v>
      </c>
      <c r="G882">
        <v>3690</v>
      </c>
      <c r="H882" s="116"/>
      <c r="I882" s="116"/>
      <c r="L882" s="170">
        <v>43298</v>
      </c>
      <c r="M882" s="116">
        <v>1182.9000000000001</v>
      </c>
      <c r="N882" s="116">
        <v>1203.55</v>
      </c>
      <c r="O882" s="116">
        <v>1175</v>
      </c>
      <c r="P882" s="116">
        <v>1190.55</v>
      </c>
      <c r="Q882" s="116">
        <v>1182.9000000000001</v>
      </c>
      <c r="R882">
        <v>33524</v>
      </c>
    </row>
    <row r="883" spans="1:18" x14ac:dyDescent="0.25">
      <c r="A883" s="170">
        <v>43299</v>
      </c>
      <c r="B883" s="116">
        <v>1198</v>
      </c>
      <c r="C883" s="116">
        <v>1187.55</v>
      </c>
      <c r="D883" s="116">
        <v>1183</v>
      </c>
      <c r="E883" s="116">
        <v>1183.95</v>
      </c>
      <c r="F883" s="116">
        <v>1187.55</v>
      </c>
      <c r="G883">
        <v>3266</v>
      </c>
      <c r="H883" s="116"/>
      <c r="I883" s="116"/>
      <c r="L883" s="170">
        <v>43299</v>
      </c>
      <c r="M883" s="116">
        <v>1186.5</v>
      </c>
      <c r="N883" s="116">
        <v>1200</v>
      </c>
      <c r="O883" s="116">
        <v>1183</v>
      </c>
      <c r="P883" s="116">
        <v>1191.75</v>
      </c>
      <c r="Q883" s="116">
        <v>1186.5</v>
      </c>
      <c r="R883">
        <v>30271</v>
      </c>
    </row>
    <row r="884" spans="1:18" x14ac:dyDescent="0.25">
      <c r="A884" s="170">
        <v>43300</v>
      </c>
      <c r="B884" s="116">
        <v>1207</v>
      </c>
      <c r="C884" s="116">
        <v>1158.25</v>
      </c>
      <c r="D884" s="116">
        <v>1151.0999999999999</v>
      </c>
      <c r="E884" s="116">
        <v>1207</v>
      </c>
      <c r="F884" s="116">
        <v>1158.25</v>
      </c>
      <c r="G884">
        <v>6487</v>
      </c>
      <c r="H884" s="116"/>
      <c r="I884" s="116"/>
      <c r="L884" s="170">
        <v>43300</v>
      </c>
      <c r="M884" s="116">
        <v>1157.5999999999999</v>
      </c>
      <c r="N884" s="116">
        <v>1208</v>
      </c>
      <c r="O884" s="116">
        <v>1151</v>
      </c>
      <c r="P884" s="116">
        <v>1200</v>
      </c>
      <c r="Q884" s="116">
        <v>1157.5999999999999</v>
      </c>
      <c r="R884">
        <v>75938</v>
      </c>
    </row>
    <row r="885" spans="1:18" x14ac:dyDescent="0.25">
      <c r="A885" s="170">
        <v>43301</v>
      </c>
      <c r="B885" s="116">
        <v>1179</v>
      </c>
      <c r="C885" s="116">
        <v>1139.5</v>
      </c>
      <c r="D885" s="116">
        <v>1130.8</v>
      </c>
      <c r="E885" s="116">
        <v>1171.25</v>
      </c>
      <c r="F885" s="116">
        <v>1139.5</v>
      </c>
      <c r="G885">
        <v>10854</v>
      </c>
      <c r="H885" s="116"/>
      <c r="I885" s="116"/>
      <c r="L885" s="170">
        <v>43301</v>
      </c>
      <c r="M885" s="116">
        <v>1134.95</v>
      </c>
      <c r="N885" s="116">
        <v>1179.95</v>
      </c>
      <c r="O885" s="116">
        <v>1129</v>
      </c>
      <c r="P885" s="116">
        <v>1164.9000000000001</v>
      </c>
      <c r="Q885" s="116">
        <v>1134.95</v>
      </c>
      <c r="R885">
        <v>186787</v>
      </c>
    </row>
    <row r="886" spans="1:18" x14ac:dyDescent="0.25">
      <c r="A886" s="170">
        <v>43304</v>
      </c>
      <c r="B886" s="116">
        <v>1151.9000000000001</v>
      </c>
      <c r="C886" s="116">
        <v>1143.0999999999999</v>
      </c>
      <c r="D886" s="116">
        <v>1130</v>
      </c>
      <c r="E886" s="116">
        <v>1145</v>
      </c>
      <c r="F886" s="116">
        <v>1143.0999999999999</v>
      </c>
      <c r="G886">
        <v>4463</v>
      </c>
      <c r="H886" s="116"/>
      <c r="I886" s="116"/>
      <c r="L886" s="170">
        <v>43304</v>
      </c>
      <c r="M886" s="116">
        <v>1143.4000000000001</v>
      </c>
      <c r="N886" s="116">
        <v>1152.95</v>
      </c>
      <c r="O886" s="116">
        <v>1130</v>
      </c>
      <c r="P886" s="116">
        <v>1139.95</v>
      </c>
      <c r="Q886" s="116">
        <v>1143.4000000000001</v>
      </c>
      <c r="R886">
        <v>63998</v>
      </c>
    </row>
    <row r="887" spans="1:18" x14ac:dyDescent="0.25">
      <c r="A887" s="170">
        <v>43305</v>
      </c>
      <c r="B887" s="116">
        <v>1185</v>
      </c>
      <c r="C887" s="116">
        <v>1168</v>
      </c>
      <c r="D887" s="116">
        <v>1144.45</v>
      </c>
      <c r="E887" s="116">
        <v>1146.7</v>
      </c>
      <c r="F887" s="116">
        <v>1168</v>
      </c>
      <c r="G887">
        <v>5859</v>
      </c>
      <c r="H887" s="116"/>
      <c r="I887" s="116"/>
      <c r="L887" s="170">
        <v>43305</v>
      </c>
      <c r="M887" s="116">
        <v>1168.25</v>
      </c>
      <c r="N887" s="116">
        <v>1177</v>
      </c>
      <c r="O887" s="116">
        <v>1145.05</v>
      </c>
      <c r="P887" s="116">
        <v>1148.9000000000001</v>
      </c>
      <c r="Q887" s="116">
        <v>1168.25</v>
      </c>
      <c r="R887">
        <v>56158</v>
      </c>
    </row>
    <row r="888" spans="1:18" x14ac:dyDescent="0.25">
      <c r="A888" s="170">
        <v>43306</v>
      </c>
      <c r="B888" s="116">
        <v>1225.9000000000001</v>
      </c>
      <c r="C888" s="116">
        <v>1173.3499999999999</v>
      </c>
      <c r="D888" s="116">
        <v>1147.4000000000001</v>
      </c>
      <c r="E888" s="116">
        <v>1174.95</v>
      </c>
      <c r="F888" s="116">
        <v>1173.3499999999999</v>
      </c>
      <c r="G888">
        <v>34450</v>
      </c>
      <c r="H888" s="116"/>
      <c r="I888" s="116"/>
      <c r="L888" s="170">
        <v>43306</v>
      </c>
      <c r="M888" s="116">
        <v>1174.1500000000001</v>
      </c>
      <c r="N888" s="116">
        <v>1195</v>
      </c>
      <c r="O888" s="116">
        <v>1151.6500000000001</v>
      </c>
      <c r="P888" s="116">
        <v>1175</v>
      </c>
      <c r="Q888" s="116">
        <v>1174.1500000000001</v>
      </c>
      <c r="R888">
        <v>62207</v>
      </c>
    </row>
    <row r="889" spans="1:18" x14ac:dyDescent="0.25">
      <c r="A889" s="170">
        <v>43307</v>
      </c>
      <c r="B889" s="116">
        <v>1184</v>
      </c>
      <c r="C889" s="116">
        <v>1175.1500000000001</v>
      </c>
      <c r="D889" s="116">
        <v>1163.3</v>
      </c>
      <c r="E889" s="116">
        <v>1172.5</v>
      </c>
      <c r="F889" s="116">
        <v>1175.1500000000001</v>
      </c>
      <c r="G889">
        <v>3244</v>
      </c>
      <c r="H889" s="116"/>
      <c r="I889" s="116"/>
      <c r="L889" s="170">
        <v>43307</v>
      </c>
      <c r="M889" s="116">
        <v>1175.8499999999999</v>
      </c>
      <c r="N889" s="116">
        <v>1186</v>
      </c>
      <c r="O889" s="116">
        <v>1160</v>
      </c>
      <c r="P889" s="116">
        <v>1173.9000000000001</v>
      </c>
      <c r="Q889" s="116">
        <v>1175.8499999999999</v>
      </c>
      <c r="R889">
        <v>39727</v>
      </c>
    </row>
    <row r="890" spans="1:18" x14ac:dyDescent="0.25">
      <c r="A890" s="170">
        <v>43308</v>
      </c>
      <c r="B890" s="116">
        <v>1193</v>
      </c>
      <c r="C890" s="116">
        <v>1184.8</v>
      </c>
      <c r="D890" s="116">
        <v>1177.0999999999999</v>
      </c>
      <c r="E890" s="116">
        <v>1183</v>
      </c>
      <c r="F890" s="116">
        <v>1184.8</v>
      </c>
      <c r="G890">
        <v>4534</v>
      </c>
      <c r="H890" s="116"/>
      <c r="I890" s="116"/>
      <c r="L890" s="170">
        <v>43308</v>
      </c>
      <c r="M890" s="116">
        <v>1188.4000000000001</v>
      </c>
      <c r="N890" s="116">
        <v>1194</v>
      </c>
      <c r="O890" s="116">
        <v>1175</v>
      </c>
      <c r="P890" s="116">
        <v>1188</v>
      </c>
      <c r="Q890" s="116">
        <v>1188.4000000000001</v>
      </c>
      <c r="R890">
        <v>33749</v>
      </c>
    </row>
    <row r="891" spans="1:18" x14ac:dyDescent="0.25">
      <c r="A891" s="170">
        <v>43311</v>
      </c>
      <c r="B891" s="116">
        <v>1220</v>
      </c>
      <c r="C891" s="116">
        <v>1207.5</v>
      </c>
      <c r="D891" s="116">
        <v>1181</v>
      </c>
      <c r="E891" s="116">
        <v>1188</v>
      </c>
      <c r="F891" s="116">
        <v>1207.5</v>
      </c>
      <c r="G891">
        <v>96935</v>
      </c>
      <c r="H891" s="116"/>
      <c r="I891" s="116"/>
      <c r="L891" s="170">
        <v>43311</v>
      </c>
      <c r="M891" s="116">
        <v>1209.55</v>
      </c>
      <c r="N891" s="116">
        <v>1219.45</v>
      </c>
      <c r="O891" s="116">
        <v>1179</v>
      </c>
      <c r="P891" s="116">
        <v>1196</v>
      </c>
      <c r="Q891" s="116">
        <v>1209.55</v>
      </c>
      <c r="R891">
        <v>45747</v>
      </c>
    </row>
    <row r="892" spans="1:18" x14ac:dyDescent="0.25">
      <c r="A892" s="170">
        <v>43312</v>
      </c>
      <c r="B892" s="116">
        <v>1238</v>
      </c>
      <c r="C892" s="116">
        <v>1221.8</v>
      </c>
      <c r="D892" s="116">
        <v>1208</v>
      </c>
      <c r="E892" s="116">
        <v>1224.0999999999999</v>
      </c>
      <c r="F892" s="116">
        <v>1221.8</v>
      </c>
      <c r="G892">
        <v>3090</v>
      </c>
      <c r="H892" s="116"/>
      <c r="I892" s="116"/>
      <c r="L892" s="170">
        <v>43312</v>
      </c>
      <c r="M892" s="116">
        <v>1218.3499999999999</v>
      </c>
      <c r="N892" s="116">
        <v>1240</v>
      </c>
      <c r="O892" s="116">
        <v>1205</v>
      </c>
      <c r="P892" s="116">
        <v>1205</v>
      </c>
      <c r="Q892" s="116">
        <v>1218.3499999999999</v>
      </c>
      <c r="R892">
        <v>39791</v>
      </c>
    </row>
    <row r="893" spans="1:18" x14ac:dyDescent="0.25">
      <c r="A893" s="170">
        <v>43313</v>
      </c>
      <c r="B893" s="116">
        <v>1233.95</v>
      </c>
      <c r="C893" s="116">
        <v>1213</v>
      </c>
      <c r="D893" s="116">
        <v>1210</v>
      </c>
      <c r="E893" s="116">
        <v>1213.3</v>
      </c>
      <c r="F893" s="116">
        <v>1213</v>
      </c>
      <c r="G893">
        <v>1303</v>
      </c>
      <c r="H893" s="116"/>
      <c r="I893" s="116"/>
      <c r="L893" s="170">
        <v>43313</v>
      </c>
      <c r="M893" s="116">
        <v>1213</v>
      </c>
      <c r="N893" s="116">
        <v>1227.45</v>
      </c>
      <c r="O893" s="116">
        <v>1207</v>
      </c>
      <c r="P893" s="116">
        <v>1218.3499999999999</v>
      </c>
      <c r="Q893" s="116">
        <v>1213</v>
      </c>
      <c r="R893">
        <v>20590</v>
      </c>
    </row>
    <row r="894" spans="1:18" x14ac:dyDescent="0.25">
      <c r="A894" s="170">
        <v>43314</v>
      </c>
      <c r="B894" s="116">
        <v>1230</v>
      </c>
      <c r="C894" s="116">
        <v>1204.05</v>
      </c>
      <c r="D894" s="116">
        <v>1190.25</v>
      </c>
      <c r="E894" s="116">
        <v>1213.05</v>
      </c>
      <c r="F894" s="116">
        <v>1204.05</v>
      </c>
      <c r="G894">
        <v>2784</v>
      </c>
      <c r="H894" s="116"/>
      <c r="I894" s="116"/>
      <c r="L894" s="170">
        <v>43314</v>
      </c>
      <c r="M894" s="116">
        <v>1204.95</v>
      </c>
      <c r="N894" s="116">
        <v>1243.5</v>
      </c>
      <c r="O894" s="116">
        <v>1192.55</v>
      </c>
      <c r="P894" s="116">
        <v>1243.5</v>
      </c>
      <c r="Q894" s="116">
        <v>1204.95</v>
      </c>
      <c r="R894">
        <v>33647</v>
      </c>
    </row>
    <row r="895" spans="1:18" x14ac:dyDescent="0.25">
      <c r="A895" s="170">
        <v>43315</v>
      </c>
      <c r="B895" s="116">
        <v>1212.1500000000001</v>
      </c>
      <c r="C895" s="116">
        <v>1205.9000000000001</v>
      </c>
      <c r="D895" s="116">
        <v>1200.0999999999999</v>
      </c>
      <c r="E895" s="116">
        <v>1210.55</v>
      </c>
      <c r="F895" s="116">
        <v>1205.9000000000001</v>
      </c>
      <c r="G895">
        <v>844</v>
      </c>
      <c r="H895" s="116"/>
      <c r="I895" s="116"/>
      <c r="L895" s="170">
        <v>43315</v>
      </c>
      <c r="M895" s="116">
        <v>1204.0999999999999</v>
      </c>
      <c r="N895" s="116">
        <v>1213.95</v>
      </c>
      <c r="O895" s="116">
        <v>1200</v>
      </c>
      <c r="P895" s="116">
        <v>1206</v>
      </c>
      <c r="Q895" s="116">
        <v>1204.0999999999999</v>
      </c>
      <c r="R895">
        <v>12344</v>
      </c>
    </row>
    <row r="896" spans="1:18" x14ac:dyDescent="0.25">
      <c r="A896" s="170">
        <v>43318</v>
      </c>
      <c r="B896" s="116">
        <v>1214</v>
      </c>
      <c r="C896" s="116">
        <v>1193.05</v>
      </c>
      <c r="D896" s="116">
        <v>1190</v>
      </c>
      <c r="E896" s="116">
        <v>1205</v>
      </c>
      <c r="F896" s="116">
        <v>1193.05</v>
      </c>
      <c r="G896">
        <v>3345</v>
      </c>
      <c r="H896" s="116"/>
      <c r="I896" s="116"/>
      <c r="L896" s="170">
        <v>43318</v>
      </c>
      <c r="M896" s="116">
        <v>1194.5999999999999</v>
      </c>
      <c r="N896" s="116">
        <v>1220</v>
      </c>
      <c r="O896" s="116">
        <v>1190.3</v>
      </c>
      <c r="P896" s="116">
        <v>1210</v>
      </c>
      <c r="Q896" s="116">
        <v>1194.5999999999999</v>
      </c>
      <c r="R896">
        <v>25297</v>
      </c>
    </row>
    <row r="897" spans="1:18" x14ac:dyDescent="0.25">
      <c r="A897" s="170">
        <v>43319</v>
      </c>
      <c r="B897" s="116">
        <v>1220</v>
      </c>
      <c r="C897" s="116">
        <v>1205.0999999999999</v>
      </c>
      <c r="D897" s="116">
        <v>1188.05</v>
      </c>
      <c r="E897" s="116">
        <v>1195.75</v>
      </c>
      <c r="F897" s="116">
        <v>1205.0999999999999</v>
      </c>
      <c r="G897">
        <v>5595</v>
      </c>
      <c r="H897" s="116"/>
      <c r="I897" s="116"/>
      <c r="L897" s="170">
        <v>43319</v>
      </c>
      <c r="M897" s="116">
        <v>1208.8</v>
      </c>
      <c r="N897" s="116">
        <v>1225.5999999999999</v>
      </c>
      <c r="O897" s="116">
        <v>1183.25</v>
      </c>
      <c r="P897" s="116">
        <v>1199</v>
      </c>
      <c r="Q897" s="116">
        <v>1208.8</v>
      </c>
      <c r="R897">
        <v>35647</v>
      </c>
    </row>
    <row r="898" spans="1:18" x14ac:dyDescent="0.25">
      <c r="A898" s="170">
        <v>43320</v>
      </c>
      <c r="B898" s="116">
        <v>1223.05</v>
      </c>
      <c r="C898" s="116">
        <v>1211.6500000000001</v>
      </c>
      <c r="D898" s="116">
        <v>1206</v>
      </c>
      <c r="E898" s="116">
        <v>1211.3</v>
      </c>
      <c r="F898" s="116">
        <v>1211.6500000000001</v>
      </c>
      <c r="G898">
        <v>2718</v>
      </c>
      <c r="H898" s="116"/>
      <c r="I898" s="116"/>
      <c r="L898" s="170">
        <v>43320</v>
      </c>
      <c r="M898" s="116">
        <v>1212.7</v>
      </c>
      <c r="N898" s="116">
        <v>1220.0999999999999</v>
      </c>
      <c r="O898" s="116">
        <v>1204.5</v>
      </c>
      <c r="P898" s="116">
        <v>1217.5999999999999</v>
      </c>
      <c r="Q898" s="116">
        <v>1212.7</v>
      </c>
      <c r="R898">
        <v>25740</v>
      </c>
    </row>
    <row r="899" spans="1:18" x14ac:dyDescent="0.25">
      <c r="A899" s="170">
        <v>43321</v>
      </c>
      <c r="B899" s="116">
        <v>1216.0999999999999</v>
      </c>
      <c r="C899" s="116">
        <v>1204.9000000000001</v>
      </c>
      <c r="D899" s="116">
        <v>1198.2</v>
      </c>
      <c r="E899" s="116">
        <v>1206</v>
      </c>
      <c r="F899" s="116">
        <v>1204.9000000000001</v>
      </c>
      <c r="G899">
        <v>1830</v>
      </c>
      <c r="H899" s="116"/>
      <c r="I899" s="116"/>
      <c r="L899" s="170">
        <v>43321</v>
      </c>
      <c r="M899" s="116">
        <v>1200.3</v>
      </c>
      <c r="N899" s="116">
        <v>1221.9000000000001</v>
      </c>
      <c r="O899" s="116">
        <v>1192</v>
      </c>
      <c r="P899" s="116">
        <v>1221.9000000000001</v>
      </c>
      <c r="Q899" s="116">
        <v>1200.3</v>
      </c>
      <c r="R899">
        <v>26813</v>
      </c>
    </row>
    <row r="900" spans="1:18" x14ac:dyDescent="0.25">
      <c r="A900" s="170">
        <v>43322</v>
      </c>
      <c r="B900" s="116">
        <v>1211.6500000000001</v>
      </c>
      <c r="C900" s="116">
        <v>1206.95</v>
      </c>
      <c r="D900" s="116">
        <v>1197.45</v>
      </c>
      <c r="E900" s="116">
        <v>1197.45</v>
      </c>
      <c r="F900" s="116">
        <v>1206.95</v>
      </c>
      <c r="G900">
        <v>7255</v>
      </c>
      <c r="H900" s="116"/>
      <c r="I900" s="116"/>
      <c r="L900" s="170">
        <v>43322</v>
      </c>
      <c r="M900" s="116">
        <v>1206.45</v>
      </c>
      <c r="N900" s="116">
        <v>1215</v>
      </c>
      <c r="O900" s="116">
        <v>1200.55</v>
      </c>
      <c r="P900" s="116">
        <v>1200.55</v>
      </c>
      <c r="Q900" s="116">
        <v>1206.45</v>
      </c>
      <c r="R900">
        <v>133771</v>
      </c>
    </row>
    <row r="901" spans="1:18" x14ac:dyDescent="0.25">
      <c r="A901" s="170">
        <v>43325</v>
      </c>
      <c r="B901" s="116">
        <v>1233.3499999999999</v>
      </c>
      <c r="C901" s="116">
        <v>1204.9000000000001</v>
      </c>
      <c r="D901" s="116">
        <v>1163.55</v>
      </c>
      <c r="E901" s="116">
        <v>1201</v>
      </c>
      <c r="F901" s="116">
        <v>1204.9000000000001</v>
      </c>
      <c r="G901">
        <v>5811</v>
      </c>
      <c r="H901" s="116"/>
      <c r="I901" s="116"/>
      <c r="L901" s="170">
        <v>43325</v>
      </c>
      <c r="M901" s="116">
        <v>1191</v>
      </c>
      <c r="N901" s="116">
        <v>1206.55</v>
      </c>
      <c r="O901" s="116">
        <v>1188</v>
      </c>
      <c r="P901" s="116">
        <v>1206.5</v>
      </c>
      <c r="Q901" s="116">
        <v>1191</v>
      </c>
      <c r="R901">
        <v>390183</v>
      </c>
    </row>
    <row r="902" spans="1:18" x14ac:dyDescent="0.25">
      <c r="A902" s="170">
        <v>43326</v>
      </c>
      <c r="B902" s="116">
        <v>1219.3</v>
      </c>
      <c r="C902" s="116">
        <v>1207.3499999999999</v>
      </c>
      <c r="D902" s="116">
        <v>1194</v>
      </c>
      <c r="E902" s="116">
        <v>1200</v>
      </c>
      <c r="F902" s="116">
        <v>1207.3499999999999</v>
      </c>
      <c r="G902">
        <v>1172</v>
      </c>
      <c r="H902" s="116"/>
      <c r="I902" s="116"/>
      <c r="L902" s="170">
        <v>43326</v>
      </c>
      <c r="M902" s="116">
        <v>1207.1500000000001</v>
      </c>
      <c r="N902" s="116">
        <v>1218</v>
      </c>
      <c r="O902" s="116">
        <v>1194</v>
      </c>
      <c r="P902" s="116">
        <v>1196.9000000000001</v>
      </c>
      <c r="Q902" s="116">
        <v>1207.1500000000001</v>
      </c>
      <c r="R902">
        <v>61370</v>
      </c>
    </row>
    <row r="903" spans="1:18" x14ac:dyDescent="0.25">
      <c r="A903" s="170">
        <v>43328</v>
      </c>
      <c r="B903" s="116">
        <v>1219.9000000000001</v>
      </c>
      <c r="C903" s="116">
        <v>1198.8</v>
      </c>
      <c r="D903" s="116">
        <v>1190.75</v>
      </c>
      <c r="E903" s="116">
        <v>1208</v>
      </c>
      <c r="F903" s="116">
        <v>1198.8</v>
      </c>
      <c r="G903">
        <v>3227</v>
      </c>
      <c r="H903" s="116"/>
      <c r="I903" s="116"/>
      <c r="L903" s="170">
        <v>43328</v>
      </c>
      <c r="M903" s="116">
        <v>1198.3</v>
      </c>
      <c r="N903" s="116">
        <v>1224</v>
      </c>
      <c r="O903" s="116">
        <v>1195.0999999999999</v>
      </c>
      <c r="P903" s="116">
        <v>1206</v>
      </c>
      <c r="Q903" s="116">
        <v>1198.3</v>
      </c>
      <c r="R903">
        <v>23277</v>
      </c>
    </row>
    <row r="904" spans="1:18" x14ac:dyDescent="0.25">
      <c r="A904" s="170">
        <v>43329</v>
      </c>
      <c r="B904" s="116">
        <v>1235</v>
      </c>
      <c r="C904" s="116">
        <v>1227</v>
      </c>
      <c r="D904" s="116">
        <v>1194.8</v>
      </c>
      <c r="E904" s="116">
        <v>1211.55</v>
      </c>
      <c r="F904" s="116">
        <v>1227</v>
      </c>
      <c r="G904">
        <v>2779</v>
      </c>
      <c r="H904" s="116"/>
      <c r="I904" s="116"/>
      <c r="L904" s="170">
        <v>43329</v>
      </c>
      <c r="M904" s="116">
        <v>1226.6500000000001</v>
      </c>
      <c r="N904" s="116">
        <v>1239</v>
      </c>
      <c r="O904" s="116">
        <v>1195.0999999999999</v>
      </c>
      <c r="P904" s="116">
        <v>1202.9000000000001</v>
      </c>
      <c r="Q904" s="116">
        <v>1226.6500000000001</v>
      </c>
      <c r="R904">
        <v>85790</v>
      </c>
    </row>
    <row r="905" spans="1:18" x14ac:dyDescent="0.25">
      <c r="A905" s="170">
        <v>43332</v>
      </c>
      <c r="B905" s="116">
        <v>1266.6500000000001</v>
      </c>
      <c r="C905" s="116">
        <v>1223.05</v>
      </c>
      <c r="D905" s="116">
        <v>1210</v>
      </c>
      <c r="E905" s="116">
        <v>1234.05</v>
      </c>
      <c r="F905" s="116">
        <v>1223.05</v>
      </c>
      <c r="G905">
        <v>22322</v>
      </c>
      <c r="H905" s="116"/>
      <c r="I905" s="116"/>
      <c r="L905" s="170">
        <v>43332</v>
      </c>
      <c r="M905" s="116">
        <v>1229.0999999999999</v>
      </c>
      <c r="N905" s="116">
        <v>1269.3</v>
      </c>
      <c r="O905" s="116">
        <v>1206.5999999999999</v>
      </c>
      <c r="P905" s="116">
        <v>1238</v>
      </c>
      <c r="Q905" s="116">
        <v>1229.0999999999999</v>
      </c>
      <c r="R905">
        <v>242538</v>
      </c>
    </row>
    <row r="906" spans="1:18" x14ac:dyDescent="0.25">
      <c r="A906" s="170">
        <v>43333</v>
      </c>
      <c r="B906" s="116">
        <v>1282</v>
      </c>
      <c r="C906" s="116">
        <v>1272.05</v>
      </c>
      <c r="D906" s="116">
        <v>1232</v>
      </c>
      <c r="E906" s="116">
        <v>1232</v>
      </c>
      <c r="F906" s="116">
        <v>1272.05</v>
      </c>
      <c r="G906">
        <v>141412</v>
      </c>
      <c r="H906" s="116"/>
      <c r="I906" s="116"/>
      <c r="L906" s="170">
        <v>43333</v>
      </c>
      <c r="M906" s="116">
        <v>1270.1500000000001</v>
      </c>
      <c r="N906" s="116">
        <v>1282</v>
      </c>
      <c r="O906" s="116">
        <v>1229.1500000000001</v>
      </c>
      <c r="P906" s="116">
        <v>1235</v>
      </c>
      <c r="Q906" s="116">
        <v>1270.1500000000001</v>
      </c>
      <c r="R906">
        <v>402074</v>
      </c>
    </row>
    <row r="907" spans="1:18" x14ac:dyDescent="0.25">
      <c r="A907" s="170">
        <v>43335</v>
      </c>
      <c r="B907" s="116">
        <v>1331.9</v>
      </c>
      <c r="C907" s="116">
        <v>1325.85</v>
      </c>
      <c r="D907" s="116">
        <v>1275</v>
      </c>
      <c r="E907" s="116">
        <v>1275</v>
      </c>
      <c r="F907" s="116">
        <v>1325.85</v>
      </c>
      <c r="G907">
        <v>37322</v>
      </c>
      <c r="H907" s="116"/>
      <c r="I907" s="116"/>
      <c r="L907" s="170">
        <v>43335</v>
      </c>
      <c r="M907" s="116">
        <v>1329.3</v>
      </c>
      <c r="N907" s="116">
        <v>1336</v>
      </c>
      <c r="O907" s="116">
        <v>1275</v>
      </c>
      <c r="P907" s="116">
        <v>1289.95</v>
      </c>
      <c r="Q907" s="116">
        <v>1329.3</v>
      </c>
      <c r="R907">
        <v>220404</v>
      </c>
    </row>
    <row r="908" spans="1:18" x14ac:dyDescent="0.25">
      <c r="A908" s="170">
        <v>43336</v>
      </c>
      <c r="B908" s="116">
        <v>1355.65</v>
      </c>
      <c r="C908" s="116">
        <v>1318.85</v>
      </c>
      <c r="D908" s="116">
        <v>1309.95</v>
      </c>
      <c r="E908" s="116">
        <v>1330</v>
      </c>
      <c r="F908" s="116">
        <v>1318.85</v>
      </c>
      <c r="G908">
        <v>16710</v>
      </c>
      <c r="H908" s="116"/>
      <c r="I908" s="116"/>
      <c r="L908" s="170">
        <v>43336</v>
      </c>
      <c r="M908" s="116">
        <v>1319.35</v>
      </c>
      <c r="N908" s="116">
        <v>1355</v>
      </c>
      <c r="O908" s="116">
        <v>1315.5</v>
      </c>
      <c r="P908" s="116">
        <v>1330</v>
      </c>
      <c r="Q908" s="116">
        <v>1319.35</v>
      </c>
      <c r="R908">
        <v>128345</v>
      </c>
    </row>
    <row r="909" spans="1:18" x14ac:dyDescent="0.25">
      <c r="A909" s="170">
        <v>43339</v>
      </c>
      <c r="B909" s="116">
        <v>1331.45</v>
      </c>
      <c r="C909" s="116">
        <v>1322.25</v>
      </c>
      <c r="D909" s="116">
        <v>1312.7</v>
      </c>
      <c r="E909" s="116">
        <v>1320</v>
      </c>
      <c r="F909" s="116">
        <v>1322.25</v>
      </c>
      <c r="G909">
        <v>8289</v>
      </c>
      <c r="H909" s="116"/>
      <c r="I909" s="116"/>
      <c r="L909" s="170">
        <v>43339</v>
      </c>
      <c r="M909" s="116">
        <v>1321.2</v>
      </c>
      <c r="N909" s="116">
        <v>1335</v>
      </c>
      <c r="O909" s="116">
        <v>1318</v>
      </c>
      <c r="P909" s="116">
        <v>1324.95</v>
      </c>
      <c r="Q909" s="116">
        <v>1321.2</v>
      </c>
      <c r="R909">
        <v>49159</v>
      </c>
    </row>
    <row r="910" spans="1:18" x14ac:dyDescent="0.25">
      <c r="A910" s="170">
        <v>43340</v>
      </c>
      <c r="B910" s="116">
        <v>1327.2</v>
      </c>
      <c r="C910" s="116">
        <v>1309.25</v>
      </c>
      <c r="D910" s="116">
        <v>1300</v>
      </c>
      <c r="E910" s="116">
        <v>1325</v>
      </c>
      <c r="F910" s="116">
        <v>1309.25</v>
      </c>
      <c r="G910">
        <v>15218</v>
      </c>
      <c r="H910" s="116"/>
      <c r="I910" s="116"/>
      <c r="L910" s="170">
        <v>43340</v>
      </c>
      <c r="M910" s="116">
        <v>1307.25</v>
      </c>
      <c r="N910" s="116">
        <v>1330.45</v>
      </c>
      <c r="O910" s="116">
        <v>1303</v>
      </c>
      <c r="P910" s="116">
        <v>1329.9</v>
      </c>
      <c r="Q910" s="116">
        <v>1307.25</v>
      </c>
      <c r="R910">
        <v>52698</v>
      </c>
    </row>
    <row r="911" spans="1:18" x14ac:dyDescent="0.25">
      <c r="A911" s="170">
        <v>43341</v>
      </c>
      <c r="B911" s="116">
        <v>1365.65</v>
      </c>
      <c r="C911" s="116">
        <v>1322.1</v>
      </c>
      <c r="D911" s="116">
        <v>1302.95</v>
      </c>
      <c r="E911" s="116">
        <v>1314.5</v>
      </c>
      <c r="F911" s="116">
        <v>1322.1</v>
      </c>
      <c r="G911">
        <v>19112</v>
      </c>
      <c r="H911" s="116"/>
      <c r="I911" s="116"/>
      <c r="L911" s="170">
        <v>43341</v>
      </c>
      <c r="M911" s="116">
        <v>1324.9</v>
      </c>
      <c r="N911" s="116">
        <v>1365</v>
      </c>
      <c r="O911" s="116">
        <v>1302</v>
      </c>
      <c r="P911" s="116">
        <v>1319</v>
      </c>
      <c r="Q911" s="116">
        <v>1324.9</v>
      </c>
      <c r="R911">
        <v>166140</v>
      </c>
    </row>
    <row r="912" spans="1:18" x14ac:dyDescent="0.25">
      <c r="A912" s="170">
        <v>43342</v>
      </c>
      <c r="B912" s="116">
        <v>1334</v>
      </c>
      <c r="C912" s="116">
        <v>1312.4</v>
      </c>
      <c r="D912" s="116">
        <v>1303.95</v>
      </c>
      <c r="E912" s="116">
        <v>1327.3</v>
      </c>
      <c r="F912" s="116">
        <v>1312.4</v>
      </c>
      <c r="G912">
        <v>5866</v>
      </c>
      <c r="H912" s="116"/>
      <c r="I912" s="116"/>
      <c r="L912" s="170">
        <v>43342</v>
      </c>
      <c r="M912" s="116">
        <v>1309.55</v>
      </c>
      <c r="N912" s="116">
        <v>1336.9</v>
      </c>
      <c r="O912" s="116">
        <v>1299.9000000000001</v>
      </c>
      <c r="P912" s="116">
        <v>1334.8</v>
      </c>
      <c r="Q912" s="116">
        <v>1309.55</v>
      </c>
      <c r="R912">
        <v>64605</v>
      </c>
    </row>
    <row r="913" spans="1:18" x14ac:dyDescent="0.25">
      <c r="A913" s="170">
        <v>43343</v>
      </c>
      <c r="B913" s="116">
        <v>1330</v>
      </c>
      <c r="C913" s="116">
        <v>1312.35</v>
      </c>
      <c r="D913" s="116">
        <v>1305.05</v>
      </c>
      <c r="E913" s="116">
        <v>1311.35</v>
      </c>
      <c r="F913" s="116">
        <v>1312.35</v>
      </c>
      <c r="G913">
        <v>5703</v>
      </c>
      <c r="H913" s="116"/>
      <c r="I913" s="116"/>
      <c r="L913" s="170">
        <v>43343</v>
      </c>
      <c r="M913" s="116">
        <v>1308.4000000000001</v>
      </c>
      <c r="N913" s="116">
        <v>1325</v>
      </c>
      <c r="O913" s="116">
        <v>1302</v>
      </c>
      <c r="P913" s="116">
        <v>1316</v>
      </c>
      <c r="Q913" s="116">
        <v>1308.4000000000001</v>
      </c>
      <c r="R913">
        <v>41420</v>
      </c>
    </row>
    <row r="914" spans="1:18" x14ac:dyDescent="0.25">
      <c r="A914" s="170">
        <v>43346</v>
      </c>
      <c r="B914" s="116">
        <v>1321.05</v>
      </c>
      <c r="C914" s="116">
        <v>1305.0999999999999</v>
      </c>
      <c r="D914" s="116">
        <v>1300</v>
      </c>
      <c r="E914" s="116">
        <v>1321.05</v>
      </c>
      <c r="F914" s="116">
        <v>1305.0999999999999</v>
      </c>
      <c r="G914">
        <v>25971</v>
      </c>
      <c r="H914" s="116"/>
      <c r="I914" s="116"/>
      <c r="L914" s="170">
        <v>43346</v>
      </c>
      <c r="M914" s="116">
        <v>1305.55</v>
      </c>
      <c r="N914" s="116">
        <v>1329.9</v>
      </c>
      <c r="O914" s="116">
        <v>1302</v>
      </c>
      <c r="P914" s="116">
        <v>1329.9</v>
      </c>
      <c r="Q914" s="116">
        <v>1305.55</v>
      </c>
      <c r="R914">
        <v>81094</v>
      </c>
    </row>
    <row r="915" spans="1:18" x14ac:dyDescent="0.25">
      <c r="A915" s="170">
        <v>43347</v>
      </c>
      <c r="B915" s="116">
        <v>1307.05</v>
      </c>
      <c r="C915" s="116">
        <v>1274.55</v>
      </c>
      <c r="D915" s="116">
        <v>1252.9000000000001</v>
      </c>
      <c r="E915" s="116">
        <v>1307</v>
      </c>
      <c r="F915" s="116">
        <v>1274.55</v>
      </c>
      <c r="G915">
        <v>10298</v>
      </c>
      <c r="H915" s="116"/>
      <c r="I915" s="116"/>
      <c r="L915" s="170">
        <v>43347</v>
      </c>
      <c r="M915" s="116">
        <v>1277.2</v>
      </c>
      <c r="N915" s="116">
        <v>1305</v>
      </c>
      <c r="O915" s="116">
        <v>1255.3499999999999</v>
      </c>
      <c r="P915" s="116">
        <v>1305</v>
      </c>
      <c r="Q915" s="116">
        <v>1277.2</v>
      </c>
      <c r="R915">
        <v>57037</v>
      </c>
    </row>
    <row r="916" spans="1:18" x14ac:dyDescent="0.25">
      <c r="A916" s="170">
        <v>43348</v>
      </c>
      <c r="B916" s="116">
        <v>1292.8499999999999</v>
      </c>
      <c r="C916" s="116">
        <v>1253.75</v>
      </c>
      <c r="D916" s="116">
        <v>1228.8499999999999</v>
      </c>
      <c r="E916" s="116">
        <v>1292.8499999999999</v>
      </c>
      <c r="F916" s="116">
        <v>1253.75</v>
      </c>
      <c r="G916">
        <v>11143</v>
      </c>
      <c r="H916" s="116"/>
      <c r="I916" s="116"/>
      <c r="L916" s="170">
        <v>43348</v>
      </c>
      <c r="M916" s="116">
        <v>1268.1500000000001</v>
      </c>
      <c r="N916" s="116">
        <v>1291</v>
      </c>
      <c r="O916" s="116">
        <v>1251</v>
      </c>
      <c r="P916" s="116">
        <v>1291</v>
      </c>
      <c r="Q916" s="116">
        <v>1268.1500000000001</v>
      </c>
      <c r="R916">
        <v>56898</v>
      </c>
    </row>
    <row r="917" spans="1:18" x14ac:dyDescent="0.25">
      <c r="A917" s="170">
        <v>43349</v>
      </c>
      <c r="B917" s="116">
        <v>1320</v>
      </c>
      <c r="C917" s="116">
        <v>1291.0999999999999</v>
      </c>
      <c r="D917" s="116">
        <v>1270</v>
      </c>
      <c r="E917" s="116">
        <v>1277</v>
      </c>
      <c r="F917" s="116">
        <v>1291.0999999999999</v>
      </c>
      <c r="G917">
        <v>3747</v>
      </c>
      <c r="H917" s="116"/>
      <c r="I917" s="116"/>
      <c r="L917" s="170">
        <v>43349</v>
      </c>
      <c r="M917" s="116">
        <v>1296</v>
      </c>
      <c r="N917" s="116">
        <v>1309</v>
      </c>
      <c r="O917" s="116">
        <v>1270.0999999999999</v>
      </c>
      <c r="P917" s="116">
        <v>1280.75</v>
      </c>
      <c r="Q917" s="116">
        <v>1296</v>
      </c>
      <c r="R917">
        <v>167557</v>
      </c>
    </row>
    <row r="918" spans="1:18" x14ac:dyDescent="0.25">
      <c r="A918" s="170">
        <v>43350</v>
      </c>
      <c r="B918" s="116">
        <v>1374</v>
      </c>
      <c r="C918" s="116">
        <v>1345.25</v>
      </c>
      <c r="D918" s="116">
        <v>1310</v>
      </c>
      <c r="E918" s="116">
        <v>1310</v>
      </c>
      <c r="F918" s="116">
        <v>1345.25</v>
      </c>
      <c r="G918">
        <v>30630</v>
      </c>
      <c r="H918" s="116"/>
      <c r="I918" s="116"/>
      <c r="L918" s="170">
        <v>43350</v>
      </c>
      <c r="M918" s="116">
        <v>1346.9</v>
      </c>
      <c r="N918" s="116">
        <v>1376.8</v>
      </c>
      <c r="O918" s="116">
        <v>1305.05</v>
      </c>
      <c r="P918" s="116">
        <v>1308</v>
      </c>
      <c r="Q918" s="116">
        <v>1346.9</v>
      </c>
      <c r="R918">
        <v>328447</v>
      </c>
    </row>
    <row r="919" spans="1:18" x14ac:dyDescent="0.25">
      <c r="A919" s="170">
        <v>43353</v>
      </c>
      <c r="B919" s="116">
        <v>1396.85</v>
      </c>
      <c r="C919" s="116">
        <v>1373.35</v>
      </c>
      <c r="D919" s="116">
        <v>1329.8</v>
      </c>
      <c r="E919" s="116">
        <v>1356</v>
      </c>
      <c r="F919" s="116">
        <v>1373.35</v>
      </c>
      <c r="G919">
        <v>30704</v>
      </c>
      <c r="H919" s="116"/>
      <c r="I919" s="116"/>
      <c r="L919" s="170">
        <v>43353</v>
      </c>
      <c r="M919" s="116">
        <v>1373.7</v>
      </c>
      <c r="N919" s="116">
        <v>1396</v>
      </c>
      <c r="O919" s="116">
        <v>1327.25</v>
      </c>
      <c r="P919" s="116">
        <v>1350.55</v>
      </c>
      <c r="Q919" s="116">
        <v>1373.7</v>
      </c>
      <c r="R919">
        <v>250859</v>
      </c>
    </row>
    <row r="920" spans="1:18" x14ac:dyDescent="0.25">
      <c r="A920" s="170">
        <v>43354</v>
      </c>
      <c r="B920" s="116">
        <v>1397</v>
      </c>
      <c r="C920" s="116">
        <v>1384.85</v>
      </c>
      <c r="D920" s="116">
        <v>1357.35</v>
      </c>
      <c r="E920" s="116">
        <v>1387</v>
      </c>
      <c r="F920" s="116">
        <v>1384.85</v>
      </c>
      <c r="G920">
        <v>15581</v>
      </c>
      <c r="H920" s="116"/>
      <c r="I920" s="116"/>
      <c r="L920" s="170">
        <v>43354</v>
      </c>
      <c r="M920" s="116">
        <v>1390.5</v>
      </c>
      <c r="N920" s="116">
        <v>1398.45</v>
      </c>
      <c r="O920" s="116">
        <v>1356.65</v>
      </c>
      <c r="P920" s="116">
        <v>1376</v>
      </c>
      <c r="Q920" s="116">
        <v>1390.5</v>
      </c>
      <c r="R920">
        <v>166801</v>
      </c>
    </row>
    <row r="921" spans="1:18" x14ac:dyDescent="0.25">
      <c r="A921" s="170">
        <v>43355</v>
      </c>
      <c r="B921" s="116">
        <v>1476.65</v>
      </c>
      <c r="C921" s="116">
        <v>1462.35</v>
      </c>
      <c r="D921" s="116">
        <v>1380</v>
      </c>
      <c r="E921" s="116">
        <v>1384</v>
      </c>
      <c r="F921" s="116">
        <v>1462.35</v>
      </c>
      <c r="G921">
        <v>91691</v>
      </c>
      <c r="H921" s="116"/>
      <c r="I921" s="116"/>
      <c r="L921" s="170">
        <v>43355</v>
      </c>
      <c r="M921" s="116">
        <v>1463.65</v>
      </c>
      <c r="N921" s="116">
        <v>1480</v>
      </c>
      <c r="O921" s="116">
        <v>1377.2</v>
      </c>
      <c r="P921" s="116">
        <v>1388</v>
      </c>
      <c r="Q921" s="116">
        <v>1463.65</v>
      </c>
      <c r="R921">
        <v>566102</v>
      </c>
    </row>
    <row r="922" spans="1:18" x14ac:dyDescent="0.25">
      <c r="A922" s="170">
        <v>43357</v>
      </c>
      <c r="B922" s="116">
        <v>1516.55</v>
      </c>
      <c r="C922" s="116">
        <v>1446.95</v>
      </c>
      <c r="D922" s="116">
        <v>1417</v>
      </c>
      <c r="E922" s="116">
        <v>1481.9</v>
      </c>
      <c r="F922" s="116">
        <v>1446.95</v>
      </c>
      <c r="G922">
        <v>37471</v>
      </c>
      <c r="H922" s="116"/>
      <c r="I922" s="116"/>
      <c r="L922" s="170">
        <v>43357</v>
      </c>
      <c r="M922" s="116">
        <v>1448.4</v>
      </c>
      <c r="N922" s="116">
        <v>1517</v>
      </c>
      <c r="O922" s="116">
        <v>1414</v>
      </c>
      <c r="P922" s="116">
        <v>1465</v>
      </c>
      <c r="Q922" s="116">
        <v>1448.4</v>
      </c>
      <c r="R922">
        <v>422203</v>
      </c>
    </row>
    <row r="923" spans="1:18" x14ac:dyDescent="0.25">
      <c r="A923" s="170">
        <v>43360</v>
      </c>
      <c r="B923" s="116">
        <v>1451.6</v>
      </c>
      <c r="C923" s="116">
        <v>1444.65</v>
      </c>
      <c r="D923" s="116">
        <v>1426.4</v>
      </c>
      <c r="E923" s="116">
        <v>1448</v>
      </c>
      <c r="F923" s="116">
        <v>1444.65</v>
      </c>
      <c r="G923">
        <v>12906</v>
      </c>
      <c r="H923" s="116"/>
      <c r="I923" s="116"/>
      <c r="L923" s="170">
        <v>43360</v>
      </c>
      <c r="M923" s="116">
        <v>1441.6</v>
      </c>
      <c r="N923" s="116">
        <v>1451</v>
      </c>
      <c r="O923" s="116">
        <v>1426.35</v>
      </c>
      <c r="P923" s="116">
        <v>1442</v>
      </c>
      <c r="Q923" s="116">
        <v>1441.6</v>
      </c>
      <c r="R923">
        <v>410349</v>
      </c>
    </row>
    <row r="924" spans="1:18" x14ac:dyDescent="0.25">
      <c r="A924" s="170">
        <v>43361</v>
      </c>
      <c r="B924" s="116">
        <v>1460</v>
      </c>
      <c r="C924" s="116">
        <v>1441.3</v>
      </c>
      <c r="D924" s="116">
        <v>1431.05</v>
      </c>
      <c r="E924" s="116">
        <v>1445.35</v>
      </c>
      <c r="F924" s="116">
        <v>1441.3</v>
      </c>
      <c r="G924">
        <v>8734</v>
      </c>
      <c r="H924" s="116"/>
      <c r="I924" s="116"/>
      <c r="L924" s="170">
        <v>43361</v>
      </c>
      <c r="M924" s="116">
        <v>1443.35</v>
      </c>
      <c r="N924" s="116">
        <v>1459</v>
      </c>
      <c r="O924" s="116">
        <v>1429.05</v>
      </c>
      <c r="P924" s="116">
        <v>1431.5</v>
      </c>
      <c r="Q924" s="116">
        <v>1443.35</v>
      </c>
      <c r="R924">
        <v>73341</v>
      </c>
    </row>
    <row r="925" spans="1:18" x14ac:dyDescent="0.25">
      <c r="A925" s="170">
        <v>43362</v>
      </c>
      <c r="B925" s="116">
        <v>1471</v>
      </c>
      <c r="C925" s="116">
        <v>1436.5</v>
      </c>
      <c r="D925" s="116">
        <v>1371.45</v>
      </c>
      <c r="E925" s="116">
        <v>1459</v>
      </c>
      <c r="F925" s="116">
        <v>1436.5</v>
      </c>
      <c r="G925">
        <v>21419</v>
      </c>
      <c r="H925" s="116"/>
      <c r="I925" s="116"/>
      <c r="L925" s="170">
        <v>43362</v>
      </c>
      <c r="M925" s="116">
        <v>1439.25</v>
      </c>
      <c r="N925" s="116">
        <v>1468.8</v>
      </c>
      <c r="O925" s="116">
        <v>1367.2</v>
      </c>
      <c r="P925" s="116">
        <v>1443.35</v>
      </c>
      <c r="Q925" s="116">
        <v>1439.25</v>
      </c>
      <c r="R925">
        <v>199672</v>
      </c>
    </row>
    <row r="926" spans="1:18" x14ac:dyDescent="0.25">
      <c r="A926" s="170">
        <v>43364</v>
      </c>
      <c r="B926" s="116">
        <v>1459</v>
      </c>
      <c r="C926" s="116">
        <v>1433.95</v>
      </c>
      <c r="D926" s="116">
        <v>1332</v>
      </c>
      <c r="E926" s="116">
        <v>1440</v>
      </c>
      <c r="F926" s="116">
        <v>1433.95</v>
      </c>
      <c r="G926">
        <v>15451</v>
      </c>
      <c r="H926" s="116"/>
      <c r="I926" s="116"/>
      <c r="L926" s="170">
        <v>43364</v>
      </c>
      <c r="M926" s="116">
        <v>1431.95</v>
      </c>
      <c r="N926" s="116">
        <v>1466.05</v>
      </c>
      <c r="O926" s="116">
        <v>1327.1</v>
      </c>
      <c r="P926" s="116">
        <v>1442.8</v>
      </c>
      <c r="Q926" s="116">
        <v>1431.95</v>
      </c>
      <c r="R926">
        <v>145552</v>
      </c>
    </row>
    <row r="927" spans="1:18" x14ac:dyDescent="0.25">
      <c r="A927" s="170">
        <v>43367</v>
      </c>
      <c r="B927" s="116">
        <v>1443.9</v>
      </c>
      <c r="C927" s="116">
        <v>1386.7</v>
      </c>
      <c r="D927" s="116">
        <v>1351</v>
      </c>
      <c r="E927" s="116">
        <v>1443.9</v>
      </c>
      <c r="F927" s="116">
        <v>1386.7</v>
      </c>
      <c r="G927">
        <v>12722</v>
      </c>
      <c r="H927" s="116"/>
      <c r="I927" s="116"/>
      <c r="L927" s="170">
        <v>43367</v>
      </c>
      <c r="M927" s="116">
        <v>1388.35</v>
      </c>
      <c r="N927" s="116">
        <v>1447.15</v>
      </c>
      <c r="O927" s="116">
        <v>1350</v>
      </c>
      <c r="P927" s="116">
        <v>1437.6</v>
      </c>
      <c r="Q927" s="116">
        <v>1388.35</v>
      </c>
      <c r="R927">
        <v>84132</v>
      </c>
    </row>
    <row r="928" spans="1:18" x14ac:dyDescent="0.25">
      <c r="A928" s="170">
        <v>43368</v>
      </c>
      <c r="B928" s="116">
        <v>1452</v>
      </c>
      <c r="C928" s="116">
        <v>1424.6</v>
      </c>
      <c r="D928" s="116">
        <v>1346.6</v>
      </c>
      <c r="E928" s="116">
        <v>1401</v>
      </c>
      <c r="F928" s="116">
        <v>1424.6</v>
      </c>
      <c r="G928">
        <v>27198</v>
      </c>
      <c r="H928" s="116"/>
      <c r="I928" s="116"/>
      <c r="L928" s="170">
        <v>43368</v>
      </c>
      <c r="M928" s="116">
        <v>1429.05</v>
      </c>
      <c r="N928" s="116">
        <v>1450</v>
      </c>
      <c r="O928" s="116">
        <v>1345</v>
      </c>
      <c r="P928" s="116">
        <v>1416</v>
      </c>
      <c r="Q928" s="116">
        <v>1429.05</v>
      </c>
      <c r="R928">
        <v>128954</v>
      </c>
    </row>
    <row r="929" spans="1:18" x14ac:dyDescent="0.25">
      <c r="A929" s="170">
        <v>43369</v>
      </c>
      <c r="B929" s="116">
        <v>1469.05</v>
      </c>
      <c r="C929" s="116">
        <v>1439.6</v>
      </c>
      <c r="D929" s="116">
        <v>1425</v>
      </c>
      <c r="E929" s="116">
        <v>1438</v>
      </c>
      <c r="F929" s="116">
        <v>1439.6</v>
      </c>
      <c r="G929">
        <v>13422</v>
      </c>
      <c r="H929" s="116"/>
      <c r="I929" s="116"/>
      <c r="L929" s="170">
        <v>43369</v>
      </c>
      <c r="M929" s="116">
        <v>1436</v>
      </c>
      <c r="N929" s="116">
        <v>1470</v>
      </c>
      <c r="O929" s="116">
        <v>1419.65</v>
      </c>
      <c r="P929" s="116">
        <v>1443.2</v>
      </c>
      <c r="Q929" s="116">
        <v>1436</v>
      </c>
      <c r="R929">
        <v>106689</v>
      </c>
    </row>
    <row r="930" spans="1:18" x14ac:dyDescent="0.25">
      <c r="A930" s="170">
        <v>43370</v>
      </c>
      <c r="B930" s="116">
        <v>1450.65</v>
      </c>
      <c r="C930" s="116">
        <v>1419.9</v>
      </c>
      <c r="D930" s="116">
        <v>1389.6</v>
      </c>
      <c r="E930" s="116">
        <v>1442.1</v>
      </c>
      <c r="F930" s="116">
        <v>1419.9</v>
      </c>
      <c r="G930">
        <v>21040</v>
      </c>
      <c r="H930" s="116"/>
      <c r="I930" s="116"/>
      <c r="L930" s="170">
        <v>43370</v>
      </c>
      <c r="M930" s="116">
        <v>1423.35</v>
      </c>
      <c r="N930" s="116">
        <v>1446.75</v>
      </c>
      <c r="O930" s="116">
        <v>1385.3</v>
      </c>
      <c r="P930" s="116">
        <v>1446.75</v>
      </c>
      <c r="Q930" s="116">
        <v>1423.35</v>
      </c>
      <c r="R930">
        <v>97885</v>
      </c>
    </row>
    <row r="931" spans="1:18" x14ac:dyDescent="0.25">
      <c r="A931" s="170">
        <v>43371</v>
      </c>
      <c r="B931" s="116">
        <v>1427.85</v>
      </c>
      <c r="C931" s="116">
        <v>1402.55</v>
      </c>
      <c r="D931" s="116">
        <v>1358</v>
      </c>
      <c r="E931" s="116">
        <v>1420</v>
      </c>
      <c r="F931" s="116">
        <v>1402.55</v>
      </c>
      <c r="G931">
        <v>8975</v>
      </c>
      <c r="H931" s="116"/>
      <c r="I931" s="116"/>
      <c r="L931" s="170">
        <v>43371</v>
      </c>
      <c r="M931" s="116">
        <v>1409.8</v>
      </c>
      <c r="N931" s="116">
        <v>1435</v>
      </c>
      <c r="O931" s="116">
        <v>1355</v>
      </c>
      <c r="P931" s="116">
        <v>1415.5</v>
      </c>
      <c r="Q931" s="116">
        <v>1409.8</v>
      </c>
      <c r="R931">
        <v>110067</v>
      </c>
    </row>
    <row r="932" spans="1:18" x14ac:dyDescent="0.25">
      <c r="A932" s="170">
        <v>43374</v>
      </c>
      <c r="B932" s="116">
        <v>1440</v>
      </c>
      <c r="C932" s="116">
        <v>1418.55</v>
      </c>
      <c r="D932" s="116">
        <v>1372.4</v>
      </c>
      <c r="E932" s="116">
        <v>1410.75</v>
      </c>
      <c r="F932" s="116">
        <v>1418.55</v>
      </c>
      <c r="G932">
        <v>10272</v>
      </c>
      <c r="H932" s="116"/>
      <c r="I932" s="116"/>
      <c r="L932" s="170">
        <v>43374</v>
      </c>
      <c r="M932" s="116">
        <v>1422.9</v>
      </c>
      <c r="N932" s="116">
        <v>1449.95</v>
      </c>
      <c r="O932" s="116">
        <v>1370.3</v>
      </c>
      <c r="P932" s="116">
        <v>1393.5</v>
      </c>
      <c r="Q932" s="116">
        <v>1422.9</v>
      </c>
      <c r="R932">
        <v>59120</v>
      </c>
    </row>
    <row r="933" spans="1:18" x14ac:dyDescent="0.25">
      <c r="A933" s="170">
        <v>43376</v>
      </c>
      <c r="B933" s="116">
        <v>1463</v>
      </c>
      <c r="C933" s="116">
        <v>1420.3</v>
      </c>
      <c r="D933" s="116">
        <v>1403</v>
      </c>
      <c r="E933" s="116">
        <v>1420</v>
      </c>
      <c r="F933" s="116">
        <v>1420.3</v>
      </c>
      <c r="G933">
        <v>12511</v>
      </c>
      <c r="H933" s="116"/>
      <c r="I933" s="116"/>
      <c r="L933" s="170">
        <v>43376</v>
      </c>
      <c r="M933" s="116">
        <v>1422.2</v>
      </c>
      <c r="N933" s="116">
        <v>1463.95</v>
      </c>
      <c r="O933" s="116">
        <v>1402.9</v>
      </c>
      <c r="P933" s="116">
        <v>1430</v>
      </c>
      <c r="Q933" s="116">
        <v>1422.2</v>
      </c>
      <c r="R933">
        <v>121540</v>
      </c>
    </row>
    <row r="934" spans="1:18" x14ac:dyDescent="0.25">
      <c r="A934" s="170">
        <v>43377</v>
      </c>
      <c r="B934" s="116">
        <v>1420</v>
      </c>
      <c r="C934" s="116">
        <v>1388.75</v>
      </c>
      <c r="D934" s="116">
        <v>1380</v>
      </c>
      <c r="E934" s="116">
        <v>1404</v>
      </c>
      <c r="F934" s="116">
        <v>1388.75</v>
      </c>
      <c r="G934">
        <v>7330</v>
      </c>
      <c r="H934" s="116"/>
      <c r="I934" s="116"/>
      <c r="L934" s="170">
        <v>43377</v>
      </c>
      <c r="M934" s="116">
        <v>1382.9</v>
      </c>
      <c r="N934" s="116">
        <v>1420</v>
      </c>
      <c r="O934" s="116">
        <v>1377</v>
      </c>
      <c r="P934" s="116">
        <v>1405</v>
      </c>
      <c r="Q934" s="116">
        <v>1382.9</v>
      </c>
      <c r="R934">
        <v>54211</v>
      </c>
    </row>
    <row r="935" spans="1:18" x14ac:dyDescent="0.25">
      <c r="A935" s="170">
        <v>43378</v>
      </c>
      <c r="B935" s="116">
        <v>1391.6</v>
      </c>
      <c r="C935" s="116">
        <v>1368</v>
      </c>
      <c r="D935" s="116">
        <v>1315.3</v>
      </c>
      <c r="E935" s="116">
        <v>1390</v>
      </c>
      <c r="F935" s="116">
        <v>1368</v>
      </c>
      <c r="G935">
        <v>16705</v>
      </c>
      <c r="H935" s="116"/>
      <c r="I935" s="116"/>
      <c r="L935" s="170">
        <v>43378</v>
      </c>
      <c r="M935" s="116">
        <v>1374.75</v>
      </c>
      <c r="N935" s="116">
        <v>1393.25</v>
      </c>
      <c r="O935" s="116">
        <v>1333</v>
      </c>
      <c r="P935" s="116">
        <v>1393.25</v>
      </c>
      <c r="Q935" s="116">
        <v>1374.75</v>
      </c>
      <c r="R935">
        <v>103463</v>
      </c>
    </row>
    <row r="936" spans="1:18" x14ac:dyDescent="0.25">
      <c r="A936" s="170">
        <v>43381</v>
      </c>
      <c r="B936" s="116">
        <v>1399</v>
      </c>
      <c r="C936" s="116">
        <v>1377.2</v>
      </c>
      <c r="D936" s="116">
        <v>1337.45</v>
      </c>
      <c r="E936" s="116">
        <v>1370</v>
      </c>
      <c r="F936" s="116">
        <v>1377.2</v>
      </c>
      <c r="G936">
        <v>10940</v>
      </c>
      <c r="H936" s="116"/>
      <c r="I936" s="116"/>
      <c r="L936" s="170">
        <v>43381</v>
      </c>
      <c r="M936" s="116">
        <v>1378.6</v>
      </c>
      <c r="N936" s="116">
        <v>1390</v>
      </c>
      <c r="O936" s="116">
        <v>1333.65</v>
      </c>
      <c r="P936" s="116">
        <v>1376</v>
      </c>
      <c r="Q936" s="116">
        <v>1378.6</v>
      </c>
      <c r="R936">
        <v>58594</v>
      </c>
    </row>
    <row r="937" spans="1:18" x14ac:dyDescent="0.25">
      <c r="A937" s="170">
        <v>43382</v>
      </c>
      <c r="B937" s="116">
        <v>1389.05</v>
      </c>
      <c r="C937" s="116">
        <v>1352.65</v>
      </c>
      <c r="D937" s="116">
        <v>1343.75</v>
      </c>
      <c r="E937" s="116">
        <v>1387.7</v>
      </c>
      <c r="F937" s="116">
        <v>1352.65</v>
      </c>
      <c r="G937">
        <v>6223</v>
      </c>
      <c r="H937" s="116"/>
      <c r="I937" s="116"/>
      <c r="L937" s="170">
        <v>43382</v>
      </c>
      <c r="M937" s="116">
        <v>1354.5</v>
      </c>
      <c r="N937" s="116">
        <v>1388.45</v>
      </c>
      <c r="O937" s="116">
        <v>1344.2</v>
      </c>
      <c r="P937" s="116">
        <v>1384.9</v>
      </c>
      <c r="Q937" s="116">
        <v>1354.5</v>
      </c>
      <c r="R937">
        <v>36623</v>
      </c>
    </row>
    <row r="938" spans="1:18" x14ac:dyDescent="0.25">
      <c r="A938" s="170">
        <v>43383</v>
      </c>
      <c r="B938" s="116">
        <v>1371.65</v>
      </c>
      <c r="C938" s="116">
        <v>1343.85</v>
      </c>
      <c r="D938" s="116">
        <v>1338.05</v>
      </c>
      <c r="E938" s="116">
        <v>1364.55</v>
      </c>
      <c r="F938" s="116">
        <v>1343.85</v>
      </c>
      <c r="G938">
        <v>7955</v>
      </c>
      <c r="H938" s="116"/>
      <c r="I938" s="116"/>
      <c r="L938" s="170">
        <v>43383</v>
      </c>
      <c r="M938" s="116">
        <v>1341.4</v>
      </c>
      <c r="N938" s="116">
        <v>1373</v>
      </c>
      <c r="O938" s="116">
        <v>1335.1</v>
      </c>
      <c r="P938" s="116">
        <v>1360.55</v>
      </c>
      <c r="Q938" s="116">
        <v>1341.4</v>
      </c>
      <c r="R938">
        <v>45355</v>
      </c>
    </row>
    <row r="939" spans="1:18" x14ac:dyDescent="0.25">
      <c r="A939" s="170">
        <v>43384</v>
      </c>
      <c r="B939" s="116">
        <v>1330</v>
      </c>
      <c r="C939" s="116">
        <v>1291.3499999999999</v>
      </c>
      <c r="D939" s="116">
        <v>1280</v>
      </c>
      <c r="E939" s="116">
        <v>1330</v>
      </c>
      <c r="F939" s="116">
        <v>1291.3499999999999</v>
      </c>
      <c r="G939">
        <v>13274</v>
      </c>
      <c r="H939" s="116"/>
      <c r="I939" s="116"/>
      <c r="L939" s="170">
        <v>43384</v>
      </c>
      <c r="M939" s="116">
        <v>1290</v>
      </c>
      <c r="N939" s="116">
        <v>1330.95</v>
      </c>
      <c r="O939" s="116">
        <v>1275.0999999999999</v>
      </c>
      <c r="P939" s="116">
        <v>1325</v>
      </c>
      <c r="Q939" s="116">
        <v>1290</v>
      </c>
      <c r="R939">
        <v>55740</v>
      </c>
    </row>
    <row r="940" spans="1:18" x14ac:dyDescent="0.25">
      <c r="A940" s="170">
        <v>43385</v>
      </c>
      <c r="B940" s="116">
        <v>1331.8</v>
      </c>
      <c r="C940" s="116">
        <v>1308</v>
      </c>
      <c r="D940" s="116">
        <v>1298.95</v>
      </c>
      <c r="E940" s="116">
        <v>1298.95</v>
      </c>
      <c r="F940" s="116">
        <v>1308</v>
      </c>
      <c r="G940">
        <v>8016</v>
      </c>
      <c r="H940" s="116"/>
      <c r="I940" s="116"/>
      <c r="L940" s="170">
        <v>43385</v>
      </c>
      <c r="M940" s="116">
        <v>1308.75</v>
      </c>
      <c r="N940" s="116">
        <v>1329</v>
      </c>
      <c r="O940" s="116">
        <v>1295.55</v>
      </c>
      <c r="P940" s="116">
        <v>1295.55</v>
      </c>
      <c r="Q940" s="116">
        <v>1308.75</v>
      </c>
      <c r="R940">
        <v>237468</v>
      </c>
    </row>
    <row r="941" spans="1:18" x14ac:dyDescent="0.25">
      <c r="A941" s="170">
        <v>43388</v>
      </c>
      <c r="B941" s="116">
        <v>1340</v>
      </c>
      <c r="C941" s="116">
        <v>1290.9000000000001</v>
      </c>
      <c r="D941" s="116">
        <v>1287</v>
      </c>
      <c r="E941" s="116">
        <v>1340</v>
      </c>
      <c r="F941" s="116">
        <v>1290.9000000000001</v>
      </c>
      <c r="G941">
        <v>5850</v>
      </c>
      <c r="H941" s="116"/>
      <c r="I941" s="116"/>
      <c r="L941" s="170">
        <v>43388</v>
      </c>
      <c r="M941" s="116">
        <v>1289.05</v>
      </c>
      <c r="N941" s="116">
        <v>1320</v>
      </c>
      <c r="O941" s="116">
        <v>1283.8</v>
      </c>
      <c r="P941" s="116">
        <v>1320</v>
      </c>
      <c r="Q941" s="116">
        <v>1289.05</v>
      </c>
      <c r="R941">
        <v>59201</v>
      </c>
    </row>
    <row r="942" spans="1:18" x14ac:dyDescent="0.25">
      <c r="A942" s="170">
        <v>43389</v>
      </c>
      <c r="B942" s="116">
        <v>1309.5</v>
      </c>
      <c r="C942" s="116">
        <v>1300.05</v>
      </c>
      <c r="D942" s="116">
        <v>1285.3</v>
      </c>
      <c r="E942" s="116">
        <v>1292</v>
      </c>
      <c r="F942" s="116">
        <v>1300.05</v>
      </c>
      <c r="G942">
        <v>5832</v>
      </c>
      <c r="H942" s="116"/>
      <c r="I942" s="116"/>
      <c r="L942" s="170">
        <v>43389</v>
      </c>
      <c r="M942" s="116">
        <v>1297.3499999999999</v>
      </c>
      <c r="N942" s="116">
        <v>1312.9</v>
      </c>
      <c r="O942" s="116">
        <v>1285</v>
      </c>
      <c r="P942" s="116">
        <v>1290</v>
      </c>
      <c r="Q942" s="116">
        <v>1297.3499999999999</v>
      </c>
      <c r="R942">
        <v>115820</v>
      </c>
    </row>
    <row r="943" spans="1:18" x14ac:dyDescent="0.25">
      <c r="A943" s="170">
        <v>43390</v>
      </c>
      <c r="B943" s="116">
        <v>1310.25</v>
      </c>
      <c r="C943" s="116">
        <v>1284</v>
      </c>
      <c r="D943" s="116">
        <v>1277.05</v>
      </c>
      <c r="E943" s="116">
        <v>1310.25</v>
      </c>
      <c r="F943" s="116">
        <v>1284</v>
      </c>
      <c r="G943">
        <v>8088</v>
      </c>
      <c r="H943" s="116"/>
      <c r="I943" s="116"/>
      <c r="L943" s="170">
        <v>43390</v>
      </c>
      <c r="M943" s="116">
        <v>1285.0999999999999</v>
      </c>
      <c r="N943" s="116">
        <v>1313</v>
      </c>
      <c r="O943" s="116">
        <v>1280</v>
      </c>
      <c r="P943" s="116">
        <v>1313</v>
      </c>
      <c r="Q943" s="116">
        <v>1285.0999999999999</v>
      </c>
      <c r="R943">
        <v>29508</v>
      </c>
    </row>
    <row r="944" spans="1:18" x14ac:dyDescent="0.25">
      <c r="A944" s="170">
        <v>43392</v>
      </c>
      <c r="B944" s="116">
        <v>1297.25</v>
      </c>
      <c r="C944" s="116">
        <v>1273.3</v>
      </c>
      <c r="D944" s="116">
        <v>1268</v>
      </c>
      <c r="E944" s="116">
        <v>1280</v>
      </c>
      <c r="F944" s="116">
        <v>1273.3</v>
      </c>
      <c r="G944">
        <v>6148</v>
      </c>
      <c r="H944" s="116"/>
      <c r="I944" s="116"/>
      <c r="L944" s="170">
        <v>43392</v>
      </c>
      <c r="M944" s="116">
        <v>1271.5999999999999</v>
      </c>
      <c r="N944" s="116">
        <v>1298.3499999999999</v>
      </c>
      <c r="O944" s="116">
        <v>1262.2</v>
      </c>
      <c r="P944" s="116">
        <v>1285.0999999999999</v>
      </c>
      <c r="Q944" s="116">
        <v>1271.5999999999999</v>
      </c>
      <c r="R944">
        <v>30897</v>
      </c>
    </row>
    <row r="945" spans="1:18" x14ac:dyDescent="0.25">
      <c r="A945" s="170">
        <v>43395</v>
      </c>
      <c r="B945" s="116">
        <v>1282.5</v>
      </c>
      <c r="C945" s="116">
        <v>1248.3</v>
      </c>
      <c r="D945" s="116">
        <v>1242</v>
      </c>
      <c r="E945" s="116">
        <v>1272.3</v>
      </c>
      <c r="F945" s="116">
        <v>1248.3</v>
      </c>
      <c r="G945">
        <v>10994</v>
      </c>
      <c r="H945" s="116"/>
      <c r="I945" s="116"/>
      <c r="L945" s="170">
        <v>43395</v>
      </c>
      <c r="M945" s="116">
        <v>1249.5</v>
      </c>
      <c r="N945" s="116">
        <v>1286.2</v>
      </c>
      <c r="O945" s="116">
        <v>1241.05</v>
      </c>
      <c r="P945" s="116">
        <v>1280</v>
      </c>
      <c r="Q945" s="116">
        <v>1249.5</v>
      </c>
      <c r="R945">
        <v>35289</v>
      </c>
    </row>
    <row r="946" spans="1:18" x14ac:dyDescent="0.25">
      <c r="A946" s="170">
        <v>43396</v>
      </c>
      <c r="B946" s="116">
        <v>1300</v>
      </c>
      <c r="C946" s="116">
        <v>1244.8499999999999</v>
      </c>
      <c r="D946" s="116">
        <v>1224</v>
      </c>
      <c r="E946" s="116">
        <v>1246.55</v>
      </c>
      <c r="F946" s="116">
        <v>1244.8499999999999</v>
      </c>
      <c r="G946">
        <v>9275</v>
      </c>
      <c r="H946" s="116"/>
      <c r="I946" s="116"/>
      <c r="L946" s="170">
        <v>43396</v>
      </c>
      <c r="M946" s="116">
        <v>1245.4000000000001</v>
      </c>
      <c r="N946" s="116">
        <v>1262.4000000000001</v>
      </c>
      <c r="O946" s="116">
        <v>1226.0999999999999</v>
      </c>
      <c r="P946" s="116">
        <v>1250</v>
      </c>
      <c r="Q946" s="116">
        <v>1245.4000000000001</v>
      </c>
      <c r="R946">
        <v>74359</v>
      </c>
    </row>
    <row r="947" spans="1:18" x14ac:dyDescent="0.25">
      <c r="A947" s="170">
        <v>43397</v>
      </c>
      <c r="B947" s="116">
        <v>1259.95</v>
      </c>
      <c r="C947" s="116">
        <v>1243.8499999999999</v>
      </c>
      <c r="D947" s="116">
        <v>1228</v>
      </c>
      <c r="E947" s="116">
        <v>1254.3</v>
      </c>
      <c r="F947" s="116">
        <v>1243.8499999999999</v>
      </c>
      <c r="G947">
        <v>3180</v>
      </c>
      <c r="H947" s="116"/>
      <c r="I947" s="116"/>
      <c r="L947" s="170">
        <v>43397</v>
      </c>
      <c r="M947" s="116">
        <v>1238.7</v>
      </c>
      <c r="N947" s="116">
        <v>1265</v>
      </c>
      <c r="O947" s="116">
        <v>1223.8</v>
      </c>
      <c r="P947" s="116">
        <v>1255</v>
      </c>
      <c r="Q947" s="116">
        <v>1238.7</v>
      </c>
      <c r="R947">
        <v>32228</v>
      </c>
    </row>
    <row r="948" spans="1:18" x14ac:dyDescent="0.25">
      <c r="A948" s="170">
        <v>43398</v>
      </c>
      <c r="B948" s="116">
        <v>1232.75</v>
      </c>
      <c r="C948" s="116">
        <v>1217.9000000000001</v>
      </c>
      <c r="D948" s="116">
        <v>1205.1500000000001</v>
      </c>
      <c r="E948" s="116">
        <v>1230.05</v>
      </c>
      <c r="F948" s="116">
        <v>1217.9000000000001</v>
      </c>
      <c r="G948">
        <v>10892</v>
      </c>
      <c r="H948" s="116"/>
      <c r="I948" s="116"/>
      <c r="L948" s="170">
        <v>43398</v>
      </c>
      <c r="M948" s="116">
        <v>1219.9000000000001</v>
      </c>
      <c r="N948" s="116">
        <v>1238.95</v>
      </c>
      <c r="O948" s="116">
        <v>1205.0999999999999</v>
      </c>
      <c r="P948" s="116">
        <v>1224</v>
      </c>
      <c r="Q948" s="116">
        <v>1219.9000000000001</v>
      </c>
      <c r="R948">
        <v>24711</v>
      </c>
    </row>
    <row r="949" spans="1:18" x14ac:dyDescent="0.25">
      <c r="A949" s="170">
        <v>43399</v>
      </c>
      <c r="B949" s="116">
        <v>1257</v>
      </c>
      <c r="C949" s="116">
        <v>1235.2</v>
      </c>
      <c r="D949" s="116">
        <v>1210</v>
      </c>
      <c r="E949" s="116">
        <v>1210</v>
      </c>
      <c r="F949" s="116">
        <v>1235.2</v>
      </c>
      <c r="G949">
        <v>9485</v>
      </c>
      <c r="H949" s="116"/>
      <c r="I949" s="116"/>
      <c r="L949" s="170">
        <v>43399</v>
      </c>
      <c r="M949" s="116">
        <v>1232.6500000000001</v>
      </c>
      <c r="N949" s="116">
        <v>1255</v>
      </c>
      <c r="O949" s="116">
        <v>1205</v>
      </c>
      <c r="P949" s="116">
        <v>1236</v>
      </c>
      <c r="Q949" s="116">
        <v>1232.6500000000001</v>
      </c>
      <c r="R949">
        <v>29739</v>
      </c>
    </row>
    <row r="950" spans="1:18" x14ac:dyDescent="0.25">
      <c r="A950" s="170">
        <v>43402</v>
      </c>
      <c r="B950" s="116">
        <v>1252.7</v>
      </c>
      <c r="C950" s="116">
        <v>1232.95</v>
      </c>
      <c r="D950" s="116">
        <v>1223.8499999999999</v>
      </c>
      <c r="E950" s="116">
        <v>1239.9000000000001</v>
      </c>
      <c r="F950" s="116">
        <v>1232.95</v>
      </c>
      <c r="G950">
        <v>15189</v>
      </c>
      <c r="H950" s="116"/>
      <c r="I950" s="116"/>
      <c r="L950" s="170">
        <v>43402</v>
      </c>
      <c r="M950" s="116">
        <v>1230.75</v>
      </c>
      <c r="N950" s="116">
        <v>1254</v>
      </c>
      <c r="O950" s="116">
        <v>1225.2</v>
      </c>
      <c r="P950" s="116">
        <v>1234.1500000000001</v>
      </c>
      <c r="Q950" s="116">
        <v>1230.75</v>
      </c>
      <c r="R950">
        <v>38282</v>
      </c>
    </row>
    <row r="951" spans="1:18" x14ac:dyDescent="0.25">
      <c r="A951" s="170">
        <v>43403</v>
      </c>
      <c r="B951" s="116">
        <v>1261</v>
      </c>
      <c r="C951" s="116">
        <v>1209.25</v>
      </c>
      <c r="D951" s="116">
        <v>1191</v>
      </c>
      <c r="E951" s="116">
        <v>1240</v>
      </c>
      <c r="F951" s="116">
        <v>1209.25</v>
      </c>
      <c r="G951">
        <v>31541</v>
      </c>
      <c r="H951" s="116"/>
      <c r="I951" s="116"/>
      <c r="L951" s="170">
        <v>43403</v>
      </c>
      <c r="M951" s="116">
        <v>1208.2</v>
      </c>
      <c r="N951" s="116">
        <v>1265</v>
      </c>
      <c r="O951" s="116">
        <v>1190</v>
      </c>
      <c r="P951" s="116">
        <v>1239.0999999999999</v>
      </c>
      <c r="Q951" s="116">
        <v>1208.2</v>
      </c>
      <c r="R951">
        <v>370386</v>
      </c>
    </row>
    <row r="952" spans="1:18" x14ac:dyDescent="0.25">
      <c r="A952" s="170">
        <v>43404</v>
      </c>
      <c r="B952" s="116">
        <v>1289</v>
      </c>
      <c r="C952" s="116">
        <v>1280.05</v>
      </c>
      <c r="D952" s="116">
        <v>1219.0999999999999</v>
      </c>
      <c r="E952" s="116">
        <v>1227.4000000000001</v>
      </c>
      <c r="F952" s="116">
        <v>1280.05</v>
      </c>
      <c r="G952">
        <v>72319</v>
      </c>
      <c r="H952" s="116"/>
      <c r="I952" s="116"/>
      <c r="L952" s="170">
        <v>43404</v>
      </c>
      <c r="M952" s="116">
        <v>1279.1500000000001</v>
      </c>
      <c r="N952" s="116">
        <v>1288.45</v>
      </c>
      <c r="O952" s="116">
        <v>1215</v>
      </c>
      <c r="P952" s="116">
        <v>1247.5999999999999</v>
      </c>
      <c r="Q952" s="116">
        <v>1279.1500000000001</v>
      </c>
      <c r="R952">
        <v>368649</v>
      </c>
    </row>
    <row r="953" spans="1:18" x14ac:dyDescent="0.25">
      <c r="A953" s="170">
        <v>43405</v>
      </c>
      <c r="B953" s="116">
        <v>1367</v>
      </c>
      <c r="C953" s="116">
        <v>1318.75</v>
      </c>
      <c r="D953" s="116">
        <v>1283.5999999999999</v>
      </c>
      <c r="E953" s="116">
        <v>1299.0999999999999</v>
      </c>
      <c r="F953" s="116">
        <v>1318.75</v>
      </c>
      <c r="G953">
        <v>63244</v>
      </c>
      <c r="H953" s="116"/>
      <c r="I953" s="116"/>
      <c r="L953" s="170">
        <v>43405</v>
      </c>
      <c r="M953" s="116">
        <v>1317.55</v>
      </c>
      <c r="N953" s="116">
        <v>1359</v>
      </c>
      <c r="O953" s="116">
        <v>1282.8499999999999</v>
      </c>
      <c r="P953" s="116">
        <v>1290</v>
      </c>
      <c r="Q953" s="116">
        <v>1317.55</v>
      </c>
      <c r="R953">
        <v>413143</v>
      </c>
    </row>
    <row r="954" spans="1:18" x14ac:dyDescent="0.25">
      <c r="A954" s="170">
        <v>43406</v>
      </c>
      <c r="B954" s="116">
        <v>1413</v>
      </c>
      <c r="C954" s="116">
        <v>1314.35</v>
      </c>
      <c r="D954" s="116">
        <v>1311</v>
      </c>
      <c r="E954" s="116">
        <v>1340</v>
      </c>
      <c r="F954" s="116">
        <v>1314.35</v>
      </c>
      <c r="G954">
        <v>12585008</v>
      </c>
      <c r="H954" s="116"/>
      <c r="I954" s="116"/>
      <c r="L954" s="170">
        <v>43406</v>
      </c>
      <c r="M954" s="116">
        <v>1318.15</v>
      </c>
      <c r="N954" s="116">
        <v>1376</v>
      </c>
      <c r="O954" s="116">
        <v>1308.25</v>
      </c>
      <c r="P954" s="116">
        <v>1355</v>
      </c>
      <c r="Q954" s="116">
        <v>1318.15</v>
      </c>
      <c r="R954">
        <v>184826</v>
      </c>
    </row>
    <row r="955" spans="1:18" x14ac:dyDescent="0.25">
      <c r="A955" s="170">
        <v>43409</v>
      </c>
      <c r="B955" s="116">
        <v>1334.9</v>
      </c>
      <c r="C955" s="116">
        <v>1310.8</v>
      </c>
      <c r="D955" s="116">
        <v>1302</v>
      </c>
      <c r="E955" s="116">
        <v>1325</v>
      </c>
      <c r="F955" s="116">
        <v>1310.8</v>
      </c>
      <c r="G955">
        <v>9567</v>
      </c>
      <c r="H955" s="116"/>
      <c r="I955" s="116"/>
      <c r="L955" s="170">
        <v>43409</v>
      </c>
      <c r="M955" s="116">
        <v>1306.95</v>
      </c>
      <c r="N955" s="116">
        <v>1335.65</v>
      </c>
      <c r="O955" s="116">
        <v>1300</v>
      </c>
      <c r="P955" s="116">
        <v>1325</v>
      </c>
      <c r="Q955" s="116">
        <v>1306.95</v>
      </c>
      <c r="R955">
        <v>67509</v>
      </c>
    </row>
    <row r="956" spans="1:18" x14ac:dyDescent="0.25">
      <c r="A956" s="170">
        <v>43410</v>
      </c>
      <c r="B956" s="116">
        <v>1331.25</v>
      </c>
      <c r="C956" s="116">
        <v>1305.3</v>
      </c>
      <c r="D956" s="116">
        <v>1300.0999999999999</v>
      </c>
      <c r="E956" s="116">
        <v>1313</v>
      </c>
      <c r="F956" s="116">
        <v>1305.3</v>
      </c>
      <c r="G956">
        <v>16673</v>
      </c>
      <c r="H956" s="116"/>
      <c r="I956" s="116"/>
      <c r="L956" s="170">
        <v>43410</v>
      </c>
      <c r="M956" s="116">
        <v>1305.1500000000001</v>
      </c>
      <c r="N956" s="116">
        <v>1331</v>
      </c>
      <c r="O956" s="116">
        <v>1302.3</v>
      </c>
      <c r="P956" s="116">
        <v>1319</v>
      </c>
      <c r="Q956" s="116">
        <v>1305.1500000000001</v>
      </c>
      <c r="R956">
        <v>98447</v>
      </c>
    </row>
    <row r="957" spans="1:18" x14ac:dyDescent="0.25">
      <c r="A957" s="170">
        <v>43411</v>
      </c>
      <c r="B957" s="116">
        <v>1333</v>
      </c>
      <c r="C957" s="116">
        <v>1329.5</v>
      </c>
      <c r="D957" s="116">
        <v>1315</v>
      </c>
      <c r="E957" s="116">
        <v>1322.95</v>
      </c>
      <c r="F957" s="116">
        <v>1329.5</v>
      </c>
      <c r="G957">
        <v>3774</v>
      </c>
      <c r="H957" s="116"/>
      <c r="I957" s="116"/>
      <c r="L957" s="170">
        <v>43411</v>
      </c>
      <c r="M957" s="116">
        <v>1326</v>
      </c>
      <c r="N957" s="116">
        <v>1329.8</v>
      </c>
      <c r="O957" s="116">
        <v>1310</v>
      </c>
      <c r="P957" s="116">
        <v>1311.35</v>
      </c>
      <c r="Q957" s="116">
        <v>1326</v>
      </c>
      <c r="R957">
        <v>15789</v>
      </c>
    </row>
    <row r="958" spans="1:18" x14ac:dyDescent="0.25">
      <c r="A958" s="170">
        <v>43413</v>
      </c>
      <c r="B958" s="116">
        <v>1330</v>
      </c>
      <c r="C958" s="116">
        <v>1313.15</v>
      </c>
      <c r="D958" s="116">
        <v>1305.7</v>
      </c>
      <c r="E958" s="116">
        <v>1330</v>
      </c>
      <c r="F958" s="116">
        <v>1313.15</v>
      </c>
      <c r="G958">
        <v>3052</v>
      </c>
      <c r="H958" s="116"/>
      <c r="I958" s="116"/>
      <c r="L958" s="170">
        <v>43413</v>
      </c>
      <c r="M958" s="116">
        <v>1308.05</v>
      </c>
      <c r="N958" s="116">
        <v>1330</v>
      </c>
      <c r="O958" s="116">
        <v>1304</v>
      </c>
      <c r="P958" s="116">
        <v>1330</v>
      </c>
      <c r="Q958" s="116">
        <v>1308.05</v>
      </c>
      <c r="R958">
        <v>68032</v>
      </c>
    </row>
    <row r="959" spans="1:18" x14ac:dyDescent="0.25">
      <c r="A959" s="170">
        <v>43416</v>
      </c>
      <c r="B959" s="116">
        <v>1322.4</v>
      </c>
      <c r="C959" s="116">
        <v>1309.1500000000001</v>
      </c>
      <c r="D959" s="116">
        <v>1302.2</v>
      </c>
      <c r="E959" s="116">
        <v>1321.15</v>
      </c>
      <c r="F959" s="116">
        <v>1309.1500000000001</v>
      </c>
      <c r="G959">
        <v>45006</v>
      </c>
      <c r="H959" s="116"/>
      <c r="I959" s="116"/>
      <c r="L959" s="170">
        <v>43416</v>
      </c>
      <c r="M959" s="116">
        <v>1307.4000000000001</v>
      </c>
      <c r="N959" s="116">
        <v>1321</v>
      </c>
      <c r="O959" s="116">
        <v>1300</v>
      </c>
      <c r="P959" s="116">
        <v>1321</v>
      </c>
      <c r="Q959" s="116">
        <v>1307.4000000000001</v>
      </c>
      <c r="R959">
        <v>79226</v>
      </c>
    </row>
    <row r="960" spans="1:18" x14ac:dyDescent="0.25">
      <c r="A960" s="170">
        <v>43417</v>
      </c>
      <c r="B960" s="116">
        <v>1320</v>
      </c>
      <c r="C960" s="116">
        <v>1294.2</v>
      </c>
      <c r="D960" s="116">
        <v>1291.2</v>
      </c>
      <c r="E960" s="116">
        <v>1311.6</v>
      </c>
      <c r="F960" s="116">
        <v>1294.2</v>
      </c>
      <c r="G960">
        <v>5491</v>
      </c>
      <c r="H960" s="116"/>
      <c r="I960" s="116"/>
      <c r="L960" s="170">
        <v>43417</v>
      </c>
      <c r="M960" s="116">
        <v>1297.7</v>
      </c>
      <c r="N960" s="116">
        <v>1320.2</v>
      </c>
      <c r="O960" s="116">
        <v>1293.55</v>
      </c>
      <c r="P960" s="116">
        <v>1305</v>
      </c>
      <c r="Q960" s="116">
        <v>1297.7</v>
      </c>
      <c r="R960">
        <v>37350</v>
      </c>
    </row>
    <row r="961" spans="1:18" x14ac:dyDescent="0.25">
      <c r="A961" s="170">
        <v>43418</v>
      </c>
      <c r="B961" s="116">
        <v>1315</v>
      </c>
      <c r="C961" s="116">
        <v>1285.95</v>
      </c>
      <c r="D961" s="116">
        <v>1279.1500000000001</v>
      </c>
      <c r="E961" s="116">
        <v>1295.2</v>
      </c>
      <c r="F961" s="116">
        <v>1285.95</v>
      </c>
      <c r="G961">
        <v>4521</v>
      </c>
      <c r="H961" s="116"/>
      <c r="I961" s="116"/>
      <c r="L961" s="170">
        <v>43418</v>
      </c>
      <c r="M961" s="116">
        <v>1287.6500000000001</v>
      </c>
      <c r="N961" s="116">
        <v>1315.85</v>
      </c>
      <c r="O961" s="116">
        <v>1285.3499999999999</v>
      </c>
      <c r="P961" s="116">
        <v>1309.95</v>
      </c>
      <c r="Q961" s="116">
        <v>1287.6500000000001</v>
      </c>
      <c r="R961">
        <v>290316</v>
      </c>
    </row>
    <row r="962" spans="1:18" x14ac:dyDescent="0.25">
      <c r="A962" s="170">
        <v>43419</v>
      </c>
      <c r="B962" s="116">
        <v>1311</v>
      </c>
      <c r="C962" s="116">
        <v>1292.3499999999999</v>
      </c>
      <c r="D962" s="116">
        <v>1286.05</v>
      </c>
      <c r="E962" s="116">
        <v>1298.05</v>
      </c>
      <c r="F962" s="116">
        <v>1292.3499999999999</v>
      </c>
      <c r="G962">
        <v>3859</v>
      </c>
      <c r="H962" s="116"/>
      <c r="I962" s="116"/>
      <c r="L962" s="170">
        <v>43419</v>
      </c>
      <c r="M962" s="116">
        <v>1291.6500000000001</v>
      </c>
      <c r="N962" s="116">
        <v>1314.9</v>
      </c>
      <c r="O962" s="116">
        <v>1285</v>
      </c>
      <c r="P962" s="116">
        <v>1295.95</v>
      </c>
      <c r="Q962" s="116">
        <v>1291.6500000000001</v>
      </c>
      <c r="R962">
        <v>152831</v>
      </c>
    </row>
    <row r="963" spans="1:18" x14ac:dyDescent="0.25">
      <c r="A963" s="170">
        <v>43420</v>
      </c>
      <c r="B963" s="116">
        <v>1326.05</v>
      </c>
      <c r="C963" s="116">
        <v>1320.55</v>
      </c>
      <c r="D963" s="116">
        <v>1292.3499999999999</v>
      </c>
      <c r="E963" s="116">
        <v>1293.55</v>
      </c>
      <c r="F963" s="116">
        <v>1320.55</v>
      </c>
      <c r="G963">
        <v>9868</v>
      </c>
      <c r="H963" s="116"/>
      <c r="I963" s="116"/>
      <c r="L963" s="170">
        <v>43420</v>
      </c>
      <c r="M963" s="116">
        <v>1322.9</v>
      </c>
      <c r="N963" s="116">
        <v>1329.95</v>
      </c>
      <c r="O963" s="116">
        <v>1296</v>
      </c>
      <c r="P963" s="116">
        <v>1296</v>
      </c>
      <c r="Q963" s="116">
        <v>1322.9</v>
      </c>
      <c r="R963">
        <v>56085</v>
      </c>
    </row>
    <row r="964" spans="1:18" x14ac:dyDescent="0.25">
      <c r="A964" s="170">
        <v>43423</v>
      </c>
      <c r="B964" s="116">
        <v>1352.5</v>
      </c>
      <c r="C964" s="116">
        <v>1347.4</v>
      </c>
      <c r="D964" s="116">
        <v>1324.75</v>
      </c>
      <c r="E964" s="116">
        <v>1331.9</v>
      </c>
      <c r="F964" s="116">
        <v>1347.4</v>
      </c>
      <c r="G964">
        <v>11086</v>
      </c>
      <c r="H964" s="116"/>
      <c r="I964" s="116"/>
      <c r="L964" s="170">
        <v>43423</v>
      </c>
      <c r="M964" s="116">
        <v>1350.7</v>
      </c>
      <c r="N964" s="116">
        <v>1359</v>
      </c>
      <c r="O964" s="116">
        <v>1325</v>
      </c>
      <c r="P964" s="116">
        <v>1325</v>
      </c>
      <c r="Q964" s="116">
        <v>1350.7</v>
      </c>
      <c r="R964">
        <v>192933</v>
      </c>
    </row>
    <row r="965" spans="1:18" x14ac:dyDescent="0.25">
      <c r="A965" s="170">
        <v>43424</v>
      </c>
      <c r="B965" s="116">
        <v>1349</v>
      </c>
      <c r="C965" s="116">
        <v>1339.6</v>
      </c>
      <c r="D965" s="116">
        <v>1333</v>
      </c>
      <c r="E965" s="116">
        <v>1346</v>
      </c>
      <c r="F965" s="116">
        <v>1339.6</v>
      </c>
      <c r="G965">
        <v>3350</v>
      </c>
      <c r="H965" s="116"/>
      <c r="I965" s="116"/>
      <c r="L965" s="170">
        <v>43424</v>
      </c>
      <c r="M965" s="116">
        <v>1342.7</v>
      </c>
      <c r="N965" s="116">
        <v>1350</v>
      </c>
      <c r="O965" s="116">
        <v>1336.9</v>
      </c>
      <c r="P965" s="116">
        <v>1348</v>
      </c>
      <c r="Q965" s="116">
        <v>1342.7</v>
      </c>
      <c r="R965">
        <v>37580</v>
      </c>
    </row>
    <row r="966" spans="1:18" x14ac:dyDescent="0.25">
      <c r="A966" s="170">
        <v>43425</v>
      </c>
      <c r="B966" s="116">
        <v>1346.95</v>
      </c>
      <c r="C966" s="116">
        <v>1344.15</v>
      </c>
      <c r="D966" s="116">
        <v>1324.75</v>
      </c>
      <c r="E966" s="116">
        <v>1343</v>
      </c>
      <c r="F966" s="116">
        <v>1344.15</v>
      </c>
      <c r="G966">
        <v>21785</v>
      </c>
      <c r="H966" s="116"/>
      <c r="I966" s="116"/>
      <c r="L966" s="170">
        <v>43425</v>
      </c>
      <c r="M966" s="116">
        <v>1341.2</v>
      </c>
      <c r="N966" s="116">
        <v>1348.8</v>
      </c>
      <c r="O966" s="116">
        <v>1323.05</v>
      </c>
      <c r="P966" s="116">
        <v>1347.5</v>
      </c>
      <c r="Q966" s="116">
        <v>1341.2</v>
      </c>
      <c r="R966">
        <v>28217</v>
      </c>
    </row>
    <row r="967" spans="1:18" x14ac:dyDescent="0.25">
      <c r="A967" s="170">
        <v>43426</v>
      </c>
      <c r="B967" s="116">
        <v>1357.9</v>
      </c>
      <c r="C967" s="116">
        <v>1345.25</v>
      </c>
      <c r="D967" s="116">
        <v>1335</v>
      </c>
      <c r="E967" s="116">
        <v>1335.65</v>
      </c>
      <c r="F967" s="116">
        <v>1345.25</v>
      </c>
      <c r="G967">
        <v>8249</v>
      </c>
      <c r="H967" s="116"/>
      <c r="I967" s="116"/>
      <c r="L967" s="170">
        <v>43426</v>
      </c>
      <c r="M967" s="116">
        <v>1345.35</v>
      </c>
      <c r="N967" s="116">
        <v>1361.25</v>
      </c>
      <c r="O967" s="116">
        <v>1329</v>
      </c>
      <c r="P967" s="116">
        <v>1341.2</v>
      </c>
      <c r="Q967" s="116">
        <v>1345.35</v>
      </c>
      <c r="R967">
        <v>64842</v>
      </c>
    </row>
    <row r="968" spans="1:18" x14ac:dyDescent="0.25">
      <c r="A968" s="170">
        <v>43430</v>
      </c>
      <c r="B968" s="116">
        <v>1362.1</v>
      </c>
      <c r="C968" s="116">
        <v>1348.95</v>
      </c>
      <c r="D968" s="116">
        <v>1336.75</v>
      </c>
      <c r="E968" s="116">
        <v>1357.9</v>
      </c>
      <c r="F968" s="116">
        <v>1348.95</v>
      </c>
      <c r="G968">
        <v>11486</v>
      </c>
      <c r="H968" s="116"/>
      <c r="I968" s="116"/>
      <c r="L968" s="170">
        <v>43430</v>
      </c>
      <c r="M968" s="116">
        <v>1348.7</v>
      </c>
      <c r="N968" s="116">
        <v>1365.85</v>
      </c>
      <c r="O968" s="116">
        <v>1334.4</v>
      </c>
      <c r="P968" s="116">
        <v>1350.05</v>
      </c>
      <c r="Q968" s="116">
        <v>1348.7</v>
      </c>
      <c r="R968">
        <v>47967</v>
      </c>
    </row>
    <row r="969" spans="1:18" x14ac:dyDescent="0.25">
      <c r="A969" s="170">
        <v>43431</v>
      </c>
      <c r="B969" s="116">
        <v>1364.55</v>
      </c>
      <c r="C969" s="116">
        <v>1353.75</v>
      </c>
      <c r="D969" s="116">
        <v>1345.3</v>
      </c>
      <c r="E969" s="116">
        <v>1349.2</v>
      </c>
      <c r="F969" s="116">
        <v>1353.75</v>
      </c>
      <c r="G969">
        <v>2701</v>
      </c>
      <c r="H969" s="116"/>
      <c r="I969" s="116"/>
      <c r="L969" s="170">
        <v>43431</v>
      </c>
      <c r="M969" s="116">
        <v>1356</v>
      </c>
      <c r="N969" s="116">
        <v>1363.4</v>
      </c>
      <c r="O969" s="116">
        <v>1344</v>
      </c>
      <c r="P969" s="116">
        <v>1349</v>
      </c>
      <c r="Q969" s="116">
        <v>1356</v>
      </c>
      <c r="R969">
        <v>33822</v>
      </c>
    </row>
    <row r="970" spans="1:18" x14ac:dyDescent="0.25">
      <c r="A970" s="170">
        <v>43432</v>
      </c>
      <c r="B970" s="116">
        <v>1402.1</v>
      </c>
      <c r="C970" s="116">
        <v>1398.35</v>
      </c>
      <c r="D970" s="116">
        <v>1346.05</v>
      </c>
      <c r="E970" s="116">
        <v>1360</v>
      </c>
      <c r="F970" s="116">
        <v>1398.35</v>
      </c>
      <c r="G970">
        <v>20521</v>
      </c>
      <c r="H970" s="116"/>
      <c r="I970" s="116"/>
      <c r="L970" s="170">
        <v>43432</v>
      </c>
      <c r="M970" s="116">
        <v>1399.1</v>
      </c>
      <c r="N970" s="116">
        <v>1404.95</v>
      </c>
      <c r="O970" s="116">
        <v>1345</v>
      </c>
      <c r="P970" s="116">
        <v>1356.05</v>
      </c>
      <c r="Q970" s="116">
        <v>1399.1</v>
      </c>
      <c r="R970">
        <v>269181</v>
      </c>
    </row>
    <row r="971" spans="1:18" x14ac:dyDescent="0.25">
      <c r="A971" s="170">
        <v>43433</v>
      </c>
      <c r="B971" s="116">
        <v>1417.7</v>
      </c>
      <c r="C971" s="116">
        <v>1382.5</v>
      </c>
      <c r="D971" s="116">
        <v>1370.15</v>
      </c>
      <c r="E971" s="116">
        <v>1410</v>
      </c>
      <c r="F971" s="116">
        <v>1382.5</v>
      </c>
      <c r="G971">
        <v>9290</v>
      </c>
      <c r="H971" s="116"/>
      <c r="I971" s="116"/>
      <c r="L971" s="170">
        <v>43433</v>
      </c>
      <c r="M971" s="116">
        <v>1386.3</v>
      </c>
      <c r="N971" s="116">
        <v>1417.55</v>
      </c>
      <c r="O971" s="116">
        <v>1375</v>
      </c>
      <c r="P971" s="116">
        <v>1407.5</v>
      </c>
      <c r="Q971" s="116">
        <v>1386.3</v>
      </c>
      <c r="R971">
        <v>87581</v>
      </c>
    </row>
    <row r="972" spans="1:18" x14ac:dyDescent="0.25">
      <c r="A972" s="170">
        <v>43434</v>
      </c>
      <c r="B972" s="116">
        <v>1410</v>
      </c>
      <c r="C972" s="116">
        <v>1405.85</v>
      </c>
      <c r="D972" s="116">
        <v>1376.35</v>
      </c>
      <c r="E972" s="116">
        <v>1390.9</v>
      </c>
      <c r="F972" s="116">
        <v>1405.85</v>
      </c>
      <c r="G972">
        <v>5829</v>
      </c>
      <c r="H972" s="116"/>
      <c r="I972" s="116"/>
      <c r="L972" s="170">
        <v>43434</v>
      </c>
      <c r="M972" s="116">
        <v>1408.7</v>
      </c>
      <c r="N972" s="116">
        <v>1412.1</v>
      </c>
      <c r="O972" s="116">
        <v>1374.05</v>
      </c>
      <c r="P972" s="116">
        <v>1390.25</v>
      </c>
      <c r="Q972" s="116">
        <v>1408.7</v>
      </c>
      <c r="R972">
        <v>136537</v>
      </c>
    </row>
    <row r="973" spans="1:18" x14ac:dyDescent="0.25">
      <c r="A973" s="170">
        <v>43437</v>
      </c>
      <c r="B973" s="116">
        <v>1417.45</v>
      </c>
      <c r="C973" s="116">
        <v>1391.55</v>
      </c>
      <c r="D973" s="116">
        <v>1384</v>
      </c>
      <c r="E973" s="116">
        <v>1415.95</v>
      </c>
      <c r="F973" s="116">
        <v>1391.55</v>
      </c>
      <c r="G973">
        <v>4012</v>
      </c>
      <c r="H973" s="116"/>
      <c r="I973" s="116"/>
      <c r="L973" s="170">
        <v>43437</v>
      </c>
      <c r="M973" s="116">
        <v>1389.2</v>
      </c>
      <c r="N973" s="116">
        <v>1419</v>
      </c>
      <c r="O973" s="116">
        <v>1380</v>
      </c>
      <c r="P973" s="116">
        <v>1410</v>
      </c>
      <c r="Q973" s="116">
        <v>1389.2</v>
      </c>
      <c r="R973">
        <v>34631</v>
      </c>
    </row>
    <row r="974" spans="1:18" x14ac:dyDescent="0.25">
      <c r="A974" s="170">
        <v>43438</v>
      </c>
      <c r="B974" s="116">
        <v>1399.15</v>
      </c>
      <c r="C974" s="116">
        <v>1381.8</v>
      </c>
      <c r="D974" s="116">
        <v>1375.3</v>
      </c>
      <c r="E974" s="116">
        <v>1390</v>
      </c>
      <c r="F974" s="116">
        <v>1381.8</v>
      </c>
      <c r="G974">
        <v>3667</v>
      </c>
      <c r="H974" s="116"/>
      <c r="I974" s="116"/>
      <c r="L974" s="170">
        <v>43438</v>
      </c>
      <c r="M974" s="116">
        <v>1382.05</v>
      </c>
      <c r="N974" s="116">
        <v>1400</v>
      </c>
      <c r="O974" s="116">
        <v>1376</v>
      </c>
      <c r="P974" s="116">
        <v>1392</v>
      </c>
      <c r="Q974" s="116">
        <v>1382.05</v>
      </c>
      <c r="R974">
        <v>22886</v>
      </c>
    </row>
    <row r="975" spans="1:18" x14ac:dyDescent="0.25">
      <c r="A975" s="170">
        <v>43439</v>
      </c>
      <c r="B975" s="116">
        <v>1382.85</v>
      </c>
      <c r="C975" s="116">
        <v>1374.3</v>
      </c>
      <c r="D975" s="116">
        <v>1365.45</v>
      </c>
      <c r="E975" s="116">
        <v>1375</v>
      </c>
      <c r="F975" s="116">
        <v>1374.3</v>
      </c>
      <c r="G975">
        <v>2471</v>
      </c>
      <c r="H975" s="116"/>
      <c r="I975" s="116"/>
      <c r="L975" s="170">
        <v>43439</v>
      </c>
      <c r="M975" s="116">
        <v>1372.7</v>
      </c>
      <c r="N975" s="116">
        <v>1382.15</v>
      </c>
      <c r="O975" s="116">
        <v>1362.55</v>
      </c>
      <c r="P975" s="116">
        <v>1381.95</v>
      </c>
      <c r="Q975" s="116">
        <v>1372.7</v>
      </c>
      <c r="R975">
        <v>22409</v>
      </c>
    </row>
    <row r="976" spans="1:18" x14ac:dyDescent="0.25">
      <c r="A976" s="170">
        <v>43440</v>
      </c>
      <c r="B976" s="116">
        <v>1398.55</v>
      </c>
      <c r="C976" s="116">
        <v>1378.2</v>
      </c>
      <c r="D976" s="116">
        <v>1353.8</v>
      </c>
      <c r="E976" s="116">
        <v>1372</v>
      </c>
      <c r="F976" s="116">
        <v>1378.2</v>
      </c>
      <c r="G976">
        <v>8212</v>
      </c>
      <c r="H976" s="116"/>
      <c r="I976" s="116"/>
      <c r="L976" s="170">
        <v>43440</v>
      </c>
      <c r="M976" s="116">
        <v>1378.35</v>
      </c>
      <c r="N976" s="116">
        <v>1399.9</v>
      </c>
      <c r="O976" s="116">
        <v>1353.05</v>
      </c>
      <c r="P976" s="116">
        <v>1366.9</v>
      </c>
      <c r="Q976" s="116">
        <v>1378.35</v>
      </c>
      <c r="R976">
        <v>49745</v>
      </c>
    </row>
    <row r="977" spans="1:18" x14ac:dyDescent="0.25">
      <c r="A977" s="170">
        <v>43441</v>
      </c>
      <c r="B977" s="116">
        <v>1405</v>
      </c>
      <c r="C977" s="116">
        <v>1392.45</v>
      </c>
      <c r="D977" s="116">
        <v>1379.15</v>
      </c>
      <c r="E977" s="116">
        <v>1392.2</v>
      </c>
      <c r="F977" s="116">
        <v>1392.45</v>
      </c>
      <c r="G977">
        <v>5926</v>
      </c>
      <c r="H977" s="116"/>
      <c r="I977" s="116"/>
      <c r="L977" s="170">
        <v>43441</v>
      </c>
      <c r="M977" s="116">
        <v>1395.9</v>
      </c>
      <c r="N977" s="116">
        <v>1409</v>
      </c>
      <c r="O977" s="116">
        <v>1375.15</v>
      </c>
      <c r="P977" s="116">
        <v>1386.95</v>
      </c>
      <c r="Q977" s="116">
        <v>1395.9</v>
      </c>
      <c r="R977">
        <v>55427</v>
      </c>
    </row>
    <row r="978" spans="1:18" x14ac:dyDescent="0.25">
      <c r="A978" s="170">
        <v>43444</v>
      </c>
      <c r="B978" s="116">
        <v>1414.15</v>
      </c>
      <c r="C978" s="116">
        <v>1397</v>
      </c>
      <c r="D978" s="116">
        <v>1371.85</v>
      </c>
      <c r="E978" s="116">
        <v>1371.85</v>
      </c>
      <c r="F978" s="116">
        <v>1397</v>
      </c>
      <c r="G978">
        <v>9952</v>
      </c>
      <c r="H978" s="116"/>
      <c r="I978" s="116"/>
      <c r="L978" s="170">
        <v>43444</v>
      </c>
      <c r="M978" s="116">
        <v>1396.75</v>
      </c>
      <c r="N978" s="116">
        <v>1416.85</v>
      </c>
      <c r="O978" s="116">
        <v>1369.05</v>
      </c>
      <c r="P978" s="116">
        <v>1378.5</v>
      </c>
      <c r="Q978" s="116">
        <v>1396.75</v>
      </c>
      <c r="R978">
        <v>79950</v>
      </c>
    </row>
    <row r="979" spans="1:18" x14ac:dyDescent="0.25">
      <c r="A979" s="170">
        <v>43445</v>
      </c>
      <c r="B979" s="116">
        <v>1420.7</v>
      </c>
      <c r="C979" s="116">
        <v>1402.4</v>
      </c>
      <c r="D979" s="116">
        <v>1389.25</v>
      </c>
      <c r="E979" s="116">
        <v>1395</v>
      </c>
      <c r="F979" s="116">
        <v>1402.4</v>
      </c>
      <c r="G979">
        <v>7464</v>
      </c>
      <c r="H979" s="116"/>
      <c r="I979" s="116"/>
      <c r="L979" s="170">
        <v>43445</v>
      </c>
      <c r="M979" s="116">
        <v>1399.95</v>
      </c>
      <c r="N979" s="116">
        <v>1418.75</v>
      </c>
      <c r="O979" s="116">
        <v>1380</v>
      </c>
      <c r="P979" s="116">
        <v>1389.75</v>
      </c>
      <c r="Q979" s="116">
        <v>1399.95</v>
      </c>
      <c r="R979">
        <v>57644</v>
      </c>
    </row>
    <row r="980" spans="1:18" x14ac:dyDescent="0.25">
      <c r="A980" s="170">
        <v>43446</v>
      </c>
      <c r="B980" s="116">
        <v>1449</v>
      </c>
      <c r="C980" s="116">
        <v>1433.45</v>
      </c>
      <c r="D980" s="116">
        <v>1402</v>
      </c>
      <c r="E980" s="116">
        <v>1412</v>
      </c>
      <c r="F980" s="116">
        <v>1433.45</v>
      </c>
      <c r="G980">
        <v>14217</v>
      </c>
      <c r="H980" s="116"/>
      <c r="I980" s="116"/>
      <c r="L980" s="170">
        <v>43446</v>
      </c>
      <c r="M980" s="116">
        <v>1429.9</v>
      </c>
      <c r="N980" s="116">
        <v>1449</v>
      </c>
      <c r="O980" s="116">
        <v>1397.3</v>
      </c>
      <c r="P980" s="116">
        <v>1422</v>
      </c>
      <c r="Q980" s="116">
        <v>1429.9</v>
      </c>
      <c r="R980">
        <v>186494</v>
      </c>
    </row>
    <row r="981" spans="1:18" x14ac:dyDescent="0.25">
      <c r="A981" s="170">
        <v>43447</v>
      </c>
      <c r="B981" s="116">
        <v>1458.7</v>
      </c>
      <c r="C981" s="116">
        <v>1437.45</v>
      </c>
      <c r="D981" s="116">
        <v>1430</v>
      </c>
      <c r="E981" s="116">
        <v>1450</v>
      </c>
      <c r="F981" s="116">
        <v>1437.45</v>
      </c>
      <c r="G981">
        <v>7809</v>
      </c>
      <c r="H981" s="116"/>
      <c r="I981" s="116"/>
      <c r="L981" s="170">
        <v>43447</v>
      </c>
      <c r="M981" s="116">
        <v>1438.65</v>
      </c>
      <c r="N981" s="116">
        <v>1460</v>
      </c>
      <c r="O981" s="116">
        <v>1428</v>
      </c>
      <c r="P981" s="116">
        <v>1449.5</v>
      </c>
      <c r="Q981" s="116">
        <v>1438.65</v>
      </c>
      <c r="R981">
        <v>84328</v>
      </c>
    </row>
    <row r="982" spans="1:18" x14ac:dyDescent="0.25">
      <c r="A982" s="170">
        <v>43448</v>
      </c>
      <c r="B982" s="116">
        <v>1444.45</v>
      </c>
      <c r="C982" s="116">
        <v>1431.35</v>
      </c>
      <c r="D982" s="116">
        <v>1407.85</v>
      </c>
      <c r="E982" s="116">
        <v>1420</v>
      </c>
      <c r="F982" s="116">
        <v>1431.35</v>
      </c>
      <c r="G982">
        <v>3868</v>
      </c>
      <c r="H982" s="116"/>
      <c r="I982" s="116"/>
      <c r="L982" s="170">
        <v>43448</v>
      </c>
      <c r="M982" s="116">
        <v>1430.1</v>
      </c>
      <c r="N982" s="116">
        <v>1444</v>
      </c>
      <c r="O982" s="116">
        <v>1405.05</v>
      </c>
      <c r="P982" s="116">
        <v>1437.5</v>
      </c>
      <c r="Q982" s="116">
        <v>1430.1</v>
      </c>
      <c r="R982">
        <v>43242</v>
      </c>
    </row>
    <row r="983" spans="1:18" x14ac:dyDescent="0.25">
      <c r="A983" s="170">
        <v>43451</v>
      </c>
      <c r="B983" s="116">
        <v>1465</v>
      </c>
      <c r="C983" s="116">
        <v>1399.45</v>
      </c>
      <c r="D983" s="116">
        <v>1392.55</v>
      </c>
      <c r="E983" s="116">
        <v>1453.9</v>
      </c>
      <c r="F983" s="116">
        <v>1399.45</v>
      </c>
      <c r="G983">
        <v>13455</v>
      </c>
      <c r="H983" s="116"/>
      <c r="I983" s="116"/>
      <c r="L983" s="170">
        <v>43451</v>
      </c>
      <c r="M983" s="116">
        <v>1399.65</v>
      </c>
      <c r="N983" s="116">
        <v>1464</v>
      </c>
      <c r="O983" s="116">
        <v>1390</v>
      </c>
      <c r="P983" s="116">
        <v>1454.8</v>
      </c>
      <c r="Q983" s="116">
        <v>1399.65</v>
      </c>
      <c r="R983">
        <v>416570</v>
      </c>
    </row>
    <row r="984" spans="1:18" x14ac:dyDescent="0.25">
      <c r="A984" s="170">
        <v>43452</v>
      </c>
      <c r="B984" s="116">
        <v>1399</v>
      </c>
      <c r="C984" s="116">
        <v>1335.9</v>
      </c>
      <c r="D984" s="116">
        <v>1325</v>
      </c>
      <c r="E984" s="116">
        <v>1399</v>
      </c>
      <c r="F984" s="116">
        <v>1335.9</v>
      </c>
      <c r="G984">
        <v>22410</v>
      </c>
      <c r="H984" s="116"/>
      <c r="I984" s="116"/>
      <c r="L984" s="170">
        <v>43452</v>
      </c>
      <c r="M984" s="116">
        <v>1333.95</v>
      </c>
      <c r="N984" s="116">
        <v>1398.95</v>
      </c>
      <c r="O984" s="116">
        <v>1321.15</v>
      </c>
      <c r="P984" s="116">
        <v>1398.95</v>
      </c>
      <c r="Q984" s="116">
        <v>1333.95</v>
      </c>
      <c r="R984">
        <v>546938</v>
      </c>
    </row>
    <row r="985" spans="1:18" x14ac:dyDescent="0.25">
      <c r="A985" s="170">
        <v>43453</v>
      </c>
      <c r="B985" s="116">
        <v>1359</v>
      </c>
      <c r="C985" s="116">
        <v>1333.05</v>
      </c>
      <c r="D985" s="116">
        <v>1284</v>
      </c>
      <c r="E985" s="116">
        <v>1333.1</v>
      </c>
      <c r="F985" s="116">
        <v>1333.05</v>
      </c>
      <c r="G985">
        <v>52222</v>
      </c>
      <c r="H985" s="116"/>
      <c r="I985" s="116"/>
      <c r="L985" s="170">
        <v>43453</v>
      </c>
      <c r="M985" s="116">
        <v>1334.1</v>
      </c>
      <c r="N985" s="116">
        <v>1361.3</v>
      </c>
      <c r="O985" s="116">
        <v>1280.0999999999999</v>
      </c>
      <c r="P985" s="116">
        <v>1323</v>
      </c>
      <c r="Q985" s="116">
        <v>1334.1</v>
      </c>
      <c r="R985">
        <v>722698</v>
      </c>
    </row>
    <row r="986" spans="1:18" x14ac:dyDescent="0.25">
      <c r="A986" s="170">
        <v>43454</v>
      </c>
      <c r="B986" s="116">
        <v>1342.8</v>
      </c>
      <c r="C986" s="116">
        <v>1316</v>
      </c>
      <c r="D986" s="116">
        <v>1298.0999999999999</v>
      </c>
      <c r="E986" s="116">
        <v>1334</v>
      </c>
      <c r="F986" s="116">
        <v>1316</v>
      </c>
      <c r="G986">
        <v>12589</v>
      </c>
      <c r="H986" s="116"/>
      <c r="I986" s="116"/>
      <c r="L986" s="170">
        <v>43454</v>
      </c>
      <c r="M986" s="116">
        <v>1314.15</v>
      </c>
      <c r="N986" s="116">
        <v>1345.45</v>
      </c>
      <c r="O986" s="116">
        <v>1296.4000000000001</v>
      </c>
      <c r="P986" s="116">
        <v>1344.8</v>
      </c>
      <c r="Q986" s="116">
        <v>1314.15</v>
      </c>
      <c r="R986">
        <v>249605</v>
      </c>
    </row>
    <row r="987" spans="1:18" x14ac:dyDescent="0.25">
      <c r="A987" s="170">
        <v>43455</v>
      </c>
      <c r="B987" s="116">
        <v>1325.15</v>
      </c>
      <c r="C987" s="116">
        <v>1303</v>
      </c>
      <c r="D987" s="116">
        <v>1296</v>
      </c>
      <c r="E987" s="116">
        <v>1320</v>
      </c>
      <c r="F987" s="116">
        <v>1303</v>
      </c>
      <c r="G987">
        <v>10865</v>
      </c>
      <c r="H987" s="116"/>
      <c r="I987" s="116"/>
      <c r="L987" s="170">
        <v>43455</v>
      </c>
      <c r="M987" s="116">
        <v>1302.7</v>
      </c>
      <c r="N987" s="116">
        <v>1325</v>
      </c>
      <c r="O987" s="116">
        <v>1295</v>
      </c>
      <c r="P987" s="116">
        <v>1315</v>
      </c>
      <c r="Q987" s="116">
        <v>1302.7</v>
      </c>
      <c r="R987">
        <v>193848</v>
      </c>
    </row>
    <row r="988" spans="1:18" x14ac:dyDescent="0.25">
      <c r="A988" s="170">
        <v>43458</v>
      </c>
      <c r="B988" s="116">
        <v>1316.5</v>
      </c>
      <c r="C988" s="116">
        <v>1305.45</v>
      </c>
      <c r="D988" s="116">
        <v>1300.0999999999999</v>
      </c>
      <c r="E988" s="116">
        <v>1303.5</v>
      </c>
      <c r="F988" s="116">
        <v>1305.45</v>
      </c>
      <c r="G988">
        <v>13091</v>
      </c>
      <c r="H988" s="116"/>
      <c r="I988" s="116"/>
      <c r="L988" s="170">
        <v>43458</v>
      </c>
      <c r="M988" s="116">
        <v>1302.1500000000001</v>
      </c>
      <c r="N988" s="116">
        <v>1318</v>
      </c>
      <c r="O988" s="116">
        <v>1299</v>
      </c>
      <c r="P988" s="116">
        <v>1304.3</v>
      </c>
      <c r="Q988" s="116">
        <v>1302.1500000000001</v>
      </c>
      <c r="R988">
        <v>66103</v>
      </c>
    </row>
    <row r="989" spans="1:18" x14ac:dyDescent="0.25">
      <c r="A989" s="170">
        <v>43460</v>
      </c>
      <c r="B989" s="116">
        <v>1318.5</v>
      </c>
      <c r="C989" s="116">
        <v>1297.95</v>
      </c>
      <c r="D989" s="116">
        <v>1286.8499999999999</v>
      </c>
      <c r="E989" s="116">
        <v>1310</v>
      </c>
      <c r="F989" s="116">
        <v>1297.95</v>
      </c>
      <c r="G989">
        <v>25102</v>
      </c>
      <c r="H989" s="116"/>
      <c r="I989" s="116"/>
      <c r="L989" s="170">
        <v>43460</v>
      </c>
      <c r="M989" s="116">
        <v>1295.3</v>
      </c>
      <c r="N989" s="116">
        <v>1318</v>
      </c>
      <c r="O989" s="116">
        <v>1285</v>
      </c>
      <c r="P989" s="116">
        <v>1301.2</v>
      </c>
      <c r="Q989" s="116">
        <v>1295.3</v>
      </c>
      <c r="R989">
        <v>125511</v>
      </c>
    </row>
    <row r="990" spans="1:18" x14ac:dyDescent="0.25">
      <c r="A990" s="170">
        <v>43461</v>
      </c>
      <c r="B990" s="116">
        <v>1323.05</v>
      </c>
      <c r="C990" s="116">
        <v>1310.95</v>
      </c>
      <c r="D990" s="116">
        <v>1300</v>
      </c>
      <c r="E990" s="116">
        <v>1300.05</v>
      </c>
      <c r="F990" s="116">
        <v>1310.95</v>
      </c>
      <c r="G990">
        <v>108001</v>
      </c>
      <c r="H990" s="116"/>
      <c r="I990" s="116"/>
      <c r="L990" s="170">
        <v>43461</v>
      </c>
      <c r="M990" s="116">
        <v>1309</v>
      </c>
      <c r="N990" s="116">
        <v>1323</v>
      </c>
      <c r="O990" s="116">
        <v>1302.45</v>
      </c>
      <c r="P990" s="116">
        <v>1310</v>
      </c>
      <c r="Q990" s="116">
        <v>1309</v>
      </c>
      <c r="R990">
        <v>72902</v>
      </c>
    </row>
    <row r="991" spans="1:18" x14ac:dyDescent="0.25">
      <c r="A991" s="170">
        <v>43462</v>
      </c>
      <c r="B991" s="116">
        <v>1322</v>
      </c>
      <c r="C991" s="116">
        <v>1314.1</v>
      </c>
      <c r="D991" s="116">
        <v>1310</v>
      </c>
      <c r="E991" s="116">
        <v>1310</v>
      </c>
      <c r="F991" s="116">
        <v>1314.1</v>
      </c>
      <c r="G991">
        <v>22582</v>
      </c>
      <c r="H991" s="116"/>
      <c r="I991" s="116"/>
      <c r="L991" s="170">
        <v>43462</v>
      </c>
      <c r="M991" s="116">
        <v>1313.3</v>
      </c>
      <c r="N991" s="116">
        <v>1323.35</v>
      </c>
      <c r="O991" s="116">
        <v>1309.05</v>
      </c>
      <c r="P991" s="116">
        <v>1319.95</v>
      </c>
      <c r="Q991" s="116">
        <v>1313.3</v>
      </c>
      <c r="R991">
        <v>50648</v>
      </c>
    </row>
    <row r="992" spans="1:18" x14ac:dyDescent="0.25">
      <c r="A992" s="170">
        <v>43465</v>
      </c>
      <c r="B992" s="116">
        <v>1343.75</v>
      </c>
      <c r="C992" s="116">
        <v>1332</v>
      </c>
      <c r="D992" s="116">
        <v>1307.25</v>
      </c>
      <c r="E992" s="116">
        <v>1312</v>
      </c>
      <c r="F992" s="116">
        <v>1332</v>
      </c>
      <c r="G992">
        <v>12952</v>
      </c>
      <c r="H992" s="116"/>
      <c r="I992" s="116"/>
      <c r="L992" s="170">
        <v>43465</v>
      </c>
      <c r="M992" s="116">
        <v>1336.75</v>
      </c>
      <c r="N992" s="116">
        <v>1344.95</v>
      </c>
      <c r="O992" s="116">
        <v>1305.9000000000001</v>
      </c>
      <c r="P992" s="116">
        <v>1315</v>
      </c>
      <c r="Q992" s="116">
        <v>1336.75</v>
      </c>
      <c r="R992">
        <v>104257</v>
      </c>
    </row>
    <row r="993" spans="1:18" x14ac:dyDescent="0.25">
      <c r="A993" s="170">
        <v>43466</v>
      </c>
      <c r="B993" s="116">
        <v>1338.75</v>
      </c>
      <c r="C993" s="116">
        <v>1320.4</v>
      </c>
      <c r="D993" s="116">
        <v>1312.55</v>
      </c>
      <c r="E993" s="116">
        <v>1318.2</v>
      </c>
      <c r="F993" s="116">
        <v>1320.4</v>
      </c>
      <c r="G993">
        <v>1816</v>
      </c>
      <c r="H993" s="116"/>
      <c r="I993" s="116"/>
      <c r="L993" s="170">
        <v>43466</v>
      </c>
      <c r="M993" s="116">
        <v>1319.2</v>
      </c>
      <c r="N993" s="116">
        <v>1336.75</v>
      </c>
      <c r="O993" s="116">
        <v>1312.2</v>
      </c>
      <c r="P993" s="116">
        <v>1335</v>
      </c>
      <c r="Q993" s="116">
        <v>1319.2</v>
      </c>
      <c r="R993">
        <v>66089</v>
      </c>
    </row>
    <row r="994" spans="1:18" x14ac:dyDescent="0.25">
      <c r="A994" s="170">
        <v>43467</v>
      </c>
      <c r="B994" s="116">
        <v>1327.25</v>
      </c>
      <c r="C994" s="116">
        <v>1316</v>
      </c>
      <c r="D994" s="116">
        <v>1313.75</v>
      </c>
      <c r="E994" s="116">
        <v>1314.4</v>
      </c>
      <c r="F994" s="116">
        <v>1316</v>
      </c>
      <c r="G994">
        <v>8148</v>
      </c>
      <c r="H994" s="116"/>
      <c r="I994" s="116"/>
      <c r="L994" s="170">
        <v>43467</v>
      </c>
      <c r="M994" s="116">
        <v>1319.25</v>
      </c>
      <c r="N994" s="116">
        <v>1330</v>
      </c>
      <c r="O994" s="116">
        <v>1311.3</v>
      </c>
      <c r="P994" s="116">
        <v>1320</v>
      </c>
      <c r="Q994" s="116">
        <v>1319.25</v>
      </c>
      <c r="R994">
        <v>56713</v>
      </c>
    </row>
    <row r="995" spans="1:18" x14ac:dyDescent="0.25">
      <c r="A995" s="170">
        <v>43468</v>
      </c>
      <c r="B995" s="116">
        <v>1330.15</v>
      </c>
      <c r="C995" s="116">
        <v>1312.35</v>
      </c>
      <c r="D995" s="116">
        <v>1305.25</v>
      </c>
      <c r="E995" s="116">
        <v>1318.95</v>
      </c>
      <c r="F995" s="116">
        <v>1312.35</v>
      </c>
      <c r="G995">
        <v>18506</v>
      </c>
      <c r="H995" s="116"/>
      <c r="I995" s="116"/>
      <c r="L995" s="170">
        <v>43468</v>
      </c>
      <c r="M995" s="116">
        <v>1308.95</v>
      </c>
      <c r="N995" s="116">
        <v>1330</v>
      </c>
      <c r="O995" s="116">
        <v>1302.2</v>
      </c>
      <c r="P995" s="116">
        <v>1318.9</v>
      </c>
      <c r="Q995" s="116">
        <v>1308.95</v>
      </c>
      <c r="R995">
        <v>51343</v>
      </c>
    </row>
    <row r="996" spans="1:18" x14ac:dyDescent="0.25">
      <c r="A996" s="170">
        <v>43469</v>
      </c>
      <c r="B996" s="116">
        <v>1315.55</v>
      </c>
      <c r="C996" s="116">
        <v>1305</v>
      </c>
      <c r="D996" s="116">
        <v>1299</v>
      </c>
      <c r="E996" s="116">
        <v>1312.3</v>
      </c>
      <c r="F996" s="116">
        <v>1305</v>
      </c>
      <c r="G996">
        <v>2649</v>
      </c>
      <c r="H996" s="116"/>
      <c r="I996" s="116"/>
      <c r="L996" s="170">
        <v>43469</v>
      </c>
      <c r="M996" s="116">
        <v>1303.6500000000001</v>
      </c>
      <c r="N996" s="116">
        <v>1318.95</v>
      </c>
      <c r="O996" s="116">
        <v>1295.5999999999999</v>
      </c>
      <c r="P996" s="116">
        <v>1314.9</v>
      </c>
      <c r="Q996" s="116">
        <v>1303.6500000000001</v>
      </c>
      <c r="R996">
        <v>53249</v>
      </c>
    </row>
    <row r="997" spans="1:18" x14ac:dyDescent="0.25">
      <c r="A997" s="170">
        <v>43472</v>
      </c>
      <c r="B997" s="116">
        <v>1317.6</v>
      </c>
      <c r="C997" s="116">
        <v>1299.8499999999999</v>
      </c>
      <c r="D997" s="116">
        <v>1294.3</v>
      </c>
      <c r="E997" s="116">
        <v>1315</v>
      </c>
      <c r="F997" s="116">
        <v>1299.8499999999999</v>
      </c>
      <c r="G997">
        <v>4009</v>
      </c>
      <c r="H997" s="116"/>
      <c r="I997" s="116"/>
      <c r="L997" s="170">
        <v>43472</v>
      </c>
      <c r="M997" s="116">
        <v>1301.8</v>
      </c>
      <c r="N997" s="116">
        <v>1317.75</v>
      </c>
      <c r="O997" s="116">
        <v>1299</v>
      </c>
      <c r="P997" s="116">
        <v>1317.75</v>
      </c>
      <c r="Q997" s="116">
        <v>1301.8</v>
      </c>
      <c r="R997">
        <v>30115</v>
      </c>
    </row>
    <row r="998" spans="1:18" x14ac:dyDescent="0.25">
      <c r="A998" s="170">
        <v>43473</v>
      </c>
      <c r="B998" s="116">
        <v>1309</v>
      </c>
      <c r="C998" s="116">
        <v>1297</v>
      </c>
      <c r="D998" s="116">
        <v>1294</v>
      </c>
      <c r="E998" s="116">
        <v>1300.05</v>
      </c>
      <c r="F998" s="116">
        <v>1297</v>
      </c>
      <c r="G998">
        <v>8061</v>
      </c>
      <c r="H998" s="116"/>
      <c r="I998" s="116"/>
      <c r="L998" s="170">
        <v>43473</v>
      </c>
      <c r="M998" s="116">
        <v>1299.4000000000001</v>
      </c>
      <c r="N998" s="116">
        <v>1309.05</v>
      </c>
      <c r="O998" s="116">
        <v>1292</v>
      </c>
      <c r="P998" s="116">
        <v>1307</v>
      </c>
      <c r="Q998" s="116">
        <v>1299.4000000000001</v>
      </c>
      <c r="R998">
        <v>39949</v>
      </c>
    </row>
    <row r="999" spans="1:18" x14ac:dyDescent="0.25">
      <c r="A999" s="170">
        <v>43474</v>
      </c>
      <c r="B999" s="116">
        <v>1311.85</v>
      </c>
      <c r="C999" s="116">
        <v>1300.8</v>
      </c>
      <c r="D999" s="116">
        <v>1294.0999999999999</v>
      </c>
      <c r="E999" s="116">
        <v>1306</v>
      </c>
      <c r="F999" s="116">
        <v>1300.8</v>
      </c>
      <c r="G999">
        <v>2706</v>
      </c>
      <c r="H999" s="116"/>
      <c r="I999" s="116"/>
      <c r="L999" s="170">
        <v>43474</v>
      </c>
      <c r="M999" s="116">
        <v>1299.5999999999999</v>
      </c>
      <c r="N999" s="116">
        <v>1314.25</v>
      </c>
      <c r="O999" s="116">
        <v>1292.5999999999999</v>
      </c>
      <c r="P999" s="116">
        <v>1307.7</v>
      </c>
      <c r="Q999" s="116">
        <v>1299.5999999999999</v>
      </c>
      <c r="R999">
        <v>49088</v>
      </c>
    </row>
    <row r="1000" spans="1:18" x14ac:dyDescent="0.25">
      <c r="A1000" s="170">
        <v>43475</v>
      </c>
      <c r="B1000" s="116">
        <v>1309</v>
      </c>
      <c r="C1000" s="116">
        <v>1299.7</v>
      </c>
      <c r="D1000" s="116">
        <v>1295.95</v>
      </c>
      <c r="E1000" s="116">
        <v>1296</v>
      </c>
      <c r="F1000" s="116">
        <v>1299.7</v>
      </c>
      <c r="G1000">
        <v>2930</v>
      </c>
      <c r="H1000" s="116"/>
      <c r="I1000" s="116"/>
      <c r="L1000" s="170">
        <v>43475</v>
      </c>
      <c r="M1000" s="116">
        <v>1300.5999999999999</v>
      </c>
      <c r="N1000" s="116">
        <v>1304</v>
      </c>
      <c r="O1000" s="116">
        <v>1298.55</v>
      </c>
      <c r="P1000" s="116">
        <v>1301.2</v>
      </c>
      <c r="Q1000" s="116">
        <v>1300.5999999999999</v>
      </c>
      <c r="R1000">
        <v>22787</v>
      </c>
    </row>
    <row r="1001" spans="1:18" x14ac:dyDescent="0.25">
      <c r="A1001" s="170">
        <v>43476</v>
      </c>
      <c r="B1001" s="116">
        <v>1359</v>
      </c>
      <c r="C1001" s="116">
        <v>1346.65</v>
      </c>
      <c r="D1001" s="116">
        <v>1302.3499999999999</v>
      </c>
      <c r="E1001" s="116">
        <v>1302.3499999999999</v>
      </c>
      <c r="F1001" s="116">
        <v>1346.65</v>
      </c>
      <c r="G1001">
        <v>13776</v>
      </c>
      <c r="H1001" s="116"/>
      <c r="I1001" s="116"/>
      <c r="L1001" s="170">
        <v>43476</v>
      </c>
      <c r="M1001" s="116">
        <v>1345.6</v>
      </c>
      <c r="N1001" s="116">
        <v>1358</v>
      </c>
      <c r="O1001" s="116">
        <v>1304.95</v>
      </c>
      <c r="P1001" s="116">
        <v>1305</v>
      </c>
      <c r="Q1001" s="116">
        <v>1345.6</v>
      </c>
      <c r="R1001">
        <v>161056</v>
      </c>
    </row>
    <row r="1002" spans="1:18" x14ac:dyDescent="0.25">
      <c r="A1002" s="170">
        <v>43479</v>
      </c>
      <c r="B1002" s="116">
        <v>1354.8</v>
      </c>
      <c r="C1002" s="116">
        <v>1304.55</v>
      </c>
      <c r="D1002" s="116">
        <v>1300</v>
      </c>
      <c r="E1002" s="116">
        <v>1350</v>
      </c>
      <c r="F1002" s="116">
        <v>1304.55</v>
      </c>
      <c r="G1002">
        <v>33741</v>
      </c>
      <c r="H1002" s="116"/>
      <c r="I1002" s="116"/>
      <c r="L1002" s="170">
        <v>43479</v>
      </c>
      <c r="M1002" s="116">
        <v>1307.3499999999999</v>
      </c>
      <c r="N1002" s="116">
        <v>1357.4</v>
      </c>
      <c r="O1002" s="116">
        <v>1301.0999999999999</v>
      </c>
      <c r="P1002" s="116">
        <v>1350</v>
      </c>
      <c r="Q1002" s="116">
        <v>1307.3499999999999</v>
      </c>
      <c r="R1002">
        <v>108921</v>
      </c>
    </row>
    <row r="1003" spans="1:18" x14ac:dyDescent="0.25">
      <c r="A1003" s="170">
        <v>43480</v>
      </c>
      <c r="B1003" s="116">
        <v>1325</v>
      </c>
      <c r="C1003" s="116">
        <v>1295.4000000000001</v>
      </c>
      <c r="D1003" s="116">
        <v>1281</v>
      </c>
      <c r="E1003" s="116">
        <v>1309.4000000000001</v>
      </c>
      <c r="F1003" s="116">
        <v>1295.4000000000001</v>
      </c>
      <c r="G1003">
        <v>7622</v>
      </c>
      <c r="H1003" s="116"/>
      <c r="I1003" s="116"/>
      <c r="L1003" s="170">
        <v>43480</v>
      </c>
      <c r="M1003" s="116">
        <v>1293.2</v>
      </c>
      <c r="N1003" s="116">
        <v>1326.7</v>
      </c>
      <c r="O1003" s="116">
        <v>1272.5</v>
      </c>
      <c r="P1003" s="116">
        <v>1310</v>
      </c>
      <c r="Q1003" s="116">
        <v>1293.2</v>
      </c>
      <c r="R1003">
        <v>107130</v>
      </c>
    </row>
    <row r="1004" spans="1:18" x14ac:dyDescent="0.25">
      <c r="A1004" s="170">
        <v>43481</v>
      </c>
      <c r="B1004" s="116">
        <v>1314.75</v>
      </c>
      <c r="C1004" s="116">
        <v>1287.55</v>
      </c>
      <c r="D1004" s="116">
        <v>1282.45</v>
      </c>
      <c r="E1004" s="116">
        <v>1286.5999999999999</v>
      </c>
      <c r="F1004" s="116">
        <v>1287.55</v>
      </c>
      <c r="G1004">
        <v>8978</v>
      </c>
      <c r="H1004" s="116"/>
      <c r="I1004" s="116"/>
      <c r="L1004" s="170">
        <v>43481</v>
      </c>
      <c r="M1004" s="116">
        <v>1287.45</v>
      </c>
      <c r="N1004" s="116">
        <v>1300</v>
      </c>
      <c r="O1004" s="116">
        <v>1280.55</v>
      </c>
      <c r="P1004" s="116">
        <v>1283.7</v>
      </c>
      <c r="Q1004" s="116">
        <v>1287.45</v>
      </c>
      <c r="R1004">
        <v>53823</v>
      </c>
    </row>
    <row r="1005" spans="1:18" x14ac:dyDescent="0.25">
      <c r="A1005" s="170">
        <v>43482</v>
      </c>
      <c r="B1005" s="116">
        <v>1297.0999999999999</v>
      </c>
      <c r="C1005" s="116">
        <v>1284.4000000000001</v>
      </c>
      <c r="D1005" s="116">
        <v>1280</v>
      </c>
      <c r="E1005" s="116">
        <v>1289</v>
      </c>
      <c r="F1005" s="116">
        <v>1284.4000000000001</v>
      </c>
      <c r="G1005">
        <v>6123</v>
      </c>
      <c r="H1005" s="116"/>
      <c r="I1005" s="116"/>
      <c r="L1005" s="170">
        <v>43482</v>
      </c>
      <c r="M1005" s="116">
        <v>1286.7</v>
      </c>
      <c r="N1005" s="116">
        <v>1297</v>
      </c>
      <c r="O1005" s="116">
        <v>1279.0999999999999</v>
      </c>
      <c r="P1005" s="116">
        <v>1287</v>
      </c>
      <c r="Q1005" s="116">
        <v>1286.7</v>
      </c>
      <c r="R1005">
        <v>44053</v>
      </c>
    </row>
    <row r="1006" spans="1:18" x14ac:dyDescent="0.25">
      <c r="A1006" s="170">
        <v>43483</v>
      </c>
      <c r="B1006" s="116">
        <v>1295.4000000000001</v>
      </c>
      <c r="C1006" s="116">
        <v>1275.5999999999999</v>
      </c>
      <c r="D1006" s="116">
        <v>1271.0999999999999</v>
      </c>
      <c r="E1006" s="116">
        <v>1294.45</v>
      </c>
      <c r="F1006" s="116">
        <v>1275.5999999999999</v>
      </c>
      <c r="G1006">
        <v>2746</v>
      </c>
      <c r="H1006" s="116"/>
      <c r="I1006" s="116"/>
      <c r="L1006" s="170">
        <v>43483</v>
      </c>
      <c r="M1006" s="116">
        <v>1276.0999999999999</v>
      </c>
      <c r="N1006" s="116">
        <v>1294.3</v>
      </c>
      <c r="O1006" s="116">
        <v>1274</v>
      </c>
      <c r="P1006" s="116">
        <v>1290</v>
      </c>
      <c r="Q1006" s="116">
        <v>1276.0999999999999</v>
      </c>
      <c r="R1006">
        <v>32134</v>
      </c>
    </row>
    <row r="1007" spans="1:18" x14ac:dyDescent="0.25">
      <c r="A1007" s="170">
        <v>43486</v>
      </c>
      <c r="B1007" s="116">
        <v>1301.5</v>
      </c>
      <c r="C1007" s="116">
        <v>1276.5</v>
      </c>
      <c r="D1007" s="116">
        <v>1271</v>
      </c>
      <c r="E1007" s="116">
        <v>1285.2</v>
      </c>
      <c r="F1007" s="116">
        <v>1276.5</v>
      </c>
      <c r="G1007">
        <v>13261</v>
      </c>
      <c r="H1007" s="116"/>
      <c r="I1007" s="116"/>
      <c r="L1007" s="170">
        <v>43486</v>
      </c>
      <c r="M1007" s="116">
        <v>1281.0999999999999</v>
      </c>
      <c r="N1007" s="116">
        <v>1303</v>
      </c>
      <c r="O1007" s="116">
        <v>1275</v>
      </c>
      <c r="P1007" s="116">
        <v>1281.2</v>
      </c>
      <c r="Q1007" s="116">
        <v>1281.0999999999999</v>
      </c>
      <c r="R1007">
        <v>222935</v>
      </c>
    </row>
    <row r="1008" spans="1:18" x14ac:dyDescent="0.25">
      <c r="A1008" s="170">
        <v>43487</v>
      </c>
      <c r="B1008" s="116">
        <v>1313.7</v>
      </c>
      <c r="C1008" s="116">
        <v>1305.3499999999999</v>
      </c>
      <c r="D1008" s="116">
        <v>1280.9000000000001</v>
      </c>
      <c r="E1008" s="116">
        <v>1284</v>
      </c>
      <c r="F1008" s="116">
        <v>1305.3499999999999</v>
      </c>
      <c r="G1008">
        <v>7480</v>
      </c>
      <c r="H1008" s="116"/>
      <c r="I1008" s="116"/>
      <c r="L1008" s="170">
        <v>43487</v>
      </c>
      <c r="M1008" s="116">
        <v>1309.1500000000001</v>
      </c>
      <c r="N1008" s="116">
        <v>1316.8</v>
      </c>
      <c r="O1008" s="116">
        <v>1280.95</v>
      </c>
      <c r="P1008" s="116">
        <v>1284</v>
      </c>
      <c r="Q1008" s="116">
        <v>1309.1500000000001</v>
      </c>
      <c r="R1008">
        <v>217823</v>
      </c>
    </row>
    <row r="1009" spans="1:18" x14ac:dyDescent="0.25">
      <c r="A1009" s="170">
        <v>43488</v>
      </c>
      <c r="B1009" s="116">
        <v>1311.95</v>
      </c>
      <c r="C1009" s="116">
        <v>1294.8499999999999</v>
      </c>
      <c r="D1009" s="116">
        <v>1285.8</v>
      </c>
      <c r="E1009" s="116">
        <v>1308.95</v>
      </c>
      <c r="F1009" s="116">
        <v>1294.8499999999999</v>
      </c>
      <c r="G1009">
        <v>61958</v>
      </c>
      <c r="H1009" s="116"/>
      <c r="I1009" s="116"/>
      <c r="L1009" s="170">
        <v>43488</v>
      </c>
      <c r="M1009" s="116">
        <v>1293.2</v>
      </c>
      <c r="N1009" s="116">
        <v>1312.8</v>
      </c>
      <c r="O1009" s="116">
        <v>1290</v>
      </c>
      <c r="P1009" s="116">
        <v>1309.1500000000001</v>
      </c>
      <c r="Q1009" s="116">
        <v>1293.2</v>
      </c>
      <c r="R1009">
        <v>24267</v>
      </c>
    </row>
    <row r="1010" spans="1:18" x14ac:dyDescent="0.25">
      <c r="A1010" s="170">
        <v>43489</v>
      </c>
      <c r="B1010" s="116">
        <v>1296.5999999999999</v>
      </c>
      <c r="C1010" s="116">
        <v>1261.6500000000001</v>
      </c>
      <c r="D1010" s="116">
        <v>1254.55</v>
      </c>
      <c r="E1010" s="116">
        <v>1296.5999999999999</v>
      </c>
      <c r="F1010" s="116">
        <v>1261.6500000000001</v>
      </c>
      <c r="G1010">
        <v>8977</v>
      </c>
      <c r="H1010" s="116"/>
      <c r="I1010" s="116"/>
      <c r="L1010" s="170">
        <v>43489</v>
      </c>
      <c r="M1010" s="116">
        <v>1258.3499999999999</v>
      </c>
      <c r="N1010" s="116">
        <v>1298.5999999999999</v>
      </c>
      <c r="O1010" s="116">
        <v>1250</v>
      </c>
      <c r="P1010" s="116">
        <v>1298.3499999999999</v>
      </c>
      <c r="Q1010" s="116">
        <v>1258.3499999999999</v>
      </c>
      <c r="R1010">
        <v>144809</v>
      </c>
    </row>
    <row r="1011" spans="1:18" x14ac:dyDescent="0.25">
      <c r="A1011" s="170">
        <v>43490</v>
      </c>
      <c r="B1011" s="116">
        <v>1284</v>
      </c>
      <c r="C1011" s="116">
        <v>1255.9000000000001</v>
      </c>
      <c r="D1011" s="116">
        <v>1250</v>
      </c>
      <c r="E1011" s="116">
        <v>1284</v>
      </c>
      <c r="F1011" s="116">
        <v>1255.9000000000001</v>
      </c>
      <c r="G1011">
        <v>8755</v>
      </c>
      <c r="H1011" s="116"/>
      <c r="I1011" s="116"/>
      <c r="L1011" s="170">
        <v>43490</v>
      </c>
      <c r="M1011" s="116">
        <v>1254.5999999999999</v>
      </c>
      <c r="N1011" s="116">
        <v>1274</v>
      </c>
      <c r="O1011" s="116">
        <v>1245.25</v>
      </c>
      <c r="P1011" s="116">
        <v>1264.95</v>
      </c>
      <c r="Q1011" s="116">
        <v>1254.5999999999999</v>
      </c>
      <c r="R1011">
        <v>34335</v>
      </c>
    </row>
    <row r="1012" spans="1:18" x14ac:dyDescent="0.25">
      <c r="A1012" s="170">
        <v>43493</v>
      </c>
      <c r="B1012" s="116">
        <v>1261.7</v>
      </c>
      <c r="C1012" s="116">
        <v>1235</v>
      </c>
      <c r="D1012" s="116">
        <v>1209.95</v>
      </c>
      <c r="E1012" s="116">
        <v>1261.7</v>
      </c>
      <c r="F1012" s="116">
        <v>1235</v>
      </c>
      <c r="G1012">
        <v>80139</v>
      </c>
      <c r="H1012" s="116"/>
      <c r="I1012" s="116"/>
      <c r="L1012" s="170">
        <v>43493</v>
      </c>
      <c r="M1012" s="116">
        <v>1235.1500000000001</v>
      </c>
      <c r="N1012" s="116">
        <v>1264.4000000000001</v>
      </c>
      <c r="O1012" s="116">
        <v>1212</v>
      </c>
      <c r="P1012" s="116">
        <v>1256</v>
      </c>
      <c r="Q1012" s="116">
        <v>1235.1500000000001</v>
      </c>
      <c r="R1012">
        <v>61118</v>
      </c>
    </row>
    <row r="1013" spans="1:18" x14ac:dyDescent="0.25">
      <c r="A1013" s="170">
        <v>43494</v>
      </c>
      <c r="B1013" s="116">
        <v>1267.95</v>
      </c>
      <c r="C1013" s="116">
        <v>1256.8</v>
      </c>
      <c r="D1013" s="116">
        <v>1224.25</v>
      </c>
      <c r="E1013" s="116">
        <v>1249</v>
      </c>
      <c r="F1013" s="116">
        <v>1256.8</v>
      </c>
      <c r="G1013">
        <v>54936</v>
      </c>
      <c r="H1013" s="116"/>
      <c r="I1013" s="116"/>
      <c r="L1013" s="170">
        <v>43494</v>
      </c>
      <c r="M1013" s="116">
        <v>1258.9000000000001</v>
      </c>
      <c r="N1013" s="116">
        <v>1264</v>
      </c>
      <c r="O1013" s="116">
        <v>1222.05</v>
      </c>
      <c r="P1013" s="116">
        <v>1238.05</v>
      </c>
      <c r="Q1013" s="116">
        <v>1258.9000000000001</v>
      </c>
      <c r="R1013">
        <v>213427</v>
      </c>
    </row>
    <row r="1014" spans="1:18" x14ac:dyDescent="0.25">
      <c r="A1014" s="170">
        <v>43495</v>
      </c>
      <c r="B1014" s="116">
        <v>1281.4000000000001</v>
      </c>
      <c r="C1014" s="116">
        <v>1263.9000000000001</v>
      </c>
      <c r="D1014" s="116">
        <v>1241.0999999999999</v>
      </c>
      <c r="E1014" s="116">
        <v>1256.8</v>
      </c>
      <c r="F1014" s="116">
        <v>1263.9000000000001</v>
      </c>
      <c r="G1014">
        <v>5965</v>
      </c>
      <c r="H1014" s="116"/>
      <c r="I1014" s="116"/>
      <c r="L1014" s="170">
        <v>43495</v>
      </c>
      <c r="M1014" s="116">
        <v>1264.6500000000001</v>
      </c>
      <c r="N1014" s="116">
        <v>1288.7</v>
      </c>
      <c r="O1014" s="116">
        <v>1243</v>
      </c>
      <c r="P1014" s="116">
        <v>1260.2</v>
      </c>
      <c r="Q1014" s="116">
        <v>1264.6500000000001</v>
      </c>
      <c r="R1014">
        <v>74899</v>
      </c>
    </row>
    <row r="1015" spans="1:18" x14ac:dyDescent="0.25">
      <c r="A1015" s="170">
        <v>43496</v>
      </c>
      <c r="B1015" s="116">
        <v>1287</v>
      </c>
      <c r="C1015" s="116">
        <v>1274.9000000000001</v>
      </c>
      <c r="D1015" s="116">
        <v>1255</v>
      </c>
      <c r="E1015" s="116">
        <v>1263.3499999999999</v>
      </c>
      <c r="F1015" s="116">
        <v>1274.9000000000001</v>
      </c>
      <c r="G1015">
        <v>5708</v>
      </c>
      <c r="H1015" s="116"/>
      <c r="I1015" s="116"/>
      <c r="L1015" s="170">
        <v>43496</v>
      </c>
      <c r="M1015" s="116">
        <v>1272.3</v>
      </c>
      <c r="N1015" s="116">
        <v>1288.0999999999999</v>
      </c>
      <c r="O1015" s="116">
        <v>1251.3</v>
      </c>
      <c r="P1015" s="116">
        <v>1260</v>
      </c>
      <c r="Q1015" s="116">
        <v>1272.3</v>
      </c>
      <c r="R1015">
        <v>80557</v>
      </c>
    </row>
    <row r="1016" spans="1:18" x14ac:dyDescent="0.25">
      <c r="A1016" s="170">
        <v>43497</v>
      </c>
      <c r="B1016" s="116">
        <v>1294.3</v>
      </c>
      <c r="C1016" s="116">
        <v>1268.55</v>
      </c>
      <c r="D1016" s="116">
        <v>1264.5999999999999</v>
      </c>
      <c r="E1016" s="116">
        <v>1273.25</v>
      </c>
      <c r="F1016" s="116">
        <v>1268.55</v>
      </c>
      <c r="G1016">
        <v>6203</v>
      </c>
      <c r="H1016" s="116"/>
      <c r="I1016" s="116"/>
      <c r="L1016" s="170">
        <v>43497</v>
      </c>
      <c r="M1016" s="116">
        <v>1272.2</v>
      </c>
      <c r="N1016" s="116">
        <v>1295</v>
      </c>
      <c r="O1016" s="116">
        <v>1261</v>
      </c>
      <c r="P1016" s="116">
        <v>1290</v>
      </c>
      <c r="Q1016" s="116">
        <v>1272.2</v>
      </c>
      <c r="R1016">
        <v>97864</v>
      </c>
    </row>
    <row r="1017" spans="1:18" x14ac:dyDescent="0.25">
      <c r="A1017" s="170">
        <v>43500</v>
      </c>
      <c r="B1017" s="116">
        <v>1291.0999999999999</v>
      </c>
      <c r="C1017" s="116">
        <v>1272.3</v>
      </c>
      <c r="D1017" s="116">
        <v>1259.25</v>
      </c>
      <c r="E1017" s="116">
        <v>1270</v>
      </c>
      <c r="F1017" s="116">
        <v>1272.3</v>
      </c>
      <c r="G1017">
        <v>6518</v>
      </c>
      <c r="H1017" s="116"/>
      <c r="I1017" s="116"/>
      <c r="L1017" s="170">
        <v>43500</v>
      </c>
      <c r="M1017" s="116">
        <v>1273.3</v>
      </c>
      <c r="N1017" s="116">
        <v>1294.25</v>
      </c>
      <c r="O1017" s="116">
        <v>1257.75</v>
      </c>
      <c r="P1017" s="116">
        <v>1273.1500000000001</v>
      </c>
      <c r="Q1017" s="116">
        <v>1273.3</v>
      </c>
      <c r="R1017">
        <v>93140</v>
      </c>
    </row>
    <row r="1018" spans="1:18" x14ac:dyDescent="0.25">
      <c r="A1018" s="170">
        <v>43501</v>
      </c>
      <c r="B1018" s="116">
        <v>1293.3499999999999</v>
      </c>
      <c r="C1018" s="116">
        <v>1258.4000000000001</v>
      </c>
      <c r="D1018" s="116">
        <v>1253.25</v>
      </c>
      <c r="E1018" s="116">
        <v>1272.2</v>
      </c>
      <c r="F1018" s="116">
        <v>1258.4000000000001</v>
      </c>
      <c r="G1018">
        <v>9898</v>
      </c>
      <c r="H1018" s="116"/>
      <c r="I1018" s="116"/>
      <c r="L1018" s="170">
        <v>43501</v>
      </c>
      <c r="M1018" s="116">
        <v>1257.75</v>
      </c>
      <c r="N1018" s="116">
        <v>1293.95</v>
      </c>
      <c r="O1018" s="116">
        <v>1252</v>
      </c>
      <c r="P1018" s="116">
        <v>1275.0999999999999</v>
      </c>
      <c r="Q1018" s="116">
        <v>1257.75</v>
      </c>
      <c r="R1018">
        <v>76231</v>
      </c>
    </row>
    <row r="1019" spans="1:18" x14ac:dyDescent="0.25">
      <c r="A1019" s="170">
        <v>43502</v>
      </c>
      <c r="B1019" s="116">
        <v>1274.5999999999999</v>
      </c>
      <c r="C1019" s="116">
        <v>1260.3499999999999</v>
      </c>
      <c r="D1019" s="116">
        <v>1254.5999999999999</v>
      </c>
      <c r="E1019" s="116">
        <v>1260.1500000000001</v>
      </c>
      <c r="F1019" s="116">
        <v>1260.3499999999999</v>
      </c>
      <c r="G1019">
        <v>5887</v>
      </c>
      <c r="H1019" s="116"/>
      <c r="I1019" s="116"/>
      <c r="L1019" s="170">
        <v>43502</v>
      </c>
      <c r="M1019" s="116">
        <v>1259.9000000000001</v>
      </c>
      <c r="N1019" s="116">
        <v>1274.95</v>
      </c>
      <c r="O1019" s="116">
        <v>1254.05</v>
      </c>
      <c r="P1019" s="116">
        <v>1261.45</v>
      </c>
      <c r="Q1019" s="116">
        <v>1259.9000000000001</v>
      </c>
      <c r="R1019">
        <v>67825</v>
      </c>
    </row>
    <row r="1020" spans="1:18" x14ac:dyDescent="0.25">
      <c r="A1020" s="170">
        <v>43503</v>
      </c>
      <c r="B1020" s="116">
        <v>1285</v>
      </c>
      <c r="C1020" s="116">
        <v>1263.05</v>
      </c>
      <c r="D1020" s="116">
        <v>1256.3</v>
      </c>
      <c r="E1020" s="116">
        <v>1269.6500000000001</v>
      </c>
      <c r="F1020" s="116">
        <v>1263.05</v>
      </c>
      <c r="G1020">
        <v>1955</v>
      </c>
      <c r="H1020" s="116"/>
      <c r="I1020" s="116"/>
      <c r="L1020" s="170">
        <v>43503</v>
      </c>
      <c r="M1020" s="116">
        <v>1266.5</v>
      </c>
      <c r="N1020" s="116">
        <v>1286</v>
      </c>
      <c r="O1020" s="116">
        <v>1259</v>
      </c>
      <c r="P1020" s="116">
        <v>1262</v>
      </c>
      <c r="Q1020" s="116">
        <v>1266.5</v>
      </c>
      <c r="R1020">
        <v>42006</v>
      </c>
    </row>
    <row r="1021" spans="1:18" x14ac:dyDescent="0.25">
      <c r="A1021" s="170">
        <v>43504</v>
      </c>
      <c r="B1021" s="116">
        <v>1276.05</v>
      </c>
      <c r="C1021" s="116">
        <v>1255.8</v>
      </c>
      <c r="D1021" s="116">
        <v>1249.95</v>
      </c>
      <c r="E1021" s="116">
        <v>1264.8499999999999</v>
      </c>
      <c r="F1021" s="116">
        <v>1255.8</v>
      </c>
      <c r="G1021">
        <v>8534</v>
      </c>
      <c r="H1021" s="116"/>
      <c r="I1021" s="116"/>
      <c r="L1021" s="170">
        <v>43504</v>
      </c>
      <c r="M1021" s="116">
        <v>1255.1500000000001</v>
      </c>
      <c r="N1021" s="116">
        <v>1276.9000000000001</v>
      </c>
      <c r="O1021" s="116">
        <v>1252</v>
      </c>
      <c r="P1021" s="116">
        <v>1267.9000000000001</v>
      </c>
      <c r="Q1021" s="116">
        <v>1255.1500000000001</v>
      </c>
      <c r="R1021">
        <v>46297</v>
      </c>
    </row>
    <row r="1022" spans="1:18" x14ac:dyDescent="0.25">
      <c r="A1022" s="170">
        <v>43507</v>
      </c>
      <c r="B1022" s="116">
        <v>1260.4000000000001</v>
      </c>
      <c r="C1022" s="116">
        <v>1230.3499999999999</v>
      </c>
      <c r="D1022" s="116">
        <v>1224.05</v>
      </c>
      <c r="E1022" s="116">
        <v>1255.05</v>
      </c>
      <c r="F1022" s="116">
        <v>1230.3499999999999</v>
      </c>
      <c r="G1022">
        <v>12954</v>
      </c>
      <c r="H1022" s="116"/>
      <c r="I1022" s="116"/>
      <c r="L1022" s="170">
        <v>43507</v>
      </c>
      <c r="M1022" s="116">
        <v>1233.8</v>
      </c>
      <c r="N1022" s="116">
        <v>1262</v>
      </c>
      <c r="O1022" s="116">
        <v>1221</v>
      </c>
      <c r="P1022" s="116">
        <v>1262</v>
      </c>
      <c r="Q1022" s="116">
        <v>1233.8</v>
      </c>
      <c r="R1022">
        <v>50593</v>
      </c>
    </row>
    <row r="1023" spans="1:18" x14ac:dyDescent="0.25">
      <c r="A1023" s="170">
        <v>43508</v>
      </c>
      <c r="B1023" s="116">
        <v>1266.45</v>
      </c>
      <c r="C1023" s="116">
        <v>1251.55</v>
      </c>
      <c r="D1023" s="116">
        <v>1231</v>
      </c>
      <c r="E1023" s="116">
        <v>1231.05</v>
      </c>
      <c r="F1023" s="116">
        <v>1251.55</v>
      </c>
      <c r="G1023">
        <v>9060</v>
      </c>
      <c r="H1023" s="116"/>
      <c r="I1023" s="116"/>
      <c r="L1023" s="170">
        <v>43508</v>
      </c>
      <c r="M1023" s="116">
        <v>1253.1500000000001</v>
      </c>
      <c r="N1023" s="116">
        <v>1265</v>
      </c>
      <c r="O1023" s="116">
        <v>1227</v>
      </c>
      <c r="P1023" s="116">
        <v>1244.2</v>
      </c>
      <c r="Q1023" s="116">
        <v>1253.1500000000001</v>
      </c>
      <c r="R1023">
        <v>40551</v>
      </c>
    </row>
    <row r="1024" spans="1:18" x14ac:dyDescent="0.25">
      <c r="A1024" s="170">
        <v>43509</v>
      </c>
      <c r="B1024" s="116">
        <v>1263.5</v>
      </c>
      <c r="C1024" s="116">
        <v>1248.7</v>
      </c>
      <c r="D1024" s="116">
        <v>1243.8</v>
      </c>
      <c r="E1024" s="116">
        <v>1251.25</v>
      </c>
      <c r="F1024" s="116">
        <v>1248.7</v>
      </c>
      <c r="G1024">
        <v>6249</v>
      </c>
      <c r="H1024" s="116"/>
      <c r="I1024" s="116"/>
      <c r="L1024" s="170">
        <v>43509</v>
      </c>
      <c r="M1024" s="116">
        <v>1250.2</v>
      </c>
      <c r="N1024" s="116">
        <v>1267.4000000000001</v>
      </c>
      <c r="O1024" s="116">
        <v>1243.05</v>
      </c>
      <c r="P1024" s="116">
        <v>1257.5</v>
      </c>
      <c r="Q1024" s="116">
        <v>1250.2</v>
      </c>
      <c r="R1024">
        <v>287016</v>
      </c>
    </row>
    <row r="1025" spans="1:18" x14ac:dyDescent="0.25">
      <c r="A1025" s="170">
        <v>43510</v>
      </c>
      <c r="B1025" s="116">
        <v>1275</v>
      </c>
      <c r="C1025" s="116">
        <v>1256.45</v>
      </c>
      <c r="D1025" s="116">
        <v>1237.6500000000001</v>
      </c>
      <c r="E1025" s="116">
        <v>1267</v>
      </c>
      <c r="F1025" s="116">
        <v>1256.45</v>
      </c>
      <c r="G1025">
        <v>63478</v>
      </c>
      <c r="H1025" s="116"/>
      <c r="I1025" s="116"/>
      <c r="L1025" s="170">
        <v>43510</v>
      </c>
      <c r="M1025" s="116">
        <v>1258.2</v>
      </c>
      <c r="N1025" s="116">
        <v>1275.95</v>
      </c>
      <c r="O1025" s="116">
        <v>1233.5</v>
      </c>
      <c r="P1025" s="116">
        <v>1260</v>
      </c>
      <c r="Q1025" s="116">
        <v>1258.2</v>
      </c>
      <c r="R1025">
        <v>343129</v>
      </c>
    </row>
    <row r="1026" spans="1:18" x14ac:dyDescent="0.25">
      <c r="A1026" s="170">
        <v>43511</v>
      </c>
      <c r="B1026" s="116">
        <v>1270</v>
      </c>
      <c r="C1026" s="116">
        <v>1245.6500000000001</v>
      </c>
      <c r="D1026" s="116">
        <v>1238.05</v>
      </c>
      <c r="E1026" s="116">
        <v>1269</v>
      </c>
      <c r="F1026" s="116">
        <v>1245.6500000000001</v>
      </c>
      <c r="G1026">
        <v>7750</v>
      </c>
      <c r="H1026" s="116"/>
      <c r="I1026" s="116"/>
      <c r="L1026" s="170">
        <v>43511</v>
      </c>
      <c r="M1026" s="116">
        <v>1246.9000000000001</v>
      </c>
      <c r="N1026" s="116">
        <v>1271.7</v>
      </c>
      <c r="O1026" s="116">
        <v>1238</v>
      </c>
      <c r="P1026" s="116">
        <v>1258.4000000000001</v>
      </c>
      <c r="Q1026" s="116">
        <v>1246.9000000000001</v>
      </c>
      <c r="R1026">
        <v>68457</v>
      </c>
    </row>
    <row r="1027" spans="1:18" x14ac:dyDescent="0.25">
      <c r="A1027" s="170">
        <v>43514</v>
      </c>
      <c r="B1027" s="116">
        <v>1248</v>
      </c>
      <c r="C1027" s="116">
        <v>1232.1500000000001</v>
      </c>
      <c r="D1027" s="116">
        <v>1228.3</v>
      </c>
      <c r="E1027" s="116">
        <v>1243</v>
      </c>
      <c r="F1027" s="116">
        <v>1232.1500000000001</v>
      </c>
      <c r="G1027">
        <v>4482</v>
      </c>
      <c r="H1027" s="116"/>
      <c r="I1027" s="116"/>
      <c r="L1027" s="170">
        <v>43514</v>
      </c>
      <c r="M1027" s="116">
        <v>1228.5</v>
      </c>
      <c r="N1027" s="116">
        <v>1250.55</v>
      </c>
      <c r="O1027" s="116">
        <v>1224.8</v>
      </c>
      <c r="P1027" s="116">
        <v>1241.45</v>
      </c>
      <c r="Q1027" s="116">
        <v>1228.5</v>
      </c>
      <c r="R1027">
        <v>26513</v>
      </c>
    </row>
    <row r="1028" spans="1:18" x14ac:dyDescent="0.25">
      <c r="A1028" s="170">
        <v>43515</v>
      </c>
      <c r="B1028" s="116">
        <v>1253.2</v>
      </c>
      <c r="C1028" s="116">
        <v>1241.9000000000001</v>
      </c>
      <c r="D1028" s="116">
        <v>1231.25</v>
      </c>
      <c r="E1028" s="116">
        <v>1233.25</v>
      </c>
      <c r="F1028" s="116">
        <v>1241.9000000000001</v>
      </c>
      <c r="G1028">
        <v>4020</v>
      </c>
      <c r="H1028" s="116"/>
      <c r="I1028" s="116"/>
      <c r="L1028" s="170">
        <v>43515</v>
      </c>
      <c r="M1028" s="116">
        <v>1242.95</v>
      </c>
      <c r="N1028" s="116">
        <v>1256.05</v>
      </c>
      <c r="O1028" s="116">
        <v>1225.0999999999999</v>
      </c>
      <c r="P1028" s="116">
        <v>1230</v>
      </c>
      <c r="Q1028" s="116">
        <v>1242.95</v>
      </c>
      <c r="R1028">
        <v>54758</v>
      </c>
    </row>
    <row r="1029" spans="1:18" x14ac:dyDescent="0.25">
      <c r="A1029" s="170">
        <v>43516</v>
      </c>
      <c r="B1029" s="116">
        <v>1274</v>
      </c>
      <c r="C1029" s="116">
        <v>1248.0999999999999</v>
      </c>
      <c r="D1029" s="116">
        <v>1242.8499999999999</v>
      </c>
      <c r="E1029" s="116">
        <v>1257</v>
      </c>
      <c r="F1029" s="116">
        <v>1248.0999999999999</v>
      </c>
      <c r="G1029">
        <v>11677</v>
      </c>
      <c r="H1029" s="116"/>
      <c r="I1029" s="116"/>
      <c r="L1029" s="170">
        <v>43516</v>
      </c>
      <c r="M1029" s="116">
        <v>1250.5</v>
      </c>
      <c r="N1029" s="116">
        <v>1274.5</v>
      </c>
      <c r="O1029" s="116">
        <v>1245.55</v>
      </c>
      <c r="P1029" s="116">
        <v>1255</v>
      </c>
      <c r="Q1029" s="116">
        <v>1250.5</v>
      </c>
      <c r="R1029">
        <v>63952</v>
      </c>
    </row>
    <row r="1030" spans="1:18" x14ac:dyDescent="0.25">
      <c r="A1030" s="170">
        <v>43517</v>
      </c>
      <c r="B1030" s="116">
        <v>1270</v>
      </c>
      <c r="C1030" s="116">
        <v>1249.7</v>
      </c>
      <c r="D1030" s="116">
        <v>1240.1500000000001</v>
      </c>
      <c r="E1030" s="116">
        <v>1260</v>
      </c>
      <c r="F1030" s="116">
        <v>1249.7</v>
      </c>
      <c r="G1030">
        <v>22875</v>
      </c>
      <c r="H1030" s="116"/>
      <c r="I1030" s="116"/>
      <c r="L1030" s="170">
        <v>43517</v>
      </c>
      <c r="M1030" s="116">
        <v>1245.7</v>
      </c>
      <c r="N1030" s="116">
        <v>1268</v>
      </c>
      <c r="O1030" s="116">
        <v>1239</v>
      </c>
      <c r="P1030" s="116">
        <v>1259</v>
      </c>
      <c r="Q1030" s="116">
        <v>1245.7</v>
      </c>
      <c r="R1030">
        <v>50472</v>
      </c>
    </row>
    <row r="1031" spans="1:18" x14ac:dyDescent="0.25">
      <c r="A1031" s="170">
        <v>43518</v>
      </c>
      <c r="B1031" s="116">
        <v>1264.95</v>
      </c>
      <c r="C1031" s="116">
        <v>1248.8499999999999</v>
      </c>
      <c r="D1031" s="116">
        <v>1242</v>
      </c>
      <c r="E1031" s="116">
        <v>1242</v>
      </c>
      <c r="F1031" s="116">
        <v>1248.8499999999999</v>
      </c>
      <c r="G1031">
        <v>31898</v>
      </c>
      <c r="H1031" s="116"/>
      <c r="I1031" s="116"/>
      <c r="L1031" s="170">
        <v>43518</v>
      </c>
      <c r="M1031" s="116">
        <v>1248.3</v>
      </c>
      <c r="N1031" s="116">
        <v>1264.55</v>
      </c>
      <c r="O1031" s="116">
        <v>1240</v>
      </c>
      <c r="P1031" s="116">
        <v>1248.8</v>
      </c>
      <c r="Q1031" s="116">
        <v>1248.3</v>
      </c>
      <c r="R1031">
        <v>50567</v>
      </c>
    </row>
    <row r="1032" spans="1:18" x14ac:dyDescent="0.25">
      <c r="A1032" s="170">
        <v>43521</v>
      </c>
      <c r="B1032" s="116">
        <v>1263.75</v>
      </c>
      <c r="C1032" s="116">
        <v>1248.8</v>
      </c>
      <c r="D1032" s="116">
        <v>1241</v>
      </c>
      <c r="E1032" s="116">
        <v>1258</v>
      </c>
      <c r="F1032" s="116">
        <v>1248.8</v>
      </c>
      <c r="G1032">
        <v>3270</v>
      </c>
      <c r="H1032" s="116"/>
      <c r="I1032" s="116"/>
      <c r="L1032" s="170">
        <v>43521</v>
      </c>
      <c r="M1032" s="116">
        <v>1246.55</v>
      </c>
      <c r="N1032" s="116">
        <v>1264.5</v>
      </c>
      <c r="O1032" s="116">
        <v>1244</v>
      </c>
      <c r="P1032" s="116">
        <v>1250</v>
      </c>
      <c r="Q1032" s="116">
        <v>1246.55</v>
      </c>
      <c r="R1032">
        <v>33418</v>
      </c>
    </row>
    <row r="1033" spans="1:18" x14ac:dyDescent="0.25">
      <c r="A1033" s="170">
        <v>43522</v>
      </c>
      <c r="B1033" s="116">
        <v>1247.2</v>
      </c>
      <c r="C1033" s="116">
        <v>1235.8</v>
      </c>
      <c r="D1033" s="116">
        <v>1230</v>
      </c>
      <c r="E1033" s="116">
        <v>1237.4000000000001</v>
      </c>
      <c r="F1033" s="116">
        <v>1235.8</v>
      </c>
      <c r="G1033">
        <v>4575</v>
      </c>
      <c r="H1033" s="116"/>
      <c r="I1033" s="116"/>
      <c r="L1033" s="170">
        <v>43522</v>
      </c>
      <c r="M1033" s="116">
        <v>1235.75</v>
      </c>
      <c r="N1033" s="116">
        <v>1249</v>
      </c>
      <c r="O1033" s="116">
        <v>1228.05</v>
      </c>
      <c r="P1033" s="116">
        <v>1249</v>
      </c>
      <c r="Q1033" s="116">
        <v>1235.75</v>
      </c>
      <c r="R1033">
        <v>80728</v>
      </c>
    </row>
    <row r="1034" spans="1:18" x14ac:dyDescent="0.25">
      <c r="A1034" s="170">
        <v>43523</v>
      </c>
      <c r="B1034" s="116">
        <v>1246</v>
      </c>
      <c r="C1034" s="116">
        <v>1224.3</v>
      </c>
      <c r="D1034" s="116">
        <v>1221.5</v>
      </c>
      <c r="E1034" s="116">
        <v>1242.9000000000001</v>
      </c>
      <c r="F1034" s="116">
        <v>1224.3</v>
      </c>
      <c r="G1034">
        <v>110293</v>
      </c>
      <c r="H1034" s="116"/>
      <c r="I1034" s="116"/>
      <c r="L1034" s="170">
        <v>43523</v>
      </c>
      <c r="M1034" s="116">
        <v>1225.05</v>
      </c>
      <c r="N1034" s="116">
        <v>1245</v>
      </c>
      <c r="O1034" s="116">
        <v>1220</v>
      </c>
      <c r="P1034" s="116">
        <v>1240</v>
      </c>
      <c r="Q1034" s="116">
        <v>1225.05</v>
      </c>
      <c r="R1034">
        <v>202726</v>
      </c>
    </row>
    <row r="1035" spans="1:18" x14ac:dyDescent="0.25">
      <c r="A1035" s="170">
        <v>43524</v>
      </c>
      <c r="B1035" s="116">
        <v>1234.5</v>
      </c>
      <c r="C1035" s="116">
        <v>1229.95</v>
      </c>
      <c r="D1035" s="116">
        <v>1224.3</v>
      </c>
      <c r="E1035" s="116">
        <v>1226.5</v>
      </c>
      <c r="F1035" s="116">
        <v>1229.95</v>
      </c>
      <c r="G1035">
        <v>79563</v>
      </c>
      <c r="H1035" s="116"/>
      <c r="I1035" s="116"/>
      <c r="L1035" s="170">
        <v>43524</v>
      </c>
      <c r="M1035" s="116">
        <v>1227.05</v>
      </c>
      <c r="N1035" s="116">
        <v>1234.55</v>
      </c>
      <c r="O1035" s="116">
        <v>1222.25</v>
      </c>
      <c r="P1035" s="116">
        <v>1229</v>
      </c>
      <c r="Q1035" s="116">
        <v>1227.05</v>
      </c>
      <c r="R1035">
        <v>213393</v>
      </c>
    </row>
    <row r="1036" spans="1:18" x14ac:dyDescent="0.25">
      <c r="A1036" s="170">
        <v>43525</v>
      </c>
      <c r="B1036" s="116">
        <v>1259.5</v>
      </c>
      <c r="C1036" s="116">
        <v>1240.5</v>
      </c>
      <c r="D1036" s="116">
        <v>1232.5</v>
      </c>
      <c r="E1036" s="116">
        <v>1245</v>
      </c>
      <c r="F1036" s="116">
        <v>1240.5</v>
      </c>
      <c r="G1036">
        <v>58111</v>
      </c>
      <c r="H1036" s="116"/>
      <c r="I1036" s="116"/>
      <c r="L1036" s="170">
        <v>43525</v>
      </c>
      <c r="M1036" s="116">
        <v>1244.5</v>
      </c>
      <c r="N1036" s="116">
        <v>1262</v>
      </c>
      <c r="O1036" s="116">
        <v>1235.2</v>
      </c>
      <c r="P1036" s="116">
        <v>1245.9000000000001</v>
      </c>
      <c r="Q1036" s="116">
        <v>1244.5</v>
      </c>
      <c r="R1036">
        <v>196910</v>
      </c>
    </row>
    <row r="1037" spans="1:18" x14ac:dyDescent="0.25">
      <c r="A1037" s="170">
        <v>43529</v>
      </c>
      <c r="B1037" s="116">
        <v>1253.2</v>
      </c>
      <c r="C1037" s="116">
        <v>1233.8499999999999</v>
      </c>
      <c r="D1037" s="116">
        <v>1224.3</v>
      </c>
      <c r="E1037" s="116">
        <v>1244</v>
      </c>
      <c r="F1037" s="116">
        <v>1233.8499999999999</v>
      </c>
      <c r="G1037">
        <v>10900</v>
      </c>
      <c r="H1037" s="116"/>
      <c r="I1037" s="116"/>
      <c r="L1037" s="170">
        <v>43529</v>
      </c>
      <c r="M1037" s="116">
        <v>1233.7</v>
      </c>
      <c r="N1037" s="116">
        <v>1254.4000000000001</v>
      </c>
      <c r="O1037" s="116">
        <v>1222.25</v>
      </c>
      <c r="P1037" s="116">
        <v>1250.3</v>
      </c>
      <c r="Q1037" s="116">
        <v>1233.7</v>
      </c>
      <c r="R1037">
        <v>269451</v>
      </c>
    </row>
    <row r="1038" spans="1:18" x14ac:dyDescent="0.25">
      <c r="A1038" s="170">
        <v>43530</v>
      </c>
      <c r="B1038" s="116">
        <v>1254.8</v>
      </c>
      <c r="C1038" s="116">
        <v>1244.45</v>
      </c>
      <c r="D1038" s="116">
        <v>1227.1500000000001</v>
      </c>
      <c r="E1038" s="116">
        <v>1233.8499999999999</v>
      </c>
      <c r="F1038" s="116">
        <v>1244.45</v>
      </c>
      <c r="G1038">
        <v>58033</v>
      </c>
      <c r="H1038" s="116"/>
      <c r="I1038" s="116"/>
      <c r="L1038" s="170">
        <v>43530</v>
      </c>
      <c r="M1038" s="116">
        <v>1244.55</v>
      </c>
      <c r="N1038" s="116">
        <v>1251</v>
      </c>
      <c r="O1038" s="116">
        <v>1225</v>
      </c>
      <c r="P1038" s="116">
        <v>1238</v>
      </c>
      <c r="Q1038" s="116">
        <v>1244.55</v>
      </c>
      <c r="R1038">
        <v>169943</v>
      </c>
    </row>
    <row r="1039" spans="1:18" x14ac:dyDescent="0.25">
      <c r="A1039" s="170">
        <v>43531</v>
      </c>
      <c r="B1039" s="116">
        <v>1290</v>
      </c>
      <c r="C1039" s="116">
        <v>1269.45</v>
      </c>
      <c r="D1039" s="116">
        <v>1245</v>
      </c>
      <c r="E1039" s="116">
        <v>1245</v>
      </c>
      <c r="F1039" s="116">
        <v>1269.45</v>
      </c>
      <c r="G1039">
        <v>32591</v>
      </c>
      <c r="H1039" s="116"/>
      <c r="I1039" s="116"/>
      <c r="L1039" s="170">
        <v>43531</v>
      </c>
      <c r="M1039" s="116">
        <v>1270.7</v>
      </c>
      <c r="N1039" s="116">
        <v>1294.9000000000001</v>
      </c>
      <c r="O1039" s="116">
        <v>1244.75</v>
      </c>
      <c r="P1039" s="116">
        <v>1252</v>
      </c>
      <c r="Q1039" s="116">
        <v>1270.7</v>
      </c>
      <c r="R1039">
        <v>174204</v>
      </c>
    </row>
    <row r="1040" spans="1:18" x14ac:dyDescent="0.25">
      <c r="A1040" s="170">
        <v>43532</v>
      </c>
      <c r="B1040" s="116">
        <v>1277</v>
      </c>
      <c r="C1040" s="116">
        <v>1265.3</v>
      </c>
      <c r="D1040" s="116">
        <v>1250.9000000000001</v>
      </c>
      <c r="E1040" s="116">
        <v>1269.45</v>
      </c>
      <c r="F1040" s="116">
        <v>1265.3</v>
      </c>
      <c r="G1040">
        <v>5764</v>
      </c>
      <c r="H1040" s="116"/>
      <c r="I1040" s="116"/>
      <c r="L1040" s="170">
        <v>43532</v>
      </c>
      <c r="M1040" s="116">
        <v>1266</v>
      </c>
      <c r="N1040" s="116">
        <v>1279.75</v>
      </c>
      <c r="O1040" s="116">
        <v>1248.8</v>
      </c>
      <c r="P1040" s="116">
        <v>1271</v>
      </c>
      <c r="Q1040" s="116">
        <v>1266</v>
      </c>
      <c r="R1040">
        <v>125797</v>
      </c>
    </row>
    <row r="1041" spans="1:18" x14ac:dyDescent="0.25">
      <c r="A1041" s="170">
        <v>43535</v>
      </c>
      <c r="B1041" s="116">
        <v>1276.25</v>
      </c>
      <c r="C1041" s="116">
        <v>1265.3499999999999</v>
      </c>
      <c r="D1041" s="116">
        <v>1260.2</v>
      </c>
      <c r="E1041" s="116">
        <v>1265.25</v>
      </c>
      <c r="F1041" s="116">
        <v>1265.3499999999999</v>
      </c>
      <c r="G1041">
        <v>20805</v>
      </c>
      <c r="H1041" s="116"/>
      <c r="I1041" s="116"/>
      <c r="L1041" s="170">
        <v>43535</v>
      </c>
      <c r="M1041" s="116">
        <v>1266.2</v>
      </c>
      <c r="N1041" s="116">
        <v>1277</v>
      </c>
      <c r="O1041" s="116">
        <v>1261.5</v>
      </c>
      <c r="P1041" s="116">
        <v>1266</v>
      </c>
      <c r="Q1041" s="116">
        <v>1266.2</v>
      </c>
      <c r="R1041">
        <v>39949</v>
      </c>
    </row>
    <row r="1042" spans="1:18" x14ac:dyDescent="0.25">
      <c r="A1042" s="170">
        <v>43536</v>
      </c>
      <c r="B1042" s="116">
        <v>1280.0999999999999</v>
      </c>
      <c r="C1042" s="116">
        <v>1256.6500000000001</v>
      </c>
      <c r="D1042" s="116">
        <v>1250</v>
      </c>
      <c r="E1042" s="116">
        <v>1271</v>
      </c>
      <c r="F1042" s="116">
        <v>1256.6500000000001</v>
      </c>
      <c r="G1042">
        <v>16437</v>
      </c>
      <c r="H1042" s="116"/>
      <c r="I1042" s="116"/>
      <c r="L1042" s="170">
        <v>43536</v>
      </c>
      <c r="M1042" s="116">
        <v>1254.25</v>
      </c>
      <c r="N1042" s="116">
        <v>1281</v>
      </c>
      <c r="O1042" s="116">
        <v>1244</v>
      </c>
      <c r="P1042" s="116">
        <v>1273.7</v>
      </c>
      <c r="Q1042" s="116">
        <v>1254.25</v>
      </c>
      <c r="R1042">
        <v>57378</v>
      </c>
    </row>
    <row r="1043" spans="1:18" x14ac:dyDescent="0.25">
      <c r="A1043" s="170">
        <v>43537</v>
      </c>
      <c r="B1043" s="116">
        <v>1310</v>
      </c>
      <c r="C1043" s="116">
        <v>1293.3</v>
      </c>
      <c r="D1043" s="116">
        <v>1250</v>
      </c>
      <c r="E1043" s="116">
        <v>1256.6500000000001</v>
      </c>
      <c r="F1043" s="116">
        <v>1293.3</v>
      </c>
      <c r="G1043">
        <v>16116</v>
      </c>
      <c r="H1043" s="116"/>
      <c r="I1043" s="116"/>
      <c r="L1043" s="170">
        <v>43537</v>
      </c>
      <c r="M1043" s="116">
        <v>1296.95</v>
      </c>
      <c r="N1043" s="116">
        <v>1316.9</v>
      </c>
      <c r="O1043" s="116">
        <v>1248</v>
      </c>
      <c r="P1043" s="116">
        <v>1257.55</v>
      </c>
      <c r="Q1043" s="116">
        <v>1296.95</v>
      </c>
      <c r="R1043">
        <v>509610</v>
      </c>
    </row>
    <row r="1044" spans="1:18" x14ac:dyDescent="0.25">
      <c r="A1044" s="170">
        <v>43538</v>
      </c>
      <c r="B1044" s="116">
        <v>1324</v>
      </c>
      <c r="C1044" s="116">
        <v>1307.2</v>
      </c>
      <c r="D1044" s="116">
        <v>1291.5</v>
      </c>
      <c r="E1044" s="116">
        <v>1310</v>
      </c>
      <c r="F1044" s="116">
        <v>1307.2</v>
      </c>
      <c r="G1044">
        <v>11908</v>
      </c>
      <c r="H1044" s="116"/>
      <c r="I1044" s="116"/>
      <c r="L1044" s="170">
        <v>43538</v>
      </c>
      <c r="M1044" s="116">
        <v>1309.5999999999999</v>
      </c>
      <c r="N1044" s="116">
        <v>1325</v>
      </c>
      <c r="O1044" s="116">
        <v>1291.05</v>
      </c>
      <c r="P1044" s="116">
        <v>1306.0999999999999</v>
      </c>
      <c r="Q1044" s="116">
        <v>1309.5999999999999</v>
      </c>
      <c r="R1044">
        <v>286413</v>
      </c>
    </row>
    <row r="1045" spans="1:18" x14ac:dyDescent="0.25">
      <c r="A1045" s="170">
        <v>43539</v>
      </c>
      <c r="B1045" s="116">
        <v>1315.2</v>
      </c>
      <c r="C1045" s="116">
        <v>1303.8499999999999</v>
      </c>
      <c r="D1045" s="116">
        <v>1296</v>
      </c>
      <c r="E1045" s="116">
        <v>1315.2</v>
      </c>
      <c r="F1045" s="116">
        <v>1303.8499999999999</v>
      </c>
      <c r="G1045">
        <v>80405</v>
      </c>
      <c r="H1045" s="116"/>
      <c r="I1045" s="116"/>
      <c r="L1045" s="170">
        <v>43539</v>
      </c>
      <c r="M1045" s="116">
        <v>1303.8</v>
      </c>
      <c r="N1045" s="116">
        <v>1317.4</v>
      </c>
      <c r="O1045" s="116">
        <v>1296.0999999999999</v>
      </c>
      <c r="P1045" s="116">
        <v>1317.4</v>
      </c>
      <c r="Q1045" s="116">
        <v>1303.8</v>
      </c>
      <c r="R1045">
        <v>218031</v>
      </c>
    </row>
    <row r="1046" spans="1:18" x14ac:dyDescent="0.25">
      <c r="A1046" s="170">
        <v>43542</v>
      </c>
      <c r="B1046" s="116">
        <v>1324</v>
      </c>
      <c r="C1046" s="116">
        <v>1307.5999999999999</v>
      </c>
      <c r="D1046" s="116">
        <v>1302.1500000000001</v>
      </c>
      <c r="E1046" s="116">
        <v>1314.95</v>
      </c>
      <c r="F1046" s="116">
        <v>1307.5999999999999</v>
      </c>
      <c r="G1046">
        <v>4805</v>
      </c>
      <c r="H1046" s="116"/>
      <c r="I1046" s="116"/>
      <c r="L1046" s="170">
        <v>43542</v>
      </c>
      <c r="M1046" s="116">
        <v>1305.75</v>
      </c>
      <c r="N1046" s="116">
        <v>1325</v>
      </c>
      <c r="O1046" s="116">
        <v>1300</v>
      </c>
      <c r="P1046" s="116">
        <v>1315</v>
      </c>
      <c r="Q1046" s="116">
        <v>1305.75</v>
      </c>
      <c r="R1046">
        <v>73669</v>
      </c>
    </row>
    <row r="1047" spans="1:18" x14ac:dyDescent="0.25">
      <c r="A1047" s="170">
        <v>43543</v>
      </c>
      <c r="B1047" s="116">
        <v>1322</v>
      </c>
      <c r="C1047" s="116">
        <v>1316.35</v>
      </c>
      <c r="D1047" s="116">
        <v>1301.4000000000001</v>
      </c>
      <c r="E1047" s="116">
        <v>1307.6500000000001</v>
      </c>
      <c r="F1047" s="116">
        <v>1316.35</v>
      </c>
      <c r="G1047">
        <v>21775</v>
      </c>
      <c r="H1047" s="116"/>
      <c r="I1047" s="116"/>
      <c r="L1047" s="170">
        <v>43543</v>
      </c>
      <c r="M1047" s="116">
        <v>1319.6</v>
      </c>
      <c r="N1047" s="116">
        <v>1325</v>
      </c>
      <c r="O1047" s="116">
        <v>1301.05</v>
      </c>
      <c r="P1047" s="116">
        <v>1308.75</v>
      </c>
      <c r="Q1047" s="116">
        <v>1319.6</v>
      </c>
      <c r="R1047">
        <v>93185</v>
      </c>
    </row>
    <row r="1048" spans="1:18" x14ac:dyDescent="0.25">
      <c r="A1048" s="170">
        <v>43544</v>
      </c>
      <c r="B1048" s="116">
        <v>1342</v>
      </c>
      <c r="C1048" s="116">
        <v>1336.15</v>
      </c>
      <c r="D1048" s="116">
        <v>1317.55</v>
      </c>
      <c r="E1048" s="116">
        <v>1317.55</v>
      </c>
      <c r="F1048" s="116">
        <v>1336.15</v>
      </c>
      <c r="G1048">
        <v>6655</v>
      </c>
      <c r="H1048" s="116"/>
      <c r="I1048" s="116"/>
      <c r="L1048" s="170">
        <v>43544</v>
      </c>
      <c r="M1048" s="116">
        <v>1338.7</v>
      </c>
      <c r="N1048" s="116">
        <v>1344</v>
      </c>
      <c r="O1048" s="116">
        <v>1319.7</v>
      </c>
      <c r="P1048" s="116">
        <v>1323.8</v>
      </c>
      <c r="Q1048" s="116">
        <v>1338.7</v>
      </c>
      <c r="R1048">
        <v>110135</v>
      </c>
    </row>
    <row r="1049" spans="1:18" x14ac:dyDescent="0.25">
      <c r="A1049" s="170">
        <v>43546</v>
      </c>
      <c r="B1049" s="116">
        <v>1347.95</v>
      </c>
      <c r="C1049" s="116">
        <v>1341.35</v>
      </c>
      <c r="D1049" s="116">
        <v>1334.2</v>
      </c>
      <c r="E1049" s="116">
        <v>1342.25</v>
      </c>
      <c r="F1049" s="116">
        <v>1341.35</v>
      </c>
      <c r="G1049">
        <v>23737</v>
      </c>
      <c r="H1049" s="116"/>
      <c r="I1049" s="116"/>
      <c r="L1049" s="170">
        <v>43546</v>
      </c>
      <c r="M1049" s="116">
        <v>1340</v>
      </c>
      <c r="N1049" s="116">
        <v>1349</v>
      </c>
      <c r="O1049" s="116">
        <v>1334.85</v>
      </c>
      <c r="P1049" s="116">
        <v>1344.4</v>
      </c>
      <c r="Q1049" s="116">
        <v>1340</v>
      </c>
      <c r="R1049">
        <v>71541</v>
      </c>
    </row>
    <row r="1050" spans="1:18" x14ac:dyDescent="0.25">
      <c r="A1050" s="170">
        <v>43549</v>
      </c>
      <c r="B1050" s="116">
        <v>1342.1</v>
      </c>
      <c r="C1050" s="116">
        <v>1338.35</v>
      </c>
      <c r="D1050" s="116">
        <v>1323.45</v>
      </c>
      <c r="E1050" s="116">
        <v>1331.5</v>
      </c>
      <c r="F1050" s="116">
        <v>1338.35</v>
      </c>
      <c r="G1050">
        <v>23207</v>
      </c>
      <c r="H1050" s="116"/>
      <c r="I1050" s="116"/>
      <c r="L1050" s="170">
        <v>43549</v>
      </c>
      <c r="M1050" s="116">
        <v>1334.65</v>
      </c>
      <c r="N1050" s="116">
        <v>1340</v>
      </c>
      <c r="O1050" s="116">
        <v>1320.95</v>
      </c>
      <c r="P1050" s="116">
        <v>1337.9</v>
      </c>
      <c r="Q1050" s="116">
        <v>1334.65</v>
      </c>
      <c r="R1050">
        <v>46079</v>
      </c>
    </row>
    <row r="1051" spans="1:18" x14ac:dyDescent="0.25">
      <c r="A1051" s="170">
        <v>43550</v>
      </c>
      <c r="B1051" s="116">
        <v>1340.85</v>
      </c>
      <c r="C1051" s="116">
        <v>1333.3</v>
      </c>
      <c r="D1051" s="116">
        <v>1322.6</v>
      </c>
      <c r="E1051" s="116">
        <v>1336.65</v>
      </c>
      <c r="F1051" s="116">
        <v>1333.3</v>
      </c>
      <c r="G1051">
        <v>1075</v>
      </c>
      <c r="H1051" s="116"/>
      <c r="I1051" s="116"/>
      <c r="L1051" s="170">
        <v>43550</v>
      </c>
      <c r="M1051" s="116">
        <v>1330.95</v>
      </c>
      <c r="N1051" s="116">
        <v>1344</v>
      </c>
      <c r="O1051" s="116">
        <v>1320.05</v>
      </c>
      <c r="P1051" s="116">
        <v>1335</v>
      </c>
      <c r="Q1051" s="116">
        <v>1330.95</v>
      </c>
      <c r="R1051">
        <v>35293</v>
      </c>
    </row>
    <row r="1052" spans="1:18" x14ac:dyDescent="0.25">
      <c r="A1052" s="170">
        <v>43551</v>
      </c>
      <c r="B1052" s="116">
        <v>1346.5</v>
      </c>
      <c r="C1052" s="116">
        <v>1329.3</v>
      </c>
      <c r="D1052" s="116">
        <v>1321.05</v>
      </c>
      <c r="E1052" s="116">
        <v>1330</v>
      </c>
      <c r="F1052" s="116">
        <v>1329.3</v>
      </c>
      <c r="G1052">
        <v>4388</v>
      </c>
      <c r="H1052" s="116"/>
      <c r="I1052" s="116"/>
      <c r="L1052" s="170">
        <v>43551</v>
      </c>
      <c r="M1052" s="116">
        <v>1326.45</v>
      </c>
      <c r="N1052" s="116">
        <v>1348</v>
      </c>
      <c r="O1052" s="116">
        <v>1319.95</v>
      </c>
      <c r="P1052" s="116">
        <v>1335</v>
      </c>
      <c r="Q1052" s="116">
        <v>1326.45</v>
      </c>
      <c r="R1052">
        <v>182854</v>
      </c>
    </row>
    <row r="1053" spans="1:18" x14ac:dyDescent="0.25">
      <c r="A1053" s="170">
        <v>43552</v>
      </c>
      <c r="B1053" s="116">
        <v>1330</v>
      </c>
      <c r="C1053" s="116">
        <v>1315</v>
      </c>
      <c r="D1053" s="116">
        <v>1307.05</v>
      </c>
      <c r="E1053" s="116">
        <v>1327</v>
      </c>
      <c r="F1053" s="116">
        <v>1315</v>
      </c>
      <c r="G1053">
        <v>20606</v>
      </c>
      <c r="H1053" s="116"/>
      <c r="I1053" s="116"/>
      <c r="L1053" s="170">
        <v>43552</v>
      </c>
      <c r="M1053" s="116">
        <v>1314.9</v>
      </c>
      <c r="N1053" s="116">
        <v>1331.7</v>
      </c>
      <c r="O1053" s="116">
        <v>1308.45</v>
      </c>
      <c r="P1053" s="116">
        <v>1321.1</v>
      </c>
      <c r="Q1053" s="116">
        <v>1314.9</v>
      </c>
      <c r="R1053">
        <v>154138</v>
      </c>
    </row>
    <row r="1054" spans="1:18" x14ac:dyDescent="0.25">
      <c r="A1054" s="170">
        <v>43553</v>
      </c>
      <c r="B1054" s="116">
        <v>1328</v>
      </c>
      <c r="C1054" s="116">
        <v>1319.85</v>
      </c>
      <c r="D1054" s="116">
        <v>1310</v>
      </c>
      <c r="E1054" s="116">
        <v>1327.95</v>
      </c>
      <c r="F1054" s="116">
        <v>1319.85</v>
      </c>
      <c r="G1054">
        <v>72595</v>
      </c>
      <c r="H1054" s="116"/>
      <c r="I1054" s="116"/>
      <c r="L1054" s="170">
        <v>43553</v>
      </c>
      <c r="M1054" s="116">
        <v>1316</v>
      </c>
      <c r="N1054" s="116">
        <v>1330</v>
      </c>
      <c r="O1054" s="116">
        <v>1310.0999999999999</v>
      </c>
      <c r="P1054" s="116">
        <v>1329.8</v>
      </c>
      <c r="Q1054" s="116">
        <v>1316</v>
      </c>
      <c r="R1054">
        <v>224329</v>
      </c>
    </row>
    <row r="1055" spans="1:18" x14ac:dyDescent="0.25">
      <c r="A1055" s="170">
        <v>43556</v>
      </c>
      <c r="B1055" s="116">
        <v>1326.6</v>
      </c>
      <c r="C1055" s="116">
        <v>1313.55</v>
      </c>
      <c r="D1055" s="116">
        <v>1306.3499999999999</v>
      </c>
      <c r="E1055" s="116">
        <v>1319.85</v>
      </c>
      <c r="F1055" s="116">
        <v>1313.55</v>
      </c>
      <c r="G1055">
        <v>7785</v>
      </c>
      <c r="H1055" s="116"/>
      <c r="I1055" s="116"/>
      <c r="L1055" s="170">
        <v>43556</v>
      </c>
      <c r="M1055" s="116">
        <v>1317.8</v>
      </c>
      <c r="N1055" s="116">
        <v>1328</v>
      </c>
      <c r="O1055" s="116">
        <v>1310</v>
      </c>
      <c r="P1055" s="116">
        <v>1320</v>
      </c>
      <c r="Q1055" s="116">
        <v>1317.8</v>
      </c>
      <c r="R1055">
        <v>97361</v>
      </c>
    </row>
    <row r="1056" spans="1:18" x14ac:dyDescent="0.25">
      <c r="A1056" s="170">
        <v>43557</v>
      </c>
      <c r="B1056" s="116">
        <v>1342.25</v>
      </c>
      <c r="C1056" s="116">
        <v>1322.6</v>
      </c>
      <c r="D1056" s="116">
        <v>1314</v>
      </c>
      <c r="E1056" s="116">
        <v>1320</v>
      </c>
      <c r="F1056" s="116">
        <v>1322.6</v>
      </c>
      <c r="G1056">
        <v>4482</v>
      </c>
      <c r="H1056" s="116"/>
      <c r="I1056" s="116"/>
      <c r="L1056" s="170">
        <v>43557</v>
      </c>
      <c r="M1056" s="116">
        <v>1322.4</v>
      </c>
      <c r="N1056" s="116">
        <v>1346.2</v>
      </c>
      <c r="O1056" s="116">
        <v>1308</v>
      </c>
      <c r="P1056" s="116">
        <v>1318</v>
      </c>
      <c r="Q1056" s="116">
        <v>1322.4</v>
      </c>
      <c r="R1056">
        <v>194479</v>
      </c>
    </row>
    <row r="1057" spans="1:18" x14ac:dyDescent="0.25">
      <c r="A1057" s="170">
        <v>43558</v>
      </c>
      <c r="B1057" s="116">
        <v>1339.95</v>
      </c>
      <c r="C1057" s="116">
        <v>1329</v>
      </c>
      <c r="D1057" s="116">
        <v>1319.7</v>
      </c>
      <c r="E1057" s="116">
        <v>1323.35</v>
      </c>
      <c r="F1057" s="116">
        <v>1329</v>
      </c>
      <c r="G1057">
        <v>27791</v>
      </c>
      <c r="H1057" s="116"/>
      <c r="I1057" s="116"/>
      <c r="L1057" s="170">
        <v>43558</v>
      </c>
      <c r="M1057" s="116">
        <v>1332.15</v>
      </c>
      <c r="N1057" s="116">
        <v>1340</v>
      </c>
      <c r="O1057" s="116">
        <v>1320.1</v>
      </c>
      <c r="P1057" s="116">
        <v>1328.8</v>
      </c>
      <c r="Q1057" s="116">
        <v>1332.15</v>
      </c>
      <c r="R1057">
        <v>69523</v>
      </c>
    </row>
    <row r="1058" spans="1:18" x14ac:dyDescent="0.25">
      <c r="A1058" s="170">
        <v>43559</v>
      </c>
      <c r="B1058" s="116">
        <v>1336.1</v>
      </c>
      <c r="C1058" s="116">
        <v>1326</v>
      </c>
      <c r="D1058" s="116">
        <v>1317.3</v>
      </c>
      <c r="E1058" s="116">
        <v>1334.4</v>
      </c>
      <c r="F1058" s="116">
        <v>1326</v>
      </c>
      <c r="G1058">
        <v>3106</v>
      </c>
      <c r="H1058" s="116"/>
      <c r="I1058" s="116"/>
      <c r="L1058" s="170">
        <v>43559</v>
      </c>
      <c r="M1058" s="116">
        <v>1325.45</v>
      </c>
      <c r="N1058" s="116">
        <v>1337.95</v>
      </c>
      <c r="O1058" s="116">
        <v>1310</v>
      </c>
      <c r="P1058" s="116">
        <v>1335</v>
      </c>
      <c r="Q1058" s="116">
        <v>1325.45</v>
      </c>
      <c r="R1058">
        <v>40925</v>
      </c>
    </row>
    <row r="1059" spans="1:18" x14ac:dyDescent="0.25">
      <c r="A1059" s="170">
        <v>43560</v>
      </c>
      <c r="B1059" s="116">
        <v>1379</v>
      </c>
      <c r="C1059" s="116">
        <v>1374.75</v>
      </c>
      <c r="D1059" s="116">
        <v>1320.3</v>
      </c>
      <c r="E1059" s="116">
        <v>1326.8</v>
      </c>
      <c r="F1059" s="116">
        <v>1374.75</v>
      </c>
      <c r="G1059">
        <v>12887</v>
      </c>
      <c r="H1059" s="116"/>
      <c r="I1059" s="116"/>
      <c r="L1059" s="170">
        <v>43560</v>
      </c>
      <c r="M1059" s="116">
        <v>1377.55</v>
      </c>
      <c r="N1059" s="116">
        <v>1380</v>
      </c>
      <c r="O1059" s="116">
        <v>1318.8</v>
      </c>
      <c r="P1059" s="116">
        <v>1318.8</v>
      </c>
      <c r="Q1059" s="116">
        <v>1377.55</v>
      </c>
      <c r="R1059">
        <v>159475</v>
      </c>
    </row>
    <row r="1060" spans="1:18" x14ac:dyDescent="0.25">
      <c r="A1060" s="170">
        <v>43563</v>
      </c>
      <c r="B1060" s="116">
        <v>1416</v>
      </c>
      <c r="C1060" s="116">
        <v>1398.2</v>
      </c>
      <c r="D1060" s="116">
        <v>1370</v>
      </c>
      <c r="E1060" s="116">
        <v>1375</v>
      </c>
      <c r="F1060" s="116">
        <v>1398.2</v>
      </c>
      <c r="G1060">
        <v>34789</v>
      </c>
      <c r="H1060" s="116"/>
      <c r="I1060" s="116"/>
      <c r="L1060" s="170">
        <v>43563</v>
      </c>
      <c r="M1060" s="116">
        <v>1396</v>
      </c>
      <c r="N1060" s="116">
        <v>1419</v>
      </c>
      <c r="O1060" s="116">
        <v>1370.7</v>
      </c>
      <c r="P1060" s="116">
        <v>1373</v>
      </c>
      <c r="Q1060" s="116">
        <v>1396</v>
      </c>
      <c r="R1060">
        <v>242997</v>
      </c>
    </row>
    <row r="1061" spans="1:18" x14ac:dyDescent="0.25">
      <c r="A1061" s="170">
        <v>43564</v>
      </c>
      <c r="B1061" s="116">
        <v>1414.9</v>
      </c>
      <c r="C1061" s="116">
        <v>1408.4</v>
      </c>
      <c r="D1061" s="116">
        <v>1381.4</v>
      </c>
      <c r="E1061" s="116">
        <v>1400</v>
      </c>
      <c r="F1061" s="116">
        <v>1408.4</v>
      </c>
      <c r="G1061">
        <v>5968</v>
      </c>
      <c r="H1061" s="116"/>
      <c r="I1061" s="116"/>
      <c r="L1061" s="170">
        <v>43564</v>
      </c>
      <c r="M1061" s="116">
        <v>1408.35</v>
      </c>
      <c r="N1061" s="116">
        <v>1416</v>
      </c>
      <c r="O1061" s="116">
        <v>1379.35</v>
      </c>
      <c r="P1061" s="116">
        <v>1391.2</v>
      </c>
      <c r="Q1061" s="116">
        <v>1408.35</v>
      </c>
      <c r="R1061">
        <v>92415</v>
      </c>
    </row>
    <row r="1062" spans="1:18" x14ac:dyDescent="0.25">
      <c r="A1062" s="170">
        <v>43565</v>
      </c>
      <c r="B1062" s="116">
        <v>1405.25</v>
      </c>
      <c r="C1062" s="116">
        <v>1379.05</v>
      </c>
      <c r="D1062" s="116">
        <v>1370.2</v>
      </c>
      <c r="E1062" s="116">
        <v>1392.5</v>
      </c>
      <c r="F1062" s="116">
        <v>1379.05</v>
      </c>
      <c r="G1062">
        <v>3999</v>
      </c>
      <c r="H1062" s="116"/>
      <c r="I1062" s="116"/>
      <c r="L1062" s="170">
        <v>43565</v>
      </c>
      <c r="M1062" s="116">
        <v>1381.55</v>
      </c>
      <c r="N1062" s="116">
        <v>1407</v>
      </c>
      <c r="O1062" s="116">
        <v>1371</v>
      </c>
      <c r="P1062" s="116">
        <v>1405</v>
      </c>
      <c r="Q1062" s="116">
        <v>1381.55</v>
      </c>
      <c r="R1062">
        <v>68864</v>
      </c>
    </row>
    <row r="1063" spans="1:18" x14ac:dyDescent="0.25">
      <c r="A1063" s="170">
        <v>43566</v>
      </c>
      <c r="B1063" s="116">
        <v>1418</v>
      </c>
      <c r="C1063" s="116">
        <v>1403.4</v>
      </c>
      <c r="D1063" s="116">
        <v>1370.6</v>
      </c>
      <c r="E1063" s="116">
        <v>1377.05</v>
      </c>
      <c r="F1063" s="116">
        <v>1403.4</v>
      </c>
      <c r="G1063">
        <v>32022</v>
      </c>
      <c r="H1063" s="116"/>
      <c r="I1063" s="116"/>
      <c r="L1063" s="170">
        <v>43566</v>
      </c>
      <c r="M1063" s="116">
        <v>1408.35</v>
      </c>
      <c r="N1063" s="116">
        <v>1418.2</v>
      </c>
      <c r="O1063" s="116">
        <v>1374.75</v>
      </c>
      <c r="P1063" s="116">
        <v>1382.95</v>
      </c>
      <c r="Q1063" s="116">
        <v>1408.35</v>
      </c>
      <c r="R1063">
        <v>60678</v>
      </c>
    </row>
    <row r="1064" spans="1:18" x14ac:dyDescent="0.25">
      <c r="A1064" s="170">
        <v>43567</v>
      </c>
      <c r="B1064" s="116">
        <v>1434</v>
      </c>
      <c r="C1064" s="116">
        <v>1426.2</v>
      </c>
      <c r="D1064" s="116">
        <v>1400</v>
      </c>
      <c r="E1064" s="116">
        <v>1400.05</v>
      </c>
      <c r="F1064" s="116">
        <v>1426.2</v>
      </c>
      <c r="G1064">
        <v>6928</v>
      </c>
      <c r="H1064" s="116"/>
      <c r="I1064" s="116"/>
      <c r="L1064" s="170">
        <v>43567</v>
      </c>
      <c r="M1064" s="116">
        <v>1429.25</v>
      </c>
      <c r="N1064" s="116">
        <v>1433.5</v>
      </c>
      <c r="O1064" s="116">
        <v>1403</v>
      </c>
      <c r="P1064" s="116">
        <v>1406.9</v>
      </c>
      <c r="Q1064" s="116">
        <v>1429.25</v>
      </c>
      <c r="R1064">
        <v>102262</v>
      </c>
    </row>
    <row r="1065" spans="1:18" x14ac:dyDescent="0.25">
      <c r="A1065" s="170">
        <v>43570</v>
      </c>
      <c r="B1065" s="116">
        <v>1438.95</v>
      </c>
      <c r="C1065" s="116">
        <v>1421.4</v>
      </c>
      <c r="D1065" s="116">
        <v>1419</v>
      </c>
      <c r="E1065" s="116">
        <v>1430</v>
      </c>
      <c r="F1065" s="116">
        <v>1421.4</v>
      </c>
      <c r="G1065">
        <v>2562</v>
      </c>
      <c r="H1065" s="116"/>
      <c r="I1065" s="116"/>
      <c r="L1065" s="170">
        <v>43570</v>
      </c>
      <c r="M1065" s="116">
        <v>1423.3</v>
      </c>
      <c r="N1065" s="116">
        <v>1438</v>
      </c>
      <c r="O1065" s="116">
        <v>1417</v>
      </c>
      <c r="P1065" s="116">
        <v>1429.25</v>
      </c>
      <c r="Q1065" s="116">
        <v>1423.3</v>
      </c>
      <c r="R1065">
        <v>37372</v>
      </c>
    </row>
    <row r="1066" spans="1:18" x14ac:dyDescent="0.25">
      <c r="A1066" s="170">
        <v>43571</v>
      </c>
      <c r="B1066" s="116">
        <v>1435</v>
      </c>
      <c r="C1066" s="116">
        <v>1408.6</v>
      </c>
      <c r="D1066" s="116">
        <v>1406.2</v>
      </c>
      <c r="E1066" s="116">
        <v>1424</v>
      </c>
      <c r="F1066" s="116">
        <v>1408.6</v>
      </c>
      <c r="G1066">
        <v>3335</v>
      </c>
      <c r="H1066" s="116"/>
      <c r="I1066" s="116"/>
      <c r="L1066" s="170">
        <v>43571</v>
      </c>
      <c r="M1066" s="116">
        <v>1411.65</v>
      </c>
      <c r="N1066" s="116">
        <v>1436.9</v>
      </c>
      <c r="O1066" s="116">
        <v>1410</v>
      </c>
      <c r="P1066" s="116">
        <v>1432</v>
      </c>
      <c r="Q1066" s="116">
        <v>1411.65</v>
      </c>
      <c r="R1066">
        <v>159112</v>
      </c>
    </row>
    <row r="1067" spans="1:18" x14ac:dyDescent="0.25">
      <c r="A1067" s="170">
        <v>43573</v>
      </c>
      <c r="B1067" s="116">
        <v>1443.05</v>
      </c>
      <c r="C1067" s="116">
        <v>1432.3</v>
      </c>
      <c r="D1067" s="116">
        <v>1410.05</v>
      </c>
      <c r="E1067" s="116">
        <v>1410.05</v>
      </c>
      <c r="F1067" s="116">
        <v>1432.3</v>
      </c>
      <c r="G1067">
        <v>21127</v>
      </c>
      <c r="H1067" s="116"/>
      <c r="I1067" s="116"/>
      <c r="L1067" s="170">
        <v>43573</v>
      </c>
      <c r="M1067" s="116">
        <v>1436.8</v>
      </c>
      <c r="N1067" s="116">
        <v>1449</v>
      </c>
      <c r="O1067" s="116">
        <v>1414.1</v>
      </c>
      <c r="P1067" s="116">
        <v>1414.1</v>
      </c>
      <c r="Q1067" s="116">
        <v>1436.8</v>
      </c>
      <c r="R1067">
        <v>95559</v>
      </c>
    </row>
    <row r="1068" spans="1:18" x14ac:dyDescent="0.25">
      <c r="A1068" s="170">
        <v>43577</v>
      </c>
      <c r="B1068" s="116">
        <v>1454.3</v>
      </c>
      <c r="C1068" s="116">
        <v>1433.05</v>
      </c>
      <c r="D1068" s="116">
        <v>1411.35</v>
      </c>
      <c r="E1068" s="116">
        <v>1415.05</v>
      </c>
      <c r="F1068" s="116">
        <v>1433.05</v>
      </c>
      <c r="G1068">
        <v>6611</v>
      </c>
      <c r="H1068" s="116"/>
      <c r="I1068" s="116"/>
      <c r="L1068" s="170">
        <v>43577</v>
      </c>
      <c r="M1068" s="116">
        <v>1439.15</v>
      </c>
      <c r="N1068" s="116">
        <v>1455</v>
      </c>
      <c r="O1068" s="116">
        <v>1406.4</v>
      </c>
      <c r="P1068" s="116">
        <v>1420</v>
      </c>
      <c r="Q1068" s="116">
        <v>1439.15</v>
      </c>
      <c r="R1068">
        <v>150215</v>
      </c>
    </row>
    <row r="1069" spans="1:18" x14ac:dyDescent="0.25">
      <c r="A1069" s="170">
        <v>43578</v>
      </c>
      <c r="B1069" s="116">
        <v>1497.5</v>
      </c>
      <c r="C1069" s="116">
        <v>1488.45</v>
      </c>
      <c r="D1069" s="116">
        <v>1442</v>
      </c>
      <c r="E1069" s="116">
        <v>1442</v>
      </c>
      <c r="F1069" s="116">
        <v>1488.45</v>
      </c>
      <c r="G1069">
        <v>50389</v>
      </c>
      <c r="H1069" s="116"/>
      <c r="I1069" s="116"/>
      <c r="L1069" s="170">
        <v>43578</v>
      </c>
      <c r="M1069" s="116">
        <v>1478.3</v>
      </c>
      <c r="N1069" s="116">
        <v>1493.5</v>
      </c>
      <c r="O1069" s="116">
        <v>1444</v>
      </c>
      <c r="P1069" s="116">
        <v>1444</v>
      </c>
      <c r="Q1069" s="116">
        <v>1478.3</v>
      </c>
      <c r="R1069">
        <v>306815</v>
      </c>
    </row>
    <row r="1070" spans="1:18" x14ac:dyDescent="0.25">
      <c r="A1070" s="170">
        <v>43579</v>
      </c>
      <c r="B1070" s="116">
        <v>1503.5</v>
      </c>
      <c r="C1070" s="116">
        <v>1484.45</v>
      </c>
      <c r="D1070" s="116">
        <v>1464.9</v>
      </c>
      <c r="E1070" s="116">
        <v>1468.5</v>
      </c>
      <c r="F1070" s="116">
        <v>1484.45</v>
      </c>
      <c r="G1070">
        <v>34325</v>
      </c>
      <c r="H1070" s="116"/>
      <c r="I1070" s="116"/>
      <c r="L1070" s="170">
        <v>43579</v>
      </c>
      <c r="M1070" s="116">
        <v>1491.35</v>
      </c>
      <c r="N1070" s="116">
        <v>1505</v>
      </c>
      <c r="O1070" s="116">
        <v>1460.7</v>
      </c>
      <c r="P1070" s="116">
        <v>1465</v>
      </c>
      <c r="Q1070" s="116">
        <v>1491.35</v>
      </c>
      <c r="R1070">
        <v>126137</v>
      </c>
    </row>
    <row r="1071" spans="1:18" x14ac:dyDescent="0.25">
      <c r="A1071" s="170">
        <v>43580</v>
      </c>
      <c r="B1071" s="116">
        <v>1499.85</v>
      </c>
      <c r="C1071" s="116">
        <v>1493.9</v>
      </c>
      <c r="D1071" s="116">
        <v>1475</v>
      </c>
      <c r="E1071" s="116">
        <v>1485</v>
      </c>
      <c r="F1071" s="116">
        <v>1493.9</v>
      </c>
      <c r="G1071">
        <v>3973</v>
      </c>
      <c r="H1071" s="116"/>
      <c r="I1071" s="116"/>
      <c r="L1071" s="170">
        <v>43580</v>
      </c>
      <c r="M1071" s="116">
        <v>1494.4</v>
      </c>
      <c r="N1071" s="116">
        <v>1499.8</v>
      </c>
      <c r="O1071" s="116">
        <v>1475</v>
      </c>
      <c r="P1071" s="116">
        <v>1498</v>
      </c>
      <c r="Q1071" s="116">
        <v>1494.4</v>
      </c>
      <c r="R1071">
        <v>47180</v>
      </c>
    </row>
    <row r="1072" spans="1:18" x14ac:dyDescent="0.25">
      <c r="A1072" s="170">
        <v>43581</v>
      </c>
      <c r="B1072" s="116">
        <v>1491.9</v>
      </c>
      <c r="C1072" s="116">
        <v>1477.5</v>
      </c>
      <c r="D1072" s="116">
        <v>1474</v>
      </c>
      <c r="E1072" s="116">
        <v>1491.1</v>
      </c>
      <c r="F1072" s="116">
        <v>1477.5</v>
      </c>
      <c r="G1072">
        <v>23219</v>
      </c>
      <c r="H1072" s="116"/>
      <c r="I1072" s="116"/>
      <c r="L1072" s="170">
        <v>43581</v>
      </c>
      <c r="M1072" s="116">
        <v>1481.1</v>
      </c>
      <c r="N1072" s="116">
        <v>1494</v>
      </c>
      <c r="O1072" s="116">
        <v>1471.55</v>
      </c>
      <c r="P1072" s="116">
        <v>1494</v>
      </c>
      <c r="Q1072" s="116">
        <v>1481.1</v>
      </c>
      <c r="R1072">
        <v>73873</v>
      </c>
    </row>
    <row r="1073" spans="1:18" x14ac:dyDescent="0.25">
      <c r="A1073" s="170">
        <v>43585</v>
      </c>
      <c r="B1073" s="116">
        <v>1486.45</v>
      </c>
      <c r="C1073" s="116">
        <v>1473.4</v>
      </c>
      <c r="D1073" s="116">
        <v>1468.45</v>
      </c>
      <c r="E1073" s="116">
        <v>1478.05</v>
      </c>
      <c r="F1073" s="116">
        <v>1473.4</v>
      </c>
      <c r="G1073">
        <v>27577</v>
      </c>
      <c r="H1073" s="116"/>
      <c r="I1073" s="116"/>
      <c r="L1073" s="170">
        <v>43585</v>
      </c>
      <c r="M1073" s="116">
        <v>1479.3</v>
      </c>
      <c r="N1073" s="116">
        <v>1489</v>
      </c>
      <c r="O1073" s="116">
        <v>1472.5</v>
      </c>
      <c r="P1073" s="116">
        <v>1480.4</v>
      </c>
      <c r="Q1073" s="116">
        <v>1479.3</v>
      </c>
      <c r="R1073">
        <v>59062</v>
      </c>
    </row>
    <row r="1074" spans="1:18" x14ac:dyDescent="0.25">
      <c r="A1074" s="170">
        <v>43587</v>
      </c>
      <c r="B1074" s="116">
        <v>1519.9</v>
      </c>
      <c r="C1074" s="116">
        <v>1473.9</v>
      </c>
      <c r="D1074" s="116">
        <v>1464</v>
      </c>
      <c r="E1074" s="116">
        <v>1474</v>
      </c>
      <c r="F1074" s="116">
        <v>1473.9</v>
      </c>
      <c r="G1074">
        <v>7317</v>
      </c>
      <c r="H1074" s="116"/>
      <c r="I1074" s="116"/>
      <c r="L1074" s="170">
        <v>43587</v>
      </c>
      <c r="M1074" s="116">
        <v>1476.85</v>
      </c>
      <c r="N1074" s="116">
        <v>1519.9</v>
      </c>
      <c r="O1074" s="116">
        <v>1461.35</v>
      </c>
      <c r="P1074" s="116">
        <v>1485</v>
      </c>
      <c r="Q1074" s="116">
        <v>1476.85</v>
      </c>
      <c r="R1074">
        <v>263468</v>
      </c>
    </row>
    <row r="1075" spans="1:18" x14ac:dyDescent="0.25">
      <c r="A1075" s="170">
        <v>43588</v>
      </c>
      <c r="B1075" s="116">
        <v>1515.5</v>
      </c>
      <c r="C1075" s="116">
        <v>1490.55</v>
      </c>
      <c r="D1075" s="116">
        <v>1474</v>
      </c>
      <c r="E1075" s="116">
        <v>1474</v>
      </c>
      <c r="F1075" s="116">
        <v>1490.55</v>
      </c>
      <c r="G1075">
        <v>4414</v>
      </c>
      <c r="H1075" s="116"/>
      <c r="I1075" s="116"/>
      <c r="L1075" s="170">
        <v>43588</v>
      </c>
      <c r="M1075" s="116">
        <v>1493.25</v>
      </c>
      <c r="N1075" s="116">
        <v>1517.8</v>
      </c>
      <c r="O1075" s="116">
        <v>1472.5</v>
      </c>
      <c r="P1075" s="116">
        <v>1476</v>
      </c>
      <c r="Q1075" s="116">
        <v>1493.25</v>
      </c>
      <c r="R1075">
        <v>113929</v>
      </c>
    </row>
    <row r="1076" spans="1:18" x14ac:dyDescent="0.25">
      <c r="A1076" s="170">
        <v>43591</v>
      </c>
      <c r="B1076" s="116">
        <v>1503.15</v>
      </c>
      <c r="C1076" s="116">
        <v>1481.3</v>
      </c>
      <c r="D1076" s="116">
        <v>1470.05</v>
      </c>
      <c r="E1076" s="116">
        <v>1480</v>
      </c>
      <c r="F1076" s="116">
        <v>1481.3</v>
      </c>
      <c r="G1076">
        <v>24894</v>
      </c>
      <c r="H1076" s="116"/>
      <c r="I1076" s="116"/>
      <c r="L1076" s="170">
        <v>43591</v>
      </c>
      <c r="M1076" s="116">
        <v>1479.05</v>
      </c>
      <c r="N1076" s="116">
        <v>1506.9</v>
      </c>
      <c r="O1076" s="116">
        <v>1471</v>
      </c>
      <c r="P1076" s="116">
        <v>1480</v>
      </c>
      <c r="Q1076" s="116">
        <v>1479.05</v>
      </c>
      <c r="R1076">
        <v>175652</v>
      </c>
    </row>
    <row r="1077" spans="1:18" x14ac:dyDescent="0.25">
      <c r="A1077" s="170">
        <v>43592</v>
      </c>
      <c r="B1077" s="116">
        <v>1488.5</v>
      </c>
      <c r="C1077" s="116">
        <v>1470.25</v>
      </c>
      <c r="D1077" s="116">
        <v>1465.2</v>
      </c>
      <c r="E1077" s="116">
        <v>1481.3</v>
      </c>
      <c r="F1077" s="116">
        <v>1470.25</v>
      </c>
      <c r="G1077">
        <v>2766</v>
      </c>
      <c r="H1077" s="116"/>
      <c r="I1077" s="116"/>
      <c r="L1077" s="170">
        <v>43592</v>
      </c>
      <c r="M1077" s="116">
        <v>1478.8</v>
      </c>
      <c r="N1077" s="116">
        <v>1496.9</v>
      </c>
      <c r="O1077" s="116">
        <v>1465.55</v>
      </c>
      <c r="P1077" s="116">
        <v>1475</v>
      </c>
      <c r="Q1077" s="116">
        <v>1478.8</v>
      </c>
      <c r="R1077">
        <v>57445</v>
      </c>
    </row>
    <row r="1078" spans="1:18" x14ac:dyDescent="0.25">
      <c r="A1078" s="170">
        <v>43593</v>
      </c>
      <c r="B1078" s="116">
        <v>1495.45</v>
      </c>
      <c r="C1078" s="116">
        <v>1448.6</v>
      </c>
      <c r="D1078" s="116">
        <v>1442.2</v>
      </c>
      <c r="E1078" s="116">
        <v>1475</v>
      </c>
      <c r="F1078" s="116">
        <v>1448.6</v>
      </c>
      <c r="G1078">
        <v>47397</v>
      </c>
      <c r="H1078" s="116"/>
      <c r="I1078" s="116"/>
      <c r="L1078" s="170">
        <v>43593</v>
      </c>
      <c r="M1078" s="116">
        <v>1453.55</v>
      </c>
      <c r="N1078" s="116">
        <v>1497</v>
      </c>
      <c r="O1078" s="116">
        <v>1448</v>
      </c>
      <c r="P1078" s="116">
        <v>1480.25</v>
      </c>
      <c r="Q1078" s="116">
        <v>1453.55</v>
      </c>
      <c r="R1078">
        <v>175410</v>
      </c>
    </row>
    <row r="1079" spans="1:18" x14ac:dyDescent="0.25">
      <c r="A1079" s="170">
        <v>43594</v>
      </c>
      <c r="B1079" s="116">
        <v>1440.5</v>
      </c>
      <c r="C1079" s="116">
        <v>1391.95</v>
      </c>
      <c r="D1079" s="116">
        <v>1379</v>
      </c>
      <c r="E1079" s="116">
        <v>1440.5</v>
      </c>
      <c r="F1079" s="116">
        <v>1391.95</v>
      </c>
      <c r="G1079">
        <v>9968</v>
      </c>
      <c r="H1079" s="116"/>
      <c r="I1079" s="116"/>
      <c r="L1079" s="170">
        <v>43594</v>
      </c>
      <c r="M1079" s="116">
        <v>1385.9</v>
      </c>
      <c r="N1079" s="116">
        <v>1450</v>
      </c>
      <c r="O1079" s="116">
        <v>1380.2</v>
      </c>
      <c r="P1079" s="116">
        <v>1450</v>
      </c>
      <c r="Q1079" s="116">
        <v>1385.9</v>
      </c>
      <c r="R1079">
        <v>151254</v>
      </c>
    </row>
    <row r="1080" spans="1:18" x14ac:dyDescent="0.25">
      <c r="A1080" s="170">
        <v>43595</v>
      </c>
      <c r="B1080" s="116">
        <v>1393.05</v>
      </c>
      <c r="C1080" s="116">
        <v>1376.95</v>
      </c>
      <c r="D1080" s="116">
        <v>1340</v>
      </c>
      <c r="E1080" s="116">
        <v>1390.8</v>
      </c>
      <c r="F1080" s="116">
        <v>1376.95</v>
      </c>
      <c r="G1080">
        <v>12120</v>
      </c>
      <c r="H1080" s="116"/>
      <c r="I1080" s="116"/>
      <c r="L1080" s="170">
        <v>43595</v>
      </c>
      <c r="M1080" s="116">
        <v>1377.15</v>
      </c>
      <c r="N1080" s="116">
        <v>1398.8</v>
      </c>
      <c r="O1080" s="116">
        <v>1341.65</v>
      </c>
      <c r="P1080" s="116">
        <v>1380.5</v>
      </c>
      <c r="Q1080" s="116">
        <v>1377.15</v>
      </c>
      <c r="R1080">
        <v>124261</v>
      </c>
    </row>
    <row r="1081" spans="1:18" x14ac:dyDescent="0.25">
      <c r="A1081" s="170">
        <v>43598</v>
      </c>
      <c r="B1081" s="116">
        <v>1389</v>
      </c>
      <c r="C1081" s="116">
        <v>1346.55</v>
      </c>
      <c r="D1081" s="116">
        <v>1340.2</v>
      </c>
      <c r="E1081" s="116">
        <v>1388.95</v>
      </c>
      <c r="F1081" s="116">
        <v>1346.55</v>
      </c>
      <c r="G1081">
        <v>1718</v>
      </c>
      <c r="H1081" s="116"/>
      <c r="I1081" s="116"/>
      <c r="L1081" s="170">
        <v>43598</v>
      </c>
      <c r="M1081" s="116">
        <v>1347.45</v>
      </c>
      <c r="N1081" s="116">
        <v>1398</v>
      </c>
      <c r="O1081" s="116">
        <v>1340</v>
      </c>
      <c r="P1081" s="116">
        <v>1398</v>
      </c>
      <c r="Q1081" s="116">
        <v>1347.45</v>
      </c>
      <c r="R1081">
        <v>29755</v>
      </c>
    </row>
    <row r="1082" spans="1:18" x14ac:dyDescent="0.25">
      <c r="A1082" s="170">
        <v>43599</v>
      </c>
      <c r="B1082" s="116">
        <v>1376.55</v>
      </c>
      <c r="C1082" s="116">
        <v>1370.85</v>
      </c>
      <c r="D1082" s="116">
        <v>1318.8</v>
      </c>
      <c r="E1082" s="116">
        <v>1342.05</v>
      </c>
      <c r="F1082" s="116">
        <v>1370.85</v>
      </c>
      <c r="G1082">
        <v>3010</v>
      </c>
      <c r="H1082" s="116"/>
      <c r="I1082" s="116"/>
      <c r="L1082" s="170">
        <v>43599</v>
      </c>
      <c r="M1082" s="116">
        <v>1374.6</v>
      </c>
      <c r="N1082" s="116">
        <v>1380</v>
      </c>
      <c r="O1082" s="116">
        <v>1311.3</v>
      </c>
      <c r="P1082" s="116">
        <v>1355.85</v>
      </c>
      <c r="Q1082" s="116">
        <v>1374.6</v>
      </c>
      <c r="R1082">
        <v>165512</v>
      </c>
    </row>
    <row r="1083" spans="1:18" x14ac:dyDescent="0.25">
      <c r="A1083" s="170">
        <v>43600</v>
      </c>
      <c r="B1083" s="116">
        <v>1382.05</v>
      </c>
      <c r="C1083" s="116">
        <v>1375.4</v>
      </c>
      <c r="D1083" s="116">
        <v>1357.9</v>
      </c>
      <c r="E1083" s="116">
        <v>1375.2</v>
      </c>
      <c r="F1083" s="116">
        <v>1375.4</v>
      </c>
      <c r="G1083">
        <v>1408</v>
      </c>
      <c r="H1083" s="116"/>
      <c r="I1083" s="116"/>
      <c r="L1083" s="170">
        <v>43600</v>
      </c>
      <c r="M1083" s="116">
        <v>1378.3</v>
      </c>
      <c r="N1083" s="116">
        <v>1410</v>
      </c>
      <c r="O1083" s="116">
        <v>1356.25</v>
      </c>
      <c r="P1083" s="116">
        <v>1363</v>
      </c>
      <c r="Q1083" s="116">
        <v>1378.3</v>
      </c>
      <c r="R1083">
        <v>35340</v>
      </c>
    </row>
    <row r="1084" spans="1:18" x14ac:dyDescent="0.25">
      <c r="A1084" s="170">
        <v>43601</v>
      </c>
      <c r="B1084" s="116">
        <v>1400</v>
      </c>
      <c r="C1084" s="116">
        <v>1388.25</v>
      </c>
      <c r="D1084" s="116">
        <v>1363.9</v>
      </c>
      <c r="E1084" s="116">
        <v>1378.2</v>
      </c>
      <c r="F1084" s="116">
        <v>1388.25</v>
      </c>
      <c r="G1084">
        <v>31284</v>
      </c>
      <c r="H1084" s="116"/>
      <c r="I1084" s="116"/>
      <c r="L1084" s="170">
        <v>43601</v>
      </c>
      <c r="M1084" s="116">
        <v>1387.25</v>
      </c>
      <c r="N1084" s="116">
        <v>1403.9</v>
      </c>
      <c r="O1084" s="116">
        <v>1361.05</v>
      </c>
      <c r="P1084" s="116">
        <v>1379</v>
      </c>
      <c r="Q1084" s="116">
        <v>1387.25</v>
      </c>
      <c r="R1084">
        <v>61705</v>
      </c>
    </row>
    <row r="1085" spans="1:18" x14ac:dyDescent="0.25">
      <c r="A1085" s="170">
        <v>43602</v>
      </c>
      <c r="B1085" s="116">
        <v>1405</v>
      </c>
      <c r="C1085" s="116">
        <v>1392.05</v>
      </c>
      <c r="D1085" s="116">
        <v>1375</v>
      </c>
      <c r="E1085" s="116">
        <v>1376.05</v>
      </c>
      <c r="F1085" s="116">
        <v>1392.05</v>
      </c>
      <c r="G1085">
        <v>2259</v>
      </c>
      <c r="H1085" s="116"/>
      <c r="I1085" s="116"/>
      <c r="L1085" s="170">
        <v>43602</v>
      </c>
      <c r="M1085" s="116">
        <v>1391.1</v>
      </c>
      <c r="N1085" s="116">
        <v>1403.8</v>
      </c>
      <c r="O1085" s="116">
        <v>1372.55</v>
      </c>
      <c r="P1085" s="116">
        <v>1385</v>
      </c>
      <c r="Q1085" s="116">
        <v>1391.1</v>
      </c>
      <c r="R1085">
        <v>21627</v>
      </c>
    </row>
    <row r="1086" spans="1:18" x14ac:dyDescent="0.25">
      <c r="A1086" s="170">
        <v>43605</v>
      </c>
      <c r="B1086" s="116">
        <v>1445</v>
      </c>
      <c r="C1086" s="116">
        <v>1431.9</v>
      </c>
      <c r="D1086" s="116">
        <v>1403.6</v>
      </c>
      <c r="E1086" s="116">
        <v>1408</v>
      </c>
      <c r="F1086" s="116">
        <v>1431.9</v>
      </c>
      <c r="G1086">
        <v>5654</v>
      </c>
      <c r="H1086" s="116"/>
      <c r="I1086" s="116"/>
      <c r="L1086" s="170">
        <v>43605</v>
      </c>
      <c r="M1086" s="116">
        <v>1437.1</v>
      </c>
      <c r="N1086" s="116">
        <v>1442</v>
      </c>
      <c r="O1086" s="116">
        <v>1405</v>
      </c>
      <c r="P1086" s="116">
        <v>1418.8</v>
      </c>
      <c r="Q1086" s="116">
        <v>1437.1</v>
      </c>
      <c r="R1086">
        <v>49128</v>
      </c>
    </row>
    <row r="1087" spans="1:18" x14ac:dyDescent="0.25">
      <c r="A1087" s="170">
        <v>43606</v>
      </c>
      <c r="B1087" s="116">
        <v>1455</v>
      </c>
      <c r="C1087" s="116">
        <v>1426</v>
      </c>
      <c r="D1087" s="116">
        <v>1414.3</v>
      </c>
      <c r="E1087" s="116">
        <v>1440.45</v>
      </c>
      <c r="F1087" s="116">
        <v>1426</v>
      </c>
      <c r="G1087">
        <v>2569</v>
      </c>
      <c r="H1087" s="116"/>
      <c r="I1087" s="116"/>
      <c r="L1087" s="170">
        <v>43606</v>
      </c>
      <c r="M1087" s="116">
        <v>1428.85</v>
      </c>
      <c r="N1087" s="116">
        <v>1457.95</v>
      </c>
      <c r="O1087" s="116">
        <v>1414</v>
      </c>
      <c r="P1087" s="116">
        <v>1440</v>
      </c>
      <c r="Q1087" s="116">
        <v>1428.85</v>
      </c>
      <c r="R1087">
        <v>104736</v>
      </c>
    </row>
    <row r="1088" spans="1:18" x14ac:dyDescent="0.25">
      <c r="A1088" s="170">
        <v>43607</v>
      </c>
      <c r="B1088" s="116">
        <v>1458</v>
      </c>
      <c r="C1088" s="116">
        <v>1452.2</v>
      </c>
      <c r="D1088" s="116">
        <v>1402.05</v>
      </c>
      <c r="E1088" s="116">
        <v>1430</v>
      </c>
      <c r="F1088" s="116">
        <v>1452.2</v>
      </c>
      <c r="G1088">
        <v>3781</v>
      </c>
      <c r="H1088" s="116"/>
      <c r="I1088" s="116"/>
      <c r="L1088" s="170">
        <v>43607</v>
      </c>
      <c r="M1088" s="116">
        <v>1457.15</v>
      </c>
      <c r="N1088" s="116">
        <v>1461.5</v>
      </c>
      <c r="O1088" s="116">
        <v>1401.2</v>
      </c>
      <c r="P1088" s="116">
        <v>1425</v>
      </c>
      <c r="Q1088" s="116">
        <v>1457.15</v>
      </c>
      <c r="R1088">
        <v>43526</v>
      </c>
    </row>
    <row r="1089" spans="1:18" x14ac:dyDescent="0.25">
      <c r="A1089" s="170">
        <v>43608</v>
      </c>
      <c r="B1089" s="116">
        <v>1485</v>
      </c>
      <c r="C1089" s="116">
        <v>1429.35</v>
      </c>
      <c r="D1089" s="116">
        <v>1419.95</v>
      </c>
      <c r="E1089" s="116">
        <v>1461</v>
      </c>
      <c r="F1089" s="116">
        <v>1429.35</v>
      </c>
      <c r="G1089">
        <v>5584</v>
      </c>
      <c r="H1089" s="116"/>
      <c r="I1089" s="116"/>
      <c r="L1089" s="170">
        <v>43608</v>
      </c>
      <c r="M1089" s="116">
        <v>1437.7</v>
      </c>
      <c r="N1089" s="116">
        <v>1490</v>
      </c>
      <c r="O1089" s="116">
        <v>1421</v>
      </c>
      <c r="P1089" s="116">
        <v>1490</v>
      </c>
      <c r="Q1089" s="116">
        <v>1437.7</v>
      </c>
      <c r="R1089">
        <v>76310</v>
      </c>
    </row>
    <row r="1090" spans="1:18" x14ac:dyDescent="0.25">
      <c r="A1090" s="170">
        <v>43609</v>
      </c>
      <c r="B1090" s="116">
        <v>1501.35</v>
      </c>
      <c r="C1090" s="116">
        <v>1494.65</v>
      </c>
      <c r="D1090" s="116">
        <v>1450</v>
      </c>
      <c r="E1090" s="116">
        <v>1450</v>
      </c>
      <c r="F1090" s="116">
        <v>1494.65</v>
      </c>
      <c r="G1090">
        <v>37266</v>
      </c>
      <c r="H1090" s="116"/>
      <c r="I1090" s="116"/>
      <c r="L1090" s="170">
        <v>43609</v>
      </c>
      <c r="M1090" s="116">
        <v>1496.95</v>
      </c>
      <c r="N1090" s="116">
        <v>1500</v>
      </c>
      <c r="O1090" s="116">
        <v>1444.85</v>
      </c>
      <c r="P1090" s="116">
        <v>1463.85</v>
      </c>
      <c r="Q1090" s="116">
        <v>1496.95</v>
      </c>
      <c r="R1090">
        <v>76994</v>
      </c>
    </row>
    <row r="1091" spans="1:18" x14ac:dyDescent="0.25">
      <c r="A1091" s="170">
        <v>43612</v>
      </c>
      <c r="B1091" s="116">
        <v>1620</v>
      </c>
      <c r="C1091" s="116">
        <v>1610.7</v>
      </c>
      <c r="D1091" s="116">
        <v>1485</v>
      </c>
      <c r="E1091" s="116">
        <v>1485</v>
      </c>
      <c r="F1091" s="116">
        <v>1610.7</v>
      </c>
      <c r="G1091">
        <v>27581</v>
      </c>
      <c r="H1091" s="116"/>
      <c r="I1091" s="116"/>
      <c r="L1091" s="170">
        <v>43612</v>
      </c>
      <c r="M1091" s="116">
        <v>1613.3</v>
      </c>
      <c r="N1091" s="116">
        <v>1619.95</v>
      </c>
      <c r="O1091" s="116">
        <v>1478</v>
      </c>
      <c r="P1091" s="116">
        <v>1478</v>
      </c>
      <c r="Q1091" s="116">
        <v>1613.3</v>
      </c>
      <c r="R1091">
        <v>327524</v>
      </c>
    </row>
    <row r="1092" spans="1:18" x14ac:dyDescent="0.25">
      <c r="A1092" s="170">
        <v>43613</v>
      </c>
      <c r="B1092" s="116">
        <v>1621</v>
      </c>
      <c r="C1092" s="116">
        <v>1589.9</v>
      </c>
      <c r="D1092" s="116">
        <v>1560</v>
      </c>
      <c r="E1092" s="116">
        <v>1621</v>
      </c>
      <c r="F1092" s="116">
        <v>1589.9</v>
      </c>
      <c r="G1092">
        <v>14467</v>
      </c>
      <c r="H1092" s="116"/>
      <c r="I1092" s="116"/>
      <c r="L1092" s="170">
        <v>43613</v>
      </c>
      <c r="M1092" s="116">
        <v>1594.5</v>
      </c>
      <c r="N1092" s="116">
        <v>1618</v>
      </c>
      <c r="O1092" s="116">
        <v>1557.65</v>
      </c>
      <c r="P1092" s="116">
        <v>1616</v>
      </c>
      <c r="Q1092" s="116">
        <v>1594.5</v>
      </c>
      <c r="R1092">
        <v>173687</v>
      </c>
    </row>
    <row r="1093" spans="1:18" x14ac:dyDescent="0.25">
      <c r="A1093" s="170">
        <v>43614</v>
      </c>
      <c r="B1093" s="116">
        <v>1601</v>
      </c>
      <c r="C1093" s="116">
        <v>1582.55</v>
      </c>
      <c r="D1093" s="116">
        <v>1574.45</v>
      </c>
      <c r="E1093" s="116">
        <v>1595</v>
      </c>
      <c r="F1093" s="116">
        <v>1582.55</v>
      </c>
      <c r="G1093">
        <v>1786</v>
      </c>
      <c r="H1093" s="116"/>
      <c r="I1093" s="116"/>
      <c r="L1093" s="170">
        <v>43614</v>
      </c>
      <c r="M1093" s="116">
        <v>1587.9</v>
      </c>
      <c r="N1093" s="116">
        <v>1600.1</v>
      </c>
      <c r="O1093" s="116">
        <v>1577.15</v>
      </c>
      <c r="P1093" s="116">
        <v>1595</v>
      </c>
      <c r="Q1093" s="116">
        <v>1587.9</v>
      </c>
      <c r="R1093">
        <v>172554</v>
      </c>
    </row>
    <row r="1094" spans="1:18" x14ac:dyDescent="0.25">
      <c r="A1094" s="170">
        <v>43615</v>
      </c>
      <c r="B1094" s="116">
        <v>1584.75</v>
      </c>
      <c r="C1094" s="116">
        <v>1578.45</v>
      </c>
      <c r="D1094" s="116">
        <v>1563.2</v>
      </c>
      <c r="E1094" s="116">
        <v>1584.6</v>
      </c>
      <c r="F1094" s="116">
        <v>1578.45</v>
      </c>
      <c r="G1094">
        <v>1771</v>
      </c>
      <c r="H1094" s="116"/>
      <c r="I1094" s="116"/>
      <c r="L1094" s="170">
        <v>43615</v>
      </c>
      <c r="M1094" s="116">
        <v>1574.3</v>
      </c>
      <c r="N1094" s="116">
        <v>1587.9</v>
      </c>
      <c r="O1094" s="116">
        <v>1562.1</v>
      </c>
      <c r="P1094" s="116">
        <v>1580</v>
      </c>
      <c r="Q1094" s="116">
        <v>1574.3</v>
      </c>
      <c r="R1094">
        <v>31425</v>
      </c>
    </row>
    <row r="1095" spans="1:18" x14ac:dyDescent="0.25">
      <c r="A1095" s="170">
        <v>43616</v>
      </c>
      <c r="B1095" s="116">
        <v>1590.85</v>
      </c>
      <c r="C1095" s="116">
        <v>1571</v>
      </c>
      <c r="D1095" s="116">
        <v>1561.7</v>
      </c>
      <c r="E1095" s="116">
        <v>1583.85</v>
      </c>
      <c r="F1095" s="116">
        <v>1571</v>
      </c>
      <c r="G1095">
        <v>119315</v>
      </c>
      <c r="H1095" s="116"/>
      <c r="I1095" s="116"/>
      <c r="L1095" s="170">
        <v>43616</v>
      </c>
      <c r="M1095" s="116">
        <v>1569.3</v>
      </c>
      <c r="N1095" s="116">
        <v>1598.35</v>
      </c>
      <c r="O1095" s="116">
        <v>1561</v>
      </c>
      <c r="P1095" s="116">
        <v>1579.75</v>
      </c>
      <c r="Q1095" s="116">
        <v>1569.3</v>
      </c>
      <c r="R1095">
        <v>44434</v>
      </c>
    </row>
    <row r="1096" spans="1:18" x14ac:dyDescent="0.25">
      <c r="A1096" s="170">
        <v>43619</v>
      </c>
      <c r="B1096" s="116">
        <v>1611.7</v>
      </c>
      <c r="C1096" s="116">
        <v>1591.85</v>
      </c>
      <c r="D1096" s="116">
        <v>1554.3</v>
      </c>
      <c r="E1096" s="116">
        <v>1565</v>
      </c>
      <c r="F1096" s="116">
        <v>1591.85</v>
      </c>
      <c r="G1096">
        <v>6606</v>
      </c>
      <c r="H1096" s="116"/>
      <c r="I1096" s="116"/>
      <c r="L1096" s="170">
        <v>43619</v>
      </c>
      <c r="M1096" s="116">
        <v>1593.35</v>
      </c>
      <c r="N1096" s="116">
        <v>1615.5</v>
      </c>
      <c r="O1096" s="116">
        <v>1551.3</v>
      </c>
      <c r="P1096" s="116">
        <v>1571.1</v>
      </c>
      <c r="Q1096" s="116">
        <v>1593.35</v>
      </c>
      <c r="R1096">
        <v>89242</v>
      </c>
    </row>
    <row r="1097" spans="1:18" x14ac:dyDescent="0.25">
      <c r="A1097" s="170">
        <v>43620</v>
      </c>
      <c r="B1097" s="116">
        <v>1607</v>
      </c>
      <c r="C1097" s="116">
        <v>1560.2</v>
      </c>
      <c r="D1097" s="116">
        <v>1554.25</v>
      </c>
      <c r="E1097" s="116">
        <v>1600</v>
      </c>
      <c r="F1097" s="116">
        <v>1560.2</v>
      </c>
      <c r="G1097">
        <v>21913</v>
      </c>
      <c r="H1097" s="116"/>
      <c r="I1097" s="116"/>
      <c r="L1097" s="170">
        <v>43620</v>
      </c>
      <c r="M1097" s="116">
        <v>1561.65</v>
      </c>
      <c r="N1097" s="116">
        <v>1609.8</v>
      </c>
      <c r="O1097" s="116">
        <v>1552</v>
      </c>
      <c r="P1097" s="116">
        <v>1593.35</v>
      </c>
      <c r="Q1097" s="116">
        <v>1561.65</v>
      </c>
      <c r="R1097">
        <v>97405</v>
      </c>
    </row>
    <row r="1098" spans="1:18" x14ac:dyDescent="0.25">
      <c r="A1098" s="170">
        <v>43622</v>
      </c>
      <c r="B1098" s="116">
        <v>1577.4</v>
      </c>
      <c r="C1098" s="116">
        <v>1527.6</v>
      </c>
      <c r="D1098" s="116">
        <v>1523.3</v>
      </c>
      <c r="E1098" s="116">
        <v>1565</v>
      </c>
      <c r="F1098" s="116">
        <v>1527.6</v>
      </c>
      <c r="G1098">
        <v>3402</v>
      </c>
      <c r="H1098" s="116"/>
      <c r="I1098" s="116"/>
      <c r="L1098" s="170">
        <v>43622</v>
      </c>
      <c r="M1098" s="116">
        <v>1529.8</v>
      </c>
      <c r="N1098" s="116">
        <v>1579.4</v>
      </c>
      <c r="O1098" s="116">
        <v>1524</v>
      </c>
      <c r="P1098" s="116">
        <v>1560</v>
      </c>
      <c r="Q1098" s="116">
        <v>1529.8</v>
      </c>
      <c r="R1098">
        <v>57148</v>
      </c>
    </row>
    <row r="1099" spans="1:18" x14ac:dyDescent="0.25">
      <c r="A1099" s="170">
        <v>43623</v>
      </c>
      <c r="B1099" s="116">
        <v>1575</v>
      </c>
      <c r="C1099" s="116">
        <v>1564.35</v>
      </c>
      <c r="D1099" s="116">
        <v>1521.6</v>
      </c>
      <c r="E1099" s="116">
        <v>1533</v>
      </c>
      <c r="F1099" s="116">
        <v>1564.35</v>
      </c>
      <c r="G1099">
        <v>8289</v>
      </c>
      <c r="H1099" s="116"/>
      <c r="I1099" s="116"/>
      <c r="L1099" s="170">
        <v>43623</v>
      </c>
      <c r="M1099" s="116">
        <v>1564.15</v>
      </c>
      <c r="N1099" s="116">
        <v>1575</v>
      </c>
      <c r="O1099" s="116">
        <v>1517</v>
      </c>
      <c r="P1099" s="116">
        <v>1531.05</v>
      </c>
      <c r="Q1099" s="116">
        <v>1564.15</v>
      </c>
      <c r="R1099">
        <v>41806</v>
      </c>
    </row>
    <row r="1100" spans="1:18" x14ac:dyDescent="0.25">
      <c r="A1100" s="170">
        <v>43626</v>
      </c>
      <c r="B1100" s="116">
        <v>1625.4</v>
      </c>
      <c r="C1100" s="116">
        <v>1566.7</v>
      </c>
      <c r="D1100" s="116">
        <v>1560</v>
      </c>
      <c r="E1100" s="116">
        <v>1575</v>
      </c>
      <c r="F1100" s="116">
        <v>1566.7</v>
      </c>
      <c r="G1100">
        <v>9634</v>
      </c>
      <c r="H1100" s="116"/>
      <c r="I1100" s="116"/>
      <c r="L1100" s="170">
        <v>43626</v>
      </c>
      <c r="M1100" s="116">
        <v>1563.4</v>
      </c>
      <c r="N1100" s="116">
        <v>1629</v>
      </c>
      <c r="O1100" s="116">
        <v>1552.2</v>
      </c>
      <c r="P1100" s="116">
        <v>1563.15</v>
      </c>
      <c r="Q1100" s="116">
        <v>1563.4</v>
      </c>
      <c r="R1100">
        <v>196369</v>
      </c>
    </row>
    <row r="1101" spans="1:18" x14ac:dyDescent="0.25">
      <c r="A1101" s="170">
        <v>43627</v>
      </c>
      <c r="B1101" s="116">
        <v>1580.15</v>
      </c>
      <c r="C1101" s="116">
        <v>1550.35</v>
      </c>
      <c r="D1101" s="116">
        <v>1541.45</v>
      </c>
      <c r="E1101" s="116">
        <v>1560</v>
      </c>
      <c r="F1101" s="116">
        <v>1550.35</v>
      </c>
      <c r="G1101">
        <v>26262</v>
      </c>
      <c r="H1101" s="116"/>
      <c r="I1101" s="116"/>
      <c r="L1101" s="170">
        <v>43627</v>
      </c>
      <c r="M1101" s="116">
        <v>1546.55</v>
      </c>
      <c r="N1101" s="116">
        <v>1583.75</v>
      </c>
      <c r="O1101" s="116">
        <v>1540.6</v>
      </c>
      <c r="P1101" s="116">
        <v>1560</v>
      </c>
      <c r="Q1101" s="116">
        <v>1546.55</v>
      </c>
      <c r="R1101">
        <v>101534</v>
      </c>
    </row>
    <row r="1102" spans="1:18" x14ac:dyDescent="0.25">
      <c r="A1102" s="170">
        <v>43628</v>
      </c>
      <c r="B1102" s="116">
        <v>1572</v>
      </c>
      <c r="C1102" s="116">
        <v>1509.85</v>
      </c>
      <c r="D1102" s="116">
        <v>1504</v>
      </c>
      <c r="E1102" s="116">
        <v>1551</v>
      </c>
      <c r="F1102" s="116">
        <v>1509.85</v>
      </c>
      <c r="G1102">
        <v>38086</v>
      </c>
      <c r="H1102" s="116"/>
      <c r="I1102" s="116"/>
      <c r="L1102" s="170">
        <v>43628</v>
      </c>
      <c r="M1102" s="116">
        <v>1506.55</v>
      </c>
      <c r="N1102" s="116">
        <v>1574.65</v>
      </c>
      <c r="O1102" s="116">
        <v>1500.05</v>
      </c>
      <c r="P1102" s="116">
        <v>1547.75</v>
      </c>
      <c r="Q1102" s="116">
        <v>1506.55</v>
      </c>
      <c r="R1102">
        <v>185146</v>
      </c>
    </row>
    <row r="1103" spans="1:18" x14ac:dyDescent="0.25">
      <c r="A1103" s="170">
        <v>43629</v>
      </c>
      <c r="B1103" s="116">
        <v>1554</v>
      </c>
      <c r="C1103" s="116">
        <v>1513.1</v>
      </c>
      <c r="D1103" s="116">
        <v>1505</v>
      </c>
      <c r="E1103" s="116">
        <v>1525.35</v>
      </c>
      <c r="F1103" s="116">
        <v>1513.1</v>
      </c>
      <c r="G1103">
        <v>16720</v>
      </c>
      <c r="H1103" s="116"/>
      <c r="I1103" s="116"/>
      <c r="L1103" s="170">
        <v>43629</v>
      </c>
      <c r="M1103" s="116">
        <v>1508.85</v>
      </c>
      <c r="N1103" s="116">
        <v>1554</v>
      </c>
      <c r="O1103" s="116">
        <v>1502</v>
      </c>
      <c r="P1103" s="116">
        <v>1510</v>
      </c>
      <c r="Q1103" s="116">
        <v>1508.85</v>
      </c>
      <c r="R1103">
        <v>221283</v>
      </c>
    </row>
    <row r="1104" spans="1:18" x14ac:dyDescent="0.25">
      <c r="A1104" s="170">
        <v>43630</v>
      </c>
      <c r="B1104" s="116">
        <v>1544</v>
      </c>
      <c r="C1104" s="116">
        <v>1509.8</v>
      </c>
      <c r="D1104" s="116">
        <v>1501.15</v>
      </c>
      <c r="E1104" s="116">
        <v>1524</v>
      </c>
      <c r="F1104" s="116">
        <v>1509.8</v>
      </c>
      <c r="G1104">
        <v>22503</v>
      </c>
      <c r="H1104" s="116"/>
      <c r="I1104" s="116"/>
      <c r="L1104" s="170">
        <v>43630</v>
      </c>
      <c r="M1104" s="116">
        <v>1511.45</v>
      </c>
      <c r="N1104" s="116">
        <v>1544.35</v>
      </c>
      <c r="O1104" s="116">
        <v>1502</v>
      </c>
      <c r="P1104" s="116">
        <v>1513</v>
      </c>
      <c r="Q1104" s="116">
        <v>1511.45</v>
      </c>
      <c r="R1104">
        <v>110612</v>
      </c>
    </row>
    <row r="1105" spans="1:18" x14ac:dyDescent="0.25">
      <c r="A1105" s="170">
        <v>43633</v>
      </c>
      <c r="B1105" s="116">
        <v>1538.6</v>
      </c>
      <c r="C1105" s="116">
        <v>1531.8</v>
      </c>
      <c r="D1105" s="116">
        <v>1510</v>
      </c>
      <c r="E1105" s="116">
        <v>1515</v>
      </c>
      <c r="F1105" s="116">
        <v>1531.8</v>
      </c>
      <c r="G1105">
        <v>4086</v>
      </c>
      <c r="H1105" s="116"/>
      <c r="I1105" s="116"/>
      <c r="L1105" s="170">
        <v>43633</v>
      </c>
      <c r="M1105" s="116">
        <v>1533.7</v>
      </c>
      <c r="N1105" s="116">
        <v>1540</v>
      </c>
      <c r="O1105" s="116">
        <v>1509.65</v>
      </c>
      <c r="P1105" s="116">
        <v>1512.95</v>
      </c>
      <c r="Q1105" s="116">
        <v>1533.7</v>
      </c>
      <c r="R1105">
        <v>97243</v>
      </c>
    </row>
    <row r="1106" spans="1:18" x14ac:dyDescent="0.25">
      <c r="A1106" s="170">
        <v>43634</v>
      </c>
      <c r="B1106" s="116">
        <v>1545.7</v>
      </c>
      <c r="C1106" s="116">
        <v>1540.6</v>
      </c>
      <c r="D1106" s="116">
        <v>1531.05</v>
      </c>
      <c r="E1106" s="116">
        <v>1531.05</v>
      </c>
      <c r="F1106" s="116">
        <v>1540.6</v>
      </c>
      <c r="G1106">
        <v>22397</v>
      </c>
      <c r="H1106" s="116"/>
      <c r="I1106" s="116"/>
      <c r="L1106" s="170">
        <v>43634</v>
      </c>
      <c r="M1106" s="116">
        <v>1539.6</v>
      </c>
      <c r="N1106" s="116">
        <v>1547</v>
      </c>
      <c r="O1106" s="116">
        <v>1531</v>
      </c>
      <c r="P1106" s="116">
        <v>1538.9</v>
      </c>
      <c r="Q1106" s="116">
        <v>1539.6</v>
      </c>
      <c r="R1106">
        <v>51595</v>
      </c>
    </row>
    <row r="1107" spans="1:18" x14ac:dyDescent="0.25">
      <c r="A1107" s="170">
        <v>43635</v>
      </c>
      <c r="B1107" s="116">
        <v>1562.3</v>
      </c>
      <c r="C1107" s="116">
        <v>1551.95</v>
      </c>
      <c r="D1107" s="116">
        <v>1540.7</v>
      </c>
      <c r="E1107" s="116">
        <v>1545</v>
      </c>
      <c r="F1107" s="116">
        <v>1551.95</v>
      </c>
      <c r="G1107">
        <v>27816</v>
      </c>
      <c r="H1107" s="116"/>
      <c r="I1107" s="116"/>
      <c r="L1107" s="170">
        <v>43635</v>
      </c>
      <c r="M1107" s="116">
        <v>1554.45</v>
      </c>
      <c r="N1107" s="116">
        <v>1563.95</v>
      </c>
      <c r="O1107" s="116">
        <v>1540</v>
      </c>
      <c r="P1107" s="116">
        <v>1543</v>
      </c>
      <c r="Q1107" s="116">
        <v>1554.45</v>
      </c>
      <c r="R1107">
        <v>59634</v>
      </c>
    </row>
    <row r="1108" spans="1:18" x14ac:dyDescent="0.25">
      <c r="A1108" s="170">
        <v>43636</v>
      </c>
      <c r="B1108" s="116">
        <v>1576.05</v>
      </c>
      <c r="C1108" s="116">
        <v>1566</v>
      </c>
      <c r="D1108" s="116">
        <v>1536.25</v>
      </c>
      <c r="E1108" s="116">
        <v>1544.35</v>
      </c>
      <c r="F1108" s="116">
        <v>1566</v>
      </c>
      <c r="G1108">
        <v>3885</v>
      </c>
      <c r="H1108" s="116"/>
      <c r="I1108" s="116"/>
      <c r="L1108" s="170">
        <v>43636</v>
      </c>
      <c r="M1108" s="116">
        <v>1566.95</v>
      </c>
      <c r="N1108" s="116">
        <v>1576.3</v>
      </c>
      <c r="O1108" s="116">
        <v>1535</v>
      </c>
      <c r="P1108" s="116">
        <v>1555.9</v>
      </c>
      <c r="Q1108" s="116">
        <v>1566.95</v>
      </c>
      <c r="R1108">
        <v>38376</v>
      </c>
    </row>
    <row r="1109" spans="1:18" x14ac:dyDescent="0.25">
      <c r="A1109" s="170">
        <v>43637</v>
      </c>
      <c r="B1109" s="116">
        <v>1576.05</v>
      </c>
      <c r="C1109" s="116">
        <v>1561.1</v>
      </c>
      <c r="D1109" s="116">
        <v>1530.8</v>
      </c>
      <c r="E1109" s="116">
        <v>1565</v>
      </c>
      <c r="F1109" s="116">
        <v>1561.1</v>
      </c>
      <c r="G1109">
        <v>29388</v>
      </c>
      <c r="H1109" s="116"/>
      <c r="I1109" s="116"/>
      <c r="L1109" s="170">
        <v>43637</v>
      </c>
      <c r="M1109" s="116">
        <v>1559.05</v>
      </c>
      <c r="N1109" s="116">
        <v>1577.5</v>
      </c>
      <c r="O1109" s="116">
        <v>1531.1</v>
      </c>
      <c r="P1109" s="116">
        <v>1566</v>
      </c>
      <c r="Q1109" s="116">
        <v>1559.05</v>
      </c>
      <c r="R1109">
        <v>109088</v>
      </c>
    </row>
    <row r="1110" spans="1:18" x14ac:dyDescent="0.25">
      <c r="A1110" s="170">
        <v>43640</v>
      </c>
      <c r="B1110" s="116">
        <v>1571.45</v>
      </c>
      <c r="C1110" s="116">
        <v>1559.6</v>
      </c>
      <c r="D1110" s="116">
        <v>1550.95</v>
      </c>
      <c r="E1110" s="116">
        <v>1559</v>
      </c>
      <c r="F1110" s="116">
        <v>1559.6</v>
      </c>
      <c r="G1110">
        <v>42622</v>
      </c>
      <c r="H1110" s="116"/>
      <c r="I1110" s="116"/>
      <c r="L1110" s="170">
        <v>43640</v>
      </c>
      <c r="M1110" s="116">
        <v>1560.9</v>
      </c>
      <c r="N1110" s="116">
        <v>1573</v>
      </c>
      <c r="O1110" s="116">
        <v>1550</v>
      </c>
      <c r="P1110" s="116">
        <v>1560.15</v>
      </c>
      <c r="Q1110" s="116">
        <v>1560.9</v>
      </c>
      <c r="R1110">
        <v>73029</v>
      </c>
    </row>
    <row r="1111" spans="1:18" x14ac:dyDescent="0.25">
      <c r="A1111" s="170">
        <v>43641</v>
      </c>
      <c r="B1111" s="116">
        <v>1566.15</v>
      </c>
      <c r="C1111" s="116">
        <v>1558.9</v>
      </c>
      <c r="D1111" s="116">
        <v>1541.25</v>
      </c>
      <c r="E1111" s="116">
        <v>1560</v>
      </c>
      <c r="F1111" s="116">
        <v>1558.9</v>
      </c>
      <c r="G1111">
        <v>1127</v>
      </c>
      <c r="H1111" s="116"/>
      <c r="I1111" s="116"/>
      <c r="L1111" s="170">
        <v>43641</v>
      </c>
      <c r="M1111" s="116">
        <v>1559.05</v>
      </c>
      <c r="N1111" s="116">
        <v>1568</v>
      </c>
      <c r="O1111" s="116">
        <v>1540.9</v>
      </c>
      <c r="P1111" s="116">
        <v>1564</v>
      </c>
      <c r="Q1111" s="116">
        <v>1559.05</v>
      </c>
      <c r="R1111">
        <v>27457</v>
      </c>
    </row>
    <row r="1112" spans="1:18" x14ac:dyDescent="0.25">
      <c r="A1112" s="170">
        <v>43642</v>
      </c>
      <c r="B1112" s="116">
        <v>1610</v>
      </c>
      <c r="C1112" s="116">
        <v>1603.6</v>
      </c>
      <c r="D1112" s="116">
        <v>1554</v>
      </c>
      <c r="E1112" s="116">
        <v>1554</v>
      </c>
      <c r="F1112" s="116">
        <v>1603.6</v>
      </c>
      <c r="G1112">
        <v>9124</v>
      </c>
      <c r="H1112" s="116"/>
      <c r="I1112" s="116"/>
      <c r="L1112" s="170">
        <v>43642</v>
      </c>
      <c r="M1112" s="116">
        <v>1601.5</v>
      </c>
      <c r="N1112" s="116">
        <v>1609</v>
      </c>
      <c r="O1112" s="116">
        <v>1551</v>
      </c>
      <c r="P1112" s="116">
        <v>1557.05</v>
      </c>
      <c r="Q1112" s="116">
        <v>1601.5</v>
      </c>
      <c r="R1112">
        <v>138265</v>
      </c>
    </row>
    <row r="1113" spans="1:18" x14ac:dyDescent="0.25">
      <c r="A1113" s="170">
        <v>43643</v>
      </c>
      <c r="B1113" s="116">
        <v>1639.7</v>
      </c>
      <c r="C1113" s="116">
        <v>1605.45</v>
      </c>
      <c r="D1113" s="116">
        <v>1585.15</v>
      </c>
      <c r="E1113" s="116">
        <v>1593.65</v>
      </c>
      <c r="F1113" s="116">
        <v>1605.45</v>
      </c>
      <c r="G1113">
        <v>32405</v>
      </c>
      <c r="H1113" s="116"/>
      <c r="I1113" s="116"/>
      <c r="L1113" s="170">
        <v>43643</v>
      </c>
      <c r="M1113" s="116">
        <v>1602.85</v>
      </c>
      <c r="N1113" s="116">
        <v>1640</v>
      </c>
      <c r="O1113" s="116">
        <v>1588</v>
      </c>
      <c r="P1113" s="116">
        <v>1600</v>
      </c>
      <c r="Q1113" s="116">
        <v>1602.85</v>
      </c>
      <c r="R1113">
        <v>176106</v>
      </c>
    </row>
    <row r="1114" spans="1:18" x14ac:dyDescent="0.25">
      <c r="A1114" s="170">
        <v>43644</v>
      </c>
      <c r="B1114" s="116">
        <v>1617.1</v>
      </c>
      <c r="C1114" s="116">
        <v>1603.35</v>
      </c>
      <c r="D1114" s="116">
        <v>1592.25</v>
      </c>
      <c r="E1114" s="116">
        <v>1597</v>
      </c>
      <c r="F1114" s="116">
        <v>1603.35</v>
      </c>
      <c r="G1114">
        <v>21952</v>
      </c>
      <c r="H1114" s="116"/>
      <c r="I1114" s="116"/>
      <c r="L1114" s="170">
        <v>43644</v>
      </c>
      <c r="M1114" s="116">
        <v>1602.45</v>
      </c>
      <c r="N1114" s="116">
        <v>1617.7</v>
      </c>
      <c r="O1114" s="116">
        <v>1588</v>
      </c>
      <c r="P1114" s="116">
        <v>1590</v>
      </c>
      <c r="Q1114" s="116">
        <v>1602.45</v>
      </c>
      <c r="R1114">
        <v>53811</v>
      </c>
    </row>
    <row r="1115" spans="1:18" x14ac:dyDescent="0.25">
      <c r="A1115" s="170">
        <v>43647</v>
      </c>
      <c r="B1115" s="116">
        <v>1633</v>
      </c>
      <c r="C1115" s="116">
        <v>1601.25</v>
      </c>
      <c r="D1115" s="116">
        <v>1590.6</v>
      </c>
      <c r="E1115" s="116">
        <v>1609.7</v>
      </c>
      <c r="F1115" s="116">
        <v>1601.25</v>
      </c>
      <c r="G1115">
        <v>4378</v>
      </c>
      <c r="H1115" s="116"/>
      <c r="I1115" s="116"/>
      <c r="L1115" s="170">
        <v>43647</v>
      </c>
      <c r="M1115" s="116">
        <v>1601.35</v>
      </c>
      <c r="N1115" s="116">
        <v>1632.3</v>
      </c>
      <c r="O1115" s="116">
        <v>1586.45</v>
      </c>
      <c r="P1115" s="116">
        <v>1600.1</v>
      </c>
      <c r="Q1115" s="116">
        <v>1601.35</v>
      </c>
      <c r="R1115">
        <v>155524</v>
      </c>
    </row>
    <row r="1116" spans="1:18" x14ac:dyDescent="0.25">
      <c r="A1116" s="170">
        <v>43648</v>
      </c>
      <c r="B1116" s="116">
        <v>1615.35</v>
      </c>
      <c r="C1116" s="116">
        <v>1600.3</v>
      </c>
      <c r="D1116" s="116">
        <v>1597.6</v>
      </c>
      <c r="E1116" s="116">
        <v>1613.95</v>
      </c>
      <c r="F1116" s="116">
        <v>1600.3</v>
      </c>
      <c r="G1116">
        <v>26822</v>
      </c>
      <c r="H1116" s="116"/>
      <c r="I1116" s="116"/>
      <c r="L1116" s="170">
        <v>43648</v>
      </c>
      <c r="M1116" s="116">
        <v>1600.45</v>
      </c>
      <c r="N1116" s="116">
        <v>1614</v>
      </c>
      <c r="O1116" s="116">
        <v>1596.55</v>
      </c>
      <c r="P1116" s="116">
        <v>1610</v>
      </c>
      <c r="Q1116" s="116">
        <v>1600.45</v>
      </c>
      <c r="R1116">
        <v>63949</v>
      </c>
    </row>
    <row r="1117" spans="1:18" x14ac:dyDescent="0.25">
      <c r="A1117" s="170">
        <v>43649</v>
      </c>
      <c r="B1117" s="116">
        <v>1615</v>
      </c>
      <c r="C1117" s="116">
        <v>1607.15</v>
      </c>
      <c r="D1117" s="116">
        <v>1602.5</v>
      </c>
      <c r="E1117" s="116">
        <v>1602.55</v>
      </c>
      <c r="F1117" s="116">
        <v>1607.15</v>
      </c>
      <c r="G1117">
        <v>1767</v>
      </c>
      <c r="H1117" s="116"/>
      <c r="I1117" s="116"/>
      <c r="L1117" s="170">
        <v>43649</v>
      </c>
      <c r="M1117" s="116">
        <v>1607.75</v>
      </c>
      <c r="N1117" s="116">
        <v>1615.45</v>
      </c>
      <c r="O1117" s="116">
        <v>1600</v>
      </c>
      <c r="P1117" s="116">
        <v>1607.95</v>
      </c>
      <c r="Q1117" s="116">
        <v>1607.75</v>
      </c>
      <c r="R1117">
        <v>58485</v>
      </c>
    </row>
    <row r="1118" spans="1:18" x14ac:dyDescent="0.25">
      <c r="A1118" s="170">
        <v>43650</v>
      </c>
      <c r="B1118" s="116">
        <v>1666.35</v>
      </c>
      <c r="C1118" s="116">
        <v>1653.2</v>
      </c>
      <c r="D1118" s="116">
        <v>1603.35</v>
      </c>
      <c r="E1118" s="116">
        <v>1603.85</v>
      </c>
      <c r="F1118" s="116">
        <v>1653.2</v>
      </c>
      <c r="G1118">
        <v>26289</v>
      </c>
      <c r="H1118" s="116"/>
      <c r="I1118" s="116"/>
      <c r="L1118" s="170">
        <v>43650</v>
      </c>
      <c r="M1118" s="116">
        <v>1652</v>
      </c>
      <c r="N1118" s="116">
        <v>1665</v>
      </c>
      <c r="O1118" s="116">
        <v>1605</v>
      </c>
      <c r="P1118" s="116">
        <v>1608</v>
      </c>
      <c r="Q1118" s="116">
        <v>1652</v>
      </c>
      <c r="R1118">
        <v>184959</v>
      </c>
    </row>
    <row r="1119" spans="1:18" x14ac:dyDescent="0.25">
      <c r="A1119" s="170">
        <v>43651</v>
      </c>
      <c r="B1119" s="116">
        <v>1669</v>
      </c>
      <c r="C1119" s="116">
        <v>1543.35</v>
      </c>
      <c r="D1119" s="116">
        <v>1523.6</v>
      </c>
      <c r="E1119" s="116">
        <v>1653.5</v>
      </c>
      <c r="F1119" s="116">
        <v>1543.35</v>
      </c>
      <c r="G1119">
        <v>21316</v>
      </c>
      <c r="H1119" s="116"/>
      <c r="I1119" s="116"/>
      <c r="L1119" s="170">
        <v>43651</v>
      </c>
      <c r="M1119" s="116">
        <v>1541.95</v>
      </c>
      <c r="N1119" s="116">
        <v>1670</v>
      </c>
      <c r="O1119" s="116">
        <v>1521.1</v>
      </c>
      <c r="P1119" s="116">
        <v>1661.5</v>
      </c>
      <c r="Q1119" s="116">
        <v>1541.95</v>
      </c>
      <c r="R1119">
        <v>228921</v>
      </c>
    </row>
    <row r="1120" spans="1:18" x14ac:dyDescent="0.25">
      <c r="A1120" s="170">
        <v>43654</v>
      </c>
      <c r="B1120" s="116">
        <v>1558.6</v>
      </c>
      <c r="C1120" s="116">
        <v>1484.85</v>
      </c>
      <c r="D1120" s="116">
        <v>1457.65</v>
      </c>
      <c r="E1120" s="116">
        <v>1543</v>
      </c>
      <c r="F1120" s="116">
        <v>1484.85</v>
      </c>
      <c r="G1120">
        <v>14648</v>
      </c>
      <c r="H1120" s="116"/>
      <c r="I1120" s="116"/>
      <c r="L1120" s="170">
        <v>43654</v>
      </c>
      <c r="M1120" s="116">
        <v>1482.2</v>
      </c>
      <c r="N1120" s="116">
        <v>1575</v>
      </c>
      <c r="O1120" s="116">
        <v>1457.1</v>
      </c>
      <c r="P1120" s="116">
        <v>1546</v>
      </c>
      <c r="Q1120" s="116">
        <v>1482.2</v>
      </c>
      <c r="R1120">
        <v>125003</v>
      </c>
    </row>
    <row r="1121" spans="1:18" x14ac:dyDescent="0.25">
      <c r="A1121" s="170">
        <v>43655</v>
      </c>
      <c r="B1121" s="116">
        <v>1557.7</v>
      </c>
      <c r="C1121" s="116">
        <v>1533.05</v>
      </c>
      <c r="D1121" s="116">
        <v>1479.3</v>
      </c>
      <c r="E1121" s="116">
        <v>1494</v>
      </c>
      <c r="F1121" s="116">
        <v>1533.05</v>
      </c>
      <c r="G1121">
        <v>9837</v>
      </c>
      <c r="H1121" s="116"/>
      <c r="I1121" s="116"/>
      <c r="L1121" s="170">
        <v>43655</v>
      </c>
      <c r="M1121" s="116">
        <v>1531.6</v>
      </c>
      <c r="N1121" s="116">
        <v>1558</v>
      </c>
      <c r="O1121" s="116">
        <v>1474.5</v>
      </c>
      <c r="P1121" s="116">
        <v>1485.1</v>
      </c>
      <c r="Q1121" s="116">
        <v>1531.6</v>
      </c>
      <c r="R1121">
        <v>202265</v>
      </c>
    </row>
    <row r="1122" spans="1:18" x14ac:dyDescent="0.25">
      <c r="A1122" s="170">
        <v>43656</v>
      </c>
      <c r="B1122" s="116">
        <v>1548</v>
      </c>
      <c r="C1122" s="116">
        <v>1514</v>
      </c>
      <c r="D1122" s="116">
        <v>1485.9</v>
      </c>
      <c r="E1122" s="116">
        <v>1539.95</v>
      </c>
      <c r="F1122" s="116">
        <v>1514</v>
      </c>
      <c r="G1122">
        <v>5276</v>
      </c>
      <c r="H1122" s="116"/>
      <c r="I1122" s="116"/>
      <c r="L1122" s="170">
        <v>43656</v>
      </c>
      <c r="M1122" s="116">
        <v>1514.2</v>
      </c>
      <c r="N1122" s="116">
        <v>1549.2</v>
      </c>
      <c r="O1122" s="116">
        <v>1486.55</v>
      </c>
      <c r="P1122" s="116">
        <v>1524</v>
      </c>
      <c r="Q1122" s="116">
        <v>1514.2</v>
      </c>
      <c r="R1122">
        <v>61995</v>
      </c>
    </row>
    <row r="1123" spans="1:18" x14ac:dyDescent="0.25">
      <c r="A1123" s="170">
        <v>43657</v>
      </c>
      <c r="B1123" s="116">
        <v>1540</v>
      </c>
      <c r="C1123" s="116">
        <v>1508.25</v>
      </c>
      <c r="D1123" s="116">
        <v>1504.95</v>
      </c>
      <c r="E1123" s="116">
        <v>1540</v>
      </c>
      <c r="F1123" s="116">
        <v>1508.25</v>
      </c>
      <c r="G1123">
        <v>1948</v>
      </c>
      <c r="H1123" s="116"/>
      <c r="I1123" s="116"/>
      <c r="L1123" s="170">
        <v>43657</v>
      </c>
      <c r="M1123" s="116">
        <v>1507.95</v>
      </c>
      <c r="N1123" s="116">
        <v>1535</v>
      </c>
      <c r="O1123" s="116">
        <v>1503.1</v>
      </c>
      <c r="P1123" s="116">
        <v>1521</v>
      </c>
      <c r="Q1123" s="116">
        <v>1507.95</v>
      </c>
      <c r="R1123">
        <v>27522</v>
      </c>
    </row>
    <row r="1124" spans="1:18" x14ac:dyDescent="0.25">
      <c r="A1124" s="170">
        <v>43658</v>
      </c>
      <c r="B1124" s="116">
        <v>1518.65</v>
      </c>
      <c r="C1124" s="116">
        <v>1500.8</v>
      </c>
      <c r="D1124" s="116">
        <v>1488</v>
      </c>
      <c r="E1124" s="116">
        <v>1508</v>
      </c>
      <c r="F1124" s="116">
        <v>1500.8</v>
      </c>
      <c r="G1124">
        <v>1938</v>
      </c>
      <c r="H1124" s="116"/>
      <c r="I1124" s="116"/>
      <c r="L1124" s="170">
        <v>43658</v>
      </c>
      <c r="M1124" s="116">
        <v>1500.85</v>
      </c>
      <c r="N1124" s="116">
        <v>1517.9</v>
      </c>
      <c r="O1124" s="116">
        <v>1486</v>
      </c>
      <c r="P1124" s="116">
        <v>1517.9</v>
      </c>
      <c r="Q1124" s="116">
        <v>1500.85</v>
      </c>
      <c r="R1124">
        <v>38784</v>
      </c>
    </row>
    <row r="1125" spans="1:18" x14ac:dyDescent="0.25">
      <c r="A1125" s="170">
        <v>43661</v>
      </c>
      <c r="B1125" s="116">
        <v>1507.8</v>
      </c>
      <c r="C1125" s="116">
        <v>1497.75</v>
      </c>
      <c r="D1125" s="116">
        <v>1488.2</v>
      </c>
      <c r="E1125" s="116">
        <v>1504.2</v>
      </c>
      <c r="F1125" s="116">
        <v>1497.75</v>
      </c>
      <c r="G1125">
        <v>1601</v>
      </c>
      <c r="H1125" s="116"/>
      <c r="I1125" s="116"/>
      <c r="L1125" s="170">
        <v>43661</v>
      </c>
      <c r="M1125" s="116">
        <v>1496.75</v>
      </c>
      <c r="N1125" s="116">
        <v>1510</v>
      </c>
      <c r="O1125" s="116">
        <v>1488.1</v>
      </c>
      <c r="P1125" s="116">
        <v>1502.4</v>
      </c>
      <c r="Q1125" s="116">
        <v>1496.75</v>
      </c>
      <c r="R1125">
        <v>42645</v>
      </c>
    </row>
    <row r="1126" spans="1:18" x14ac:dyDescent="0.25">
      <c r="A1126" s="170">
        <v>43662</v>
      </c>
      <c r="B1126" s="116">
        <v>1522.15</v>
      </c>
      <c r="C1126" s="116">
        <v>1518.35</v>
      </c>
      <c r="D1126" s="116">
        <v>1477.1</v>
      </c>
      <c r="E1126" s="116">
        <v>1490.45</v>
      </c>
      <c r="F1126" s="116">
        <v>1518.35</v>
      </c>
      <c r="G1126">
        <v>2622</v>
      </c>
      <c r="H1126" s="116"/>
      <c r="I1126" s="116"/>
      <c r="L1126" s="170">
        <v>43662</v>
      </c>
      <c r="M1126" s="116">
        <v>1520.45</v>
      </c>
      <c r="N1126" s="116">
        <v>1524.95</v>
      </c>
      <c r="O1126" s="116">
        <v>1477.55</v>
      </c>
      <c r="P1126" s="116">
        <v>1496.75</v>
      </c>
      <c r="Q1126" s="116">
        <v>1520.45</v>
      </c>
      <c r="R1126">
        <v>38682</v>
      </c>
    </row>
    <row r="1127" spans="1:18" x14ac:dyDescent="0.25">
      <c r="A1127" s="170">
        <v>43663</v>
      </c>
      <c r="B1127" s="116">
        <v>1534</v>
      </c>
      <c r="C1127" s="116">
        <v>1488.2</v>
      </c>
      <c r="D1127" s="116">
        <v>1482.15</v>
      </c>
      <c r="E1127" s="116">
        <v>1518.35</v>
      </c>
      <c r="F1127" s="116">
        <v>1488.2</v>
      </c>
      <c r="G1127">
        <v>5364</v>
      </c>
      <c r="H1127" s="116"/>
      <c r="I1127" s="116"/>
      <c r="L1127" s="170">
        <v>43663</v>
      </c>
      <c r="M1127" s="116">
        <v>1489.1</v>
      </c>
      <c r="N1127" s="116">
        <v>1534.4</v>
      </c>
      <c r="O1127" s="116">
        <v>1481</v>
      </c>
      <c r="P1127" s="116">
        <v>1518.85</v>
      </c>
      <c r="Q1127" s="116">
        <v>1489.1</v>
      </c>
      <c r="R1127">
        <v>112521</v>
      </c>
    </row>
    <row r="1128" spans="1:18" x14ac:dyDescent="0.25">
      <c r="A1128" s="170">
        <v>43664</v>
      </c>
      <c r="B1128" s="116">
        <v>1500</v>
      </c>
      <c r="C1128" s="116">
        <v>1455.25</v>
      </c>
      <c r="D1128" s="116">
        <v>1444.05</v>
      </c>
      <c r="E1128" s="116">
        <v>1490</v>
      </c>
      <c r="F1128" s="116">
        <v>1455.25</v>
      </c>
      <c r="G1128">
        <v>28664</v>
      </c>
      <c r="H1128" s="116"/>
      <c r="I1128" s="116"/>
      <c r="L1128" s="170">
        <v>43664</v>
      </c>
      <c r="M1128" s="116">
        <v>1454.1</v>
      </c>
      <c r="N1128" s="116">
        <v>1500</v>
      </c>
      <c r="O1128" s="116">
        <v>1445</v>
      </c>
      <c r="P1128" s="116">
        <v>1493</v>
      </c>
      <c r="Q1128" s="116">
        <v>1454.1</v>
      </c>
      <c r="R1128">
        <v>63333</v>
      </c>
    </row>
    <row r="1129" spans="1:18" x14ac:dyDescent="0.25">
      <c r="A1129" s="170">
        <v>43665</v>
      </c>
      <c r="B1129" s="116">
        <v>1466.15</v>
      </c>
      <c r="C1129" s="116">
        <v>1414.5</v>
      </c>
      <c r="D1129" s="116">
        <v>1411</v>
      </c>
      <c r="E1129" s="116">
        <v>1465</v>
      </c>
      <c r="F1129" s="116">
        <v>1414.5</v>
      </c>
      <c r="G1129">
        <v>5674</v>
      </c>
      <c r="H1129" s="116"/>
      <c r="I1129" s="116"/>
      <c r="L1129" s="170">
        <v>43665</v>
      </c>
      <c r="M1129" s="116">
        <v>1415.1</v>
      </c>
      <c r="N1129" s="116">
        <v>1468.65</v>
      </c>
      <c r="O1129" s="116">
        <v>1411.05</v>
      </c>
      <c r="P1129" s="116">
        <v>1461.35</v>
      </c>
      <c r="Q1129" s="116">
        <v>1415.1</v>
      </c>
      <c r="R1129">
        <v>48356</v>
      </c>
    </row>
    <row r="1130" spans="1:18" x14ac:dyDescent="0.25">
      <c r="A1130" s="170">
        <v>43668</v>
      </c>
      <c r="B1130" s="116">
        <v>1414.5</v>
      </c>
      <c r="C1130" s="116">
        <v>1402.95</v>
      </c>
      <c r="D1130" s="116">
        <v>1377.3</v>
      </c>
      <c r="E1130" s="116">
        <v>1414.5</v>
      </c>
      <c r="F1130" s="116">
        <v>1402.95</v>
      </c>
      <c r="G1130">
        <v>29993</v>
      </c>
      <c r="H1130" s="116"/>
      <c r="I1130" s="116"/>
      <c r="L1130" s="170">
        <v>43668</v>
      </c>
      <c r="M1130" s="116">
        <v>1403.9</v>
      </c>
      <c r="N1130" s="116">
        <v>1419.4</v>
      </c>
      <c r="O1130" s="116">
        <v>1378.35</v>
      </c>
      <c r="P1130" s="116">
        <v>1419.4</v>
      </c>
      <c r="Q1130" s="116">
        <v>1403.9</v>
      </c>
      <c r="R1130">
        <v>45430</v>
      </c>
    </row>
    <row r="1131" spans="1:18" x14ac:dyDescent="0.25">
      <c r="A1131" s="170">
        <v>43669</v>
      </c>
      <c r="B1131" s="116">
        <v>1444</v>
      </c>
      <c r="C1131" s="116">
        <v>1374.45</v>
      </c>
      <c r="D1131" s="116">
        <v>1362</v>
      </c>
      <c r="E1131" s="116">
        <v>1429.7</v>
      </c>
      <c r="F1131" s="116">
        <v>1374.45</v>
      </c>
      <c r="G1131">
        <v>44451</v>
      </c>
      <c r="H1131" s="116"/>
      <c r="I1131" s="116"/>
      <c r="L1131" s="170">
        <v>43669</v>
      </c>
      <c r="M1131" s="116">
        <v>1374.95</v>
      </c>
      <c r="N1131" s="116">
        <v>1444.95</v>
      </c>
      <c r="O1131" s="116">
        <v>1361.85</v>
      </c>
      <c r="P1131" s="116">
        <v>1410</v>
      </c>
      <c r="Q1131" s="116">
        <v>1374.95</v>
      </c>
      <c r="R1131">
        <v>236225</v>
      </c>
    </row>
    <row r="1132" spans="1:18" x14ac:dyDescent="0.25">
      <c r="A1132" s="170">
        <v>43670</v>
      </c>
      <c r="B1132" s="116">
        <v>1391.9</v>
      </c>
      <c r="C1132" s="116">
        <v>1361.1</v>
      </c>
      <c r="D1132" s="116">
        <v>1350.45</v>
      </c>
      <c r="E1132" s="116">
        <v>1385.5</v>
      </c>
      <c r="F1132" s="116">
        <v>1361.1</v>
      </c>
      <c r="G1132">
        <v>4464</v>
      </c>
      <c r="H1132" s="116"/>
      <c r="I1132" s="116"/>
      <c r="L1132" s="170">
        <v>43670</v>
      </c>
      <c r="M1132" s="116">
        <v>1361.95</v>
      </c>
      <c r="N1132" s="116">
        <v>1391.4</v>
      </c>
      <c r="O1132" s="116">
        <v>1351</v>
      </c>
      <c r="P1132" s="116">
        <v>1381.1</v>
      </c>
      <c r="Q1132" s="116">
        <v>1361.95</v>
      </c>
      <c r="R1132">
        <v>62557</v>
      </c>
    </row>
    <row r="1133" spans="1:18" x14ac:dyDescent="0.25">
      <c r="A1133" s="170">
        <v>43671</v>
      </c>
      <c r="B1133" s="116">
        <v>1413.65</v>
      </c>
      <c r="C1133" s="116">
        <v>1403</v>
      </c>
      <c r="D1133" s="116">
        <v>1366.2</v>
      </c>
      <c r="E1133" s="116">
        <v>1366.2</v>
      </c>
      <c r="F1133" s="116">
        <v>1403</v>
      </c>
      <c r="G1133">
        <v>3131</v>
      </c>
      <c r="H1133" s="116"/>
      <c r="I1133" s="116"/>
      <c r="L1133" s="170">
        <v>43671</v>
      </c>
      <c r="M1133" s="116">
        <v>1402.8</v>
      </c>
      <c r="N1133" s="116">
        <v>1413.9</v>
      </c>
      <c r="O1133" s="116">
        <v>1366.1</v>
      </c>
      <c r="P1133" s="116">
        <v>1380</v>
      </c>
      <c r="Q1133" s="116">
        <v>1402.8</v>
      </c>
      <c r="R1133">
        <v>445967</v>
      </c>
    </row>
    <row r="1134" spans="1:18" x14ac:dyDescent="0.25">
      <c r="A1134" s="170">
        <v>43672</v>
      </c>
      <c r="B1134" s="116">
        <v>1423</v>
      </c>
      <c r="C1134" s="116">
        <v>1380.1</v>
      </c>
      <c r="D1134" s="116">
        <v>1371.3</v>
      </c>
      <c r="E1134" s="116">
        <v>1404.65</v>
      </c>
      <c r="F1134" s="116">
        <v>1380.1</v>
      </c>
      <c r="G1134">
        <v>7611</v>
      </c>
      <c r="H1134" s="116"/>
      <c r="I1134" s="116"/>
      <c r="L1134" s="170">
        <v>43672</v>
      </c>
      <c r="M1134" s="116">
        <v>1382.05</v>
      </c>
      <c r="N1134" s="116">
        <v>1428</v>
      </c>
      <c r="O1134" s="116">
        <v>1370</v>
      </c>
      <c r="P1134" s="116">
        <v>1410</v>
      </c>
      <c r="Q1134" s="116">
        <v>1382.05</v>
      </c>
      <c r="R1134">
        <v>93398</v>
      </c>
    </row>
    <row r="1135" spans="1:18" x14ac:dyDescent="0.25">
      <c r="A1135" s="170">
        <v>43675</v>
      </c>
      <c r="B1135" s="116">
        <v>1435.5</v>
      </c>
      <c r="C1135" s="116">
        <v>1394.5</v>
      </c>
      <c r="D1135" s="116">
        <v>1350</v>
      </c>
      <c r="E1135" s="116">
        <v>1415</v>
      </c>
      <c r="F1135" s="116">
        <v>1394.5</v>
      </c>
      <c r="G1135">
        <v>30562</v>
      </c>
      <c r="H1135" s="116"/>
      <c r="I1135" s="116"/>
      <c r="L1135" s="170">
        <v>43675</v>
      </c>
      <c r="M1135" s="116">
        <v>1394.55</v>
      </c>
      <c r="N1135" s="116">
        <v>1420</v>
      </c>
      <c r="O1135" s="116">
        <v>1370</v>
      </c>
      <c r="P1135" s="116">
        <v>1390</v>
      </c>
      <c r="Q1135" s="116">
        <v>1394.55</v>
      </c>
      <c r="R1135">
        <v>149262</v>
      </c>
    </row>
    <row r="1136" spans="1:18" x14ac:dyDescent="0.25">
      <c r="A1136" s="170">
        <v>43676</v>
      </c>
      <c r="B1136" s="116">
        <v>1403.55</v>
      </c>
      <c r="C1136" s="116">
        <v>1360.8</v>
      </c>
      <c r="D1136" s="116">
        <v>1353.1</v>
      </c>
      <c r="E1136" s="116">
        <v>1395</v>
      </c>
      <c r="F1136" s="116">
        <v>1360.8</v>
      </c>
      <c r="G1136">
        <v>4616</v>
      </c>
      <c r="H1136" s="116"/>
      <c r="I1136" s="116"/>
      <c r="L1136" s="170">
        <v>43676</v>
      </c>
      <c r="M1136" s="116">
        <v>1358.3</v>
      </c>
      <c r="N1136" s="116">
        <v>1404.7</v>
      </c>
      <c r="O1136" s="116">
        <v>1352.95</v>
      </c>
      <c r="P1136" s="116">
        <v>1398</v>
      </c>
      <c r="Q1136" s="116">
        <v>1358.3</v>
      </c>
      <c r="R1136">
        <v>291048</v>
      </c>
    </row>
    <row r="1137" spans="1:18" x14ac:dyDescent="0.25">
      <c r="A1137" s="170">
        <v>43677</v>
      </c>
      <c r="B1137" s="116">
        <v>1372.5</v>
      </c>
      <c r="C1137" s="116">
        <v>1362.55</v>
      </c>
      <c r="D1137" s="116">
        <v>1340</v>
      </c>
      <c r="E1137" s="116">
        <v>1360</v>
      </c>
      <c r="F1137" s="116">
        <v>1362.55</v>
      </c>
      <c r="G1137">
        <v>9107</v>
      </c>
      <c r="H1137" s="116"/>
      <c r="I1137" s="116"/>
      <c r="L1137" s="170">
        <v>43677</v>
      </c>
      <c r="M1137" s="116">
        <v>1363.1</v>
      </c>
      <c r="N1137" s="116">
        <v>1374</v>
      </c>
      <c r="O1137" s="116">
        <v>1337.9</v>
      </c>
      <c r="P1137" s="116">
        <v>1361</v>
      </c>
      <c r="Q1137" s="116">
        <v>1363.1</v>
      </c>
      <c r="R1137">
        <v>53331</v>
      </c>
    </row>
    <row r="1138" spans="1:18" x14ac:dyDescent="0.25">
      <c r="A1138" s="170">
        <v>43678</v>
      </c>
      <c r="B1138" s="116">
        <v>1390</v>
      </c>
      <c r="C1138" s="116">
        <v>1350.55</v>
      </c>
      <c r="D1138" s="116">
        <v>1345</v>
      </c>
      <c r="E1138" s="116">
        <v>1363</v>
      </c>
      <c r="F1138" s="116">
        <v>1350.55</v>
      </c>
      <c r="G1138">
        <v>3423</v>
      </c>
      <c r="H1138" s="116"/>
      <c r="I1138" s="116"/>
      <c r="L1138" s="170">
        <v>43678</v>
      </c>
      <c r="M1138" s="116">
        <v>1352.65</v>
      </c>
      <c r="N1138" s="116">
        <v>1391.95</v>
      </c>
      <c r="O1138" s="116">
        <v>1342.45</v>
      </c>
      <c r="P1138" s="116">
        <v>1359</v>
      </c>
      <c r="Q1138" s="116">
        <v>1352.65</v>
      </c>
      <c r="R1138">
        <v>50873</v>
      </c>
    </row>
    <row r="1139" spans="1:18" x14ac:dyDescent="0.25">
      <c r="A1139" s="170">
        <v>43679</v>
      </c>
      <c r="B1139" s="116">
        <v>1385</v>
      </c>
      <c r="C1139" s="116">
        <v>1359.65</v>
      </c>
      <c r="D1139" s="116">
        <v>1341.3</v>
      </c>
      <c r="E1139" s="116">
        <v>1350.55</v>
      </c>
      <c r="F1139" s="116">
        <v>1359.65</v>
      </c>
      <c r="G1139">
        <v>14743</v>
      </c>
      <c r="H1139" s="116"/>
      <c r="I1139" s="116"/>
      <c r="L1139" s="170">
        <v>43679</v>
      </c>
      <c r="M1139" s="116">
        <v>1367.8</v>
      </c>
      <c r="N1139" s="116">
        <v>1390</v>
      </c>
      <c r="O1139" s="116">
        <v>1340</v>
      </c>
      <c r="P1139" s="116">
        <v>1355.5</v>
      </c>
      <c r="Q1139" s="116">
        <v>1367.8</v>
      </c>
      <c r="R1139">
        <v>45918</v>
      </c>
    </row>
    <row r="1140" spans="1:18" x14ac:dyDescent="0.25">
      <c r="A1140" s="170">
        <v>43682</v>
      </c>
      <c r="B1140" s="116">
        <v>1389.4</v>
      </c>
      <c r="C1140" s="116">
        <v>1381.3</v>
      </c>
      <c r="D1140" s="116">
        <v>1331.95</v>
      </c>
      <c r="E1140" s="116">
        <v>1359.65</v>
      </c>
      <c r="F1140" s="116">
        <v>1381.3</v>
      </c>
      <c r="G1140">
        <v>4155</v>
      </c>
      <c r="H1140" s="116"/>
      <c r="I1140" s="116"/>
      <c r="L1140" s="170">
        <v>43682</v>
      </c>
      <c r="M1140" s="116">
        <v>1379.1</v>
      </c>
      <c r="N1140" s="116">
        <v>1390</v>
      </c>
      <c r="O1140" s="116">
        <v>1330.2</v>
      </c>
      <c r="P1140" s="116">
        <v>1349.3</v>
      </c>
      <c r="Q1140" s="116">
        <v>1379.1</v>
      </c>
      <c r="R1140">
        <v>58013</v>
      </c>
    </row>
    <row r="1141" spans="1:18" x14ac:dyDescent="0.25">
      <c r="A1141" s="170">
        <v>43683</v>
      </c>
      <c r="B1141" s="116">
        <v>1399.85</v>
      </c>
      <c r="C1141" s="116">
        <v>1382.4</v>
      </c>
      <c r="D1141" s="116">
        <v>1372.15</v>
      </c>
      <c r="E1141" s="116">
        <v>1372.15</v>
      </c>
      <c r="F1141" s="116">
        <v>1382.4</v>
      </c>
      <c r="G1141">
        <v>1562</v>
      </c>
      <c r="H1141" s="116"/>
      <c r="I1141" s="116"/>
      <c r="L1141" s="170">
        <v>43683</v>
      </c>
      <c r="M1141" s="116">
        <v>1384.55</v>
      </c>
      <c r="N1141" s="116">
        <v>1400</v>
      </c>
      <c r="O1141" s="116">
        <v>1374.05</v>
      </c>
      <c r="P1141" s="116">
        <v>1375</v>
      </c>
      <c r="Q1141" s="116">
        <v>1384.55</v>
      </c>
      <c r="R1141">
        <v>24380</v>
      </c>
    </row>
    <row r="1142" spans="1:18" x14ac:dyDescent="0.25">
      <c r="A1142" s="170">
        <v>43684</v>
      </c>
      <c r="B1142" s="116">
        <v>1398.85</v>
      </c>
      <c r="C1142" s="116">
        <v>1390.5</v>
      </c>
      <c r="D1142" s="116">
        <v>1366.45</v>
      </c>
      <c r="E1142" s="116">
        <v>1376.2</v>
      </c>
      <c r="F1142" s="116">
        <v>1390.5</v>
      </c>
      <c r="G1142">
        <v>1628</v>
      </c>
      <c r="H1142" s="116"/>
      <c r="I1142" s="116"/>
      <c r="L1142" s="170">
        <v>43684</v>
      </c>
      <c r="M1142" s="116">
        <v>1390.55</v>
      </c>
      <c r="N1142" s="116">
        <v>1398.1</v>
      </c>
      <c r="O1142" s="116">
        <v>1365.95</v>
      </c>
      <c r="P1142" s="116">
        <v>1388.7</v>
      </c>
      <c r="Q1142" s="116">
        <v>1390.55</v>
      </c>
      <c r="R1142">
        <v>53544</v>
      </c>
    </row>
    <row r="1143" spans="1:18" x14ac:dyDescent="0.25">
      <c r="A1143" s="170">
        <v>43685</v>
      </c>
      <c r="B1143" s="116">
        <v>1426.7</v>
      </c>
      <c r="C1143" s="116">
        <v>1396.3</v>
      </c>
      <c r="D1143" s="116">
        <v>1370.55</v>
      </c>
      <c r="E1143" s="116">
        <v>1391.1</v>
      </c>
      <c r="F1143" s="116">
        <v>1396.3</v>
      </c>
      <c r="G1143">
        <v>6275</v>
      </c>
      <c r="H1143" s="116"/>
      <c r="I1143" s="116"/>
      <c r="L1143" s="170">
        <v>43685</v>
      </c>
      <c r="M1143" s="116">
        <v>1394.95</v>
      </c>
      <c r="N1143" s="116">
        <v>1429.85</v>
      </c>
      <c r="O1143" s="116">
        <v>1370</v>
      </c>
      <c r="P1143" s="116">
        <v>1394.6</v>
      </c>
      <c r="Q1143" s="116">
        <v>1394.95</v>
      </c>
      <c r="R1143">
        <v>65489</v>
      </c>
    </row>
    <row r="1144" spans="1:18" x14ac:dyDescent="0.25">
      <c r="A1144" s="170">
        <v>43686</v>
      </c>
      <c r="B1144" s="116">
        <v>1422.6</v>
      </c>
      <c r="C1144" s="116">
        <v>1397.7</v>
      </c>
      <c r="D1144" s="116">
        <v>1388.8</v>
      </c>
      <c r="E1144" s="116">
        <v>1411.5</v>
      </c>
      <c r="F1144" s="116">
        <v>1397.7</v>
      </c>
      <c r="G1144">
        <v>1160</v>
      </c>
      <c r="H1144" s="116"/>
      <c r="I1144" s="116"/>
      <c r="L1144" s="170">
        <v>43686</v>
      </c>
      <c r="M1144" s="116">
        <v>1396.7</v>
      </c>
      <c r="N1144" s="116">
        <v>1422.7</v>
      </c>
      <c r="O1144" s="116">
        <v>1390</v>
      </c>
      <c r="P1144" s="116">
        <v>1414.6</v>
      </c>
      <c r="Q1144" s="116">
        <v>1396.7</v>
      </c>
      <c r="R1144">
        <v>31916</v>
      </c>
    </row>
    <row r="1145" spans="1:18" x14ac:dyDescent="0.25">
      <c r="A1145" s="170">
        <v>43690</v>
      </c>
      <c r="B1145" s="116">
        <v>1405</v>
      </c>
      <c r="C1145" s="116">
        <v>1378.35</v>
      </c>
      <c r="D1145" s="116">
        <v>1371.3</v>
      </c>
      <c r="E1145" s="116">
        <v>1400</v>
      </c>
      <c r="F1145" s="116">
        <v>1378.35</v>
      </c>
      <c r="G1145">
        <v>23012</v>
      </c>
      <c r="H1145" s="116"/>
      <c r="I1145" s="116"/>
      <c r="L1145" s="170">
        <v>43690</v>
      </c>
      <c r="M1145" s="116">
        <v>1379.1</v>
      </c>
      <c r="N1145" s="116">
        <v>1407</v>
      </c>
      <c r="O1145" s="116">
        <v>1372</v>
      </c>
      <c r="P1145" s="116">
        <v>1391.8</v>
      </c>
      <c r="Q1145" s="116">
        <v>1379.1</v>
      </c>
      <c r="R1145">
        <v>55372</v>
      </c>
    </row>
    <row r="1146" spans="1:18" x14ac:dyDescent="0.25">
      <c r="A1146" s="170">
        <v>43691</v>
      </c>
      <c r="B1146" s="116">
        <v>1400</v>
      </c>
      <c r="C1146" s="116">
        <v>1349.95</v>
      </c>
      <c r="D1146" s="116">
        <v>1313.2</v>
      </c>
      <c r="E1146" s="116">
        <v>1400</v>
      </c>
      <c r="F1146" s="116">
        <v>1349.95</v>
      </c>
      <c r="G1146">
        <v>7042</v>
      </c>
      <c r="H1146" s="116"/>
      <c r="I1146" s="116"/>
      <c r="L1146" s="170">
        <v>43691</v>
      </c>
      <c r="M1146" s="116">
        <v>1348.95</v>
      </c>
      <c r="N1146" s="116">
        <v>1393</v>
      </c>
      <c r="O1146" s="116">
        <v>1311.5</v>
      </c>
      <c r="P1146" s="116">
        <v>1380.3</v>
      </c>
      <c r="Q1146" s="116">
        <v>1348.95</v>
      </c>
      <c r="R1146">
        <v>76794</v>
      </c>
    </row>
    <row r="1147" spans="1:18" x14ac:dyDescent="0.25">
      <c r="A1147" s="170">
        <v>43693</v>
      </c>
      <c r="B1147" s="116">
        <v>1367.4</v>
      </c>
      <c r="C1147" s="116">
        <v>1359.75</v>
      </c>
      <c r="D1147" s="116">
        <v>1338.55</v>
      </c>
      <c r="E1147" s="116">
        <v>1365</v>
      </c>
      <c r="F1147" s="116">
        <v>1359.75</v>
      </c>
      <c r="G1147">
        <v>9277</v>
      </c>
      <c r="H1147" s="116"/>
      <c r="I1147" s="116"/>
      <c r="L1147" s="170">
        <v>43693</v>
      </c>
      <c r="M1147" s="116">
        <v>1358.75</v>
      </c>
      <c r="N1147" s="116">
        <v>1368.45</v>
      </c>
      <c r="O1147" s="116">
        <v>1339.55</v>
      </c>
      <c r="P1147" s="116">
        <v>1348.9</v>
      </c>
      <c r="Q1147" s="116">
        <v>1358.75</v>
      </c>
      <c r="R1147">
        <v>44305</v>
      </c>
    </row>
    <row r="1148" spans="1:18" x14ac:dyDescent="0.25">
      <c r="A1148" s="170">
        <v>43696</v>
      </c>
      <c r="B1148" s="116">
        <v>1381</v>
      </c>
      <c r="C1148" s="116">
        <v>1375.05</v>
      </c>
      <c r="D1148" s="116">
        <v>1353</v>
      </c>
      <c r="E1148" s="116">
        <v>1372.2</v>
      </c>
      <c r="F1148" s="116">
        <v>1375.05</v>
      </c>
      <c r="G1148">
        <v>33277</v>
      </c>
      <c r="H1148" s="116"/>
      <c r="I1148" s="116"/>
      <c r="L1148" s="170">
        <v>43696</v>
      </c>
      <c r="M1148" s="116">
        <v>1370.3</v>
      </c>
      <c r="N1148" s="116">
        <v>1382</v>
      </c>
      <c r="O1148" s="116">
        <v>1351</v>
      </c>
      <c r="P1148" s="116">
        <v>1366</v>
      </c>
      <c r="Q1148" s="116">
        <v>1370.3</v>
      </c>
      <c r="R1148">
        <v>43694</v>
      </c>
    </row>
    <row r="1149" spans="1:18" x14ac:dyDescent="0.25">
      <c r="A1149" s="170">
        <v>43697</v>
      </c>
      <c r="B1149" s="116">
        <v>1376.4</v>
      </c>
      <c r="C1149" s="116">
        <v>1364.25</v>
      </c>
      <c r="D1149" s="116">
        <v>1360.65</v>
      </c>
      <c r="E1149" s="116">
        <v>1365.3</v>
      </c>
      <c r="F1149" s="116">
        <v>1364.25</v>
      </c>
      <c r="G1149">
        <v>1128</v>
      </c>
      <c r="H1149" s="116"/>
      <c r="I1149" s="116"/>
      <c r="L1149" s="170">
        <v>43697</v>
      </c>
      <c r="M1149" s="116">
        <v>1364.95</v>
      </c>
      <c r="N1149" s="116">
        <v>1379.65</v>
      </c>
      <c r="O1149" s="116">
        <v>1362</v>
      </c>
      <c r="P1149" s="116">
        <v>1376</v>
      </c>
      <c r="Q1149" s="116">
        <v>1364.95</v>
      </c>
      <c r="R1149">
        <v>36489</v>
      </c>
    </row>
    <row r="1150" spans="1:18" x14ac:dyDescent="0.25">
      <c r="A1150" s="170">
        <v>43698</v>
      </c>
      <c r="B1150" s="116">
        <v>1372.2</v>
      </c>
      <c r="C1150" s="116">
        <v>1359.15</v>
      </c>
      <c r="D1150" s="116">
        <v>1354.8</v>
      </c>
      <c r="E1150" s="116">
        <v>1359.5</v>
      </c>
      <c r="F1150" s="116">
        <v>1359.15</v>
      </c>
      <c r="G1150">
        <v>1040</v>
      </c>
      <c r="H1150" s="116"/>
      <c r="I1150" s="116"/>
      <c r="L1150" s="170">
        <v>43698</v>
      </c>
      <c r="M1150" s="116">
        <v>1359.35</v>
      </c>
      <c r="N1150" s="116">
        <v>1373</v>
      </c>
      <c r="O1150" s="116">
        <v>1352</v>
      </c>
      <c r="P1150" s="116">
        <v>1364.95</v>
      </c>
      <c r="Q1150" s="116">
        <v>1359.35</v>
      </c>
      <c r="R1150">
        <v>42699</v>
      </c>
    </row>
    <row r="1151" spans="1:18" x14ac:dyDescent="0.25">
      <c r="A1151" s="170">
        <v>43699</v>
      </c>
      <c r="B1151" s="116">
        <v>1356.5</v>
      </c>
      <c r="C1151" s="116">
        <v>1349</v>
      </c>
      <c r="D1151" s="116">
        <v>1341</v>
      </c>
      <c r="E1151" s="116">
        <v>1356.5</v>
      </c>
      <c r="F1151" s="116">
        <v>1349</v>
      </c>
      <c r="G1151">
        <v>1329</v>
      </c>
      <c r="H1151" s="116"/>
      <c r="I1151" s="116"/>
      <c r="L1151" s="170">
        <v>43699</v>
      </c>
      <c r="M1151" s="116">
        <v>1349.45</v>
      </c>
      <c r="N1151" s="116">
        <v>1364</v>
      </c>
      <c r="O1151" s="116">
        <v>1340</v>
      </c>
      <c r="P1151" s="116">
        <v>1361.55</v>
      </c>
      <c r="Q1151" s="116">
        <v>1349.45</v>
      </c>
      <c r="R1151">
        <v>48945</v>
      </c>
    </row>
    <row r="1152" spans="1:18" x14ac:dyDescent="0.25">
      <c r="A1152" s="170">
        <v>43700</v>
      </c>
      <c r="B1152" s="116">
        <v>1350</v>
      </c>
      <c r="C1152" s="116">
        <v>1339.1</v>
      </c>
      <c r="D1152" s="116">
        <v>1328.25</v>
      </c>
      <c r="E1152" s="116">
        <v>1348.95</v>
      </c>
      <c r="F1152" s="116">
        <v>1339.1</v>
      </c>
      <c r="G1152">
        <v>2013</v>
      </c>
      <c r="H1152" s="116"/>
      <c r="I1152" s="116"/>
      <c r="L1152" s="170">
        <v>43700</v>
      </c>
      <c r="M1152" s="116">
        <v>1339.8</v>
      </c>
      <c r="N1152" s="116">
        <v>1352.95</v>
      </c>
      <c r="O1152" s="116">
        <v>1328.5</v>
      </c>
      <c r="P1152" s="116">
        <v>1341.25</v>
      </c>
      <c r="Q1152" s="116">
        <v>1339.8</v>
      </c>
      <c r="R1152">
        <v>56160</v>
      </c>
    </row>
    <row r="1153" spans="1:18" x14ac:dyDescent="0.25">
      <c r="A1153" s="170">
        <v>43703</v>
      </c>
      <c r="B1153" s="116">
        <v>1427.95</v>
      </c>
      <c r="C1153" s="116">
        <v>1400.05</v>
      </c>
      <c r="D1153" s="116">
        <v>1334.15</v>
      </c>
      <c r="E1153" s="116">
        <v>1361</v>
      </c>
      <c r="F1153" s="116">
        <v>1400.05</v>
      </c>
      <c r="G1153">
        <v>31609</v>
      </c>
      <c r="H1153" s="116"/>
      <c r="I1153" s="116"/>
      <c r="L1153" s="170">
        <v>43703</v>
      </c>
      <c r="M1153" s="116">
        <v>1401.2</v>
      </c>
      <c r="N1153" s="116">
        <v>1428</v>
      </c>
      <c r="O1153" s="116">
        <v>1332.55</v>
      </c>
      <c r="P1153" s="116">
        <v>1360.2</v>
      </c>
      <c r="Q1153" s="116">
        <v>1401.2</v>
      </c>
      <c r="R1153">
        <v>53101</v>
      </c>
    </row>
    <row r="1154" spans="1:18" x14ac:dyDescent="0.25">
      <c r="A1154" s="170">
        <v>43704</v>
      </c>
      <c r="B1154" s="116">
        <v>1417.75</v>
      </c>
      <c r="C1154" s="116">
        <v>1380.75</v>
      </c>
      <c r="D1154" s="116">
        <v>1374</v>
      </c>
      <c r="E1154" s="116">
        <v>1414.4</v>
      </c>
      <c r="F1154" s="116">
        <v>1380.75</v>
      </c>
      <c r="G1154">
        <v>2965</v>
      </c>
      <c r="H1154" s="116"/>
      <c r="I1154" s="116"/>
      <c r="L1154" s="170">
        <v>43704</v>
      </c>
      <c r="M1154" s="116">
        <v>1378.5</v>
      </c>
      <c r="N1154" s="116">
        <v>1416.85</v>
      </c>
      <c r="O1154" s="116">
        <v>1372</v>
      </c>
      <c r="P1154" s="116">
        <v>1405.55</v>
      </c>
      <c r="Q1154" s="116">
        <v>1378.5</v>
      </c>
      <c r="R1154">
        <v>45486</v>
      </c>
    </row>
    <row r="1155" spans="1:18" x14ac:dyDescent="0.25">
      <c r="A1155" s="170">
        <v>43705</v>
      </c>
      <c r="B1155" s="116">
        <v>1390</v>
      </c>
      <c r="C1155" s="116">
        <v>1361.3</v>
      </c>
      <c r="D1155" s="116">
        <v>1352.4</v>
      </c>
      <c r="E1155" s="116">
        <v>1381.8</v>
      </c>
      <c r="F1155" s="116">
        <v>1361.3</v>
      </c>
      <c r="G1155">
        <v>34171</v>
      </c>
      <c r="H1155" s="116"/>
      <c r="I1155" s="116"/>
      <c r="L1155" s="170">
        <v>43705</v>
      </c>
      <c r="M1155" s="116">
        <v>1361.4</v>
      </c>
      <c r="N1155" s="116">
        <v>1390.05</v>
      </c>
      <c r="O1155" s="116">
        <v>1352.1</v>
      </c>
      <c r="P1155" s="116">
        <v>1375.15</v>
      </c>
      <c r="Q1155" s="116">
        <v>1361.4</v>
      </c>
      <c r="R1155">
        <v>182780</v>
      </c>
    </row>
    <row r="1156" spans="1:18" x14ac:dyDescent="0.25">
      <c r="A1156" s="170">
        <v>43706</v>
      </c>
      <c r="B1156" s="116">
        <v>1360.2</v>
      </c>
      <c r="C1156" s="116">
        <v>1333</v>
      </c>
      <c r="D1156" s="116">
        <v>1328.7</v>
      </c>
      <c r="E1156" s="116">
        <v>1351.6</v>
      </c>
      <c r="F1156" s="116">
        <v>1333</v>
      </c>
      <c r="G1156">
        <v>21387</v>
      </c>
      <c r="H1156" s="116"/>
      <c r="I1156" s="116"/>
      <c r="L1156" s="170">
        <v>43706</v>
      </c>
      <c r="M1156" s="116">
        <v>1332.3</v>
      </c>
      <c r="N1156" s="116">
        <v>1364</v>
      </c>
      <c r="O1156" s="116">
        <v>1325.1</v>
      </c>
      <c r="P1156" s="116">
        <v>1364</v>
      </c>
      <c r="Q1156" s="116">
        <v>1332.3</v>
      </c>
      <c r="R1156">
        <v>134390</v>
      </c>
    </row>
    <row r="1157" spans="1:18" x14ac:dyDescent="0.25">
      <c r="A1157" s="170">
        <v>43707</v>
      </c>
      <c r="B1157" s="116">
        <v>1353</v>
      </c>
      <c r="C1157" s="116">
        <v>1337.85</v>
      </c>
      <c r="D1157" s="116">
        <v>1327.85</v>
      </c>
      <c r="E1157" s="116">
        <v>1345</v>
      </c>
      <c r="F1157" s="116">
        <v>1337.85</v>
      </c>
      <c r="G1157">
        <v>17566</v>
      </c>
      <c r="H1157" s="116"/>
      <c r="I1157" s="116"/>
      <c r="L1157" s="170">
        <v>43707</v>
      </c>
      <c r="M1157" s="116">
        <v>1338.45</v>
      </c>
      <c r="N1157" s="116">
        <v>1354</v>
      </c>
      <c r="O1157" s="116">
        <v>1327.05</v>
      </c>
      <c r="P1157" s="116">
        <v>1336</v>
      </c>
      <c r="Q1157" s="116">
        <v>1338.45</v>
      </c>
      <c r="R1157">
        <v>25835</v>
      </c>
    </row>
    <row r="1158" spans="1:18" x14ac:dyDescent="0.25">
      <c r="A1158" s="170">
        <v>43711</v>
      </c>
      <c r="B1158" s="116">
        <v>1340.75</v>
      </c>
      <c r="C1158" s="116">
        <v>1331.15</v>
      </c>
      <c r="D1158" s="116">
        <v>1320</v>
      </c>
      <c r="E1158" s="116">
        <v>1340</v>
      </c>
      <c r="F1158" s="116">
        <v>1331.15</v>
      </c>
      <c r="G1158">
        <v>22409</v>
      </c>
      <c r="H1158" s="116"/>
      <c r="I1158" s="116"/>
      <c r="L1158" s="170">
        <v>43711</v>
      </c>
      <c r="M1158" s="116">
        <v>1329.75</v>
      </c>
      <c r="N1158" s="116">
        <v>1345</v>
      </c>
      <c r="O1158" s="116">
        <v>1318.85</v>
      </c>
      <c r="P1158" s="116">
        <v>1338</v>
      </c>
      <c r="Q1158" s="116">
        <v>1329.75</v>
      </c>
      <c r="R1158">
        <v>28301</v>
      </c>
    </row>
    <row r="1159" spans="1:18" x14ac:dyDescent="0.25">
      <c r="A1159" s="170">
        <v>43712</v>
      </c>
      <c r="B1159" s="116">
        <v>1339</v>
      </c>
      <c r="C1159" s="116">
        <v>1318.4</v>
      </c>
      <c r="D1159" s="116">
        <v>1314.85</v>
      </c>
      <c r="E1159" s="116">
        <v>1332</v>
      </c>
      <c r="F1159" s="116">
        <v>1318.4</v>
      </c>
      <c r="G1159">
        <v>2991</v>
      </c>
      <c r="H1159" s="116"/>
      <c r="I1159" s="116"/>
      <c r="L1159" s="170">
        <v>43712</v>
      </c>
      <c r="M1159" s="116">
        <v>1319.6</v>
      </c>
      <c r="N1159" s="116">
        <v>1340</v>
      </c>
      <c r="O1159" s="116">
        <v>1315.05</v>
      </c>
      <c r="P1159" s="116">
        <v>1331.35</v>
      </c>
      <c r="Q1159" s="116">
        <v>1319.6</v>
      </c>
      <c r="R1159">
        <v>48990</v>
      </c>
    </row>
    <row r="1160" spans="1:18" x14ac:dyDescent="0.25">
      <c r="A1160" s="170">
        <v>43713</v>
      </c>
      <c r="B1160" s="116">
        <v>1333</v>
      </c>
      <c r="C1160" s="116">
        <v>1316.05</v>
      </c>
      <c r="D1160" s="116">
        <v>1314</v>
      </c>
      <c r="E1160" s="116">
        <v>1329.25</v>
      </c>
      <c r="F1160" s="116">
        <v>1316.05</v>
      </c>
      <c r="G1160">
        <v>800</v>
      </c>
      <c r="H1160" s="116"/>
      <c r="I1160" s="116"/>
      <c r="L1160" s="170">
        <v>43713</v>
      </c>
      <c r="M1160" s="116">
        <v>1316.15</v>
      </c>
      <c r="N1160" s="116">
        <v>1333</v>
      </c>
      <c r="O1160" s="116">
        <v>1313</v>
      </c>
      <c r="P1160" s="116">
        <v>1329.4</v>
      </c>
      <c r="Q1160" s="116">
        <v>1316.15</v>
      </c>
      <c r="R1160">
        <v>21273</v>
      </c>
    </row>
    <row r="1161" spans="1:18" x14ac:dyDescent="0.25">
      <c r="A1161" s="170">
        <v>43714</v>
      </c>
      <c r="B1161" s="116">
        <v>1338.5</v>
      </c>
      <c r="C1161" s="116">
        <v>1320.7</v>
      </c>
      <c r="D1161" s="116">
        <v>1312</v>
      </c>
      <c r="E1161" s="116">
        <v>1319.5</v>
      </c>
      <c r="F1161" s="116">
        <v>1320.7</v>
      </c>
      <c r="G1161">
        <v>3014</v>
      </c>
      <c r="H1161" s="116"/>
      <c r="I1161" s="116"/>
      <c r="L1161" s="170">
        <v>43714</v>
      </c>
      <c r="M1161" s="116">
        <v>1319.3</v>
      </c>
      <c r="N1161" s="116">
        <v>1339</v>
      </c>
      <c r="O1161" s="116">
        <v>1310.3499999999999</v>
      </c>
      <c r="P1161" s="116">
        <v>1319.8</v>
      </c>
      <c r="Q1161" s="116">
        <v>1319.3</v>
      </c>
      <c r="R1161">
        <v>28271</v>
      </c>
    </row>
    <row r="1162" spans="1:18" x14ac:dyDescent="0.25">
      <c r="A1162" s="170">
        <v>43717</v>
      </c>
      <c r="B1162" s="116">
        <v>1337.35</v>
      </c>
      <c r="C1162" s="116">
        <v>1324.3</v>
      </c>
      <c r="D1162" s="116">
        <v>1307.0999999999999</v>
      </c>
      <c r="E1162" s="116">
        <v>1313</v>
      </c>
      <c r="F1162" s="116">
        <v>1324.3</v>
      </c>
      <c r="G1162">
        <v>3863</v>
      </c>
      <c r="H1162" s="116"/>
      <c r="I1162" s="116"/>
      <c r="L1162" s="170">
        <v>43717</v>
      </c>
      <c r="M1162" s="116">
        <v>1327.85</v>
      </c>
      <c r="N1162" s="116">
        <v>1337</v>
      </c>
      <c r="O1162" s="116">
        <v>1310</v>
      </c>
      <c r="P1162" s="116">
        <v>1318.7</v>
      </c>
      <c r="Q1162" s="116">
        <v>1327.85</v>
      </c>
      <c r="R1162">
        <v>31381</v>
      </c>
    </row>
    <row r="1163" spans="1:18" x14ac:dyDescent="0.25">
      <c r="A1163" s="170">
        <v>43719</v>
      </c>
      <c r="B1163" s="116">
        <v>1346.95</v>
      </c>
      <c r="C1163" s="116">
        <v>1327.2</v>
      </c>
      <c r="D1163" s="116">
        <v>1321.85</v>
      </c>
      <c r="E1163" s="116">
        <v>1338</v>
      </c>
      <c r="F1163" s="116">
        <v>1327.2</v>
      </c>
      <c r="G1163">
        <v>1780</v>
      </c>
      <c r="H1163" s="116"/>
      <c r="I1163" s="116"/>
      <c r="L1163" s="170">
        <v>43719</v>
      </c>
      <c r="M1163" s="116">
        <v>1328.4</v>
      </c>
      <c r="N1163" s="116">
        <v>1346</v>
      </c>
      <c r="O1163" s="116">
        <v>1320</v>
      </c>
      <c r="P1163" s="116">
        <v>1330</v>
      </c>
      <c r="Q1163" s="116">
        <v>1328.4</v>
      </c>
      <c r="R1163">
        <v>35256</v>
      </c>
    </row>
    <row r="1164" spans="1:18" x14ac:dyDescent="0.25">
      <c r="A1164" s="170">
        <v>43720</v>
      </c>
      <c r="B1164" s="116">
        <v>1345</v>
      </c>
      <c r="C1164" s="116">
        <v>1332.65</v>
      </c>
      <c r="D1164" s="116">
        <v>1328</v>
      </c>
      <c r="E1164" s="116">
        <v>1338.2</v>
      </c>
      <c r="F1164" s="116">
        <v>1332.65</v>
      </c>
      <c r="G1164">
        <v>22315</v>
      </c>
      <c r="H1164" s="116"/>
      <c r="I1164" s="116"/>
      <c r="L1164" s="170">
        <v>43720</v>
      </c>
      <c r="M1164" s="116">
        <v>1334.15</v>
      </c>
      <c r="N1164" s="116">
        <v>1346</v>
      </c>
      <c r="O1164" s="116">
        <v>1325.15</v>
      </c>
      <c r="P1164" s="116">
        <v>1335.5</v>
      </c>
      <c r="Q1164" s="116">
        <v>1334.15</v>
      </c>
      <c r="R1164">
        <v>23333</v>
      </c>
    </row>
    <row r="1165" spans="1:18" x14ac:dyDescent="0.25">
      <c r="A1165" s="170">
        <v>43721</v>
      </c>
      <c r="B1165" s="116">
        <v>1364</v>
      </c>
      <c r="C1165" s="116">
        <v>1349.25</v>
      </c>
      <c r="D1165" s="116">
        <v>1326</v>
      </c>
      <c r="E1165" s="116">
        <v>1333.6</v>
      </c>
      <c r="F1165" s="116">
        <v>1349.25</v>
      </c>
      <c r="G1165">
        <v>2437</v>
      </c>
      <c r="H1165" s="116"/>
      <c r="I1165" s="116"/>
      <c r="L1165" s="170">
        <v>43721</v>
      </c>
      <c r="M1165" s="116">
        <v>1348.05</v>
      </c>
      <c r="N1165" s="116">
        <v>1365</v>
      </c>
      <c r="O1165" s="116">
        <v>1325.3</v>
      </c>
      <c r="P1165" s="116">
        <v>1340.35</v>
      </c>
      <c r="Q1165" s="116">
        <v>1348.05</v>
      </c>
      <c r="R1165">
        <v>52412</v>
      </c>
    </row>
    <row r="1166" spans="1:18" x14ac:dyDescent="0.25">
      <c r="A1166" s="170">
        <v>43724</v>
      </c>
      <c r="B1166" s="116">
        <v>1370</v>
      </c>
      <c r="C1166" s="116">
        <v>1343.3</v>
      </c>
      <c r="D1166" s="116">
        <v>1331.2</v>
      </c>
      <c r="E1166" s="116">
        <v>1345</v>
      </c>
      <c r="F1166" s="116">
        <v>1343.3</v>
      </c>
      <c r="G1166">
        <v>2759</v>
      </c>
      <c r="H1166" s="116"/>
      <c r="I1166" s="116"/>
      <c r="L1166" s="170">
        <v>43724</v>
      </c>
      <c r="M1166" s="116">
        <v>1344.65</v>
      </c>
      <c r="N1166" s="116">
        <v>1369.9</v>
      </c>
      <c r="O1166" s="116">
        <v>1331</v>
      </c>
      <c r="P1166" s="116">
        <v>1357.85</v>
      </c>
      <c r="Q1166" s="116">
        <v>1344.65</v>
      </c>
      <c r="R1166">
        <v>114868</v>
      </c>
    </row>
    <row r="1167" spans="1:18" x14ac:dyDescent="0.25">
      <c r="A1167" s="170">
        <v>43725</v>
      </c>
      <c r="B1167" s="116">
        <v>1355.2</v>
      </c>
      <c r="C1167" s="116">
        <v>1335.7</v>
      </c>
      <c r="D1167" s="116">
        <v>1332</v>
      </c>
      <c r="E1167" s="116">
        <v>1355</v>
      </c>
      <c r="F1167" s="116">
        <v>1335.7</v>
      </c>
      <c r="G1167">
        <v>1922</v>
      </c>
      <c r="H1167" s="116"/>
      <c r="I1167" s="116"/>
      <c r="L1167" s="170">
        <v>43725</v>
      </c>
      <c r="M1167" s="116">
        <v>1336.25</v>
      </c>
      <c r="N1167" s="116">
        <v>1356.95</v>
      </c>
      <c r="O1167" s="116">
        <v>1331.05</v>
      </c>
      <c r="P1167" s="116">
        <v>1350.5</v>
      </c>
      <c r="Q1167" s="116">
        <v>1336.25</v>
      </c>
      <c r="R1167">
        <v>28781</v>
      </c>
    </row>
    <row r="1168" spans="1:18" x14ac:dyDescent="0.25">
      <c r="A1168" s="170">
        <v>43726</v>
      </c>
      <c r="B1168" s="116">
        <v>1335</v>
      </c>
      <c r="C1168" s="116">
        <v>1325.9</v>
      </c>
      <c r="D1168" s="116">
        <v>1324.45</v>
      </c>
      <c r="E1168" s="116">
        <v>1334.2</v>
      </c>
      <c r="F1168" s="116">
        <v>1325.9</v>
      </c>
      <c r="G1168">
        <v>882</v>
      </c>
      <c r="H1168" s="116"/>
      <c r="I1168" s="116"/>
      <c r="L1168" s="170">
        <v>43726</v>
      </c>
      <c r="M1168" s="116">
        <v>1325.9</v>
      </c>
      <c r="N1168" s="116">
        <v>1339.5</v>
      </c>
      <c r="O1168" s="116">
        <v>1324</v>
      </c>
      <c r="P1168" s="116">
        <v>1333.1</v>
      </c>
      <c r="Q1168" s="116">
        <v>1325.9</v>
      </c>
      <c r="R1168">
        <v>26589</v>
      </c>
    </row>
    <row r="1169" spans="1:18" x14ac:dyDescent="0.25">
      <c r="A1169" s="170">
        <v>43727</v>
      </c>
      <c r="B1169" s="116">
        <v>1331.8</v>
      </c>
      <c r="C1169" s="116">
        <v>1322.15</v>
      </c>
      <c r="D1169" s="116">
        <v>1319</v>
      </c>
      <c r="E1169" s="116">
        <v>1327.25</v>
      </c>
      <c r="F1169" s="116">
        <v>1322.15</v>
      </c>
      <c r="G1169">
        <v>1111</v>
      </c>
      <c r="H1169" s="116"/>
      <c r="I1169" s="116"/>
      <c r="L1169" s="170">
        <v>43727</v>
      </c>
      <c r="M1169" s="116">
        <v>1325.45</v>
      </c>
      <c r="N1169" s="116">
        <v>1333.5</v>
      </c>
      <c r="O1169" s="116">
        <v>1317.95</v>
      </c>
      <c r="P1169" s="116">
        <v>1330</v>
      </c>
      <c r="Q1169" s="116">
        <v>1325.45</v>
      </c>
      <c r="R1169">
        <v>19465</v>
      </c>
    </row>
    <row r="1170" spans="1:18" x14ac:dyDescent="0.25">
      <c r="A1170" s="170">
        <v>43728</v>
      </c>
      <c r="B1170" s="116">
        <v>1530</v>
      </c>
      <c r="C1170" s="116">
        <v>1413.3</v>
      </c>
      <c r="D1170" s="116">
        <v>1318</v>
      </c>
      <c r="E1170" s="116">
        <v>1318.15</v>
      </c>
      <c r="F1170" s="116">
        <v>1413.3</v>
      </c>
      <c r="G1170">
        <v>23642</v>
      </c>
      <c r="H1170" s="116"/>
      <c r="I1170" s="116"/>
      <c r="L1170" s="170">
        <v>43728</v>
      </c>
      <c r="M1170" s="116">
        <v>1409.1</v>
      </c>
      <c r="N1170" s="116">
        <v>1535.25</v>
      </c>
      <c r="O1170" s="116">
        <v>1316.95</v>
      </c>
      <c r="P1170" s="116">
        <v>1328.6</v>
      </c>
      <c r="Q1170" s="116">
        <v>1409.1</v>
      </c>
      <c r="R1170">
        <v>308315</v>
      </c>
    </row>
    <row r="1171" spans="1:18" x14ac:dyDescent="0.25">
      <c r="A1171" s="170">
        <v>43731</v>
      </c>
      <c r="B1171" s="116">
        <v>1580</v>
      </c>
      <c r="C1171" s="116">
        <v>1554.7</v>
      </c>
      <c r="D1171" s="116">
        <v>1417</v>
      </c>
      <c r="E1171" s="116">
        <v>1430</v>
      </c>
      <c r="F1171" s="116">
        <v>1554.7</v>
      </c>
      <c r="G1171">
        <v>22473</v>
      </c>
      <c r="H1171" s="116"/>
      <c r="I1171" s="116"/>
      <c r="L1171" s="170">
        <v>43731</v>
      </c>
      <c r="M1171" s="116">
        <v>1553.25</v>
      </c>
      <c r="N1171" s="116">
        <v>1601</v>
      </c>
      <c r="O1171" s="116">
        <v>1420</v>
      </c>
      <c r="P1171" s="116">
        <v>1420</v>
      </c>
      <c r="Q1171" s="116">
        <v>1553.25</v>
      </c>
      <c r="R1171">
        <v>716837</v>
      </c>
    </row>
    <row r="1172" spans="1:18" x14ac:dyDescent="0.25">
      <c r="A1172" s="170">
        <v>43732</v>
      </c>
      <c r="B1172" s="116">
        <v>1578.45</v>
      </c>
      <c r="C1172" s="116">
        <v>1573.4</v>
      </c>
      <c r="D1172" s="116">
        <v>1548.5</v>
      </c>
      <c r="E1172" s="116">
        <v>1565</v>
      </c>
      <c r="F1172" s="116">
        <v>1573.4</v>
      </c>
      <c r="G1172">
        <v>37286</v>
      </c>
      <c r="H1172" s="116"/>
      <c r="I1172" s="116"/>
      <c r="L1172" s="170">
        <v>43732</v>
      </c>
      <c r="M1172" s="116">
        <v>1573.35</v>
      </c>
      <c r="N1172" s="116">
        <v>1581</v>
      </c>
      <c r="O1172" s="116">
        <v>1545</v>
      </c>
      <c r="P1172" s="116">
        <v>1570</v>
      </c>
      <c r="Q1172" s="116">
        <v>1573.35</v>
      </c>
      <c r="R1172">
        <v>137947</v>
      </c>
    </row>
    <row r="1173" spans="1:18" x14ac:dyDescent="0.25">
      <c r="A1173" s="170">
        <v>43733</v>
      </c>
      <c r="B1173" s="116">
        <v>1574.25</v>
      </c>
      <c r="C1173" s="116">
        <v>1540.5</v>
      </c>
      <c r="D1173" s="116">
        <v>1511</v>
      </c>
      <c r="E1173" s="116">
        <v>1573.4</v>
      </c>
      <c r="F1173" s="116">
        <v>1540.5</v>
      </c>
      <c r="G1173">
        <v>10076</v>
      </c>
      <c r="H1173" s="116"/>
      <c r="I1173" s="116"/>
      <c r="L1173" s="170">
        <v>43733</v>
      </c>
      <c r="M1173" s="116">
        <v>1539.6</v>
      </c>
      <c r="N1173" s="116">
        <v>1575</v>
      </c>
      <c r="O1173" s="116">
        <v>1510</v>
      </c>
      <c r="P1173" s="116">
        <v>1571</v>
      </c>
      <c r="Q1173" s="116">
        <v>1539.6</v>
      </c>
      <c r="R1173">
        <v>82712</v>
      </c>
    </row>
    <row r="1174" spans="1:18" x14ac:dyDescent="0.25">
      <c r="A1174" s="170">
        <v>43734</v>
      </c>
      <c r="B1174" s="116">
        <v>1583.8</v>
      </c>
      <c r="C1174" s="116">
        <v>1460.5</v>
      </c>
      <c r="D1174" s="116">
        <v>1405.5</v>
      </c>
      <c r="E1174" s="116">
        <v>1557.4</v>
      </c>
      <c r="F1174" s="116">
        <v>1460.5</v>
      </c>
      <c r="G1174">
        <v>34618</v>
      </c>
      <c r="H1174" s="116"/>
      <c r="I1174" s="116"/>
      <c r="L1174" s="170">
        <v>43734</v>
      </c>
      <c r="M1174" s="116">
        <v>1459.9</v>
      </c>
      <c r="N1174" s="116">
        <v>1583.9</v>
      </c>
      <c r="O1174" s="116">
        <v>1405</v>
      </c>
      <c r="P1174" s="116">
        <v>1540.55</v>
      </c>
      <c r="Q1174" s="116">
        <v>1459.9</v>
      </c>
      <c r="R1174">
        <v>556866</v>
      </c>
    </row>
    <row r="1175" spans="1:18" x14ac:dyDescent="0.25">
      <c r="A1175" s="170">
        <v>43735</v>
      </c>
      <c r="B1175" s="116">
        <v>1550.9</v>
      </c>
      <c r="C1175" s="116">
        <v>1545.75</v>
      </c>
      <c r="D1175" s="116">
        <v>1466</v>
      </c>
      <c r="E1175" s="116">
        <v>1466</v>
      </c>
      <c r="F1175" s="116">
        <v>1545.75</v>
      </c>
      <c r="G1175">
        <v>19897</v>
      </c>
      <c r="H1175" s="116"/>
      <c r="I1175" s="116"/>
      <c r="L1175" s="170">
        <v>43735</v>
      </c>
      <c r="M1175" s="116">
        <v>1545.35</v>
      </c>
      <c r="N1175" s="116">
        <v>1549.95</v>
      </c>
      <c r="O1175" s="116">
        <v>1470</v>
      </c>
      <c r="P1175" s="116">
        <v>1470</v>
      </c>
      <c r="Q1175" s="116">
        <v>1545.35</v>
      </c>
      <c r="R1175">
        <v>273923</v>
      </c>
    </row>
    <row r="1176" spans="1:18" x14ac:dyDescent="0.25">
      <c r="A1176" s="170">
        <v>43738</v>
      </c>
      <c r="B1176" s="116">
        <v>1534.35</v>
      </c>
      <c r="C1176" s="116">
        <v>1521</v>
      </c>
      <c r="D1176" s="116">
        <v>1501.2</v>
      </c>
      <c r="E1176" s="116">
        <v>1527.6</v>
      </c>
      <c r="F1176" s="116">
        <v>1521</v>
      </c>
      <c r="G1176">
        <v>3685</v>
      </c>
      <c r="H1176" s="116"/>
      <c r="I1176" s="116"/>
      <c r="L1176" s="170">
        <v>43738</v>
      </c>
      <c r="M1176" s="116">
        <v>1515.35</v>
      </c>
      <c r="N1176" s="116">
        <v>1534.95</v>
      </c>
      <c r="O1176" s="116">
        <v>1505</v>
      </c>
      <c r="P1176" s="116">
        <v>1534.95</v>
      </c>
      <c r="Q1176" s="116">
        <v>1515.35</v>
      </c>
      <c r="R1176">
        <v>156032</v>
      </c>
    </row>
    <row r="1177" spans="1:18" x14ac:dyDescent="0.25">
      <c r="A1177" s="170">
        <v>43739</v>
      </c>
      <c r="B1177" s="116">
        <v>1553</v>
      </c>
      <c r="C1177" s="116">
        <v>1485.15</v>
      </c>
      <c r="D1177" s="116">
        <v>1448.1</v>
      </c>
      <c r="E1177" s="116">
        <v>1548.8</v>
      </c>
      <c r="F1177" s="116">
        <v>1485.15</v>
      </c>
      <c r="G1177">
        <v>8048</v>
      </c>
      <c r="H1177" s="116"/>
      <c r="I1177" s="116"/>
      <c r="L1177" s="170">
        <v>43739</v>
      </c>
      <c r="M1177" s="116">
        <v>1485.5</v>
      </c>
      <c r="N1177" s="116">
        <v>1555</v>
      </c>
      <c r="O1177" s="116">
        <v>1447.05</v>
      </c>
      <c r="P1177" s="116">
        <v>1530</v>
      </c>
      <c r="Q1177" s="116">
        <v>1485.5</v>
      </c>
      <c r="R1177">
        <v>135969</v>
      </c>
    </row>
    <row r="1178" spans="1:18" x14ac:dyDescent="0.25">
      <c r="A1178" s="170">
        <v>43741</v>
      </c>
      <c r="B1178" s="116">
        <v>1485</v>
      </c>
      <c r="C1178" s="116">
        <v>1462.85</v>
      </c>
      <c r="D1178" s="116">
        <v>1453</v>
      </c>
      <c r="E1178" s="116">
        <v>1485</v>
      </c>
      <c r="F1178" s="116">
        <v>1462.85</v>
      </c>
      <c r="G1178">
        <v>4723</v>
      </c>
      <c r="H1178" s="116"/>
      <c r="I1178" s="116"/>
      <c r="L1178" s="170">
        <v>43741</v>
      </c>
      <c r="M1178" s="116">
        <v>1461.1</v>
      </c>
      <c r="N1178" s="116">
        <v>1486</v>
      </c>
      <c r="O1178" s="116">
        <v>1450.1</v>
      </c>
      <c r="P1178" s="116">
        <v>1480.45</v>
      </c>
      <c r="Q1178" s="116">
        <v>1461.1</v>
      </c>
      <c r="R1178">
        <v>182070</v>
      </c>
    </row>
    <row r="1179" spans="1:18" x14ac:dyDescent="0.25">
      <c r="A1179" s="170">
        <v>43742</v>
      </c>
      <c r="B1179" s="116">
        <v>1501.5</v>
      </c>
      <c r="C1179" s="116">
        <v>1460.4</v>
      </c>
      <c r="D1179" s="116">
        <v>1448</v>
      </c>
      <c r="E1179" s="116">
        <v>1462.4</v>
      </c>
      <c r="F1179" s="116">
        <v>1460.4</v>
      </c>
      <c r="G1179">
        <v>17899</v>
      </c>
      <c r="H1179" s="116"/>
      <c r="I1179" s="116"/>
      <c r="L1179" s="170">
        <v>43742</v>
      </c>
      <c r="M1179" s="116">
        <v>1464.05</v>
      </c>
      <c r="N1179" s="116">
        <v>1502.85</v>
      </c>
      <c r="O1179" s="116">
        <v>1458</v>
      </c>
      <c r="P1179" s="116">
        <v>1470.25</v>
      </c>
      <c r="Q1179" s="116">
        <v>1464.05</v>
      </c>
      <c r="R1179">
        <v>48748</v>
      </c>
    </row>
    <row r="1180" spans="1:18" x14ac:dyDescent="0.25">
      <c r="A1180" s="170">
        <v>43745</v>
      </c>
      <c r="B1180" s="116">
        <v>1482.35</v>
      </c>
      <c r="C1180" s="116">
        <v>1464.5</v>
      </c>
      <c r="D1180" s="116">
        <v>1444</v>
      </c>
      <c r="E1180" s="116">
        <v>1475</v>
      </c>
      <c r="F1180" s="116">
        <v>1464.5</v>
      </c>
      <c r="G1180">
        <v>2379</v>
      </c>
      <c r="H1180" s="116"/>
      <c r="I1180" s="116"/>
      <c r="L1180" s="170">
        <v>43745</v>
      </c>
      <c r="M1180" s="116">
        <v>1465.75</v>
      </c>
      <c r="N1180" s="116">
        <v>1484.95</v>
      </c>
      <c r="O1180" s="116">
        <v>1442</v>
      </c>
      <c r="P1180" s="116">
        <v>1460.1</v>
      </c>
      <c r="Q1180" s="116">
        <v>1465.75</v>
      </c>
      <c r="R1180">
        <v>28184</v>
      </c>
    </row>
    <row r="1181" spans="1:18" x14ac:dyDescent="0.25">
      <c r="A1181" s="170">
        <v>43747</v>
      </c>
      <c r="B1181" s="116">
        <v>1507.1</v>
      </c>
      <c r="C1181" s="116">
        <v>1486.85</v>
      </c>
      <c r="D1181" s="116">
        <v>1465.8</v>
      </c>
      <c r="E1181" s="116">
        <v>1483</v>
      </c>
      <c r="F1181" s="116">
        <v>1486.85</v>
      </c>
      <c r="G1181">
        <v>27926</v>
      </c>
      <c r="H1181" s="116"/>
      <c r="I1181" s="116"/>
      <c r="L1181" s="170">
        <v>43747</v>
      </c>
      <c r="M1181" s="116">
        <v>1486</v>
      </c>
      <c r="N1181" s="116">
        <v>1509.4</v>
      </c>
      <c r="O1181" s="116">
        <v>1465.5</v>
      </c>
      <c r="P1181" s="116">
        <v>1474.9</v>
      </c>
      <c r="Q1181" s="116">
        <v>1486</v>
      </c>
      <c r="R1181">
        <v>93666</v>
      </c>
    </row>
    <row r="1182" spans="1:18" x14ac:dyDescent="0.25">
      <c r="A1182" s="170">
        <v>43748</v>
      </c>
      <c r="B1182" s="116">
        <v>1490</v>
      </c>
      <c r="C1182" s="116">
        <v>1465.35</v>
      </c>
      <c r="D1182" s="116">
        <v>1455.7</v>
      </c>
      <c r="E1182" s="116">
        <v>1486</v>
      </c>
      <c r="F1182" s="116">
        <v>1465.35</v>
      </c>
      <c r="G1182">
        <v>2421</v>
      </c>
      <c r="H1182" s="116"/>
      <c r="I1182" s="116"/>
      <c r="L1182" s="170">
        <v>43748</v>
      </c>
      <c r="M1182" s="116">
        <v>1464.45</v>
      </c>
      <c r="N1182" s="116">
        <v>1493.85</v>
      </c>
      <c r="O1182" s="116">
        <v>1454.3</v>
      </c>
      <c r="P1182" s="116">
        <v>1485</v>
      </c>
      <c r="Q1182" s="116">
        <v>1464.45</v>
      </c>
      <c r="R1182">
        <v>31590</v>
      </c>
    </row>
    <row r="1183" spans="1:18" x14ac:dyDescent="0.25">
      <c r="A1183" s="170">
        <v>43749</v>
      </c>
      <c r="B1183" s="116">
        <v>1505.45</v>
      </c>
      <c r="C1183" s="116">
        <v>1483.05</v>
      </c>
      <c r="D1183" s="116">
        <v>1470.2</v>
      </c>
      <c r="E1183" s="116">
        <v>1475</v>
      </c>
      <c r="F1183" s="116">
        <v>1483.05</v>
      </c>
      <c r="G1183">
        <v>4638</v>
      </c>
      <c r="H1183" s="116"/>
      <c r="I1183" s="116"/>
      <c r="L1183" s="170">
        <v>43749</v>
      </c>
      <c r="M1183" s="116">
        <v>1483.15</v>
      </c>
      <c r="N1183" s="116">
        <v>1505.95</v>
      </c>
      <c r="O1183" s="116">
        <v>1470.25</v>
      </c>
      <c r="P1183" s="116">
        <v>1474.95</v>
      </c>
      <c r="Q1183" s="116">
        <v>1483.15</v>
      </c>
      <c r="R1183">
        <v>95151</v>
      </c>
    </row>
    <row r="1184" spans="1:18" x14ac:dyDescent="0.25">
      <c r="A1184" s="170">
        <v>43752</v>
      </c>
      <c r="B1184" s="116">
        <v>1503.45</v>
      </c>
      <c r="C1184" s="116">
        <v>1473.65</v>
      </c>
      <c r="D1184" s="116">
        <v>1463</v>
      </c>
      <c r="E1184" s="116">
        <v>1488</v>
      </c>
      <c r="F1184" s="116">
        <v>1473.65</v>
      </c>
      <c r="G1184">
        <v>2495</v>
      </c>
      <c r="H1184" s="116"/>
      <c r="I1184" s="116"/>
      <c r="L1184" s="170">
        <v>43752</v>
      </c>
      <c r="M1184" s="116">
        <v>1478.4</v>
      </c>
      <c r="N1184" s="116">
        <v>1504.4</v>
      </c>
      <c r="O1184" s="116">
        <v>1467</v>
      </c>
      <c r="P1184" s="116">
        <v>1481</v>
      </c>
      <c r="Q1184" s="116">
        <v>1478.4</v>
      </c>
      <c r="R1184">
        <v>125336</v>
      </c>
    </row>
    <row r="1185" spans="1:18" x14ac:dyDescent="0.25">
      <c r="A1185" s="170">
        <v>43753</v>
      </c>
      <c r="B1185" s="116">
        <v>1520</v>
      </c>
      <c r="C1185" s="116">
        <v>1496.8</v>
      </c>
      <c r="D1185" s="116">
        <v>1445.7</v>
      </c>
      <c r="E1185" s="116">
        <v>1483.95</v>
      </c>
      <c r="F1185" s="116">
        <v>1496.8</v>
      </c>
      <c r="G1185">
        <v>20839</v>
      </c>
      <c r="H1185" s="116"/>
      <c r="I1185" s="116"/>
      <c r="L1185" s="170">
        <v>43753</v>
      </c>
      <c r="M1185" s="116">
        <v>1496.7</v>
      </c>
      <c r="N1185" s="116">
        <v>1520</v>
      </c>
      <c r="O1185" s="116">
        <v>1465.65</v>
      </c>
      <c r="P1185" s="116">
        <v>1479.9</v>
      </c>
      <c r="Q1185" s="116">
        <v>1496.7</v>
      </c>
      <c r="R1185">
        <v>49536</v>
      </c>
    </row>
    <row r="1186" spans="1:18" x14ac:dyDescent="0.25">
      <c r="A1186" s="170">
        <v>43754</v>
      </c>
      <c r="B1186" s="116">
        <v>1536.65</v>
      </c>
      <c r="C1186" s="116">
        <v>1519.1</v>
      </c>
      <c r="D1186" s="116">
        <v>1506</v>
      </c>
      <c r="E1186" s="116">
        <v>1518.8</v>
      </c>
      <c r="F1186" s="116">
        <v>1519.1</v>
      </c>
      <c r="G1186">
        <v>4266</v>
      </c>
      <c r="H1186" s="116"/>
      <c r="I1186" s="116"/>
      <c r="L1186" s="170">
        <v>43754</v>
      </c>
      <c r="M1186" s="116">
        <v>1519.5</v>
      </c>
      <c r="N1186" s="116">
        <v>1534.5</v>
      </c>
      <c r="O1186" s="116">
        <v>1503.15</v>
      </c>
      <c r="P1186" s="116">
        <v>1513</v>
      </c>
      <c r="Q1186" s="116">
        <v>1519.5</v>
      </c>
      <c r="R1186">
        <v>100101</v>
      </c>
    </row>
    <row r="1187" spans="1:18" x14ac:dyDescent="0.25">
      <c r="A1187" s="170">
        <v>43755</v>
      </c>
      <c r="B1187" s="116">
        <v>1534</v>
      </c>
      <c r="C1187" s="116">
        <v>1521.4</v>
      </c>
      <c r="D1187" s="116">
        <v>1507.9</v>
      </c>
      <c r="E1187" s="116">
        <v>1520</v>
      </c>
      <c r="F1187" s="116">
        <v>1521.4</v>
      </c>
      <c r="G1187">
        <v>11303</v>
      </c>
      <c r="H1187" s="116"/>
      <c r="I1187" s="116"/>
      <c r="L1187" s="170">
        <v>43755</v>
      </c>
      <c r="M1187" s="116">
        <v>1519.3</v>
      </c>
      <c r="N1187" s="116">
        <v>1535</v>
      </c>
      <c r="O1187" s="116">
        <v>1507</v>
      </c>
      <c r="P1187" s="116">
        <v>1521.8</v>
      </c>
      <c r="Q1187" s="116">
        <v>1519.3</v>
      </c>
      <c r="R1187">
        <v>50738</v>
      </c>
    </row>
    <row r="1188" spans="1:18" x14ac:dyDescent="0.25">
      <c r="A1188" s="170">
        <v>43756</v>
      </c>
      <c r="B1188" s="116">
        <v>1565</v>
      </c>
      <c r="C1188" s="116">
        <v>1552.65</v>
      </c>
      <c r="D1188" s="116">
        <v>1524</v>
      </c>
      <c r="E1188" s="116">
        <v>1525</v>
      </c>
      <c r="F1188" s="116">
        <v>1552.65</v>
      </c>
      <c r="G1188">
        <v>26858</v>
      </c>
      <c r="H1188" s="116"/>
      <c r="I1188" s="116"/>
      <c r="L1188" s="170">
        <v>43756</v>
      </c>
      <c r="M1188" s="116">
        <v>1556.3</v>
      </c>
      <c r="N1188" s="116">
        <v>1567.95</v>
      </c>
      <c r="O1188" s="116">
        <v>1519.3</v>
      </c>
      <c r="P1188" s="116">
        <v>1525.7</v>
      </c>
      <c r="Q1188" s="116">
        <v>1556.3</v>
      </c>
      <c r="R1188">
        <v>192308</v>
      </c>
    </row>
    <row r="1189" spans="1:18" x14ac:dyDescent="0.25">
      <c r="A1189" s="170">
        <v>43760</v>
      </c>
      <c r="B1189" s="116">
        <v>1580.05</v>
      </c>
      <c r="C1189" s="116">
        <v>1540.05</v>
      </c>
      <c r="D1189" s="116">
        <v>1520</v>
      </c>
      <c r="E1189" s="116">
        <v>1549.95</v>
      </c>
      <c r="F1189" s="116">
        <v>1540.05</v>
      </c>
      <c r="G1189">
        <v>4414</v>
      </c>
      <c r="H1189" s="116"/>
      <c r="I1189" s="116"/>
      <c r="L1189" s="170">
        <v>43760</v>
      </c>
      <c r="M1189" s="116">
        <v>1539.2</v>
      </c>
      <c r="N1189" s="116">
        <v>1580</v>
      </c>
      <c r="O1189" s="116">
        <v>1521</v>
      </c>
      <c r="P1189" s="116">
        <v>1557</v>
      </c>
      <c r="Q1189" s="116">
        <v>1539.2</v>
      </c>
      <c r="R1189">
        <v>112943</v>
      </c>
    </row>
    <row r="1190" spans="1:18" x14ac:dyDescent="0.25">
      <c r="A1190" s="170">
        <v>43761</v>
      </c>
      <c r="B1190" s="116">
        <v>1566.55</v>
      </c>
      <c r="C1190" s="116">
        <v>1535.6</v>
      </c>
      <c r="D1190" s="116">
        <v>1531</v>
      </c>
      <c r="E1190" s="116">
        <v>1551.7</v>
      </c>
      <c r="F1190" s="116">
        <v>1535.6</v>
      </c>
      <c r="G1190">
        <v>4661</v>
      </c>
      <c r="H1190" s="116"/>
      <c r="I1190" s="116"/>
      <c r="L1190" s="170">
        <v>43761</v>
      </c>
      <c r="M1190" s="116">
        <v>1536.55</v>
      </c>
      <c r="N1190" s="116">
        <v>1568.85</v>
      </c>
      <c r="O1190" s="116">
        <v>1530</v>
      </c>
      <c r="P1190" s="116">
        <v>1540</v>
      </c>
      <c r="Q1190" s="116">
        <v>1536.55</v>
      </c>
      <c r="R1190">
        <v>31500</v>
      </c>
    </row>
    <row r="1191" spans="1:18" x14ac:dyDescent="0.25">
      <c r="A1191" s="170">
        <v>43762</v>
      </c>
      <c r="B1191" s="116">
        <v>1547.7</v>
      </c>
      <c r="C1191" s="116">
        <v>1514.9</v>
      </c>
      <c r="D1191" s="116">
        <v>1507.65</v>
      </c>
      <c r="E1191" s="116">
        <v>1547.7</v>
      </c>
      <c r="F1191" s="116">
        <v>1514.9</v>
      </c>
      <c r="G1191">
        <v>2441</v>
      </c>
      <c r="H1191" s="116"/>
      <c r="I1191" s="116"/>
      <c r="L1191" s="170">
        <v>43762</v>
      </c>
      <c r="M1191" s="116">
        <v>1513.9</v>
      </c>
      <c r="N1191" s="116">
        <v>1548.85</v>
      </c>
      <c r="O1191" s="116">
        <v>1506.05</v>
      </c>
      <c r="P1191" s="116">
        <v>1539</v>
      </c>
      <c r="Q1191" s="116">
        <v>1513.9</v>
      </c>
      <c r="R1191">
        <v>59085</v>
      </c>
    </row>
    <row r="1192" spans="1:18" x14ac:dyDescent="0.25">
      <c r="A1192" s="170">
        <v>43763</v>
      </c>
      <c r="B1192" s="116">
        <v>1525.9</v>
      </c>
      <c r="C1192" s="116">
        <v>1496.1</v>
      </c>
      <c r="D1192" s="116">
        <v>1482.85</v>
      </c>
      <c r="E1192" s="116">
        <v>1524</v>
      </c>
      <c r="F1192" s="116">
        <v>1496.1</v>
      </c>
      <c r="G1192">
        <v>13796</v>
      </c>
      <c r="H1192" s="116"/>
      <c r="I1192" s="116"/>
      <c r="L1192" s="170">
        <v>43763</v>
      </c>
      <c r="M1192" s="116">
        <v>1495.25</v>
      </c>
      <c r="N1192" s="116">
        <v>1528.15</v>
      </c>
      <c r="O1192" s="116">
        <v>1481.6</v>
      </c>
      <c r="P1192" s="116">
        <v>1520</v>
      </c>
      <c r="Q1192" s="116">
        <v>1495.25</v>
      </c>
      <c r="R1192">
        <v>27316</v>
      </c>
    </row>
    <row r="1193" spans="1:18" x14ac:dyDescent="0.25">
      <c r="A1193" s="170">
        <v>43765</v>
      </c>
      <c r="B1193" s="116">
        <v>1524.85</v>
      </c>
      <c r="C1193" s="116">
        <v>1517.05</v>
      </c>
      <c r="D1193" s="116">
        <v>1500</v>
      </c>
      <c r="E1193" s="116">
        <v>1500</v>
      </c>
      <c r="F1193" s="116">
        <v>1517.05</v>
      </c>
      <c r="G1193">
        <v>1121</v>
      </c>
      <c r="H1193" s="116"/>
      <c r="I1193" s="116"/>
      <c r="L1193" s="170">
        <v>43765</v>
      </c>
      <c r="M1193" s="116">
        <v>1515.6</v>
      </c>
      <c r="N1193" s="116">
        <v>1524.4</v>
      </c>
      <c r="O1193" s="116">
        <v>1501</v>
      </c>
      <c r="P1193" s="116">
        <v>1509</v>
      </c>
      <c r="Q1193" s="116">
        <v>1515.6</v>
      </c>
      <c r="R1193">
        <v>6183</v>
      </c>
    </row>
    <row r="1194" spans="1:18" x14ac:dyDescent="0.25">
      <c r="A1194" s="170">
        <v>43767</v>
      </c>
      <c r="B1194" s="116">
        <v>1524.65</v>
      </c>
      <c r="C1194" s="116">
        <v>1470.05</v>
      </c>
      <c r="D1194" s="116">
        <v>1462.5</v>
      </c>
      <c r="E1194" s="116">
        <v>1524</v>
      </c>
      <c r="F1194" s="116">
        <v>1470.05</v>
      </c>
      <c r="G1194">
        <v>6874</v>
      </c>
      <c r="H1194" s="116"/>
      <c r="I1194" s="116"/>
      <c r="L1194" s="170">
        <v>43767</v>
      </c>
      <c r="M1194" s="116">
        <v>1469.65</v>
      </c>
      <c r="N1194" s="116">
        <v>1519.95</v>
      </c>
      <c r="O1194" s="116">
        <v>1463</v>
      </c>
      <c r="P1194" s="116">
        <v>1515.75</v>
      </c>
      <c r="Q1194" s="116">
        <v>1469.65</v>
      </c>
      <c r="R1194">
        <v>109724</v>
      </c>
    </row>
    <row r="1195" spans="1:18" x14ac:dyDescent="0.25">
      <c r="A1195" s="170">
        <v>43768</v>
      </c>
      <c r="B1195" s="116">
        <v>1494</v>
      </c>
      <c r="C1195" s="116">
        <v>1448.35</v>
      </c>
      <c r="D1195" s="116">
        <v>1442.5</v>
      </c>
      <c r="E1195" s="116">
        <v>1494</v>
      </c>
      <c r="F1195" s="116">
        <v>1448.35</v>
      </c>
      <c r="G1195">
        <v>21747</v>
      </c>
      <c r="H1195" s="116"/>
      <c r="I1195" s="116"/>
      <c r="L1195" s="170">
        <v>43768</v>
      </c>
      <c r="M1195" s="116">
        <v>1448.15</v>
      </c>
      <c r="N1195" s="116">
        <v>1482.8</v>
      </c>
      <c r="O1195" s="116">
        <v>1441.65</v>
      </c>
      <c r="P1195" s="116">
        <v>1482.8</v>
      </c>
      <c r="Q1195" s="116">
        <v>1448.15</v>
      </c>
      <c r="R1195">
        <v>120399</v>
      </c>
    </row>
    <row r="1196" spans="1:18" x14ac:dyDescent="0.25">
      <c r="A1196" s="170">
        <v>43769</v>
      </c>
      <c r="B1196" s="116">
        <v>1498</v>
      </c>
      <c r="C1196" s="116">
        <v>1457.65</v>
      </c>
      <c r="D1196" s="116">
        <v>1448.8</v>
      </c>
      <c r="E1196" s="116">
        <v>1458.9</v>
      </c>
      <c r="F1196" s="116">
        <v>1457.65</v>
      </c>
      <c r="G1196">
        <v>13767</v>
      </c>
      <c r="H1196" s="116"/>
      <c r="I1196" s="116"/>
      <c r="L1196" s="170">
        <v>43769</v>
      </c>
      <c r="M1196" s="116">
        <v>1458.6</v>
      </c>
      <c r="N1196" s="116">
        <v>1498</v>
      </c>
      <c r="O1196" s="116">
        <v>1448.65</v>
      </c>
      <c r="P1196" s="116">
        <v>1460.9</v>
      </c>
      <c r="Q1196" s="116">
        <v>1458.6</v>
      </c>
      <c r="R1196">
        <v>283505</v>
      </c>
    </row>
    <row r="1197" spans="1:18" x14ac:dyDescent="0.25">
      <c r="A1197" s="170">
        <v>43770</v>
      </c>
      <c r="B1197" s="116">
        <v>1479.95</v>
      </c>
      <c r="C1197" s="116">
        <v>1458.55</v>
      </c>
      <c r="D1197" s="116">
        <v>1451.7</v>
      </c>
      <c r="E1197" s="116">
        <v>1459</v>
      </c>
      <c r="F1197" s="116">
        <v>1458.55</v>
      </c>
      <c r="G1197">
        <v>3585</v>
      </c>
      <c r="H1197" s="116"/>
      <c r="I1197" s="116"/>
      <c r="L1197" s="170">
        <v>43770</v>
      </c>
      <c r="M1197" s="116">
        <v>1458.85</v>
      </c>
      <c r="N1197" s="116">
        <v>1480</v>
      </c>
      <c r="O1197" s="116">
        <v>1451.65</v>
      </c>
      <c r="P1197" s="116">
        <v>1458.6</v>
      </c>
      <c r="Q1197" s="116">
        <v>1458.85</v>
      </c>
      <c r="R1197">
        <v>74552</v>
      </c>
    </row>
    <row r="1198" spans="1:18" x14ac:dyDescent="0.25">
      <c r="A1198" s="170">
        <v>43773</v>
      </c>
      <c r="B1198" s="116">
        <v>1476.85</v>
      </c>
      <c r="C1198" s="116">
        <v>1456.45</v>
      </c>
      <c r="D1198" s="116">
        <v>1451.5</v>
      </c>
      <c r="E1198" s="116">
        <v>1468</v>
      </c>
      <c r="F1198" s="116">
        <v>1456.45</v>
      </c>
      <c r="G1198">
        <v>2403</v>
      </c>
      <c r="H1198" s="116"/>
      <c r="I1198" s="116"/>
      <c r="L1198" s="170">
        <v>43773</v>
      </c>
      <c r="M1198" s="116">
        <v>1456.7</v>
      </c>
      <c r="N1198" s="116">
        <v>1478.4</v>
      </c>
      <c r="O1198" s="116">
        <v>1452.7</v>
      </c>
      <c r="P1198" s="116">
        <v>1467.7</v>
      </c>
      <c r="Q1198" s="116">
        <v>1456.7</v>
      </c>
      <c r="R1198">
        <v>35652</v>
      </c>
    </row>
    <row r="1199" spans="1:18" x14ac:dyDescent="0.25">
      <c r="A1199" s="170">
        <v>43774</v>
      </c>
      <c r="B1199" s="116">
        <v>1472.25</v>
      </c>
      <c r="C1199" s="116">
        <v>1448.5</v>
      </c>
      <c r="D1199" s="116">
        <v>1445.05</v>
      </c>
      <c r="E1199" s="116">
        <v>1463.6</v>
      </c>
      <c r="F1199" s="116">
        <v>1448.5</v>
      </c>
      <c r="G1199">
        <v>26055</v>
      </c>
      <c r="H1199" s="116"/>
      <c r="I1199" s="116"/>
      <c r="L1199" s="170">
        <v>43774</v>
      </c>
      <c r="M1199" s="116">
        <v>1448.35</v>
      </c>
      <c r="N1199" s="116">
        <v>1474</v>
      </c>
      <c r="O1199" s="116">
        <v>1445.55</v>
      </c>
      <c r="P1199" s="116">
        <v>1457.25</v>
      </c>
      <c r="Q1199" s="116">
        <v>1448.35</v>
      </c>
      <c r="R1199">
        <v>40619</v>
      </c>
    </row>
    <row r="1200" spans="1:18" x14ac:dyDescent="0.25">
      <c r="A1200" s="170">
        <v>43775</v>
      </c>
      <c r="B1200" s="116">
        <v>1469.1</v>
      </c>
      <c r="C1200" s="116">
        <v>1462.2</v>
      </c>
      <c r="D1200" s="116">
        <v>1430.1</v>
      </c>
      <c r="E1200" s="116">
        <v>1450</v>
      </c>
      <c r="F1200" s="116">
        <v>1462.2</v>
      </c>
      <c r="G1200">
        <v>2961</v>
      </c>
      <c r="H1200" s="116"/>
      <c r="I1200" s="116"/>
      <c r="L1200" s="170">
        <v>43775</v>
      </c>
      <c r="M1200" s="116">
        <v>1461.75</v>
      </c>
      <c r="N1200" s="116">
        <v>1468.9</v>
      </c>
      <c r="O1200" s="116">
        <v>1430</v>
      </c>
      <c r="P1200" s="116">
        <v>1445.55</v>
      </c>
      <c r="Q1200" s="116">
        <v>1461.75</v>
      </c>
      <c r="R1200">
        <v>55496</v>
      </c>
    </row>
    <row r="1201" spans="1:18" x14ac:dyDescent="0.25">
      <c r="A1201" s="170">
        <v>43776</v>
      </c>
      <c r="B1201" s="116">
        <v>1491.75</v>
      </c>
      <c r="C1201" s="116">
        <v>1485.75</v>
      </c>
      <c r="D1201" s="116">
        <v>1457</v>
      </c>
      <c r="E1201" s="116">
        <v>1472.4</v>
      </c>
      <c r="F1201" s="116">
        <v>1485.75</v>
      </c>
      <c r="G1201">
        <v>3459</v>
      </c>
      <c r="H1201" s="116"/>
      <c r="I1201" s="116"/>
      <c r="L1201" s="170">
        <v>43776</v>
      </c>
      <c r="M1201" s="116">
        <v>1482.75</v>
      </c>
      <c r="N1201" s="116">
        <v>1493</v>
      </c>
      <c r="O1201" s="116">
        <v>1457.05</v>
      </c>
      <c r="P1201" s="116">
        <v>1465</v>
      </c>
      <c r="Q1201" s="116">
        <v>1482.75</v>
      </c>
      <c r="R1201">
        <v>53442</v>
      </c>
    </row>
    <row r="1202" spans="1:18" x14ac:dyDescent="0.25">
      <c r="A1202" s="170">
        <v>43777</v>
      </c>
      <c r="B1202" s="116">
        <v>1481.3</v>
      </c>
      <c r="C1202" s="116">
        <v>1461.65</v>
      </c>
      <c r="D1202" s="116">
        <v>1442.65</v>
      </c>
      <c r="E1202" s="116">
        <v>1481.3</v>
      </c>
      <c r="F1202" s="116">
        <v>1461.65</v>
      </c>
      <c r="G1202">
        <v>3910</v>
      </c>
      <c r="H1202" s="116"/>
      <c r="I1202" s="116"/>
      <c r="L1202" s="170">
        <v>43777</v>
      </c>
      <c r="M1202" s="116">
        <v>1462.7</v>
      </c>
      <c r="N1202" s="116">
        <v>1479.9</v>
      </c>
      <c r="O1202" s="116">
        <v>1441.65</v>
      </c>
      <c r="P1202" s="116">
        <v>1474.5</v>
      </c>
      <c r="Q1202" s="116">
        <v>1462.7</v>
      </c>
      <c r="R1202">
        <v>73375</v>
      </c>
    </row>
    <row r="1203" spans="1:18" x14ac:dyDescent="0.25">
      <c r="A1203" s="170">
        <v>43780</v>
      </c>
      <c r="B1203" s="116">
        <v>1470</v>
      </c>
      <c r="C1203" s="116">
        <v>1457.05</v>
      </c>
      <c r="D1203" s="116">
        <v>1444.6</v>
      </c>
      <c r="E1203" s="116">
        <v>1470</v>
      </c>
      <c r="F1203" s="116">
        <v>1457.05</v>
      </c>
      <c r="G1203">
        <v>1946</v>
      </c>
      <c r="H1203" s="116"/>
      <c r="I1203" s="116"/>
      <c r="L1203" s="170">
        <v>43780</v>
      </c>
      <c r="M1203" s="116">
        <v>1457.35</v>
      </c>
      <c r="N1203" s="116">
        <v>1469</v>
      </c>
      <c r="O1203" s="116">
        <v>1445.7</v>
      </c>
      <c r="P1203" s="116">
        <v>1460</v>
      </c>
      <c r="Q1203" s="116">
        <v>1457.35</v>
      </c>
      <c r="R1203">
        <v>43896</v>
      </c>
    </row>
    <row r="1204" spans="1:18" x14ac:dyDescent="0.25">
      <c r="A1204" s="170">
        <v>43782</v>
      </c>
      <c r="B1204" s="116">
        <v>1534.9</v>
      </c>
      <c r="C1204" s="116">
        <v>1491.05</v>
      </c>
      <c r="D1204" s="116">
        <v>1420</v>
      </c>
      <c r="E1204" s="116">
        <v>1457.55</v>
      </c>
      <c r="F1204" s="116">
        <v>1491.05</v>
      </c>
      <c r="G1204">
        <v>15687</v>
      </c>
      <c r="H1204" s="116"/>
      <c r="I1204" s="116"/>
      <c r="L1204" s="170">
        <v>43782</v>
      </c>
      <c r="M1204" s="116">
        <v>1497.65</v>
      </c>
      <c r="N1204" s="116">
        <v>1538</v>
      </c>
      <c r="O1204" s="116">
        <v>1418.4</v>
      </c>
      <c r="P1204" s="116">
        <v>1457.35</v>
      </c>
      <c r="Q1204" s="116">
        <v>1497.65</v>
      </c>
      <c r="R1204">
        <v>357412</v>
      </c>
    </row>
    <row r="1205" spans="1:18" x14ac:dyDescent="0.25">
      <c r="A1205" s="170">
        <v>43783</v>
      </c>
      <c r="B1205" s="116">
        <v>1497</v>
      </c>
      <c r="C1205" s="116">
        <v>1468.3</v>
      </c>
      <c r="D1205" s="116">
        <v>1464</v>
      </c>
      <c r="E1205" s="116">
        <v>1497</v>
      </c>
      <c r="F1205" s="116">
        <v>1468.3</v>
      </c>
      <c r="G1205">
        <v>2374</v>
      </c>
      <c r="H1205" s="116"/>
      <c r="I1205" s="116"/>
      <c r="L1205" s="170">
        <v>43783</v>
      </c>
      <c r="M1205" s="116">
        <v>1468.9</v>
      </c>
      <c r="N1205" s="116">
        <v>1495</v>
      </c>
      <c r="O1205" s="116">
        <v>1465</v>
      </c>
      <c r="P1205" s="116">
        <v>1495</v>
      </c>
      <c r="Q1205" s="116">
        <v>1468.9</v>
      </c>
      <c r="R1205">
        <v>197909</v>
      </c>
    </row>
    <row r="1206" spans="1:18" x14ac:dyDescent="0.25">
      <c r="A1206" s="170">
        <v>43784</v>
      </c>
      <c r="B1206" s="116">
        <v>1485.95</v>
      </c>
      <c r="C1206" s="116">
        <v>1467.45</v>
      </c>
      <c r="D1206" s="116">
        <v>1455</v>
      </c>
      <c r="E1206" s="116">
        <v>1485.95</v>
      </c>
      <c r="F1206" s="116">
        <v>1467.45</v>
      </c>
      <c r="G1206">
        <v>3869</v>
      </c>
      <c r="H1206" s="116"/>
      <c r="I1206" s="116"/>
      <c r="L1206" s="170">
        <v>43784</v>
      </c>
      <c r="M1206" s="116">
        <v>1466.35</v>
      </c>
      <c r="N1206" s="116">
        <v>1477.7</v>
      </c>
      <c r="O1206" s="116">
        <v>1455.3</v>
      </c>
      <c r="P1206" s="116">
        <v>1471.9</v>
      </c>
      <c r="Q1206" s="116">
        <v>1466.35</v>
      </c>
      <c r="R1206">
        <v>52525</v>
      </c>
    </row>
    <row r="1207" spans="1:18" x14ac:dyDescent="0.25">
      <c r="A1207" s="170">
        <v>43787</v>
      </c>
      <c r="B1207" s="116">
        <v>1476.45</v>
      </c>
      <c r="C1207" s="116">
        <v>1454.8</v>
      </c>
      <c r="D1207" s="116">
        <v>1447.2</v>
      </c>
      <c r="E1207" s="116">
        <v>1460.35</v>
      </c>
      <c r="F1207" s="116">
        <v>1454.8</v>
      </c>
      <c r="G1207">
        <v>1617</v>
      </c>
      <c r="H1207" s="116"/>
      <c r="I1207" s="116"/>
      <c r="L1207" s="170">
        <v>43787</v>
      </c>
      <c r="M1207" s="116">
        <v>1455.65</v>
      </c>
      <c r="N1207" s="116">
        <v>1474</v>
      </c>
      <c r="O1207" s="116">
        <v>1445</v>
      </c>
      <c r="P1207" s="116">
        <v>1466.35</v>
      </c>
      <c r="Q1207" s="116">
        <v>1455.65</v>
      </c>
      <c r="R1207">
        <v>33730</v>
      </c>
    </row>
    <row r="1208" spans="1:18" x14ac:dyDescent="0.25">
      <c r="A1208" s="170">
        <v>43788</v>
      </c>
      <c r="B1208" s="116">
        <v>1479.55</v>
      </c>
      <c r="C1208" s="116">
        <v>1471.4</v>
      </c>
      <c r="D1208" s="116">
        <v>1453.4</v>
      </c>
      <c r="E1208" s="116">
        <v>1475</v>
      </c>
      <c r="F1208" s="116">
        <v>1471.4</v>
      </c>
      <c r="G1208">
        <v>3670</v>
      </c>
      <c r="H1208" s="116"/>
      <c r="I1208" s="116"/>
      <c r="L1208" s="170">
        <v>43788</v>
      </c>
      <c r="M1208" s="116">
        <v>1474.55</v>
      </c>
      <c r="N1208" s="116">
        <v>1480</v>
      </c>
      <c r="O1208" s="116">
        <v>1451.3</v>
      </c>
      <c r="P1208" s="116">
        <v>1451.3</v>
      </c>
      <c r="Q1208" s="116">
        <v>1474.55</v>
      </c>
      <c r="R1208">
        <v>43691</v>
      </c>
    </row>
    <row r="1209" spans="1:18" x14ac:dyDescent="0.25">
      <c r="A1209" s="170">
        <v>43789</v>
      </c>
      <c r="B1209" s="116">
        <v>1474.6</v>
      </c>
      <c r="C1209" s="116">
        <v>1449</v>
      </c>
      <c r="D1209" s="116">
        <v>1440.05</v>
      </c>
      <c r="E1209" s="116">
        <v>1474.6</v>
      </c>
      <c r="F1209" s="116">
        <v>1449</v>
      </c>
      <c r="G1209">
        <v>2210</v>
      </c>
      <c r="H1209" s="116"/>
      <c r="I1209" s="116"/>
      <c r="L1209" s="170">
        <v>43789</v>
      </c>
      <c r="M1209" s="116">
        <v>1449.65</v>
      </c>
      <c r="N1209" s="116">
        <v>1475</v>
      </c>
      <c r="O1209" s="116">
        <v>1439.25</v>
      </c>
      <c r="P1209" s="116">
        <v>1471.5</v>
      </c>
      <c r="Q1209" s="116">
        <v>1449.65</v>
      </c>
      <c r="R1209">
        <v>637863</v>
      </c>
    </row>
    <row r="1210" spans="1:18" x14ac:dyDescent="0.25">
      <c r="A1210" s="170">
        <v>43790</v>
      </c>
      <c r="B1210" s="116">
        <v>1458</v>
      </c>
      <c r="C1210" s="116">
        <v>1439.6</v>
      </c>
      <c r="D1210" s="116">
        <v>1436</v>
      </c>
      <c r="E1210" s="116">
        <v>1458</v>
      </c>
      <c r="F1210" s="116">
        <v>1439.6</v>
      </c>
      <c r="G1210">
        <v>1201</v>
      </c>
      <c r="H1210" s="116"/>
      <c r="I1210" s="116"/>
      <c r="L1210" s="170">
        <v>43790</v>
      </c>
      <c r="M1210" s="116">
        <v>1439.2</v>
      </c>
      <c r="N1210" s="116">
        <v>1458.4</v>
      </c>
      <c r="O1210" s="116">
        <v>1436</v>
      </c>
      <c r="P1210" s="116">
        <v>1450</v>
      </c>
      <c r="Q1210" s="116">
        <v>1439.2</v>
      </c>
      <c r="R1210">
        <v>32816</v>
      </c>
    </row>
    <row r="1211" spans="1:18" x14ac:dyDescent="0.25">
      <c r="A1211" s="170">
        <v>43791</v>
      </c>
      <c r="B1211" s="116">
        <v>1444.5</v>
      </c>
      <c r="C1211" s="116">
        <v>1412.9</v>
      </c>
      <c r="D1211" s="116">
        <v>1405.05</v>
      </c>
      <c r="E1211" s="116">
        <v>1421</v>
      </c>
      <c r="F1211" s="116">
        <v>1412.9</v>
      </c>
      <c r="G1211">
        <v>4011</v>
      </c>
      <c r="H1211" s="116"/>
      <c r="I1211" s="116"/>
      <c r="L1211" s="170">
        <v>43791</v>
      </c>
      <c r="M1211" s="116">
        <v>1410.05</v>
      </c>
      <c r="N1211" s="116">
        <v>1439.95</v>
      </c>
      <c r="O1211" s="116">
        <v>1404</v>
      </c>
      <c r="P1211" s="116">
        <v>1439.95</v>
      </c>
      <c r="Q1211" s="116">
        <v>1410.05</v>
      </c>
      <c r="R1211">
        <v>38441</v>
      </c>
    </row>
    <row r="1212" spans="1:18" x14ac:dyDescent="0.25">
      <c r="A1212" s="170">
        <v>43794</v>
      </c>
      <c r="B1212" s="116">
        <v>1427.5</v>
      </c>
      <c r="C1212" s="116">
        <v>1407.25</v>
      </c>
      <c r="D1212" s="116">
        <v>1405</v>
      </c>
      <c r="E1212" s="116">
        <v>1427.5</v>
      </c>
      <c r="F1212" s="116">
        <v>1407.25</v>
      </c>
      <c r="G1212">
        <v>1897</v>
      </c>
      <c r="H1212" s="116"/>
      <c r="I1212" s="116"/>
      <c r="L1212" s="170">
        <v>43794</v>
      </c>
      <c r="M1212" s="116">
        <v>1407.5</v>
      </c>
      <c r="N1212" s="116">
        <v>1424.9</v>
      </c>
      <c r="O1212" s="116">
        <v>1403</v>
      </c>
      <c r="P1212" s="116">
        <v>1405.1</v>
      </c>
      <c r="Q1212" s="116">
        <v>1407.5</v>
      </c>
      <c r="R1212">
        <v>47822</v>
      </c>
    </row>
    <row r="1213" spans="1:18" x14ac:dyDescent="0.25">
      <c r="A1213" s="170">
        <v>43795</v>
      </c>
      <c r="B1213" s="116">
        <v>1432.2</v>
      </c>
      <c r="C1213" s="116">
        <v>1414.45</v>
      </c>
      <c r="D1213" s="116">
        <v>1407.45</v>
      </c>
      <c r="E1213" s="116">
        <v>1416.8</v>
      </c>
      <c r="F1213" s="116">
        <v>1414.45</v>
      </c>
      <c r="G1213">
        <v>3354</v>
      </c>
      <c r="H1213" s="116"/>
      <c r="I1213" s="116"/>
      <c r="L1213" s="170">
        <v>43795</v>
      </c>
      <c r="M1213" s="116">
        <v>1414.6</v>
      </c>
      <c r="N1213" s="116">
        <v>1433</v>
      </c>
      <c r="O1213" s="116">
        <v>1406.1</v>
      </c>
      <c r="P1213" s="116">
        <v>1410</v>
      </c>
      <c r="Q1213" s="116">
        <v>1414.6</v>
      </c>
      <c r="R1213">
        <v>65478</v>
      </c>
    </row>
    <row r="1214" spans="1:18" x14ac:dyDescent="0.25">
      <c r="A1214" s="170">
        <v>43796</v>
      </c>
      <c r="B1214" s="116">
        <v>1440</v>
      </c>
      <c r="C1214" s="116">
        <v>1438.7</v>
      </c>
      <c r="D1214" s="116">
        <v>1416</v>
      </c>
      <c r="E1214" s="116">
        <v>1427.35</v>
      </c>
      <c r="F1214" s="116">
        <v>1438.7</v>
      </c>
      <c r="G1214">
        <v>2367</v>
      </c>
      <c r="H1214" s="116"/>
      <c r="I1214" s="116"/>
      <c r="L1214" s="170">
        <v>43796</v>
      </c>
      <c r="M1214" s="116">
        <v>1438.85</v>
      </c>
      <c r="N1214" s="116">
        <v>1443</v>
      </c>
      <c r="O1214" s="116">
        <v>1413.05</v>
      </c>
      <c r="P1214" s="116">
        <v>1421.4</v>
      </c>
      <c r="Q1214" s="116">
        <v>1438.85</v>
      </c>
      <c r="R1214">
        <v>46215</v>
      </c>
    </row>
    <row r="1215" spans="1:18" x14ac:dyDescent="0.25">
      <c r="A1215" s="170">
        <v>43797</v>
      </c>
      <c r="B1215" s="116">
        <v>1483.25</v>
      </c>
      <c r="C1215" s="116">
        <v>1446.1</v>
      </c>
      <c r="D1215" s="116">
        <v>1432.75</v>
      </c>
      <c r="E1215" s="116">
        <v>1439.05</v>
      </c>
      <c r="F1215" s="116">
        <v>1446.1</v>
      </c>
      <c r="G1215">
        <v>7151</v>
      </c>
      <c r="H1215" s="116"/>
      <c r="I1215" s="116"/>
      <c r="L1215" s="170">
        <v>43797</v>
      </c>
      <c r="M1215" s="116">
        <v>1447</v>
      </c>
      <c r="N1215" s="116">
        <v>1457</v>
      </c>
      <c r="O1215" s="116">
        <v>1430.1</v>
      </c>
      <c r="P1215" s="116">
        <v>1430.1</v>
      </c>
      <c r="Q1215" s="116">
        <v>1447</v>
      </c>
      <c r="R1215">
        <v>31618</v>
      </c>
    </row>
    <row r="1216" spans="1:18" x14ac:dyDescent="0.25">
      <c r="A1216" s="170">
        <v>43798</v>
      </c>
      <c r="B1216" s="116">
        <v>1479.7</v>
      </c>
      <c r="C1216" s="116">
        <v>1445.7</v>
      </c>
      <c r="D1216" s="116">
        <v>1441</v>
      </c>
      <c r="E1216" s="116">
        <v>1463.75</v>
      </c>
      <c r="F1216" s="116">
        <v>1445.7</v>
      </c>
      <c r="G1216">
        <v>9450</v>
      </c>
      <c r="H1216" s="116"/>
      <c r="I1216" s="116"/>
      <c r="L1216" s="170">
        <v>43798</v>
      </c>
      <c r="M1216" s="116">
        <v>1447.8</v>
      </c>
      <c r="N1216" s="116">
        <v>1480</v>
      </c>
      <c r="O1216" s="116">
        <v>1441.3</v>
      </c>
      <c r="P1216" s="116">
        <v>1452</v>
      </c>
      <c r="Q1216" s="116">
        <v>1447.8</v>
      </c>
      <c r="R1216">
        <v>58803</v>
      </c>
    </row>
    <row r="1217" spans="1:18" x14ac:dyDescent="0.25">
      <c r="A1217" s="170">
        <v>43801</v>
      </c>
      <c r="B1217" s="116">
        <v>1491.1</v>
      </c>
      <c r="C1217" s="116">
        <v>1479.45</v>
      </c>
      <c r="D1217" s="116">
        <v>1448</v>
      </c>
      <c r="E1217" s="116">
        <v>1453.6</v>
      </c>
      <c r="F1217" s="116">
        <v>1479.45</v>
      </c>
      <c r="G1217">
        <v>3280</v>
      </c>
      <c r="H1217" s="116"/>
      <c r="I1217" s="116"/>
      <c r="L1217" s="170">
        <v>43801</v>
      </c>
      <c r="M1217" s="116">
        <v>1479.4</v>
      </c>
      <c r="N1217" s="116">
        <v>1494</v>
      </c>
      <c r="O1217" s="116">
        <v>1442.95</v>
      </c>
      <c r="P1217" s="116">
        <v>1445</v>
      </c>
      <c r="Q1217" s="116">
        <v>1479.4</v>
      </c>
      <c r="R1217">
        <v>79049</v>
      </c>
    </row>
    <row r="1218" spans="1:18" x14ac:dyDescent="0.25">
      <c r="A1218" s="170">
        <v>43802</v>
      </c>
      <c r="B1218" s="116">
        <v>1479</v>
      </c>
      <c r="C1218" s="116">
        <v>1461.2</v>
      </c>
      <c r="D1218" s="116">
        <v>1455.85</v>
      </c>
      <c r="E1218" s="116">
        <v>1479</v>
      </c>
      <c r="F1218" s="116">
        <v>1461.2</v>
      </c>
      <c r="G1218">
        <v>4795</v>
      </c>
      <c r="H1218" s="116"/>
      <c r="I1218" s="116"/>
      <c r="L1218" s="170">
        <v>43802</v>
      </c>
      <c r="M1218" s="116">
        <v>1460.7</v>
      </c>
      <c r="N1218" s="116">
        <v>1478.9</v>
      </c>
      <c r="O1218" s="116">
        <v>1455.2</v>
      </c>
      <c r="P1218" s="116">
        <v>1478</v>
      </c>
      <c r="Q1218" s="116">
        <v>1460.7</v>
      </c>
      <c r="R1218">
        <v>81902</v>
      </c>
    </row>
    <row r="1219" spans="1:18" x14ac:dyDescent="0.25">
      <c r="A1219" s="170">
        <v>43803</v>
      </c>
      <c r="B1219" s="116">
        <v>1474.85</v>
      </c>
      <c r="C1219" s="116">
        <v>1449.4</v>
      </c>
      <c r="D1219" s="116">
        <v>1446</v>
      </c>
      <c r="E1219" s="116">
        <v>1474</v>
      </c>
      <c r="F1219" s="116">
        <v>1449.4</v>
      </c>
      <c r="G1219">
        <v>1581</v>
      </c>
      <c r="H1219" s="116"/>
      <c r="I1219" s="116"/>
      <c r="L1219" s="170">
        <v>43803</v>
      </c>
      <c r="M1219" s="116">
        <v>1449.7</v>
      </c>
      <c r="N1219" s="116">
        <v>1475</v>
      </c>
      <c r="O1219" s="116">
        <v>1447.3</v>
      </c>
      <c r="P1219" s="116">
        <v>1465.9</v>
      </c>
      <c r="Q1219" s="116">
        <v>1449.7</v>
      </c>
      <c r="R1219">
        <v>55427</v>
      </c>
    </row>
    <row r="1220" spans="1:18" x14ac:dyDescent="0.25">
      <c r="A1220" s="170">
        <v>43804</v>
      </c>
      <c r="B1220" s="116">
        <v>1455.55</v>
      </c>
      <c r="C1220" s="116">
        <v>1439.6</v>
      </c>
      <c r="D1220" s="116">
        <v>1435.8</v>
      </c>
      <c r="E1220" s="116">
        <v>1455.55</v>
      </c>
      <c r="F1220" s="116">
        <v>1439.6</v>
      </c>
      <c r="G1220">
        <v>1323</v>
      </c>
      <c r="H1220" s="116"/>
      <c r="I1220" s="116"/>
      <c r="L1220" s="170">
        <v>43804</v>
      </c>
      <c r="M1220" s="116">
        <v>1440.15</v>
      </c>
      <c r="N1220" s="116">
        <v>1455.85</v>
      </c>
      <c r="O1220" s="116">
        <v>1436</v>
      </c>
      <c r="P1220" s="116">
        <v>1455.85</v>
      </c>
      <c r="Q1220" s="116">
        <v>1440.15</v>
      </c>
      <c r="R1220">
        <v>149868</v>
      </c>
    </row>
    <row r="1221" spans="1:18" x14ac:dyDescent="0.25">
      <c r="A1221" s="170">
        <v>43805</v>
      </c>
      <c r="B1221" s="116">
        <v>1448.8</v>
      </c>
      <c r="C1221" s="116">
        <v>1444.6</v>
      </c>
      <c r="D1221" s="116">
        <v>1425</v>
      </c>
      <c r="E1221" s="116">
        <v>1435</v>
      </c>
      <c r="F1221" s="116">
        <v>1444.6</v>
      </c>
      <c r="G1221">
        <v>9534</v>
      </c>
      <c r="H1221" s="116"/>
      <c r="I1221" s="116"/>
      <c r="L1221" s="170">
        <v>43805</v>
      </c>
      <c r="M1221" s="116">
        <v>1442.6</v>
      </c>
      <c r="N1221" s="116">
        <v>1448.5</v>
      </c>
      <c r="O1221" s="116">
        <v>1421.05</v>
      </c>
      <c r="P1221" s="116">
        <v>1440</v>
      </c>
      <c r="Q1221" s="116">
        <v>1442.6</v>
      </c>
      <c r="R1221">
        <v>88519</v>
      </c>
    </row>
    <row r="1222" spans="1:18" x14ac:dyDescent="0.25">
      <c r="A1222" s="170">
        <v>43808</v>
      </c>
      <c r="B1222" s="116">
        <v>1462.4</v>
      </c>
      <c r="C1222" s="116">
        <v>1452.9</v>
      </c>
      <c r="D1222" s="116">
        <v>1437.9</v>
      </c>
      <c r="E1222" s="116">
        <v>1441.9</v>
      </c>
      <c r="F1222" s="116">
        <v>1452.9</v>
      </c>
      <c r="G1222">
        <v>5767</v>
      </c>
      <c r="H1222" s="116"/>
      <c r="I1222" s="116"/>
      <c r="L1222" s="170">
        <v>43808</v>
      </c>
      <c r="M1222" s="116">
        <v>1450.15</v>
      </c>
      <c r="N1222" s="116">
        <v>1465</v>
      </c>
      <c r="O1222" s="116">
        <v>1436.1</v>
      </c>
      <c r="P1222" s="116">
        <v>1438</v>
      </c>
      <c r="Q1222" s="116">
        <v>1450.15</v>
      </c>
      <c r="R1222">
        <v>36744</v>
      </c>
    </row>
    <row r="1223" spans="1:18" x14ac:dyDescent="0.25">
      <c r="A1223" s="170">
        <v>43809</v>
      </c>
      <c r="B1223" s="116">
        <v>1462</v>
      </c>
      <c r="C1223" s="116">
        <v>1449.7</v>
      </c>
      <c r="D1223" s="116">
        <v>1447.2</v>
      </c>
      <c r="E1223" s="116">
        <v>1458.85</v>
      </c>
      <c r="F1223" s="116">
        <v>1449.7</v>
      </c>
      <c r="G1223">
        <v>2155</v>
      </c>
      <c r="H1223" s="116"/>
      <c r="I1223" s="116"/>
      <c r="L1223" s="170">
        <v>43809</v>
      </c>
      <c r="M1223" s="116">
        <v>1450.4</v>
      </c>
      <c r="N1223" s="116">
        <v>1464.9</v>
      </c>
      <c r="O1223" s="116">
        <v>1445.05</v>
      </c>
      <c r="P1223" s="116">
        <v>1452</v>
      </c>
      <c r="Q1223" s="116">
        <v>1450.4</v>
      </c>
      <c r="R1223">
        <v>76238</v>
      </c>
    </row>
    <row r="1224" spans="1:18" x14ac:dyDescent="0.25">
      <c r="A1224" s="170">
        <v>43810</v>
      </c>
      <c r="B1224" s="116">
        <v>1469.4</v>
      </c>
      <c r="C1224" s="116">
        <v>1459.85</v>
      </c>
      <c r="D1224" s="116">
        <v>1441</v>
      </c>
      <c r="E1224" s="116">
        <v>1460</v>
      </c>
      <c r="F1224" s="116">
        <v>1459.85</v>
      </c>
      <c r="G1224">
        <v>1562</v>
      </c>
      <c r="H1224" s="116"/>
      <c r="I1224" s="116"/>
      <c r="L1224" s="170">
        <v>43810</v>
      </c>
      <c r="M1224" s="116">
        <v>1458.9</v>
      </c>
      <c r="N1224" s="116">
        <v>1469.8</v>
      </c>
      <c r="O1224" s="116">
        <v>1440</v>
      </c>
      <c r="P1224" s="116">
        <v>1450.5</v>
      </c>
      <c r="Q1224" s="116">
        <v>1458.9</v>
      </c>
      <c r="R1224">
        <v>77994</v>
      </c>
    </row>
    <row r="1225" spans="1:18" x14ac:dyDescent="0.25">
      <c r="A1225" s="170">
        <v>43811</v>
      </c>
      <c r="B1225" s="116">
        <v>1491</v>
      </c>
      <c r="C1225" s="116">
        <v>1484.25</v>
      </c>
      <c r="D1225" s="116">
        <v>1446.35</v>
      </c>
      <c r="E1225" s="116">
        <v>1461.55</v>
      </c>
      <c r="F1225" s="116">
        <v>1484.25</v>
      </c>
      <c r="G1225">
        <v>4376</v>
      </c>
      <c r="H1225" s="116"/>
      <c r="I1225" s="116"/>
      <c r="L1225" s="170">
        <v>43811</v>
      </c>
      <c r="M1225" s="116">
        <v>1484.5</v>
      </c>
      <c r="N1225" s="116">
        <v>1492</v>
      </c>
      <c r="O1225" s="116">
        <v>1445.35</v>
      </c>
      <c r="P1225" s="116">
        <v>1458.9</v>
      </c>
      <c r="Q1225" s="116">
        <v>1484.5</v>
      </c>
      <c r="R1225">
        <v>83689</v>
      </c>
    </row>
    <row r="1226" spans="1:18" x14ac:dyDescent="0.25">
      <c r="A1226" s="170">
        <v>43812</v>
      </c>
      <c r="B1226" s="116">
        <v>1522</v>
      </c>
      <c r="C1226" s="116">
        <v>1486.2</v>
      </c>
      <c r="D1226" s="116">
        <v>1472.1</v>
      </c>
      <c r="E1226" s="116">
        <v>1498.8</v>
      </c>
      <c r="F1226" s="116">
        <v>1486.2</v>
      </c>
      <c r="G1226">
        <v>2855</v>
      </c>
      <c r="H1226" s="116"/>
      <c r="I1226" s="116"/>
      <c r="L1226" s="170">
        <v>43812</v>
      </c>
      <c r="M1226" s="116">
        <v>1487.25</v>
      </c>
      <c r="N1226" s="116">
        <v>1523</v>
      </c>
      <c r="O1226" s="116">
        <v>1470.7</v>
      </c>
      <c r="P1226" s="116">
        <v>1492.5</v>
      </c>
      <c r="Q1226" s="116">
        <v>1487.25</v>
      </c>
      <c r="R1226">
        <v>93435</v>
      </c>
    </row>
    <row r="1227" spans="1:18" x14ac:dyDescent="0.25">
      <c r="A1227" s="170">
        <v>43815</v>
      </c>
      <c r="B1227" s="116">
        <v>1517.1</v>
      </c>
      <c r="C1227" s="116">
        <v>1479.85</v>
      </c>
      <c r="D1227" s="116">
        <v>1471.1</v>
      </c>
      <c r="E1227" s="116">
        <v>1486</v>
      </c>
      <c r="F1227" s="116">
        <v>1479.85</v>
      </c>
      <c r="G1227">
        <v>6510</v>
      </c>
      <c r="H1227" s="116"/>
      <c r="I1227" s="116"/>
      <c r="L1227" s="170">
        <v>43815</v>
      </c>
      <c r="M1227" s="116">
        <v>1480.4</v>
      </c>
      <c r="N1227" s="116">
        <v>1517</v>
      </c>
      <c r="O1227" s="116">
        <v>1471</v>
      </c>
      <c r="P1227" s="116">
        <v>1490</v>
      </c>
      <c r="Q1227" s="116">
        <v>1480.4</v>
      </c>
      <c r="R1227">
        <v>124749</v>
      </c>
    </row>
    <row r="1228" spans="1:18" x14ac:dyDescent="0.25">
      <c r="A1228" s="170">
        <v>43816</v>
      </c>
      <c r="B1228" s="116">
        <v>1494</v>
      </c>
      <c r="C1228" s="116">
        <v>1473.6</v>
      </c>
      <c r="D1228" s="116">
        <v>1467.5</v>
      </c>
      <c r="E1228" s="116">
        <v>1480.55</v>
      </c>
      <c r="F1228" s="116">
        <v>1473.6</v>
      </c>
      <c r="G1228">
        <v>5085</v>
      </c>
      <c r="H1228" s="116"/>
      <c r="I1228" s="116"/>
      <c r="L1228" s="170">
        <v>43816</v>
      </c>
      <c r="M1228" s="116">
        <v>1474.4</v>
      </c>
      <c r="N1228" s="116">
        <v>1495</v>
      </c>
      <c r="O1228" s="116">
        <v>1467.3</v>
      </c>
      <c r="P1228" s="116">
        <v>1482.1</v>
      </c>
      <c r="Q1228" s="116">
        <v>1474.4</v>
      </c>
      <c r="R1228">
        <v>44311</v>
      </c>
    </row>
    <row r="1229" spans="1:18" x14ac:dyDescent="0.25">
      <c r="A1229" s="170">
        <v>43817</v>
      </c>
      <c r="B1229" s="116">
        <v>1475</v>
      </c>
      <c r="C1229" s="116">
        <v>1451.15</v>
      </c>
      <c r="D1229" s="116">
        <v>1441.85</v>
      </c>
      <c r="E1229" s="116">
        <v>1473.6</v>
      </c>
      <c r="F1229" s="116">
        <v>1451.15</v>
      </c>
      <c r="G1229">
        <v>3318</v>
      </c>
      <c r="H1229" s="116"/>
      <c r="I1229" s="116"/>
      <c r="L1229" s="170">
        <v>43817</v>
      </c>
      <c r="M1229" s="116">
        <v>1451.45</v>
      </c>
      <c r="N1229" s="116">
        <v>1474.9</v>
      </c>
      <c r="O1229" s="116">
        <v>1442.25</v>
      </c>
      <c r="P1229" s="116">
        <v>1467.55</v>
      </c>
      <c r="Q1229" s="116">
        <v>1451.45</v>
      </c>
      <c r="R1229">
        <v>120958</v>
      </c>
    </row>
    <row r="1230" spans="1:18" x14ac:dyDescent="0.25">
      <c r="A1230" s="170">
        <v>43818</v>
      </c>
      <c r="B1230" s="116">
        <v>1483</v>
      </c>
      <c r="C1230" s="116">
        <v>1476.8</v>
      </c>
      <c r="D1230" s="116">
        <v>1450</v>
      </c>
      <c r="E1230" s="116">
        <v>1452</v>
      </c>
      <c r="F1230" s="116">
        <v>1476.8</v>
      </c>
      <c r="G1230">
        <v>5112</v>
      </c>
      <c r="H1230" s="116"/>
      <c r="I1230" s="116"/>
      <c r="L1230" s="170">
        <v>43818</v>
      </c>
      <c r="M1230" s="116">
        <v>1476</v>
      </c>
      <c r="N1230" s="116">
        <v>1484</v>
      </c>
      <c r="O1230" s="116">
        <v>1447.05</v>
      </c>
      <c r="P1230" s="116">
        <v>1447.05</v>
      </c>
      <c r="Q1230" s="116">
        <v>1476</v>
      </c>
      <c r="R1230">
        <v>90154</v>
      </c>
    </row>
    <row r="1231" spans="1:18" x14ac:dyDescent="0.25">
      <c r="A1231" s="170">
        <v>43819</v>
      </c>
      <c r="B1231" s="116">
        <v>1349</v>
      </c>
      <c r="C1231" s="116">
        <v>1266.4000000000001</v>
      </c>
      <c r="D1231" s="116">
        <v>1262.55</v>
      </c>
      <c r="E1231" s="116">
        <v>1329</v>
      </c>
      <c r="F1231" s="116">
        <v>1266.4000000000001</v>
      </c>
      <c r="G1231">
        <v>16760</v>
      </c>
      <c r="H1231" s="116"/>
      <c r="I1231" s="116"/>
      <c r="L1231" s="170">
        <v>43819</v>
      </c>
      <c r="M1231" s="116">
        <v>1262</v>
      </c>
      <c r="N1231" s="116">
        <v>1324</v>
      </c>
      <c r="O1231" s="116">
        <v>1257.8</v>
      </c>
      <c r="P1231" s="116">
        <v>1324</v>
      </c>
      <c r="Q1231" s="116">
        <v>1262</v>
      </c>
      <c r="R1231">
        <v>81105</v>
      </c>
    </row>
    <row r="1232" spans="1:18" x14ac:dyDescent="0.25">
      <c r="A1232" s="170">
        <v>43822</v>
      </c>
      <c r="B1232" s="116">
        <v>1284</v>
      </c>
      <c r="C1232" s="116">
        <v>1260.95</v>
      </c>
      <c r="D1232" s="116">
        <v>1230</v>
      </c>
      <c r="E1232" s="116">
        <v>1265</v>
      </c>
      <c r="F1232" s="116">
        <v>1260.95</v>
      </c>
      <c r="G1232">
        <v>5242</v>
      </c>
      <c r="H1232" s="116"/>
      <c r="I1232" s="116"/>
      <c r="L1232" s="170">
        <v>43822</v>
      </c>
      <c r="M1232" s="116">
        <v>1261.3</v>
      </c>
      <c r="N1232" s="116">
        <v>1279</v>
      </c>
      <c r="O1232" s="116">
        <v>1228.3</v>
      </c>
      <c r="P1232" s="116">
        <v>1264</v>
      </c>
      <c r="Q1232" s="116">
        <v>1261.3</v>
      </c>
      <c r="R1232">
        <v>49583</v>
      </c>
    </row>
    <row r="1233" spans="1:18" x14ac:dyDescent="0.25">
      <c r="A1233" s="170">
        <v>43823</v>
      </c>
      <c r="B1233" s="116">
        <v>1278.5</v>
      </c>
      <c r="C1233" s="116">
        <v>1255.1500000000001</v>
      </c>
      <c r="D1233" s="116">
        <v>1240</v>
      </c>
      <c r="E1233" s="116">
        <v>1278.5</v>
      </c>
      <c r="F1233" s="116">
        <v>1255.1500000000001</v>
      </c>
      <c r="G1233">
        <v>1463</v>
      </c>
      <c r="H1233" s="116"/>
      <c r="I1233" s="116"/>
      <c r="L1233" s="170">
        <v>43823</v>
      </c>
      <c r="M1233" s="116">
        <v>1260.1500000000001</v>
      </c>
      <c r="N1233" s="116">
        <v>1270</v>
      </c>
      <c r="O1233" s="116">
        <v>1232.0999999999999</v>
      </c>
      <c r="P1233" s="116">
        <v>1264.95</v>
      </c>
      <c r="Q1233" s="116">
        <v>1260.1500000000001</v>
      </c>
      <c r="R1233">
        <v>18108</v>
      </c>
    </row>
    <row r="1234" spans="1:18" x14ac:dyDescent="0.25">
      <c r="A1234" s="170">
        <v>43825</v>
      </c>
      <c r="B1234" s="116">
        <v>1278</v>
      </c>
      <c r="C1234" s="116">
        <v>1268.5</v>
      </c>
      <c r="D1234" s="116">
        <v>1235</v>
      </c>
      <c r="E1234" s="116">
        <v>1265</v>
      </c>
      <c r="F1234" s="116">
        <v>1268.5</v>
      </c>
      <c r="G1234">
        <v>2560</v>
      </c>
      <c r="H1234" s="116"/>
      <c r="I1234" s="116"/>
      <c r="L1234" s="170">
        <v>43825</v>
      </c>
      <c r="M1234" s="116">
        <v>1272.1500000000001</v>
      </c>
      <c r="N1234" s="116">
        <v>1280</v>
      </c>
      <c r="O1234" s="116">
        <v>1200</v>
      </c>
      <c r="P1234" s="116">
        <v>1260.1500000000001</v>
      </c>
      <c r="Q1234" s="116">
        <v>1272.1500000000001</v>
      </c>
      <c r="R1234">
        <v>21839</v>
      </c>
    </row>
    <row r="1235" spans="1:18" x14ac:dyDescent="0.25">
      <c r="A1235" s="170">
        <v>43826</v>
      </c>
      <c r="B1235" s="116">
        <v>1280</v>
      </c>
      <c r="C1235" s="116">
        <v>1275.75</v>
      </c>
      <c r="D1235" s="116">
        <v>1250</v>
      </c>
      <c r="E1235" s="116">
        <v>1280</v>
      </c>
      <c r="F1235" s="116">
        <v>1275.75</v>
      </c>
      <c r="G1235">
        <v>1830</v>
      </c>
      <c r="H1235" s="116"/>
      <c r="I1235" s="116"/>
      <c r="L1235" s="170">
        <v>43826</v>
      </c>
      <c r="M1235" s="116">
        <v>1278.0999999999999</v>
      </c>
      <c r="N1235" s="116">
        <v>1280</v>
      </c>
      <c r="O1235" s="116">
        <v>1252</v>
      </c>
      <c r="P1235" s="116">
        <v>1272.1500000000001</v>
      </c>
      <c r="Q1235" s="116">
        <v>1278.0999999999999</v>
      </c>
      <c r="R1235">
        <v>19077</v>
      </c>
    </row>
    <row r="1236" spans="1:18" x14ac:dyDescent="0.25">
      <c r="A1236" s="170">
        <v>43829</v>
      </c>
      <c r="B1236" s="116">
        <v>1310</v>
      </c>
      <c r="C1236" s="116">
        <v>1287.3499999999999</v>
      </c>
      <c r="D1236" s="116">
        <v>1260</v>
      </c>
      <c r="E1236" s="116">
        <v>1277</v>
      </c>
      <c r="F1236" s="116">
        <v>1287.3499999999999</v>
      </c>
      <c r="G1236">
        <v>1492</v>
      </c>
      <c r="H1236" s="116"/>
      <c r="I1236" s="116"/>
      <c r="L1236" s="170">
        <v>43829</v>
      </c>
      <c r="M1236" s="116">
        <v>1295.45</v>
      </c>
      <c r="N1236" s="116">
        <v>1301.6500000000001</v>
      </c>
      <c r="O1236" s="116">
        <v>1265</v>
      </c>
      <c r="P1236" s="116">
        <v>1284.5</v>
      </c>
      <c r="Q1236" s="116">
        <v>1295.45</v>
      </c>
      <c r="R1236">
        <v>29393</v>
      </c>
    </row>
    <row r="1237" spans="1:18" x14ac:dyDescent="0.25">
      <c r="A1237" s="170">
        <v>43830</v>
      </c>
      <c r="B1237" s="116">
        <v>1305</v>
      </c>
      <c r="C1237" s="116">
        <v>1284.0999999999999</v>
      </c>
      <c r="D1237" s="116">
        <v>1275</v>
      </c>
      <c r="E1237" s="116">
        <v>1305</v>
      </c>
      <c r="F1237" s="116">
        <v>1284.0999999999999</v>
      </c>
      <c r="G1237">
        <v>1554</v>
      </c>
      <c r="H1237" s="116"/>
      <c r="I1237" s="116"/>
      <c r="L1237" s="170">
        <v>43830</v>
      </c>
      <c r="M1237" s="116">
        <v>1285.25</v>
      </c>
      <c r="N1237" s="116">
        <v>1297.0999999999999</v>
      </c>
      <c r="O1237" s="116">
        <v>1275</v>
      </c>
      <c r="P1237" s="116">
        <v>1275</v>
      </c>
      <c r="Q1237" s="116">
        <v>1285.25</v>
      </c>
      <c r="R1237">
        <v>46306</v>
      </c>
    </row>
    <row r="1238" spans="1:18" x14ac:dyDescent="0.25">
      <c r="A1238" s="170">
        <v>43831</v>
      </c>
      <c r="B1238" s="116">
        <v>1297</v>
      </c>
      <c r="C1238" s="116">
        <v>1287</v>
      </c>
      <c r="D1238" s="116">
        <v>1280</v>
      </c>
      <c r="E1238" s="116">
        <v>1287.9000000000001</v>
      </c>
      <c r="F1238" s="116">
        <v>1287</v>
      </c>
      <c r="G1238">
        <v>493</v>
      </c>
      <c r="H1238" s="116"/>
      <c r="I1238" s="116"/>
      <c r="L1238" s="170">
        <v>43831</v>
      </c>
      <c r="M1238" s="116">
        <v>1290</v>
      </c>
      <c r="N1238" s="116">
        <v>1296.95</v>
      </c>
      <c r="O1238" s="116">
        <v>1275</v>
      </c>
      <c r="P1238" s="116">
        <v>1296.95</v>
      </c>
      <c r="Q1238" s="116">
        <v>1290</v>
      </c>
      <c r="R1238">
        <v>6827</v>
      </c>
    </row>
    <row r="1239" spans="1:18" x14ac:dyDescent="0.25">
      <c r="A1239" s="170">
        <v>43832</v>
      </c>
      <c r="B1239" s="116">
        <v>1304</v>
      </c>
      <c r="C1239" s="116">
        <v>1294.6500000000001</v>
      </c>
      <c r="D1239" s="116">
        <v>1284</v>
      </c>
      <c r="E1239" s="116">
        <v>1285</v>
      </c>
      <c r="F1239" s="116">
        <v>1294.6500000000001</v>
      </c>
      <c r="G1239">
        <v>884</v>
      </c>
      <c r="H1239" s="116"/>
      <c r="I1239" s="116"/>
      <c r="L1239" s="170">
        <v>43832</v>
      </c>
      <c r="M1239" s="116">
        <v>1294.2</v>
      </c>
      <c r="N1239" s="116">
        <v>1300</v>
      </c>
      <c r="O1239" s="116">
        <v>1276.5</v>
      </c>
      <c r="P1239" s="116">
        <v>1277</v>
      </c>
      <c r="Q1239" s="116">
        <v>1294.2</v>
      </c>
      <c r="R1239">
        <v>7048</v>
      </c>
    </row>
    <row r="1240" spans="1:18" x14ac:dyDescent="0.25">
      <c r="A1240" s="170">
        <v>43833</v>
      </c>
      <c r="B1240" s="116">
        <v>1324.9</v>
      </c>
      <c r="C1240" s="116">
        <v>1321.45</v>
      </c>
      <c r="D1240" s="116">
        <v>1285</v>
      </c>
      <c r="E1240" s="116">
        <v>1290</v>
      </c>
      <c r="F1240" s="116">
        <v>1321.45</v>
      </c>
      <c r="G1240">
        <v>2424</v>
      </c>
      <c r="H1240" s="116"/>
      <c r="I1240" s="116"/>
      <c r="L1240" s="170">
        <v>43833</v>
      </c>
      <c r="M1240" s="116">
        <v>1322.25</v>
      </c>
      <c r="N1240" s="116">
        <v>1329.7</v>
      </c>
      <c r="O1240" s="116">
        <v>1285</v>
      </c>
      <c r="P1240" s="116">
        <v>1295</v>
      </c>
      <c r="Q1240" s="116">
        <v>1322.25</v>
      </c>
      <c r="R1240">
        <v>32674</v>
      </c>
    </row>
    <row r="1241" spans="1:18" x14ac:dyDescent="0.25">
      <c r="A1241" s="170">
        <v>43836</v>
      </c>
      <c r="B1241" s="116">
        <v>1330</v>
      </c>
      <c r="C1241" s="116">
        <v>1286.7</v>
      </c>
      <c r="D1241" s="116">
        <v>1276.45</v>
      </c>
      <c r="E1241" s="116">
        <v>1315.6</v>
      </c>
      <c r="F1241" s="116">
        <v>1286.7</v>
      </c>
      <c r="G1241">
        <v>3409</v>
      </c>
      <c r="H1241" s="116"/>
      <c r="I1241" s="116"/>
      <c r="L1241" s="170">
        <v>43836</v>
      </c>
      <c r="M1241" s="116">
        <v>1287</v>
      </c>
      <c r="N1241" s="116">
        <v>1340</v>
      </c>
      <c r="O1241" s="116">
        <v>1275</v>
      </c>
      <c r="P1241" s="116">
        <v>1321.95</v>
      </c>
      <c r="Q1241" s="116">
        <v>1287</v>
      </c>
      <c r="R1241">
        <v>31293</v>
      </c>
    </row>
    <row r="1242" spans="1:18" x14ac:dyDescent="0.25">
      <c r="A1242" s="170">
        <v>43837</v>
      </c>
      <c r="B1242" s="116">
        <v>1315.1</v>
      </c>
      <c r="C1242" s="116">
        <v>1307.3499999999999</v>
      </c>
      <c r="D1242" s="116">
        <v>1290.0999999999999</v>
      </c>
      <c r="E1242" s="116">
        <v>1298.4000000000001</v>
      </c>
      <c r="F1242" s="116">
        <v>1307.3499999999999</v>
      </c>
      <c r="G1242">
        <v>2306</v>
      </c>
      <c r="H1242" s="116"/>
      <c r="I1242" s="116"/>
      <c r="L1242" s="170">
        <v>43837</v>
      </c>
      <c r="M1242" s="116">
        <v>1306.75</v>
      </c>
      <c r="N1242" s="116">
        <v>1315</v>
      </c>
      <c r="O1242" s="116">
        <v>1289</v>
      </c>
      <c r="P1242" s="116">
        <v>1298</v>
      </c>
      <c r="Q1242" s="116">
        <v>1306.75</v>
      </c>
      <c r="R1242">
        <v>27246</v>
      </c>
    </row>
    <row r="1243" spans="1:18" x14ac:dyDescent="0.25">
      <c r="A1243" s="170">
        <v>43838</v>
      </c>
      <c r="B1243" s="116">
        <v>1317.7</v>
      </c>
      <c r="C1243" s="116">
        <v>1309.6500000000001</v>
      </c>
      <c r="D1243" s="116">
        <v>1287.2</v>
      </c>
      <c r="E1243" s="116">
        <v>1300</v>
      </c>
      <c r="F1243" s="116">
        <v>1309.6500000000001</v>
      </c>
      <c r="G1243">
        <v>2312</v>
      </c>
      <c r="H1243" s="116"/>
      <c r="I1243" s="116"/>
      <c r="L1243" s="170">
        <v>43838</v>
      </c>
      <c r="M1243" s="116">
        <v>1310.7</v>
      </c>
      <c r="N1243" s="116">
        <v>1318</v>
      </c>
      <c r="O1243" s="116">
        <v>1285.05</v>
      </c>
      <c r="P1243" s="116">
        <v>1300</v>
      </c>
      <c r="Q1243" s="116">
        <v>1310.7</v>
      </c>
      <c r="R1243">
        <v>16798</v>
      </c>
    </row>
    <row r="1244" spans="1:18" x14ac:dyDescent="0.25">
      <c r="A1244" s="170">
        <v>43839</v>
      </c>
      <c r="B1244" s="116">
        <v>1331.85</v>
      </c>
      <c r="C1244" s="116">
        <v>1319.4</v>
      </c>
      <c r="D1244" s="116">
        <v>1293.7</v>
      </c>
      <c r="E1244" s="116">
        <v>1316.85</v>
      </c>
      <c r="F1244" s="116">
        <v>1319.4</v>
      </c>
      <c r="G1244">
        <v>2876</v>
      </c>
      <c r="H1244" s="116"/>
      <c r="I1244" s="116"/>
      <c r="L1244" s="170">
        <v>43839</v>
      </c>
      <c r="M1244" s="116">
        <v>1322.1</v>
      </c>
      <c r="N1244" s="116">
        <v>1339</v>
      </c>
      <c r="O1244" s="116">
        <v>1285</v>
      </c>
      <c r="P1244" s="116">
        <v>1319</v>
      </c>
      <c r="Q1244" s="116">
        <v>1322.1</v>
      </c>
      <c r="R1244">
        <v>49113</v>
      </c>
    </row>
    <row r="1245" spans="1:18" x14ac:dyDescent="0.25">
      <c r="A1245" s="170">
        <v>43840</v>
      </c>
      <c r="B1245" s="116">
        <v>1411</v>
      </c>
      <c r="C1245" s="116">
        <v>1367.25</v>
      </c>
      <c r="D1245" s="116">
        <v>1335</v>
      </c>
      <c r="E1245" s="116">
        <v>1347</v>
      </c>
      <c r="F1245" s="116">
        <v>1367.25</v>
      </c>
      <c r="G1245">
        <v>7756</v>
      </c>
      <c r="H1245" s="116"/>
      <c r="I1245" s="116"/>
      <c r="L1245" s="170">
        <v>43840</v>
      </c>
      <c r="M1245" s="116">
        <v>1372.4</v>
      </c>
      <c r="N1245" s="116">
        <v>1405.8</v>
      </c>
      <c r="O1245" s="116">
        <v>1331.5</v>
      </c>
      <c r="P1245" s="116">
        <v>1337.4</v>
      </c>
      <c r="Q1245" s="116">
        <v>1372.4</v>
      </c>
      <c r="R1245">
        <v>147240</v>
      </c>
    </row>
    <row r="1246" spans="1:18" x14ac:dyDescent="0.25">
      <c r="A1246" s="170">
        <v>43843</v>
      </c>
      <c r="B1246" s="116">
        <v>1411.8</v>
      </c>
      <c r="C1246" s="116">
        <v>1377.1</v>
      </c>
      <c r="D1246" s="116">
        <v>1367.25</v>
      </c>
      <c r="E1246" s="116">
        <v>1367.25</v>
      </c>
      <c r="F1246" s="116">
        <v>1377.1</v>
      </c>
      <c r="G1246">
        <v>2541</v>
      </c>
      <c r="H1246" s="116"/>
      <c r="I1246" s="116"/>
      <c r="L1246" s="170">
        <v>43843</v>
      </c>
      <c r="M1246" s="116">
        <v>1376.85</v>
      </c>
      <c r="N1246" s="116">
        <v>1411</v>
      </c>
      <c r="O1246" s="116">
        <v>1370.1</v>
      </c>
      <c r="P1246" s="116">
        <v>1379.4</v>
      </c>
      <c r="Q1246" s="116">
        <v>1376.85</v>
      </c>
      <c r="R1246">
        <v>37463</v>
      </c>
    </row>
    <row r="1247" spans="1:18" x14ac:dyDescent="0.25">
      <c r="A1247" s="170">
        <v>43844</v>
      </c>
      <c r="B1247" s="116">
        <v>1409.7</v>
      </c>
      <c r="C1247" s="116">
        <v>1368.95</v>
      </c>
      <c r="D1247" s="116">
        <v>1362.8</v>
      </c>
      <c r="E1247" s="116">
        <v>1383.75</v>
      </c>
      <c r="F1247" s="116">
        <v>1368.95</v>
      </c>
      <c r="G1247">
        <v>2524</v>
      </c>
      <c r="H1247" s="116"/>
      <c r="I1247" s="116"/>
      <c r="L1247" s="170">
        <v>43844</v>
      </c>
      <c r="M1247" s="116">
        <v>1369.2</v>
      </c>
      <c r="N1247" s="116">
        <v>1411</v>
      </c>
      <c r="O1247" s="116">
        <v>1362</v>
      </c>
      <c r="P1247" s="116">
        <v>1372</v>
      </c>
      <c r="Q1247" s="116">
        <v>1369.2</v>
      </c>
      <c r="R1247">
        <v>96552</v>
      </c>
    </row>
    <row r="1248" spans="1:18" x14ac:dyDescent="0.25">
      <c r="A1248" s="170">
        <v>43845</v>
      </c>
      <c r="B1248" s="116">
        <v>1368.95</v>
      </c>
      <c r="C1248" s="116">
        <v>1327.2</v>
      </c>
      <c r="D1248" s="116">
        <v>1320</v>
      </c>
      <c r="E1248" s="116">
        <v>1368.95</v>
      </c>
      <c r="F1248" s="116">
        <v>1327.2</v>
      </c>
      <c r="G1248">
        <v>4546</v>
      </c>
      <c r="H1248" s="116"/>
      <c r="I1248" s="116"/>
      <c r="L1248" s="170">
        <v>43845</v>
      </c>
      <c r="M1248" s="116">
        <v>1327.05</v>
      </c>
      <c r="N1248" s="116">
        <v>1373.8</v>
      </c>
      <c r="O1248" s="116">
        <v>1315</v>
      </c>
      <c r="P1248" s="116">
        <v>1373.8</v>
      </c>
      <c r="Q1248" s="116">
        <v>1327.05</v>
      </c>
      <c r="R1248">
        <v>89843</v>
      </c>
    </row>
    <row r="1249" spans="1:18" x14ac:dyDescent="0.25">
      <c r="A1249" s="170">
        <v>43846</v>
      </c>
      <c r="B1249" s="116">
        <v>1347.5</v>
      </c>
      <c r="C1249" s="116">
        <v>1308.6500000000001</v>
      </c>
      <c r="D1249" s="116">
        <v>1296.1500000000001</v>
      </c>
      <c r="E1249" s="116">
        <v>1335</v>
      </c>
      <c r="F1249" s="116">
        <v>1308.6500000000001</v>
      </c>
      <c r="G1249">
        <v>6203</v>
      </c>
      <c r="H1249" s="116"/>
      <c r="I1249" s="116"/>
      <c r="L1249" s="170">
        <v>43846</v>
      </c>
      <c r="M1249" s="116">
        <v>1306.3499999999999</v>
      </c>
      <c r="N1249" s="116">
        <v>1345</v>
      </c>
      <c r="O1249" s="116">
        <v>1295.0999999999999</v>
      </c>
      <c r="P1249" s="116">
        <v>1332</v>
      </c>
      <c r="Q1249" s="116">
        <v>1306.3499999999999</v>
      </c>
      <c r="R1249">
        <v>68577</v>
      </c>
    </row>
    <row r="1250" spans="1:18" x14ac:dyDescent="0.25">
      <c r="A1250" s="170">
        <v>43847</v>
      </c>
      <c r="B1250" s="116">
        <v>1314</v>
      </c>
      <c r="C1250" s="116">
        <v>1303.75</v>
      </c>
      <c r="D1250" s="116">
        <v>1294</v>
      </c>
      <c r="E1250" s="116">
        <v>1309.95</v>
      </c>
      <c r="F1250" s="116">
        <v>1303.75</v>
      </c>
      <c r="G1250">
        <v>2067</v>
      </c>
      <c r="H1250" s="116"/>
      <c r="I1250" s="116"/>
      <c r="L1250" s="170">
        <v>43847</v>
      </c>
      <c r="M1250" s="116">
        <v>1302.75</v>
      </c>
      <c r="N1250" s="116">
        <v>1314.75</v>
      </c>
      <c r="O1250" s="116">
        <v>1292.05</v>
      </c>
      <c r="P1250" s="116">
        <v>1307.1500000000001</v>
      </c>
      <c r="Q1250" s="116">
        <v>1302.75</v>
      </c>
      <c r="R1250">
        <v>35098</v>
      </c>
    </row>
    <row r="1251" spans="1:18" x14ac:dyDescent="0.25">
      <c r="A1251" s="170">
        <v>43850</v>
      </c>
      <c r="B1251" s="116">
        <v>1312.8</v>
      </c>
      <c r="C1251" s="116">
        <v>1291.8</v>
      </c>
      <c r="D1251" s="116">
        <v>1282.45</v>
      </c>
      <c r="E1251" s="116">
        <v>1310</v>
      </c>
      <c r="F1251" s="116">
        <v>1291.8</v>
      </c>
      <c r="G1251">
        <v>2457</v>
      </c>
      <c r="H1251" s="116"/>
      <c r="I1251" s="116"/>
      <c r="L1251" s="170">
        <v>43850</v>
      </c>
      <c r="M1251" s="116">
        <v>1290.5999999999999</v>
      </c>
      <c r="N1251" s="116">
        <v>1316</v>
      </c>
      <c r="O1251" s="116">
        <v>1280</v>
      </c>
      <c r="P1251" s="116">
        <v>1303</v>
      </c>
      <c r="Q1251" s="116">
        <v>1290.5999999999999</v>
      </c>
      <c r="R1251">
        <v>38416</v>
      </c>
    </row>
    <row r="1252" spans="1:18" x14ac:dyDescent="0.25">
      <c r="A1252" s="170">
        <v>43851</v>
      </c>
      <c r="B1252" s="116">
        <v>1318</v>
      </c>
      <c r="C1252" s="116">
        <v>1310.95</v>
      </c>
      <c r="D1252" s="116">
        <v>1271.0999999999999</v>
      </c>
      <c r="E1252" s="116">
        <v>1282.5</v>
      </c>
      <c r="F1252" s="116">
        <v>1310.95</v>
      </c>
      <c r="G1252">
        <v>2013</v>
      </c>
      <c r="H1252" s="116"/>
      <c r="I1252" s="116"/>
      <c r="L1252" s="170">
        <v>43851</v>
      </c>
      <c r="M1252" s="116">
        <v>1310.1500000000001</v>
      </c>
      <c r="N1252" s="116">
        <v>1319.45</v>
      </c>
      <c r="O1252" s="116">
        <v>1286</v>
      </c>
      <c r="P1252" s="116">
        <v>1290</v>
      </c>
      <c r="Q1252" s="116">
        <v>1310.1500000000001</v>
      </c>
      <c r="R1252">
        <v>37591</v>
      </c>
    </row>
    <row r="1253" spans="1:18" x14ac:dyDescent="0.25">
      <c r="A1253" s="170">
        <v>43852</v>
      </c>
      <c r="B1253" s="116">
        <v>1314.85</v>
      </c>
      <c r="C1253" s="116">
        <v>1305.3</v>
      </c>
      <c r="D1253" s="116">
        <v>1299.95</v>
      </c>
      <c r="E1253" s="116">
        <v>1311</v>
      </c>
      <c r="F1253" s="116">
        <v>1305.3</v>
      </c>
      <c r="G1253">
        <v>1041</v>
      </c>
      <c r="H1253" s="116"/>
      <c r="I1253" s="116"/>
      <c r="L1253" s="170">
        <v>43852</v>
      </c>
      <c r="M1253" s="116">
        <v>1303.3</v>
      </c>
      <c r="N1253" s="116">
        <v>1315.35</v>
      </c>
      <c r="O1253" s="116">
        <v>1295</v>
      </c>
      <c r="P1253" s="116">
        <v>1315</v>
      </c>
      <c r="Q1253" s="116">
        <v>1303.3</v>
      </c>
      <c r="R1253">
        <v>14625</v>
      </c>
    </row>
    <row r="1254" spans="1:18" x14ac:dyDescent="0.25">
      <c r="A1254" s="170">
        <v>43853</v>
      </c>
      <c r="B1254" s="116">
        <v>1318</v>
      </c>
      <c r="C1254" s="116">
        <v>1315.3</v>
      </c>
      <c r="D1254" s="116">
        <v>1302</v>
      </c>
      <c r="E1254" s="116">
        <v>1304.05</v>
      </c>
      <c r="F1254" s="116">
        <v>1315.3</v>
      </c>
      <c r="G1254">
        <v>1391</v>
      </c>
      <c r="H1254" s="116"/>
      <c r="I1254" s="116"/>
      <c r="L1254" s="170">
        <v>43853</v>
      </c>
      <c r="M1254" s="116">
        <v>1316.4</v>
      </c>
      <c r="N1254" s="116">
        <v>1320</v>
      </c>
      <c r="O1254" s="116">
        <v>1302</v>
      </c>
      <c r="P1254" s="116">
        <v>1309</v>
      </c>
      <c r="Q1254" s="116">
        <v>1316.4</v>
      </c>
      <c r="R1254">
        <v>13495</v>
      </c>
    </row>
    <row r="1255" spans="1:18" x14ac:dyDescent="0.25">
      <c r="A1255" s="170">
        <v>43854</v>
      </c>
      <c r="B1255" s="116">
        <v>1358.95</v>
      </c>
      <c r="C1255" s="116">
        <v>1321.8</v>
      </c>
      <c r="D1255" s="116">
        <v>1305.0999999999999</v>
      </c>
      <c r="E1255" s="116">
        <v>1315.3</v>
      </c>
      <c r="F1255" s="116">
        <v>1321.8</v>
      </c>
      <c r="G1255">
        <v>3238</v>
      </c>
      <c r="H1255" s="116"/>
      <c r="I1255" s="116"/>
      <c r="L1255" s="170">
        <v>43854</v>
      </c>
      <c r="M1255" s="116">
        <v>1329.05</v>
      </c>
      <c r="N1255" s="116">
        <v>1364.85</v>
      </c>
      <c r="O1255" s="116">
        <v>1301.45</v>
      </c>
      <c r="P1255" s="116">
        <v>1318</v>
      </c>
      <c r="Q1255" s="116">
        <v>1329.05</v>
      </c>
      <c r="R1255">
        <v>198401</v>
      </c>
    </row>
    <row r="1256" spans="1:18" x14ac:dyDescent="0.25">
      <c r="A1256" s="170">
        <v>43857</v>
      </c>
      <c r="B1256" s="116">
        <v>1358.05</v>
      </c>
      <c r="C1256" s="116">
        <v>1341.3</v>
      </c>
      <c r="D1256" s="116">
        <v>1313.4</v>
      </c>
      <c r="E1256" s="116">
        <v>1315</v>
      </c>
      <c r="F1256" s="116">
        <v>1341.3</v>
      </c>
      <c r="G1256">
        <v>2248</v>
      </c>
      <c r="H1256" s="116"/>
      <c r="I1256" s="116"/>
      <c r="L1256" s="170">
        <v>43857</v>
      </c>
      <c r="M1256" s="116">
        <v>1339.6</v>
      </c>
      <c r="N1256" s="116">
        <v>1360</v>
      </c>
      <c r="O1256" s="116">
        <v>1312</v>
      </c>
      <c r="P1256" s="116">
        <v>1312</v>
      </c>
      <c r="Q1256" s="116">
        <v>1339.6</v>
      </c>
      <c r="R1256">
        <v>45579</v>
      </c>
    </row>
    <row r="1257" spans="1:18" x14ac:dyDescent="0.25">
      <c r="A1257" s="170">
        <v>43858</v>
      </c>
      <c r="B1257" s="116">
        <v>1349.6</v>
      </c>
      <c r="C1257" s="116">
        <v>1329.6</v>
      </c>
      <c r="D1257" s="116">
        <v>1326.6</v>
      </c>
      <c r="E1257" s="116">
        <v>1339.05</v>
      </c>
      <c r="F1257" s="116">
        <v>1329.6</v>
      </c>
      <c r="G1257">
        <v>961</v>
      </c>
      <c r="H1257" s="116"/>
      <c r="I1257" s="116"/>
      <c r="L1257" s="170">
        <v>43858</v>
      </c>
      <c r="M1257" s="116">
        <v>1329.75</v>
      </c>
      <c r="N1257" s="116">
        <v>1352</v>
      </c>
      <c r="O1257" s="116">
        <v>1324</v>
      </c>
      <c r="P1257" s="116">
        <v>1340.85</v>
      </c>
      <c r="Q1257" s="116">
        <v>1329.75</v>
      </c>
      <c r="R1257">
        <v>18818</v>
      </c>
    </row>
    <row r="1258" spans="1:18" x14ac:dyDescent="0.25">
      <c r="A1258" s="170">
        <v>43859</v>
      </c>
      <c r="B1258" s="116">
        <v>1354</v>
      </c>
      <c r="C1258" s="116">
        <v>1341.35</v>
      </c>
      <c r="D1258" s="116">
        <v>1328.95</v>
      </c>
      <c r="E1258" s="116">
        <v>1328.95</v>
      </c>
      <c r="F1258" s="116">
        <v>1341.35</v>
      </c>
      <c r="G1258">
        <v>1106</v>
      </c>
      <c r="H1258" s="116"/>
      <c r="I1258" s="116"/>
      <c r="L1258" s="170">
        <v>43859</v>
      </c>
      <c r="M1258" s="116">
        <v>1342.25</v>
      </c>
      <c r="N1258" s="116">
        <v>1355.15</v>
      </c>
      <c r="O1258" s="116">
        <v>1331</v>
      </c>
      <c r="P1258" s="116">
        <v>1331</v>
      </c>
      <c r="Q1258" s="116">
        <v>1342.25</v>
      </c>
      <c r="R1258">
        <v>17111</v>
      </c>
    </row>
    <row r="1259" spans="1:18" x14ac:dyDescent="0.25">
      <c r="A1259" s="170">
        <v>43860</v>
      </c>
      <c r="B1259" s="116">
        <v>1343.95</v>
      </c>
      <c r="C1259" s="116">
        <v>1332.2</v>
      </c>
      <c r="D1259" s="116">
        <v>1325</v>
      </c>
      <c r="E1259" s="116">
        <v>1339</v>
      </c>
      <c r="F1259" s="116">
        <v>1332.2</v>
      </c>
      <c r="G1259">
        <v>741</v>
      </c>
      <c r="H1259" s="116"/>
      <c r="I1259" s="116"/>
      <c r="L1259" s="170">
        <v>43860</v>
      </c>
      <c r="M1259" s="116">
        <v>1331.75</v>
      </c>
      <c r="N1259" s="116">
        <v>1346.85</v>
      </c>
      <c r="O1259" s="116">
        <v>1323</v>
      </c>
      <c r="P1259" s="116">
        <v>1323</v>
      </c>
      <c r="Q1259" s="116">
        <v>1331.75</v>
      </c>
      <c r="R1259">
        <v>22645</v>
      </c>
    </row>
    <row r="1260" spans="1:18" x14ac:dyDescent="0.25">
      <c r="A1260" s="170">
        <v>43861</v>
      </c>
      <c r="B1260" s="116">
        <v>1345</v>
      </c>
      <c r="C1260" s="116">
        <v>1308.4000000000001</v>
      </c>
      <c r="D1260" s="116">
        <v>1296.6500000000001</v>
      </c>
      <c r="E1260" s="116">
        <v>1341.75</v>
      </c>
      <c r="F1260" s="116">
        <v>1308.4000000000001</v>
      </c>
      <c r="G1260">
        <v>1784</v>
      </c>
      <c r="H1260" s="116"/>
      <c r="I1260" s="116"/>
      <c r="L1260" s="170">
        <v>43861</v>
      </c>
      <c r="M1260" s="116">
        <v>1310.7</v>
      </c>
      <c r="N1260" s="116">
        <v>1349</v>
      </c>
      <c r="O1260" s="116">
        <v>1295</v>
      </c>
      <c r="P1260" s="116">
        <v>1349</v>
      </c>
      <c r="Q1260" s="116">
        <v>1310.7</v>
      </c>
      <c r="R1260">
        <v>16129</v>
      </c>
    </row>
    <row r="1261" spans="1:18" x14ac:dyDescent="0.25">
      <c r="A1261" s="170">
        <v>43862</v>
      </c>
      <c r="B1261" s="116">
        <v>1338.8</v>
      </c>
      <c r="C1261" s="116">
        <v>1281.45</v>
      </c>
      <c r="D1261" s="116">
        <v>1264.3</v>
      </c>
      <c r="E1261" s="116">
        <v>1309</v>
      </c>
      <c r="F1261" s="116">
        <v>1281.45</v>
      </c>
      <c r="G1261">
        <v>3532</v>
      </c>
      <c r="H1261" s="116"/>
      <c r="I1261" s="116"/>
      <c r="L1261" s="170">
        <v>43862</v>
      </c>
      <c r="M1261" s="116">
        <v>1281.25</v>
      </c>
      <c r="N1261" s="116">
        <v>1328.55</v>
      </c>
      <c r="O1261" s="116">
        <v>1266</v>
      </c>
      <c r="P1261" s="116">
        <v>1313</v>
      </c>
      <c r="Q1261" s="116">
        <v>1281.25</v>
      </c>
      <c r="R1261">
        <v>20836</v>
      </c>
    </row>
    <row r="1262" spans="1:18" x14ac:dyDescent="0.25">
      <c r="A1262" s="170">
        <v>43864</v>
      </c>
      <c r="B1262" s="116">
        <v>1313</v>
      </c>
      <c r="C1262" s="116">
        <v>1294.25</v>
      </c>
      <c r="D1262" s="116">
        <v>1285.9000000000001</v>
      </c>
      <c r="E1262" s="116">
        <v>1295.25</v>
      </c>
      <c r="F1262" s="116">
        <v>1294.25</v>
      </c>
      <c r="G1262">
        <v>2023</v>
      </c>
      <c r="H1262" s="116"/>
      <c r="I1262" s="116"/>
      <c r="L1262" s="170">
        <v>43864</v>
      </c>
      <c r="M1262" s="116">
        <v>1292.3</v>
      </c>
      <c r="N1262" s="116">
        <v>1315</v>
      </c>
      <c r="O1262" s="116">
        <v>1282</v>
      </c>
      <c r="P1262" s="116">
        <v>1282</v>
      </c>
      <c r="Q1262" s="116">
        <v>1292.3</v>
      </c>
      <c r="R1262">
        <v>20304</v>
      </c>
    </row>
    <row r="1263" spans="1:18" x14ac:dyDescent="0.25">
      <c r="A1263" s="170">
        <v>43865</v>
      </c>
      <c r="B1263" s="116">
        <v>1320</v>
      </c>
      <c r="C1263" s="116">
        <v>1311.55</v>
      </c>
      <c r="D1263" s="116">
        <v>1295</v>
      </c>
      <c r="E1263" s="116">
        <v>1295.4000000000001</v>
      </c>
      <c r="F1263" s="116">
        <v>1311.55</v>
      </c>
      <c r="G1263">
        <v>2609</v>
      </c>
      <c r="H1263" s="116"/>
      <c r="I1263" s="116"/>
      <c r="L1263" s="170">
        <v>43865</v>
      </c>
      <c r="M1263" s="116">
        <v>1311.3</v>
      </c>
      <c r="N1263" s="116">
        <v>1324</v>
      </c>
      <c r="O1263" s="116">
        <v>1293.8</v>
      </c>
      <c r="P1263" s="116">
        <v>1301</v>
      </c>
      <c r="Q1263" s="116">
        <v>1311.3</v>
      </c>
      <c r="R1263">
        <v>21892</v>
      </c>
    </row>
    <row r="1264" spans="1:18" x14ac:dyDescent="0.25">
      <c r="A1264" s="170">
        <v>43866</v>
      </c>
      <c r="B1264" s="116">
        <v>1347.7</v>
      </c>
      <c r="C1264" s="116">
        <v>1338.45</v>
      </c>
      <c r="D1264" s="116">
        <v>1315</v>
      </c>
      <c r="E1264" s="116">
        <v>1315</v>
      </c>
      <c r="F1264" s="116">
        <v>1338.45</v>
      </c>
      <c r="G1264">
        <v>1870</v>
      </c>
      <c r="H1264" s="116"/>
      <c r="I1264" s="116"/>
      <c r="L1264" s="170">
        <v>43866</v>
      </c>
      <c r="M1264" s="116">
        <v>1338.5</v>
      </c>
      <c r="N1264" s="116">
        <v>1348</v>
      </c>
      <c r="O1264" s="116">
        <v>1313.95</v>
      </c>
      <c r="P1264" s="116">
        <v>1318</v>
      </c>
      <c r="Q1264" s="116">
        <v>1338.5</v>
      </c>
      <c r="R1264">
        <v>38870</v>
      </c>
    </row>
    <row r="1265" spans="1:18" x14ac:dyDescent="0.25">
      <c r="A1265" s="170">
        <v>43867</v>
      </c>
      <c r="B1265" s="116">
        <v>1359</v>
      </c>
      <c r="C1265" s="116">
        <v>1338.3</v>
      </c>
      <c r="D1265" s="116">
        <v>1300</v>
      </c>
      <c r="E1265" s="116">
        <v>1338</v>
      </c>
      <c r="F1265" s="116">
        <v>1338.3</v>
      </c>
      <c r="G1265">
        <v>2316</v>
      </c>
      <c r="H1265" s="116"/>
      <c r="I1265" s="116"/>
      <c r="L1265" s="170">
        <v>43867</v>
      </c>
      <c r="M1265" s="116">
        <v>1339.45</v>
      </c>
      <c r="N1265" s="116">
        <v>1360.95</v>
      </c>
      <c r="O1265" s="116">
        <v>1324.3</v>
      </c>
      <c r="P1265" s="116">
        <v>1339.7</v>
      </c>
      <c r="Q1265" s="116">
        <v>1339.45</v>
      </c>
      <c r="R1265">
        <v>25507</v>
      </c>
    </row>
    <row r="1266" spans="1:18" x14ac:dyDescent="0.25">
      <c r="A1266" s="170">
        <v>43868</v>
      </c>
      <c r="B1266" s="116">
        <v>1334</v>
      </c>
      <c r="C1266" s="116">
        <v>1328.05</v>
      </c>
      <c r="D1266" s="116">
        <v>1317.55</v>
      </c>
      <c r="E1266" s="116">
        <v>1325.6</v>
      </c>
      <c r="F1266" s="116">
        <v>1328.05</v>
      </c>
      <c r="G1266">
        <v>1410</v>
      </c>
      <c r="H1266" s="116"/>
      <c r="I1266" s="116"/>
      <c r="L1266" s="170">
        <v>43868</v>
      </c>
      <c r="M1266" s="116">
        <v>1328.95</v>
      </c>
      <c r="N1266" s="116">
        <v>1340</v>
      </c>
      <c r="O1266" s="116">
        <v>1316</v>
      </c>
      <c r="P1266" s="116">
        <v>1333</v>
      </c>
      <c r="Q1266" s="116">
        <v>1328.95</v>
      </c>
      <c r="R1266">
        <v>35789</v>
      </c>
    </row>
    <row r="1267" spans="1:18" x14ac:dyDescent="0.25">
      <c r="A1267" s="170">
        <v>43871</v>
      </c>
      <c r="B1267" s="116">
        <v>1378.85</v>
      </c>
      <c r="C1267" s="116">
        <v>1340.05</v>
      </c>
      <c r="D1267" s="116">
        <v>1321</v>
      </c>
      <c r="E1267" s="116">
        <v>1329</v>
      </c>
      <c r="F1267" s="116">
        <v>1340.05</v>
      </c>
      <c r="G1267">
        <v>8534</v>
      </c>
      <c r="H1267" s="116"/>
      <c r="I1267" s="116"/>
      <c r="L1267" s="170">
        <v>43871</v>
      </c>
      <c r="M1267" s="116">
        <v>1341.95</v>
      </c>
      <c r="N1267" s="116">
        <v>1379</v>
      </c>
      <c r="O1267" s="116">
        <v>1317</v>
      </c>
      <c r="P1267" s="116">
        <v>1332</v>
      </c>
      <c r="Q1267" s="116">
        <v>1341.95</v>
      </c>
      <c r="R1267">
        <v>186488</v>
      </c>
    </row>
    <row r="1268" spans="1:18" x14ac:dyDescent="0.25">
      <c r="A1268" s="170">
        <v>43872</v>
      </c>
      <c r="B1268" s="116">
        <v>1363.6</v>
      </c>
      <c r="C1268" s="116">
        <v>1333.95</v>
      </c>
      <c r="D1268" s="116">
        <v>1325.4</v>
      </c>
      <c r="E1268" s="116">
        <v>1355.9</v>
      </c>
      <c r="F1268" s="116">
        <v>1333.95</v>
      </c>
      <c r="G1268">
        <v>3600</v>
      </c>
      <c r="H1268" s="116"/>
      <c r="I1268" s="116"/>
      <c r="L1268" s="170">
        <v>43872</v>
      </c>
      <c r="M1268" s="116">
        <v>1334.2</v>
      </c>
      <c r="N1268" s="116">
        <v>1365</v>
      </c>
      <c r="O1268" s="116">
        <v>1322</v>
      </c>
      <c r="P1268" s="116">
        <v>1349</v>
      </c>
      <c r="Q1268" s="116">
        <v>1334.2</v>
      </c>
      <c r="R1268">
        <v>45537</v>
      </c>
    </row>
    <row r="1269" spans="1:18" x14ac:dyDescent="0.25">
      <c r="A1269" s="170">
        <v>43873</v>
      </c>
      <c r="B1269" s="116">
        <v>1344.55</v>
      </c>
      <c r="C1269" s="116">
        <v>1274.5</v>
      </c>
      <c r="D1269" s="116">
        <v>1261</v>
      </c>
      <c r="E1269" s="116">
        <v>1340.5</v>
      </c>
      <c r="F1269" s="116">
        <v>1274.5</v>
      </c>
      <c r="G1269">
        <v>11387</v>
      </c>
      <c r="H1269" s="116"/>
      <c r="I1269" s="116"/>
      <c r="L1269" s="170">
        <v>43873</v>
      </c>
      <c r="M1269" s="116">
        <v>1274.45</v>
      </c>
      <c r="N1269" s="116">
        <v>1344</v>
      </c>
      <c r="O1269" s="116">
        <v>1255.2</v>
      </c>
      <c r="P1269" s="116">
        <v>1339.8</v>
      </c>
      <c r="Q1269" s="116">
        <v>1274.45</v>
      </c>
      <c r="R1269">
        <v>290668</v>
      </c>
    </row>
    <row r="1270" spans="1:18" x14ac:dyDescent="0.25">
      <c r="A1270" s="170">
        <v>43874</v>
      </c>
      <c r="B1270" s="116">
        <v>1278</v>
      </c>
      <c r="C1270" s="116">
        <v>1269.45</v>
      </c>
      <c r="D1270" s="116">
        <v>1226.55</v>
      </c>
      <c r="E1270" s="116">
        <v>1275.4000000000001</v>
      </c>
      <c r="F1270" s="116">
        <v>1269.45</v>
      </c>
      <c r="G1270">
        <v>9553</v>
      </c>
      <c r="H1270" s="116"/>
      <c r="I1270" s="116"/>
      <c r="L1270" s="170">
        <v>43874</v>
      </c>
      <c r="M1270" s="116">
        <v>1268.6500000000001</v>
      </c>
      <c r="N1270" s="116">
        <v>1278.1500000000001</v>
      </c>
      <c r="O1270" s="116">
        <v>1226.1500000000001</v>
      </c>
      <c r="P1270" s="116">
        <v>1273</v>
      </c>
      <c r="Q1270" s="116">
        <v>1268.6500000000001</v>
      </c>
      <c r="R1270">
        <v>208984</v>
      </c>
    </row>
    <row r="1271" spans="1:18" x14ac:dyDescent="0.25">
      <c r="A1271" s="170">
        <v>43875</v>
      </c>
      <c r="B1271" s="116">
        <v>1277.8</v>
      </c>
      <c r="C1271" s="116">
        <v>1234.7</v>
      </c>
      <c r="D1271" s="116">
        <v>1230.1500000000001</v>
      </c>
      <c r="E1271" s="116">
        <v>1277.8</v>
      </c>
      <c r="F1271" s="116">
        <v>1234.7</v>
      </c>
      <c r="G1271">
        <v>2652</v>
      </c>
      <c r="H1271" s="116"/>
      <c r="I1271" s="116"/>
      <c r="L1271" s="170">
        <v>43875</v>
      </c>
      <c r="M1271" s="116">
        <v>1233.0999999999999</v>
      </c>
      <c r="N1271" s="116">
        <v>1280</v>
      </c>
      <c r="O1271" s="116">
        <v>1229.3499999999999</v>
      </c>
      <c r="P1271" s="116">
        <v>1268.8499999999999</v>
      </c>
      <c r="Q1271" s="116">
        <v>1233.0999999999999</v>
      </c>
      <c r="R1271">
        <v>56198</v>
      </c>
    </row>
    <row r="1272" spans="1:18" x14ac:dyDescent="0.25">
      <c r="A1272" s="170">
        <v>43878</v>
      </c>
      <c r="B1272" s="116">
        <v>1248</v>
      </c>
      <c r="C1272" s="116">
        <v>1223.3499999999999</v>
      </c>
      <c r="D1272" s="116">
        <v>1212.75</v>
      </c>
      <c r="E1272" s="116">
        <v>1248</v>
      </c>
      <c r="F1272" s="116">
        <v>1223.3499999999999</v>
      </c>
      <c r="G1272">
        <v>2949</v>
      </c>
      <c r="H1272" s="116"/>
      <c r="I1272" s="116"/>
      <c r="L1272" s="170">
        <v>43878</v>
      </c>
      <c r="M1272" s="116">
        <v>1223.5</v>
      </c>
      <c r="N1272" s="116">
        <v>1254</v>
      </c>
      <c r="O1272" s="116">
        <v>1213</v>
      </c>
      <c r="P1272" s="116">
        <v>1254</v>
      </c>
      <c r="Q1272" s="116">
        <v>1223.5</v>
      </c>
      <c r="R1272">
        <v>85129</v>
      </c>
    </row>
    <row r="1273" spans="1:18" x14ac:dyDescent="0.25">
      <c r="A1273" s="170">
        <v>43879</v>
      </c>
      <c r="B1273" s="116">
        <v>1227.5999999999999</v>
      </c>
      <c r="C1273" s="116">
        <v>1207.4000000000001</v>
      </c>
      <c r="D1273" s="116">
        <v>1200.6500000000001</v>
      </c>
      <c r="E1273" s="116">
        <v>1223.95</v>
      </c>
      <c r="F1273" s="116">
        <v>1207.4000000000001</v>
      </c>
      <c r="G1273">
        <v>3312</v>
      </c>
      <c r="H1273" s="116"/>
      <c r="I1273" s="116"/>
      <c r="L1273" s="170">
        <v>43879</v>
      </c>
      <c r="M1273" s="116">
        <v>1205.0999999999999</v>
      </c>
      <c r="N1273" s="116">
        <v>1227</v>
      </c>
      <c r="O1273" s="116">
        <v>1200.7</v>
      </c>
      <c r="P1273" s="116">
        <v>1220.5</v>
      </c>
      <c r="Q1273" s="116">
        <v>1205.0999999999999</v>
      </c>
      <c r="R1273">
        <v>41542</v>
      </c>
    </row>
    <row r="1274" spans="1:18" x14ac:dyDescent="0.25">
      <c r="A1274" s="170">
        <v>43880</v>
      </c>
      <c r="B1274" s="116">
        <v>1231</v>
      </c>
      <c r="C1274" s="116">
        <v>1210.75</v>
      </c>
      <c r="D1274" s="116">
        <v>1202.8</v>
      </c>
      <c r="E1274" s="116">
        <v>1206.55</v>
      </c>
      <c r="F1274" s="116">
        <v>1210.75</v>
      </c>
      <c r="G1274">
        <v>4072</v>
      </c>
      <c r="H1274" s="116"/>
      <c r="I1274" s="116"/>
      <c r="L1274" s="170">
        <v>43880</v>
      </c>
      <c r="M1274" s="116">
        <v>1209.75</v>
      </c>
      <c r="N1274" s="116">
        <v>1229</v>
      </c>
      <c r="O1274" s="116">
        <v>1202</v>
      </c>
      <c r="P1274" s="116">
        <v>1210</v>
      </c>
      <c r="Q1274" s="116">
        <v>1209.75</v>
      </c>
      <c r="R1274">
        <v>40075</v>
      </c>
    </row>
    <row r="1275" spans="1:18" x14ac:dyDescent="0.25">
      <c r="A1275" s="170">
        <v>43881</v>
      </c>
      <c r="B1275" s="116">
        <v>1246</v>
      </c>
      <c r="C1275" s="116">
        <v>1228.9000000000001</v>
      </c>
      <c r="D1275" s="116">
        <v>1209</v>
      </c>
      <c r="E1275" s="116">
        <v>1209</v>
      </c>
      <c r="F1275" s="116">
        <v>1228.9000000000001</v>
      </c>
      <c r="G1275">
        <v>2390</v>
      </c>
      <c r="H1275" s="116"/>
      <c r="I1275" s="116"/>
      <c r="L1275" s="170">
        <v>43881</v>
      </c>
      <c r="M1275" s="116">
        <v>1230.9000000000001</v>
      </c>
      <c r="N1275" s="116">
        <v>1246.9000000000001</v>
      </c>
      <c r="O1275" s="116">
        <v>1213.3499999999999</v>
      </c>
      <c r="P1275" s="116">
        <v>1213.9000000000001</v>
      </c>
      <c r="Q1275" s="116">
        <v>1230.9000000000001</v>
      </c>
      <c r="R1275">
        <v>48608</v>
      </c>
    </row>
    <row r="1276" spans="1:18" x14ac:dyDescent="0.25">
      <c r="A1276" s="170">
        <v>43885</v>
      </c>
      <c r="B1276" s="116">
        <v>1238</v>
      </c>
      <c r="C1276" s="116">
        <v>1192.3499999999999</v>
      </c>
      <c r="D1276" s="116">
        <v>1190</v>
      </c>
      <c r="E1276" s="116">
        <v>1238</v>
      </c>
      <c r="F1276" s="116">
        <v>1192.3499999999999</v>
      </c>
      <c r="G1276">
        <v>3091</v>
      </c>
      <c r="H1276" s="116"/>
      <c r="I1276" s="116"/>
      <c r="L1276" s="170">
        <v>43885</v>
      </c>
      <c r="M1276" s="116">
        <v>1191.95</v>
      </c>
      <c r="N1276" s="116">
        <v>1225</v>
      </c>
      <c r="O1276" s="116">
        <v>1190</v>
      </c>
      <c r="P1276" s="116">
        <v>1225</v>
      </c>
      <c r="Q1276" s="116">
        <v>1191.95</v>
      </c>
      <c r="R1276">
        <v>44916</v>
      </c>
    </row>
    <row r="1277" spans="1:18" x14ac:dyDescent="0.25">
      <c r="A1277" s="170">
        <v>43886</v>
      </c>
      <c r="B1277" s="116">
        <v>1218.8</v>
      </c>
      <c r="C1277" s="116">
        <v>1200.05</v>
      </c>
      <c r="D1277" s="116">
        <v>1195.9000000000001</v>
      </c>
      <c r="E1277" s="116">
        <v>1204.0999999999999</v>
      </c>
      <c r="F1277" s="116">
        <v>1200.05</v>
      </c>
      <c r="G1277">
        <v>2750</v>
      </c>
      <c r="H1277" s="116"/>
      <c r="I1277" s="116"/>
      <c r="L1277" s="170">
        <v>43886</v>
      </c>
      <c r="M1277" s="116">
        <v>1200.2</v>
      </c>
      <c r="N1277" s="116">
        <v>1217.9000000000001</v>
      </c>
      <c r="O1277" s="116">
        <v>1192</v>
      </c>
      <c r="P1277" s="116">
        <v>1192</v>
      </c>
      <c r="Q1277" s="116">
        <v>1200.2</v>
      </c>
      <c r="R1277">
        <v>24401</v>
      </c>
    </row>
    <row r="1278" spans="1:18" x14ac:dyDescent="0.25">
      <c r="A1278" s="170">
        <v>43887</v>
      </c>
      <c r="B1278" s="116">
        <v>1236</v>
      </c>
      <c r="C1278" s="116">
        <v>1199.6500000000001</v>
      </c>
      <c r="D1278" s="116">
        <v>1192</v>
      </c>
      <c r="E1278" s="116">
        <v>1203.8</v>
      </c>
      <c r="F1278" s="116">
        <v>1199.6500000000001</v>
      </c>
      <c r="G1278">
        <v>2263</v>
      </c>
      <c r="H1278" s="116"/>
      <c r="I1278" s="116"/>
      <c r="L1278" s="170">
        <v>43887</v>
      </c>
      <c r="M1278" s="116">
        <v>1201.4000000000001</v>
      </c>
      <c r="N1278" s="116">
        <v>1212.3499999999999</v>
      </c>
      <c r="O1278" s="116">
        <v>1190</v>
      </c>
      <c r="P1278" s="116">
        <v>1195</v>
      </c>
      <c r="Q1278" s="116">
        <v>1201.4000000000001</v>
      </c>
      <c r="R1278">
        <v>25367</v>
      </c>
    </row>
    <row r="1279" spans="1:18" x14ac:dyDescent="0.25">
      <c r="A1279" s="170">
        <v>43888</v>
      </c>
      <c r="B1279" s="116">
        <v>1202.45</v>
      </c>
      <c r="C1279" s="116">
        <v>1198.7</v>
      </c>
      <c r="D1279" s="116">
        <v>1190</v>
      </c>
      <c r="E1279" s="116">
        <v>1195</v>
      </c>
      <c r="F1279" s="116">
        <v>1198.7</v>
      </c>
      <c r="G1279">
        <v>2957</v>
      </c>
      <c r="H1279" s="116"/>
      <c r="I1279" s="116"/>
      <c r="L1279" s="170">
        <v>43888</v>
      </c>
      <c r="M1279" s="116">
        <v>1198.5999999999999</v>
      </c>
      <c r="N1279" s="116">
        <v>1203</v>
      </c>
      <c r="O1279" s="116">
        <v>1189</v>
      </c>
      <c r="P1279" s="116">
        <v>1198</v>
      </c>
      <c r="Q1279" s="116">
        <v>1198.5999999999999</v>
      </c>
      <c r="R1279">
        <v>40112</v>
      </c>
    </row>
    <row r="1280" spans="1:18" x14ac:dyDescent="0.25">
      <c r="A1280" s="170">
        <v>43889</v>
      </c>
      <c r="B1280" s="116">
        <v>1197.8499999999999</v>
      </c>
      <c r="C1280" s="116">
        <v>1184.55</v>
      </c>
      <c r="D1280" s="116">
        <v>1178.55</v>
      </c>
      <c r="E1280" s="116">
        <v>1187</v>
      </c>
      <c r="F1280" s="116">
        <v>1184.55</v>
      </c>
      <c r="G1280">
        <v>5361</v>
      </c>
      <c r="H1280" s="116"/>
      <c r="I1280" s="116"/>
      <c r="L1280" s="170">
        <v>43889</v>
      </c>
      <c r="M1280" s="116">
        <v>1185</v>
      </c>
      <c r="N1280" s="116">
        <v>1195</v>
      </c>
      <c r="O1280" s="116">
        <v>1175</v>
      </c>
      <c r="P1280" s="116">
        <v>1188</v>
      </c>
      <c r="Q1280" s="116">
        <v>1185</v>
      </c>
      <c r="R1280">
        <v>39171</v>
      </c>
    </row>
    <row r="1281" spans="1:18" x14ac:dyDescent="0.25">
      <c r="A1281" s="170">
        <v>43892</v>
      </c>
      <c r="B1281" s="116">
        <v>1218</v>
      </c>
      <c r="C1281" s="116">
        <v>1189.8</v>
      </c>
      <c r="D1281" s="116">
        <v>1187.5</v>
      </c>
      <c r="E1281" s="116">
        <v>1218</v>
      </c>
      <c r="F1281" s="116">
        <v>1189.8</v>
      </c>
      <c r="G1281">
        <v>2679</v>
      </c>
      <c r="H1281" s="116"/>
      <c r="I1281" s="116"/>
      <c r="L1281" s="170">
        <v>43892</v>
      </c>
      <c r="M1281" s="116">
        <v>1190.2</v>
      </c>
      <c r="N1281" s="116">
        <v>1198.9000000000001</v>
      </c>
      <c r="O1281" s="116">
        <v>1182.05</v>
      </c>
      <c r="P1281" s="116">
        <v>1185</v>
      </c>
      <c r="Q1281" s="116">
        <v>1190.2</v>
      </c>
      <c r="R1281">
        <v>99510</v>
      </c>
    </row>
    <row r="1282" spans="1:18" x14ac:dyDescent="0.25">
      <c r="A1282" s="170">
        <v>43893</v>
      </c>
      <c r="B1282" s="116">
        <v>1201.8499999999999</v>
      </c>
      <c r="C1282" s="116">
        <v>1163.5999999999999</v>
      </c>
      <c r="D1282" s="116">
        <v>1155.8499999999999</v>
      </c>
      <c r="E1282" s="116">
        <v>1198.5999999999999</v>
      </c>
      <c r="F1282" s="116">
        <v>1163.5999999999999</v>
      </c>
      <c r="G1282">
        <v>2834</v>
      </c>
      <c r="H1282" s="116"/>
      <c r="I1282" s="116"/>
      <c r="L1282" s="170">
        <v>43893</v>
      </c>
      <c r="M1282" s="116">
        <v>1161</v>
      </c>
      <c r="N1282" s="116">
        <v>1204.8499999999999</v>
      </c>
      <c r="O1282" s="116">
        <v>1154</v>
      </c>
      <c r="P1282" s="116">
        <v>1199</v>
      </c>
      <c r="Q1282" s="116">
        <v>1161</v>
      </c>
      <c r="R1282">
        <v>45482</v>
      </c>
    </row>
    <row r="1283" spans="1:18" x14ac:dyDescent="0.25">
      <c r="A1283" s="170">
        <v>43894</v>
      </c>
      <c r="B1283" s="116">
        <v>1210.1500000000001</v>
      </c>
      <c r="C1283" s="116">
        <v>1169.5999999999999</v>
      </c>
      <c r="D1283" s="116">
        <v>1152.0999999999999</v>
      </c>
      <c r="E1283" s="116">
        <v>1175</v>
      </c>
      <c r="F1283" s="116">
        <v>1169.5999999999999</v>
      </c>
      <c r="G1283">
        <v>6282</v>
      </c>
      <c r="H1283" s="116"/>
      <c r="I1283" s="116"/>
      <c r="L1283" s="170">
        <v>43894</v>
      </c>
      <c r="M1283" s="116">
        <v>1157.1500000000001</v>
      </c>
      <c r="N1283" s="116">
        <v>1178.6500000000001</v>
      </c>
      <c r="O1283" s="116">
        <v>1150</v>
      </c>
      <c r="P1283" s="116">
        <v>1168.95</v>
      </c>
      <c r="Q1283" s="116">
        <v>1157.1500000000001</v>
      </c>
      <c r="R1283">
        <v>41444</v>
      </c>
    </row>
    <row r="1284" spans="1:18" x14ac:dyDescent="0.25">
      <c r="A1284" s="170">
        <v>43895</v>
      </c>
      <c r="B1284" s="116">
        <v>1190</v>
      </c>
      <c r="C1284" s="116">
        <v>1180.3499999999999</v>
      </c>
      <c r="D1284" s="116">
        <v>1163.3</v>
      </c>
      <c r="E1284" s="116">
        <v>1190</v>
      </c>
      <c r="F1284" s="116">
        <v>1180.3499999999999</v>
      </c>
      <c r="G1284">
        <v>956</v>
      </c>
      <c r="H1284" s="116"/>
      <c r="I1284" s="116"/>
      <c r="L1284" s="170">
        <v>43895</v>
      </c>
      <c r="M1284" s="116">
        <v>1180.55</v>
      </c>
      <c r="N1284" s="116">
        <v>1185</v>
      </c>
      <c r="O1284" s="116">
        <v>1160</v>
      </c>
      <c r="P1284" s="116">
        <v>1167.8</v>
      </c>
      <c r="Q1284" s="116">
        <v>1180.55</v>
      </c>
      <c r="R1284">
        <v>27103</v>
      </c>
    </row>
    <row r="1285" spans="1:18" x14ac:dyDescent="0.25">
      <c r="A1285" s="170">
        <v>43896</v>
      </c>
      <c r="B1285" s="116">
        <v>1225.8</v>
      </c>
      <c r="C1285" s="116">
        <v>1193.9000000000001</v>
      </c>
      <c r="D1285" s="116">
        <v>1156.25</v>
      </c>
      <c r="E1285" s="116">
        <v>1160</v>
      </c>
      <c r="F1285" s="116">
        <v>1193.9000000000001</v>
      </c>
      <c r="G1285">
        <v>1955</v>
      </c>
      <c r="H1285" s="116"/>
      <c r="I1285" s="116"/>
      <c r="L1285" s="170">
        <v>43896</v>
      </c>
      <c r="M1285" s="116">
        <v>1191.9000000000001</v>
      </c>
      <c r="N1285" s="116">
        <v>1221</v>
      </c>
      <c r="O1285" s="116">
        <v>1155</v>
      </c>
      <c r="P1285" s="116">
        <v>1168</v>
      </c>
      <c r="Q1285" s="116">
        <v>1191.9000000000001</v>
      </c>
      <c r="R1285">
        <v>36939</v>
      </c>
    </row>
    <row r="1286" spans="1:18" x14ac:dyDescent="0.25">
      <c r="A1286" s="170">
        <v>43899</v>
      </c>
      <c r="B1286" s="116">
        <v>1180</v>
      </c>
      <c r="C1286" s="116">
        <v>1126.6500000000001</v>
      </c>
      <c r="D1286" s="116">
        <v>1100</v>
      </c>
      <c r="E1286" s="116">
        <v>1176.95</v>
      </c>
      <c r="F1286" s="116">
        <v>1126.6500000000001</v>
      </c>
      <c r="G1286">
        <v>6027</v>
      </c>
      <c r="H1286" s="116"/>
      <c r="I1286" s="116"/>
      <c r="L1286" s="170">
        <v>43899</v>
      </c>
      <c r="M1286" s="116">
        <v>1129.8499999999999</v>
      </c>
      <c r="N1286" s="116">
        <v>1192.75</v>
      </c>
      <c r="O1286" s="116">
        <v>1096.7</v>
      </c>
      <c r="P1286" s="116">
        <v>1180</v>
      </c>
      <c r="Q1286" s="116">
        <v>1129.8499999999999</v>
      </c>
      <c r="R1286">
        <v>81699</v>
      </c>
    </row>
    <row r="1287" spans="1:18" x14ac:dyDescent="0.25">
      <c r="A1287" s="170">
        <v>43901</v>
      </c>
      <c r="B1287" s="116">
        <v>1143.6500000000001</v>
      </c>
      <c r="C1287" s="116">
        <v>1109.8499999999999</v>
      </c>
      <c r="D1287" s="116">
        <v>1098.5999999999999</v>
      </c>
      <c r="E1287" s="116">
        <v>1130</v>
      </c>
      <c r="F1287" s="116">
        <v>1109.8499999999999</v>
      </c>
      <c r="G1287">
        <v>4135</v>
      </c>
      <c r="H1287" s="116"/>
      <c r="I1287" s="116"/>
      <c r="L1287" s="170">
        <v>43901</v>
      </c>
      <c r="M1287" s="116">
        <v>1109.45</v>
      </c>
      <c r="N1287" s="116">
        <v>1143</v>
      </c>
      <c r="O1287" s="116">
        <v>1096.5</v>
      </c>
      <c r="P1287" s="116">
        <v>1130</v>
      </c>
      <c r="Q1287" s="116">
        <v>1109.45</v>
      </c>
      <c r="R1287">
        <v>55300</v>
      </c>
    </row>
    <row r="1288" spans="1:18" x14ac:dyDescent="0.25">
      <c r="A1288" s="170">
        <v>43902</v>
      </c>
      <c r="B1288" s="116">
        <v>1098</v>
      </c>
      <c r="C1288" s="116">
        <v>1038.1500000000001</v>
      </c>
      <c r="D1288" s="116">
        <v>999.9</v>
      </c>
      <c r="E1288" s="116">
        <v>1098</v>
      </c>
      <c r="F1288" s="116">
        <v>1038.1500000000001</v>
      </c>
      <c r="G1288">
        <v>9541</v>
      </c>
      <c r="H1288" s="116"/>
      <c r="I1288" s="116"/>
      <c r="L1288" s="170">
        <v>43902</v>
      </c>
      <c r="M1288" s="116">
        <v>1038.5999999999999</v>
      </c>
      <c r="N1288" s="116">
        <v>1087.95</v>
      </c>
      <c r="O1288" s="116">
        <v>1000</v>
      </c>
      <c r="P1288" s="116">
        <v>1087.95</v>
      </c>
      <c r="Q1288" s="116">
        <v>1038.5999999999999</v>
      </c>
      <c r="R1288">
        <v>57759</v>
      </c>
    </row>
    <row r="1289" spans="1:18" x14ac:dyDescent="0.25">
      <c r="A1289" s="170">
        <v>43903</v>
      </c>
      <c r="B1289" s="116">
        <v>1035</v>
      </c>
      <c r="C1289" s="116">
        <v>1011.3</v>
      </c>
      <c r="D1289" s="116">
        <v>900.1</v>
      </c>
      <c r="E1289" s="116">
        <v>1035</v>
      </c>
      <c r="F1289" s="116">
        <v>1011.3</v>
      </c>
      <c r="G1289">
        <v>14051</v>
      </c>
      <c r="H1289" s="116"/>
      <c r="I1289" s="116"/>
      <c r="L1289" s="170">
        <v>43903</v>
      </c>
      <c r="M1289" s="116">
        <v>1006.8</v>
      </c>
      <c r="N1289" s="116">
        <v>1029.95</v>
      </c>
      <c r="O1289" s="116">
        <v>830.9</v>
      </c>
      <c r="P1289" s="116">
        <v>1008.7</v>
      </c>
      <c r="Q1289" s="116">
        <v>1006.8</v>
      </c>
      <c r="R1289">
        <v>113247</v>
      </c>
    </row>
    <row r="1290" spans="1:18" x14ac:dyDescent="0.25">
      <c r="A1290" s="170">
        <v>43906</v>
      </c>
      <c r="B1290" s="116">
        <v>1013.25</v>
      </c>
      <c r="C1290" s="116">
        <v>964.65</v>
      </c>
      <c r="D1290" s="116">
        <v>949.55</v>
      </c>
      <c r="E1290" s="116">
        <v>953</v>
      </c>
      <c r="F1290" s="116">
        <v>964.65</v>
      </c>
      <c r="G1290">
        <v>6816</v>
      </c>
      <c r="H1290" s="116"/>
      <c r="I1290" s="116"/>
      <c r="L1290" s="170">
        <v>43906</v>
      </c>
      <c r="M1290" s="116">
        <v>963.85</v>
      </c>
      <c r="N1290" s="116">
        <v>1018.45</v>
      </c>
      <c r="O1290" s="116">
        <v>947</v>
      </c>
      <c r="P1290" s="116">
        <v>1000</v>
      </c>
      <c r="Q1290" s="116">
        <v>963.85</v>
      </c>
      <c r="R1290">
        <v>492097</v>
      </c>
    </row>
    <row r="1291" spans="1:18" x14ac:dyDescent="0.25">
      <c r="A1291" s="170">
        <v>43907</v>
      </c>
      <c r="B1291" s="116">
        <v>975</v>
      </c>
      <c r="C1291" s="116">
        <v>947.7</v>
      </c>
      <c r="D1291" s="116">
        <v>920.05</v>
      </c>
      <c r="E1291" s="116">
        <v>964.1</v>
      </c>
      <c r="F1291" s="116">
        <v>947.7</v>
      </c>
      <c r="G1291">
        <v>3436</v>
      </c>
      <c r="H1291" s="116"/>
      <c r="I1291" s="116"/>
      <c r="L1291" s="170">
        <v>43907</v>
      </c>
      <c r="M1291" s="116">
        <v>948.8</v>
      </c>
      <c r="N1291" s="116">
        <v>980</v>
      </c>
      <c r="O1291" s="116">
        <v>920</v>
      </c>
      <c r="P1291" s="116">
        <v>980</v>
      </c>
      <c r="Q1291" s="116">
        <v>948.8</v>
      </c>
      <c r="R1291">
        <v>48674</v>
      </c>
    </row>
    <row r="1292" spans="1:18" x14ac:dyDescent="0.25">
      <c r="A1292" s="170">
        <v>43908</v>
      </c>
      <c r="B1292" s="116">
        <v>960</v>
      </c>
      <c r="C1292" s="116">
        <v>906.35</v>
      </c>
      <c r="D1292" s="116">
        <v>900.1</v>
      </c>
      <c r="E1292" s="116">
        <v>960</v>
      </c>
      <c r="F1292" s="116">
        <v>906.35</v>
      </c>
      <c r="G1292">
        <v>4106</v>
      </c>
      <c r="H1292" s="116"/>
      <c r="I1292" s="116"/>
      <c r="L1292" s="170">
        <v>43908</v>
      </c>
      <c r="M1292" s="116">
        <v>905.1</v>
      </c>
      <c r="N1292" s="116">
        <v>974</v>
      </c>
      <c r="O1292" s="116">
        <v>899.3</v>
      </c>
      <c r="P1292" s="116">
        <v>974</v>
      </c>
      <c r="Q1292" s="116">
        <v>905.1</v>
      </c>
      <c r="R1292">
        <v>32597</v>
      </c>
    </row>
    <row r="1293" spans="1:18" x14ac:dyDescent="0.25">
      <c r="A1293" s="170">
        <v>43909</v>
      </c>
      <c r="B1293" s="116">
        <v>923.85</v>
      </c>
      <c r="C1293" s="116">
        <v>893</v>
      </c>
      <c r="D1293" s="116">
        <v>830</v>
      </c>
      <c r="E1293" s="116">
        <v>900</v>
      </c>
      <c r="F1293" s="116">
        <v>893</v>
      </c>
      <c r="G1293">
        <v>5774</v>
      </c>
      <c r="H1293" s="116"/>
      <c r="I1293" s="116"/>
      <c r="L1293" s="170">
        <v>43909</v>
      </c>
      <c r="M1293" s="116">
        <v>895.9</v>
      </c>
      <c r="N1293" s="116">
        <v>925</v>
      </c>
      <c r="O1293" s="116">
        <v>835</v>
      </c>
      <c r="P1293" s="116">
        <v>880</v>
      </c>
      <c r="Q1293" s="116">
        <v>895.9</v>
      </c>
      <c r="R1293">
        <v>280603</v>
      </c>
    </row>
    <row r="1294" spans="1:18" x14ac:dyDescent="0.25">
      <c r="A1294" s="170">
        <v>43910</v>
      </c>
      <c r="B1294" s="116">
        <v>972</v>
      </c>
      <c r="C1294" s="116">
        <v>958.8</v>
      </c>
      <c r="D1294" s="116">
        <v>855.1</v>
      </c>
      <c r="E1294" s="116">
        <v>929</v>
      </c>
      <c r="F1294" s="116">
        <v>958.8</v>
      </c>
      <c r="G1294">
        <v>5207</v>
      </c>
      <c r="H1294" s="116"/>
      <c r="I1294" s="116"/>
      <c r="L1294" s="170">
        <v>43910</v>
      </c>
      <c r="M1294" s="116">
        <v>949.55</v>
      </c>
      <c r="N1294" s="116">
        <v>969.95</v>
      </c>
      <c r="O1294" s="116">
        <v>851.05</v>
      </c>
      <c r="P1294" s="116">
        <v>898.5</v>
      </c>
      <c r="Q1294" s="116">
        <v>949.55</v>
      </c>
      <c r="R1294">
        <v>42124</v>
      </c>
    </row>
    <row r="1295" spans="1:18" x14ac:dyDescent="0.25">
      <c r="A1295" s="170">
        <v>43913</v>
      </c>
      <c r="B1295" s="116">
        <v>994.15</v>
      </c>
      <c r="C1295" s="116">
        <v>870.1</v>
      </c>
      <c r="D1295" s="116">
        <v>809.95</v>
      </c>
      <c r="E1295" s="116">
        <v>920</v>
      </c>
      <c r="F1295" s="116">
        <v>870.1</v>
      </c>
      <c r="G1295">
        <v>47460</v>
      </c>
      <c r="H1295" s="116"/>
      <c r="I1295" s="116"/>
      <c r="L1295" s="170">
        <v>43913</v>
      </c>
      <c r="M1295" s="116">
        <v>863.05</v>
      </c>
      <c r="N1295" s="116">
        <v>999</v>
      </c>
      <c r="O1295" s="116">
        <v>805</v>
      </c>
      <c r="P1295" s="116">
        <v>825</v>
      </c>
      <c r="Q1295" s="116">
        <v>863.05</v>
      </c>
      <c r="R1295">
        <v>58987</v>
      </c>
    </row>
    <row r="1296" spans="1:18" x14ac:dyDescent="0.25">
      <c r="A1296" s="170">
        <v>43914</v>
      </c>
      <c r="B1296" s="116">
        <v>890.7</v>
      </c>
      <c r="C1296" s="116">
        <v>827.9</v>
      </c>
      <c r="D1296" s="116">
        <v>824.1</v>
      </c>
      <c r="E1296" s="116">
        <v>867.3</v>
      </c>
      <c r="F1296" s="116">
        <v>827.9</v>
      </c>
      <c r="G1296">
        <v>3363</v>
      </c>
      <c r="H1296" s="116"/>
      <c r="I1296" s="116"/>
      <c r="L1296" s="170">
        <v>43914</v>
      </c>
      <c r="M1296" s="116">
        <v>830.15</v>
      </c>
      <c r="N1296" s="116">
        <v>900</v>
      </c>
      <c r="O1296" s="116">
        <v>821.2</v>
      </c>
      <c r="P1296" s="116">
        <v>900</v>
      </c>
      <c r="Q1296" s="116">
        <v>830.15</v>
      </c>
      <c r="R1296">
        <v>34599</v>
      </c>
    </row>
    <row r="1297" spans="1:18" x14ac:dyDescent="0.25">
      <c r="A1297" s="170">
        <v>43915</v>
      </c>
      <c r="B1297" s="116">
        <v>847.3</v>
      </c>
      <c r="C1297" s="116">
        <v>835.85</v>
      </c>
      <c r="D1297" s="116">
        <v>795</v>
      </c>
      <c r="E1297" s="116">
        <v>800</v>
      </c>
      <c r="F1297" s="116">
        <v>835.85</v>
      </c>
      <c r="G1297">
        <v>3813</v>
      </c>
      <c r="H1297" s="116"/>
      <c r="I1297" s="116"/>
      <c r="L1297" s="170">
        <v>43915</v>
      </c>
      <c r="M1297" s="116">
        <v>834.55</v>
      </c>
      <c r="N1297" s="116">
        <v>850</v>
      </c>
      <c r="O1297" s="116">
        <v>801</v>
      </c>
      <c r="P1297" s="116">
        <v>801</v>
      </c>
      <c r="Q1297" s="116">
        <v>834.55</v>
      </c>
      <c r="R1297">
        <v>58627</v>
      </c>
    </row>
    <row r="1298" spans="1:18" x14ac:dyDescent="0.25">
      <c r="A1298" s="170">
        <v>43916</v>
      </c>
      <c r="B1298" s="116">
        <v>870.35</v>
      </c>
      <c r="C1298" s="116">
        <v>860.45</v>
      </c>
      <c r="D1298" s="116">
        <v>835</v>
      </c>
      <c r="E1298" s="116">
        <v>836</v>
      </c>
      <c r="F1298" s="116">
        <v>860.45</v>
      </c>
      <c r="G1298">
        <v>3853</v>
      </c>
      <c r="H1298" s="116"/>
      <c r="I1298" s="116"/>
      <c r="L1298" s="170">
        <v>43916</v>
      </c>
      <c r="M1298" s="116">
        <v>861.3</v>
      </c>
      <c r="N1298" s="116">
        <v>870.2</v>
      </c>
      <c r="O1298" s="116">
        <v>829.55</v>
      </c>
      <c r="P1298" s="116">
        <v>835.7</v>
      </c>
      <c r="Q1298" s="116">
        <v>861.3</v>
      </c>
      <c r="R1298">
        <v>29477</v>
      </c>
    </row>
    <row r="1299" spans="1:18" x14ac:dyDescent="0.25">
      <c r="A1299" s="170">
        <v>43917</v>
      </c>
      <c r="B1299" s="116">
        <v>914</v>
      </c>
      <c r="C1299" s="116">
        <v>853.1</v>
      </c>
      <c r="D1299" s="116">
        <v>840</v>
      </c>
      <c r="E1299" s="116">
        <v>874.9</v>
      </c>
      <c r="F1299" s="116">
        <v>853.1</v>
      </c>
      <c r="G1299">
        <v>5204</v>
      </c>
      <c r="H1299" s="116"/>
      <c r="I1299" s="116"/>
      <c r="L1299" s="170">
        <v>43917</v>
      </c>
      <c r="M1299" s="116">
        <v>852.5</v>
      </c>
      <c r="N1299" s="116">
        <v>915.15</v>
      </c>
      <c r="O1299" s="116">
        <v>835</v>
      </c>
      <c r="P1299" s="116">
        <v>915.15</v>
      </c>
      <c r="Q1299" s="116">
        <v>852.5</v>
      </c>
      <c r="R1299">
        <v>34666</v>
      </c>
    </row>
    <row r="1300" spans="1:18" x14ac:dyDescent="0.25">
      <c r="A1300" s="170">
        <v>43920</v>
      </c>
      <c r="B1300" s="116">
        <v>890</v>
      </c>
      <c r="C1300" s="116">
        <v>882.6</v>
      </c>
      <c r="D1300" s="116">
        <v>825</v>
      </c>
      <c r="E1300" s="116">
        <v>860</v>
      </c>
      <c r="F1300" s="116">
        <v>882.6</v>
      </c>
      <c r="G1300">
        <v>14623</v>
      </c>
      <c r="H1300" s="116"/>
      <c r="I1300" s="116"/>
      <c r="L1300" s="170">
        <v>43920</v>
      </c>
      <c r="M1300" s="116">
        <v>881.4</v>
      </c>
      <c r="N1300" s="116">
        <v>889</v>
      </c>
      <c r="O1300" s="116">
        <v>826</v>
      </c>
      <c r="P1300" s="116">
        <v>839.55</v>
      </c>
      <c r="Q1300" s="116">
        <v>881.4</v>
      </c>
      <c r="R1300">
        <v>30325</v>
      </c>
    </row>
    <row r="1301" spans="1:18" x14ac:dyDescent="0.25">
      <c r="A1301" s="170">
        <v>43921</v>
      </c>
      <c r="B1301" s="116">
        <v>948.95</v>
      </c>
      <c r="C1301" s="116">
        <v>932.65</v>
      </c>
      <c r="D1301" s="116">
        <v>868.5</v>
      </c>
      <c r="E1301" s="116">
        <v>884</v>
      </c>
      <c r="F1301" s="116">
        <v>932.65</v>
      </c>
      <c r="G1301">
        <v>2035</v>
      </c>
      <c r="H1301" s="116"/>
      <c r="I1301" s="116"/>
      <c r="L1301" s="170">
        <v>43921</v>
      </c>
      <c r="M1301" s="116">
        <v>935.4</v>
      </c>
      <c r="N1301" s="116">
        <v>949</v>
      </c>
      <c r="O1301" s="116">
        <v>866.75</v>
      </c>
      <c r="P1301" s="116">
        <v>910</v>
      </c>
      <c r="Q1301" s="116">
        <v>935.4</v>
      </c>
      <c r="R1301">
        <v>141102</v>
      </c>
    </row>
    <row r="1302" spans="1:18" x14ac:dyDescent="0.25">
      <c r="A1302" s="170">
        <v>43922</v>
      </c>
      <c r="B1302" s="116">
        <v>967</v>
      </c>
      <c r="C1302" s="116">
        <v>923.5</v>
      </c>
      <c r="D1302" s="116">
        <v>906.35</v>
      </c>
      <c r="E1302" s="116">
        <v>967</v>
      </c>
      <c r="F1302" s="116">
        <v>923.5</v>
      </c>
      <c r="G1302">
        <v>1982</v>
      </c>
      <c r="H1302" s="116"/>
      <c r="I1302" s="116"/>
      <c r="L1302" s="170">
        <v>43922</v>
      </c>
      <c r="M1302" s="116">
        <v>929.65</v>
      </c>
      <c r="N1302" s="116">
        <v>949</v>
      </c>
      <c r="O1302" s="116">
        <v>904.9</v>
      </c>
      <c r="P1302" s="116">
        <v>935.4</v>
      </c>
      <c r="Q1302" s="116">
        <v>929.65</v>
      </c>
      <c r="R1302">
        <v>14021</v>
      </c>
    </row>
    <row r="1303" spans="1:18" x14ac:dyDescent="0.25">
      <c r="A1303" s="170">
        <v>43924</v>
      </c>
      <c r="B1303" s="116">
        <v>948.9</v>
      </c>
      <c r="C1303" s="116">
        <v>931.75</v>
      </c>
      <c r="D1303" s="116">
        <v>895</v>
      </c>
      <c r="E1303" s="116">
        <v>940</v>
      </c>
      <c r="F1303" s="116">
        <v>931.75</v>
      </c>
      <c r="G1303">
        <v>2579</v>
      </c>
      <c r="H1303" s="116"/>
      <c r="I1303" s="116"/>
      <c r="L1303" s="170">
        <v>43924</v>
      </c>
      <c r="M1303" s="116">
        <v>934.15</v>
      </c>
      <c r="N1303" s="116">
        <v>949</v>
      </c>
      <c r="O1303" s="116">
        <v>893</v>
      </c>
      <c r="P1303" s="116">
        <v>914.3</v>
      </c>
      <c r="Q1303" s="116">
        <v>934.15</v>
      </c>
      <c r="R1303">
        <v>40418</v>
      </c>
    </row>
    <row r="1304" spans="1:18" x14ac:dyDescent="0.25">
      <c r="A1304" s="170">
        <v>43928</v>
      </c>
      <c r="B1304" s="116">
        <v>1100</v>
      </c>
      <c r="C1304" s="116">
        <v>934.3</v>
      </c>
      <c r="D1304" s="116">
        <v>910</v>
      </c>
      <c r="E1304" s="116">
        <v>961</v>
      </c>
      <c r="F1304" s="116">
        <v>934.3</v>
      </c>
      <c r="G1304">
        <v>5680</v>
      </c>
      <c r="H1304" s="116"/>
      <c r="I1304" s="116"/>
      <c r="L1304" s="170">
        <v>43928</v>
      </c>
      <c r="M1304" s="116">
        <v>931.35</v>
      </c>
      <c r="N1304" s="116">
        <v>1050</v>
      </c>
      <c r="O1304" s="116">
        <v>911</v>
      </c>
      <c r="P1304" s="116">
        <v>969.9</v>
      </c>
      <c r="Q1304" s="116">
        <v>931.35</v>
      </c>
      <c r="R1304">
        <v>162985</v>
      </c>
    </row>
    <row r="1305" spans="1:18" x14ac:dyDescent="0.25">
      <c r="A1305" s="170">
        <v>43929</v>
      </c>
      <c r="B1305" s="116">
        <v>962.35</v>
      </c>
      <c r="C1305" s="116">
        <v>928.8</v>
      </c>
      <c r="D1305" s="116">
        <v>915.9</v>
      </c>
      <c r="E1305" s="116">
        <v>947.9</v>
      </c>
      <c r="F1305" s="116">
        <v>928.8</v>
      </c>
      <c r="G1305">
        <v>3413</v>
      </c>
      <c r="H1305" s="116"/>
      <c r="I1305" s="116"/>
      <c r="L1305" s="170">
        <v>43929</v>
      </c>
      <c r="M1305" s="116">
        <v>930.7</v>
      </c>
      <c r="N1305" s="116">
        <v>965</v>
      </c>
      <c r="O1305" s="116">
        <v>910</v>
      </c>
      <c r="P1305" s="116">
        <v>935</v>
      </c>
      <c r="Q1305" s="116">
        <v>930.7</v>
      </c>
      <c r="R1305">
        <v>87757</v>
      </c>
    </row>
    <row r="1306" spans="1:18" x14ac:dyDescent="0.25">
      <c r="A1306" s="170">
        <v>43930</v>
      </c>
      <c r="B1306" s="116">
        <v>960</v>
      </c>
      <c r="C1306" s="116">
        <v>926.8</v>
      </c>
      <c r="D1306" s="116">
        <v>924.25</v>
      </c>
      <c r="E1306" s="116">
        <v>960</v>
      </c>
      <c r="F1306" s="116">
        <v>926.8</v>
      </c>
      <c r="G1306">
        <v>3067</v>
      </c>
      <c r="H1306" s="116"/>
      <c r="I1306" s="116"/>
      <c r="L1306" s="170">
        <v>43930</v>
      </c>
      <c r="M1306" s="116">
        <v>926.85</v>
      </c>
      <c r="N1306" s="116">
        <v>948</v>
      </c>
      <c r="O1306" s="116">
        <v>916.35</v>
      </c>
      <c r="P1306" s="116">
        <v>943</v>
      </c>
      <c r="Q1306" s="116">
        <v>926.85</v>
      </c>
      <c r="R1306">
        <v>75668</v>
      </c>
    </row>
    <row r="1307" spans="1:18" x14ac:dyDescent="0.25">
      <c r="A1307" s="170">
        <v>43934</v>
      </c>
      <c r="B1307" s="116">
        <v>934.95</v>
      </c>
      <c r="C1307" s="116">
        <v>907.7</v>
      </c>
      <c r="D1307" s="116">
        <v>897.55</v>
      </c>
      <c r="E1307" s="116">
        <v>927</v>
      </c>
      <c r="F1307" s="116">
        <v>907.7</v>
      </c>
      <c r="G1307">
        <v>3511</v>
      </c>
      <c r="H1307" s="116"/>
      <c r="I1307" s="116"/>
      <c r="L1307" s="170">
        <v>43934</v>
      </c>
      <c r="M1307" s="116">
        <v>907.2</v>
      </c>
      <c r="N1307" s="116">
        <v>934</v>
      </c>
      <c r="O1307" s="116">
        <v>897.5</v>
      </c>
      <c r="P1307" s="116">
        <v>930</v>
      </c>
      <c r="Q1307" s="116">
        <v>907.2</v>
      </c>
      <c r="R1307">
        <v>63007</v>
      </c>
    </row>
    <row r="1308" spans="1:18" x14ac:dyDescent="0.25">
      <c r="A1308" s="170">
        <v>43936</v>
      </c>
      <c r="B1308" s="116">
        <v>933</v>
      </c>
      <c r="C1308" s="116">
        <v>919.25</v>
      </c>
      <c r="D1308" s="116">
        <v>908.15</v>
      </c>
      <c r="E1308" s="116">
        <v>909</v>
      </c>
      <c r="F1308" s="116">
        <v>919.25</v>
      </c>
      <c r="G1308">
        <v>2462</v>
      </c>
      <c r="H1308" s="116"/>
      <c r="I1308" s="116"/>
      <c r="L1308" s="170">
        <v>43936</v>
      </c>
      <c r="M1308" s="116">
        <v>915.85</v>
      </c>
      <c r="N1308" s="116">
        <v>934.4</v>
      </c>
      <c r="O1308" s="116">
        <v>901</v>
      </c>
      <c r="P1308" s="116">
        <v>915</v>
      </c>
      <c r="Q1308" s="116">
        <v>915.85</v>
      </c>
      <c r="R1308">
        <v>32470</v>
      </c>
    </row>
    <row r="1309" spans="1:18" x14ac:dyDescent="0.25">
      <c r="A1309" s="170">
        <v>43937</v>
      </c>
      <c r="B1309" s="116">
        <v>928</v>
      </c>
      <c r="C1309" s="116">
        <v>902.8</v>
      </c>
      <c r="D1309" s="116">
        <v>899</v>
      </c>
      <c r="E1309" s="116">
        <v>913</v>
      </c>
      <c r="F1309" s="116">
        <v>902.8</v>
      </c>
      <c r="G1309">
        <v>5043</v>
      </c>
      <c r="H1309" s="116"/>
      <c r="I1309" s="116"/>
      <c r="L1309" s="170">
        <v>43937</v>
      </c>
      <c r="M1309" s="116">
        <v>900.15</v>
      </c>
      <c r="N1309" s="116">
        <v>928.05</v>
      </c>
      <c r="O1309" s="116">
        <v>898.95</v>
      </c>
      <c r="P1309" s="116">
        <v>914.8</v>
      </c>
      <c r="Q1309" s="116">
        <v>900.15</v>
      </c>
      <c r="R1309">
        <v>140790</v>
      </c>
    </row>
    <row r="1310" spans="1:18" x14ac:dyDescent="0.25">
      <c r="A1310" s="170">
        <v>43938</v>
      </c>
      <c r="B1310" s="116">
        <v>930</v>
      </c>
      <c r="C1310" s="116">
        <v>923.6</v>
      </c>
      <c r="D1310" s="116">
        <v>916.75</v>
      </c>
      <c r="E1310" s="116">
        <v>920</v>
      </c>
      <c r="F1310" s="116">
        <v>923.6</v>
      </c>
      <c r="G1310">
        <v>2743</v>
      </c>
      <c r="H1310" s="116"/>
      <c r="I1310" s="116"/>
      <c r="L1310" s="170">
        <v>43938</v>
      </c>
      <c r="M1310" s="116">
        <v>924.9</v>
      </c>
      <c r="N1310" s="116">
        <v>933</v>
      </c>
      <c r="O1310" s="116">
        <v>913.8</v>
      </c>
      <c r="P1310" s="116">
        <v>918.4</v>
      </c>
      <c r="Q1310" s="116">
        <v>924.9</v>
      </c>
      <c r="R1310">
        <v>40359</v>
      </c>
    </row>
    <row r="1311" spans="1:18" x14ac:dyDescent="0.25">
      <c r="A1311" s="170">
        <v>43941</v>
      </c>
      <c r="B1311" s="116">
        <v>971.55</v>
      </c>
      <c r="C1311" s="116">
        <v>907.55</v>
      </c>
      <c r="D1311" s="116">
        <v>902.5</v>
      </c>
      <c r="E1311" s="116">
        <v>933.85</v>
      </c>
      <c r="F1311" s="116">
        <v>907.55</v>
      </c>
      <c r="G1311">
        <v>6113</v>
      </c>
      <c r="H1311" s="116"/>
      <c r="I1311" s="116"/>
      <c r="L1311" s="170">
        <v>43941</v>
      </c>
      <c r="M1311" s="116">
        <v>906.75</v>
      </c>
      <c r="N1311" s="116">
        <v>972.75</v>
      </c>
      <c r="O1311" s="116">
        <v>900.35</v>
      </c>
      <c r="P1311" s="116">
        <v>936.3</v>
      </c>
      <c r="Q1311" s="116">
        <v>906.75</v>
      </c>
      <c r="R1311">
        <v>165835</v>
      </c>
    </row>
    <row r="1312" spans="1:18" x14ac:dyDescent="0.25">
      <c r="A1312" s="170">
        <v>43942</v>
      </c>
      <c r="B1312" s="116">
        <v>925</v>
      </c>
      <c r="C1312" s="116">
        <v>896.1</v>
      </c>
      <c r="D1312" s="116">
        <v>887.5</v>
      </c>
      <c r="E1312" s="116">
        <v>907.15</v>
      </c>
      <c r="F1312" s="116">
        <v>896.1</v>
      </c>
      <c r="G1312">
        <v>3310</v>
      </c>
      <c r="H1312" s="116"/>
      <c r="I1312" s="116"/>
      <c r="L1312" s="170">
        <v>43942</v>
      </c>
      <c r="M1312" s="116">
        <v>894.5</v>
      </c>
      <c r="N1312" s="116">
        <v>929</v>
      </c>
      <c r="O1312" s="116">
        <v>887.55</v>
      </c>
      <c r="P1312" s="116">
        <v>900</v>
      </c>
      <c r="Q1312" s="116">
        <v>894.5</v>
      </c>
      <c r="R1312">
        <v>99664</v>
      </c>
    </row>
    <row r="1313" spans="1:18" x14ac:dyDescent="0.25">
      <c r="A1313" s="170">
        <v>43943</v>
      </c>
      <c r="B1313" s="116">
        <v>920</v>
      </c>
      <c r="C1313" s="116">
        <v>906.1</v>
      </c>
      <c r="D1313" s="116">
        <v>889</v>
      </c>
      <c r="E1313" s="116">
        <v>905.75</v>
      </c>
      <c r="F1313" s="116">
        <v>906.1</v>
      </c>
      <c r="G1313">
        <v>2491</v>
      </c>
      <c r="H1313" s="116"/>
      <c r="I1313" s="116"/>
      <c r="L1313" s="170">
        <v>43943</v>
      </c>
      <c r="M1313" s="116">
        <v>908.05</v>
      </c>
      <c r="N1313" s="116">
        <v>921.8</v>
      </c>
      <c r="O1313" s="116">
        <v>887.05</v>
      </c>
      <c r="P1313" s="116">
        <v>900.85</v>
      </c>
      <c r="Q1313" s="116">
        <v>908.05</v>
      </c>
      <c r="R1313">
        <v>158811</v>
      </c>
    </row>
    <row r="1314" spans="1:18" x14ac:dyDescent="0.25">
      <c r="A1314" s="170">
        <v>43944</v>
      </c>
      <c r="B1314" s="116">
        <v>920</v>
      </c>
      <c r="C1314" s="116">
        <v>902.1</v>
      </c>
      <c r="D1314" s="116">
        <v>888.6</v>
      </c>
      <c r="E1314" s="116">
        <v>910</v>
      </c>
      <c r="F1314" s="116">
        <v>902.1</v>
      </c>
      <c r="G1314">
        <v>2202</v>
      </c>
      <c r="H1314" s="116"/>
      <c r="I1314" s="116"/>
      <c r="L1314" s="170">
        <v>43944</v>
      </c>
      <c r="M1314" s="116">
        <v>901.8</v>
      </c>
      <c r="N1314" s="116">
        <v>921.95</v>
      </c>
      <c r="O1314" s="116">
        <v>896.2</v>
      </c>
      <c r="P1314" s="116">
        <v>905</v>
      </c>
      <c r="Q1314" s="116">
        <v>901.8</v>
      </c>
      <c r="R1314">
        <v>86093</v>
      </c>
    </row>
    <row r="1315" spans="1:18" x14ac:dyDescent="0.25">
      <c r="A1315" s="170">
        <v>43945</v>
      </c>
      <c r="B1315" s="116">
        <v>905.75</v>
      </c>
      <c r="C1315" s="116">
        <v>893.35</v>
      </c>
      <c r="D1315" s="116">
        <v>890.55</v>
      </c>
      <c r="E1315" s="116">
        <v>897.05</v>
      </c>
      <c r="F1315" s="116">
        <v>893.35</v>
      </c>
      <c r="G1315">
        <v>1827</v>
      </c>
      <c r="H1315" s="116"/>
      <c r="I1315" s="116"/>
      <c r="L1315" s="170">
        <v>43945</v>
      </c>
      <c r="M1315" s="116">
        <v>893.45</v>
      </c>
      <c r="N1315" s="116">
        <v>906.55</v>
      </c>
      <c r="O1315" s="116">
        <v>890</v>
      </c>
      <c r="P1315" s="116">
        <v>901.8</v>
      </c>
      <c r="Q1315" s="116">
        <v>893.45</v>
      </c>
      <c r="R1315">
        <v>62329</v>
      </c>
    </row>
    <row r="1316" spans="1:18" x14ac:dyDescent="0.25">
      <c r="A1316" s="170">
        <v>43948</v>
      </c>
      <c r="B1316" s="116">
        <v>904.95</v>
      </c>
      <c r="C1316" s="116">
        <v>884.8</v>
      </c>
      <c r="D1316" s="116">
        <v>881</v>
      </c>
      <c r="E1316" s="116">
        <v>900</v>
      </c>
      <c r="F1316" s="116">
        <v>884.8</v>
      </c>
      <c r="G1316">
        <v>2347</v>
      </c>
      <c r="H1316" s="116"/>
      <c r="I1316" s="116"/>
      <c r="L1316" s="170">
        <v>43948</v>
      </c>
      <c r="M1316" s="116">
        <v>883.35</v>
      </c>
      <c r="N1316" s="116">
        <v>907</v>
      </c>
      <c r="O1316" s="116">
        <v>880.05</v>
      </c>
      <c r="P1316" s="116">
        <v>900</v>
      </c>
      <c r="Q1316" s="116">
        <v>883.35</v>
      </c>
      <c r="R1316">
        <v>47484</v>
      </c>
    </row>
    <row r="1317" spans="1:18" x14ac:dyDescent="0.25">
      <c r="A1317" s="170">
        <v>43949</v>
      </c>
      <c r="B1317" s="116">
        <v>905</v>
      </c>
      <c r="C1317" s="116">
        <v>872.35</v>
      </c>
      <c r="D1317" s="116">
        <v>868.05</v>
      </c>
      <c r="E1317" s="116">
        <v>896.15</v>
      </c>
      <c r="F1317" s="116">
        <v>872.35</v>
      </c>
      <c r="G1317">
        <v>5567</v>
      </c>
      <c r="H1317" s="116"/>
      <c r="I1317" s="116"/>
      <c r="L1317" s="170">
        <v>43949</v>
      </c>
      <c r="M1317" s="116">
        <v>873.4</v>
      </c>
      <c r="N1317" s="116">
        <v>906.45</v>
      </c>
      <c r="O1317" s="116">
        <v>868</v>
      </c>
      <c r="P1317" s="116">
        <v>892.5</v>
      </c>
      <c r="Q1317" s="116">
        <v>873.4</v>
      </c>
      <c r="R1317">
        <v>138324</v>
      </c>
    </row>
    <row r="1318" spans="1:18" x14ac:dyDescent="0.25">
      <c r="A1318" s="170">
        <v>43950</v>
      </c>
      <c r="B1318" s="116">
        <v>892.75</v>
      </c>
      <c r="C1318" s="116">
        <v>879.15</v>
      </c>
      <c r="D1318" s="116">
        <v>875</v>
      </c>
      <c r="E1318" s="116">
        <v>875</v>
      </c>
      <c r="F1318" s="116">
        <v>879.15</v>
      </c>
      <c r="G1318">
        <v>11229</v>
      </c>
      <c r="H1318" s="116"/>
      <c r="I1318" s="116"/>
      <c r="L1318" s="170">
        <v>43950</v>
      </c>
      <c r="M1318" s="116">
        <v>880.15</v>
      </c>
      <c r="N1318" s="116">
        <v>891.75</v>
      </c>
      <c r="O1318" s="116">
        <v>875</v>
      </c>
      <c r="P1318" s="116">
        <v>881</v>
      </c>
      <c r="Q1318" s="116">
        <v>880.15</v>
      </c>
      <c r="R1318">
        <v>60897</v>
      </c>
    </row>
    <row r="1319" spans="1:18" x14ac:dyDescent="0.25">
      <c r="A1319" s="170">
        <v>43951</v>
      </c>
      <c r="B1319" s="116">
        <v>913</v>
      </c>
      <c r="C1319" s="116">
        <v>901.35</v>
      </c>
      <c r="D1319" s="116">
        <v>890</v>
      </c>
      <c r="E1319" s="116">
        <v>890</v>
      </c>
      <c r="F1319" s="116">
        <v>901.35</v>
      </c>
      <c r="G1319">
        <v>2901</v>
      </c>
      <c r="H1319" s="116"/>
      <c r="I1319" s="116"/>
      <c r="L1319" s="170">
        <v>43951</v>
      </c>
      <c r="M1319" s="116">
        <v>900.55</v>
      </c>
      <c r="N1319" s="116">
        <v>913.15</v>
      </c>
      <c r="O1319" s="116">
        <v>890.1</v>
      </c>
      <c r="P1319" s="116">
        <v>900</v>
      </c>
      <c r="Q1319" s="116">
        <v>900.55</v>
      </c>
      <c r="R1319">
        <v>145626</v>
      </c>
    </row>
    <row r="1320" spans="1:18" x14ac:dyDescent="0.25">
      <c r="A1320" s="170">
        <v>43955</v>
      </c>
      <c r="B1320" s="116">
        <v>890.05</v>
      </c>
      <c r="C1320" s="116">
        <v>880.1</v>
      </c>
      <c r="D1320" s="116">
        <v>868.1</v>
      </c>
      <c r="E1320" s="116">
        <v>890</v>
      </c>
      <c r="F1320" s="116">
        <v>880.1</v>
      </c>
      <c r="G1320">
        <v>2631</v>
      </c>
      <c r="H1320" s="116"/>
      <c r="I1320" s="116"/>
      <c r="L1320" s="170">
        <v>43955</v>
      </c>
      <c r="M1320" s="116">
        <v>879.5</v>
      </c>
      <c r="N1320" s="116">
        <v>895</v>
      </c>
      <c r="O1320" s="116">
        <v>870</v>
      </c>
      <c r="P1320" s="116">
        <v>895</v>
      </c>
      <c r="Q1320" s="116">
        <v>879.5</v>
      </c>
      <c r="R1320">
        <v>47419</v>
      </c>
    </row>
    <row r="1321" spans="1:18" x14ac:dyDescent="0.25">
      <c r="A1321" s="170">
        <v>43956</v>
      </c>
      <c r="B1321" s="116">
        <v>894.35</v>
      </c>
      <c r="C1321" s="116">
        <v>875.15</v>
      </c>
      <c r="D1321" s="116">
        <v>870</v>
      </c>
      <c r="E1321" s="116">
        <v>894.35</v>
      </c>
      <c r="F1321" s="116">
        <v>875.15</v>
      </c>
      <c r="G1321">
        <v>1132</v>
      </c>
      <c r="H1321" s="116"/>
      <c r="I1321" s="116"/>
      <c r="L1321" s="170">
        <v>43956</v>
      </c>
      <c r="M1321" s="116">
        <v>873.2</v>
      </c>
      <c r="N1321" s="116">
        <v>896.05</v>
      </c>
      <c r="O1321" s="116">
        <v>870.05</v>
      </c>
      <c r="P1321" s="116">
        <v>893.8</v>
      </c>
      <c r="Q1321" s="116">
        <v>873.2</v>
      </c>
      <c r="R1321">
        <v>24433</v>
      </c>
    </row>
    <row r="1322" spans="1:18" x14ac:dyDescent="0.25">
      <c r="A1322" s="170">
        <v>43957</v>
      </c>
      <c r="B1322" s="116">
        <v>885</v>
      </c>
      <c r="C1322" s="116">
        <v>870.15</v>
      </c>
      <c r="D1322" s="116">
        <v>867.4</v>
      </c>
      <c r="E1322" s="116">
        <v>873.75</v>
      </c>
      <c r="F1322" s="116">
        <v>870.15</v>
      </c>
      <c r="G1322">
        <v>2886</v>
      </c>
      <c r="H1322" s="116"/>
      <c r="I1322" s="116"/>
      <c r="L1322" s="170">
        <v>43957</v>
      </c>
      <c r="M1322" s="116">
        <v>869.55</v>
      </c>
      <c r="N1322" s="116">
        <v>887.95</v>
      </c>
      <c r="O1322" s="116">
        <v>866.05</v>
      </c>
      <c r="P1322" s="116">
        <v>871</v>
      </c>
      <c r="Q1322" s="116">
        <v>869.55</v>
      </c>
      <c r="R1322">
        <v>45865</v>
      </c>
    </row>
    <row r="1323" spans="1:18" x14ac:dyDescent="0.25">
      <c r="A1323" s="170">
        <v>43958</v>
      </c>
      <c r="B1323" s="116">
        <v>872.15</v>
      </c>
      <c r="C1323" s="116">
        <v>859.5</v>
      </c>
      <c r="D1323" s="116">
        <v>856.75</v>
      </c>
      <c r="E1323" s="116">
        <v>860.1</v>
      </c>
      <c r="F1323" s="116">
        <v>859.5</v>
      </c>
      <c r="G1323">
        <v>877</v>
      </c>
      <c r="H1323" s="116"/>
      <c r="I1323" s="116"/>
      <c r="L1323" s="170">
        <v>43958</v>
      </c>
      <c r="M1323" s="116">
        <v>858.5</v>
      </c>
      <c r="N1323" s="116">
        <v>872</v>
      </c>
      <c r="O1323" s="116">
        <v>856</v>
      </c>
      <c r="P1323" s="116">
        <v>864.5</v>
      </c>
      <c r="Q1323" s="116">
        <v>858.5</v>
      </c>
      <c r="R1323">
        <v>30256</v>
      </c>
    </row>
    <row r="1324" spans="1:18" x14ac:dyDescent="0.25">
      <c r="A1324" s="170">
        <v>43959</v>
      </c>
      <c r="B1324" s="116">
        <v>867.2</v>
      </c>
      <c r="C1324" s="116">
        <v>848.15</v>
      </c>
      <c r="D1324" s="116">
        <v>840.4</v>
      </c>
      <c r="E1324" s="116">
        <v>864.55</v>
      </c>
      <c r="F1324" s="116">
        <v>848.15</v>
      </c>
      <c r="G1324">
        <v>1200</v>
      </c>
      <c r="H1324" s="116"/>
      <c r="I1324" s="116"/>
      <c r="L1324" s="170">
        <v>43959</v>
      </c>
      <c r="M1324" s="116">
        <v>846.6</v>
      </c>
      <c r="N1324" s="116">
        <v>868.45</v>
      </c>
      <c r="O1324" s="116">
        <v>841</v>
      </c>
      <c r="P1324" s="116">
        <v>863.95</v>
      </c>
      <c r="Q1324" s="116">
        <v>846.6</v>
      </c>
      <c r="R1324">
        <v>35936</v>
      </c>
    </row>
    <row r="1325" spans="1:18" x14ac:dyDescent="0.25">
      <c r="A1325" s="170">
        <v>43962</v>
      </c>
      <c r="B1325" s="116">
        <v>871.1</v>
      </c>
      <c r="C1325" s="116">
        <v>867.95</v>
      </c>
      <c r="D1325" s="116">
        <v>848.05</v>
      </c>
      <c r="E1325" s="116">
        <v>860</v>
      </c>
      <c r="F1325" s="116">
        <v>867.95</v>
      </c>
      <c r="G1325">
        <v>3462</v>
      </c>
      <c r="H1325" s="116"/>
      <c r="I1325" s="116"/>
      <c r="L1325" s="170">
        <v>43962</v>
      </c>
      <c r="M1325" s="116">
        <v>866.9</v>
      </c>
      <c r="N1325" s="116">
        <v>872</v>
      </c>
      <c r="O1325" s="116">
        <v>846.55</v>
      </c>
      <c r="P1325" s="116">
        <v>849.6</v>
      </c>
      <c r="Q1325" s="116">
        <v>866.9</v>
      </c>
      <c r="R1325">
        <v>83321</v>
      </c>
    </row>
    <row r="1326" spans="1:18" x14ac:dyDescent="0.25">
      <c r="A1326" s="170">
        <v>43963</v>
      </c>
      <c r="B1326" s="116">
        <v>867.6</v>
      </c>
      <c r="C1326" s="116">
        <v>853.65</v>
      </c>
      <c r="D1326" s="116">
        <v>851</v>
      </c>
      <c r="E1326" s="116">
        <v>867.6</v>
      </c>
      <c r="F1326" s="116">
        <v>853.65</v>
      </c>
      <c r="G1326">
        <v>1565</v>
      </c>
      <c r="H1326" s="116"/>
      <c r="I1326" s="116"/>
      <c r="L1326" s="170">
        <v>43963</v>
      </c>
      <c r="M1326" s="116">
        <v>852</v>
      </c>
      <c r="N1326" s="116">
        <v>860.35</v>
      </c>
      <c r="O1326" s="116">
        <v>850</v>
      </c>
      <c r="P1326" s="116">
        <v>860</v>
      </c>
      <c r="Q1326" s="116">
        <v>852</v>
      </c>
      <c r="R1326">
        <v>18231</v>
      </c>
    </row>
    <row r="1327" spans="1:18" x14ac:dyDescent="0.25">
      <c r="A1327" s="170">
        <v>43964</v>
      </c>
      <c r="B1327" s="116">
        <v>899.95</v>
      </c>
      <c r="C1327" s="116">
        <v>856.05</v>
      </c>
      <c r="D1327" s="116">
        <v>853.45</v>
      </c>
      <c r="E1327" s="116">
        <v>899.95</v>
      </c>
      <c r="F1327" s="116">
        <v>856.05</v>
      </c>
      <c r="G1327">
        <v>3157</v>
      </c>
      <c r="H1327" s="116"/>
      <c r="I1327" s="116"/>
      <c r="L1327" s="170">
        <v>43964</v>
      </c>
      <c r="M1327" s="116">
        <v>855.65</v>
      </c>
      <c r="N1327" s="116">
        <v>876.8</v>
      </c>
      <c r="O1327" s="116">
        <v>852</v>
      </c>
      <c r="P1327" s="116">
        <v>868.75</v>
      </c>
      <c r="Q1327" s="116">
        <v>855.65</v>
      </c>
      <c r="R1327">
        <v>62961</v>
      </c>
    </row>
    <row r="1328" spans="1:18" x14ac:dyDescent="0.25">
      <c r="A1328" s="170">
        <v>43965</v>
      </c>
      <c r="B1328" s="116">
        <v>863.15</v>
      </c>
      <c r="C1328" s="116">
        <v>836.1</v>
      </c>
      <c r="D1328" s="116">
        <v>833.4</v>
      </c>
      <c r="E1328" s="116">
        <v>845</v>
      </c>
      <c r="F1328" s="116">
        <v>836.1</v>
      </c>
      <c r="G1328">
        <v>4895</v>
      </c>
      <c r="H1328" s="116"/>
      <c r="I1328" s="116"/>
      <c r="L1328" s="170">
        <v>43965</v>
      </c>
      <c r="M1328" s="116">
        <v>836.1</v>
      </c>
      <c r="N1328" s="116">
        <v>864</v>
      </c>
      <c r="O1328" s="116">
        <v>833</v>
      </c>
      <c r="P1328" s="116">
        <v>840.05</v>
      </c>
      <c r="Q1328" s="116">
        <v>836.1</v>
      </c>
      <c r="R1328">
        <v>90247</v>
      </c>
    </row>
    <row r="1329" spans="1:18" x14ac:dyDescent="0.25">
      <c r="A1329" s="170">
        <v>43966</v>
      </c>
      <c r="B1329" s="116">
        <v>844.15</v>
      </c>
      <c r="C1329" s="116">
        <v>822.3</v>
      </c>
      <c r="D1329" s="116">
        <v>821</v>
      </c>
      <c r="E1329" s="116">
        <v>844.15</v>
      </c>
      <c r="F1329" s="116">
        <v>822.3</v>
      </c>
      <c r="G1329">
        <v>6521</v>
      </c>
      <c r="H1329" s="116"/>
      <c r="I1329" s="116"/>
      <c r="L1329" s="170">
        <v>43966</v>
      </c>
      <c r="M1329" s="116">
        <v>822.7</v>
      </c>
      <c r="N1329" s="116">
        <v>846</v>
      </c>
      <c r="O1329" s="116">
        <v>821</v>
      </c>
      <c r="P1329" s="116">
        <v>840</v>
      </c>
      <c r="Q1329" s="116">
        <v>822.7</v>
      </c>
      <c r="R1329">
        <v>62463</v>
      </c>
    </row>
    <row r="1330" spans="1:18" x14ac:dyDescent="0.25">
      <c r="A1330" s="170">
        <v>43969</v>
      </c>
      <c r="B1330" s="116">
        <v>824.4</v>
      </c>
      <c r="C1330" s="116">
        <v>800.35</v>
      </c>
      <c r="D1330" s="116">
        <v>796.6</v>
      </c>
      <c r="E1330" s="116">
        <v>820</v>
      </c>
      <c r="F1330" s="116">
        <v>800.35</v>
      </c>
      <c r="G1330">
        <v>4026</v>
      </c>
      <c r="H1330" s="116"/>
      <c r="I1330" s="116"/>
      <c r="L1330" s="170">
        <v>43969</v>
      </c>
      <c r="M1330" s="116">
        <v>799.8</v>
      </c>
      <c r="N1330" s="116">
        <v>828.3</v>
      </c>
      <c r="O1330" s="116">
        <v>797.05</v>
      </c>
      <c r="P1330" s="116">
        <v>822.7</v>
      </c>
      <c r="Q1330" s="116">
        <v>799.8</v>
      </c>
      <c r="R1330">
        <v>90489</v>
      </c>
    </row>
    <row r="1331" spans="1:18" x14ac:dyDescent="0.25">
      <c r="A1331" s="170">
        <v>43970</v>
      </c>
      <c r="B1331" s="116">
        <v>814.95</v>
      </c>
      <c r="C1331" s="116">
        <v>786.2</v>
      </c>
      <c r="D1331" s="116">
        <v>765.95</v>
      </c>
      <c r="E1331" s="116">
        <v>814.95</v>
      </c>
      <c r="F1331" s="116">
        <v>786.2</v>
      </c>
      <c r="G1331">
        <v>10254</v>
      </c>
      <c r="H1331" s="116"/>
      <c r="I1331" s="116"/>
      <c r="L1331" s="170">
        <v>43970</v>
      </c>
      <c r="M1331" s="116">
        <v>784.5</v>
      </c>
      <c r="N1331" s="116">
        <v>818.95</v>
      </c>
      <c r="O1331" s="116">
        <v>780</v>
      </c>
      <c r="P1331" s="116">
        <v>818.95</v>
      </c>
      <c r="Q1331" s="116">
        <v>784.5</v>
      </c>
      <c r="R1331">
        <v>132009</v>
      </c>
    </row>
    <row r="1332" spans="1:18" x14ac:dyDescent="0.25">
      <c r="A1332" s="170">
        <v>43971</v>
      </c>
      <c r="B1332" s="116">
        <v>789</v>
      </c>
      <c r="C1332" s="116">
        <v>775.15</v>
      </c>
      <c r="D1332" s="116">
        <v>755.3</v>
      </c>
      <c r="E1332" s="116">
        <v>787</v>
      </c>
      <c r="F1332" s="116">
        <v>775.15</v>
      </c>
      <c r="G1332">
        <v>6639</v>
      </c>
      <c r="H1332" s="116"/>
      <c r="I1332" s="116"/>
      <c r="L1332" s="170">
        <v>43971</v>
      </c>
      <c r="M1332" s="116">
        <v>774.35</v>
      </c>
      <c r="N1332" s="116">
        <v>788.9</v>
      </c>
      <c r="O1332" s="116">
        <v>773</v>
      </c>
      <c r="P1332" s="116">
        <v>788.9</v>
      </c>
      <c r="Q1332" s="116">
        <v>774.35</v>
      </c>
      <c r="R1332">
        <v>64779</v>
      </c>
    </row>
    <row r="1333" spans="1:18" x14ac:dyDescent="0.25">
      <c r="A1333" s="170">
        <v>43972</v>
      </c>
      <c r="B1333" s="116">
        <v>795</v>
      </c>
      <c r="C1333" s="116">
        <v>750.75</v>
      </c>
      <c r="D1333" s="116">
        <v>747.15</v>
      </c>
      <c r="E1333" s="116">
        <v>775</v>
      </c>
      <c r="F1333" s="116">
        <v>750.75</v>
      </c>
      <c r="G1333">
        <v>7421</v>
      </c>
      <c r="H1333" s="116"/>
      <c r="I1333" s="116"/>
      <c r="L1333" s="170">
        <v>43972</v>
      </c>
      <c r="M1333" s="116">
        <v>749.75</v>
      </c>
      <c r="N1333" s="116">
        <v>800</v>
      </c>
      <c r="O1333" s="116">
        <v>745.65</v>
      </c>
      <c r="P1333" s="116">
        <v>774</v>
      </c>
      <c r="Q1333" s="116">
        <v>749.75</v>
      </c>
      <c r="R1333">
        <v>191499</v>
      </c>
    </row>
    <row r="1334" spans="1:18" x14ac:dyDescent="0.25">
      <c r="A1334" s="170">
        <v>43973</v>
      </c>
      <c r="B1334" s="116">
        <v>757.4</v>
      </c>
      <c r="C1334" s="116">
        <v>730.15</v>
      </c>
      <c r="D1334" s="116">
        <v>729.05</v>
      </c>
      <c r="E1334" s="116">
        <v>752</v>
      </c>
      <c r="F1334" s="116">
        <v>730.15</v>
      </c>
      <c r="G1334">
        <v>11015</v>
      </c>
      <c r="H1334" s="116"/>
      <c r="I1334" s="116"/>
      <c r="L1334" s="170">
        <v>43973</v>
      </c>
      <c r="M1334" s="116">
        <v>730.1</v>
      </c>
      <c r="N1334" s="116">
        <v>758.85</v>
      </c>
      <c r="O1334" s="116">
        <v>729</v>
      </c>
      <c r="P1334" s="116">
        <v>750</v>
      </c>
      <c r="Q1334" s="116">
        <v>730.1</v>
      </c>
      <c r="R1334">
        <v>126840</v>
      </c>
    </row>
    <row r="1335" spans="1:18" x14ac:dyDescent="0.25">
      <c r="A1335" s="170">
        <v>43977</v>
      </c>
      <c r="B1335" s="116">
        <v>793</v>
      </c>
      <c r="C1335" s="116">
        <v>726.1</v>
      </c>
      <c r="D1335" s="116">
        <v>723.05</v>
      </c>
      <c r="E1335" s="116">
        <v>793</v>
      </c>
      <c r="F1335" s="116">
        <v>726.1</v>
      </c>
      <c r="G1335">
        <v>1056407</v>
      </c>
      <c r="H1335" s="116"/>
      <c r="I1335" s="116"/>
      <c r="L1335" s="170">
        <v>43977</v>
      </c>
      <c r="M1335" s="116">
        <v>725.95</v>
      </c>
      <c r="N1335" s="116">
        <v>749</v>
      </c>
      <c r="O1335" s="116">
        <v>723.3</v>
      </c>
      <c r="P1335" s="116">
        <v>737.3</v>
      </c>
      <c r="Q1335" s="116">
        <v>725.95</v>
      </c>
      <c r="R1335">
        <v>524000</v>
      </c>
    </row>
    <row r="1336" spans="1:18" x14ac:dyDescent="0.25">
      <c r="A1336" s="170">
        <v>43978</v>
      </c>
      <c r="B1336" s="116">
        <v>740</v>
      </c>
      <c r="C1336" s="116">
        <v>737.05</v>
      </c>
      <c r="D1336" s="116">
        <v>722.45</v>
      </c>
      <c r="E1336" s="116">
        <v>730</v>
      </c>
      <c r="F1336" s="116">
        <v>737.05</v>
      </c>
      <c r="G1336">
        <v>9151</v>
      </c>
      <c r="H1336" s="116"/>
      <c r="I1336" s="116"/>
      <c r="L1336" s="170">
        <v>43978</v>
      </c>
      <c r="M1336" s="116">
        <v>736.65</v>
      </c>
      <c r="N1336" s="116">
        <v>741</v>
      </c>
      <c r="O1336" s="116">
        <v>722</v>
      </c>
      <c r="P1336" s="116">
        <v>735</v>
      </c>
      <c r="Q1336" s="116">
        <v>736.65</v>
      </c>
      <c r="R1336">
        <v>109664</v>
      </c>
    </row>
    <row r="1337" spans="1:18" x14ac:dyDescent="0.25">
      <c r="A1337" s="170">
        <v>43979</v>
      </c>
      <c r="B1337" s="116">
        <v>772.1</v>
      </c>
      <c r="C1337" s="116">
        <v>739.55</v>
      </c>
      <c r="D1337" s="116">
        <v>735.55</v>
      </c>
      <c r="E1337" s="116">
        <v>745</v>
      </c>
      <c r="F1337" s="116">
        <v>739.55</v>
      </c>
      <c r="G1337">
        <v>12699</v>
      </c>
      <c r="H1337" s="116"/>
      <c r="I1337" s="116"/>
      <c r="L1337" s="170">
        <v>43979</v>
      </c>
      <c r="M1337" s="116">
        <v>739.85</v>
      </c>
      <c r="N1337" s="116">
        <v>772</v>
      </c>
      <c r="O1337" s="116">
        <v>737.25</v>
      </c>
      <c r="P1337" s="116">
        <v>741.95</v>
      </c>
      <c r="Q1337" s="116">
        <v>739.85</v>
      </c>
      <c r="R1337">
        <v>268525</v>
      </c>
    </row>
    <row r="1338" spans="1:18" x14ac:dyDescent="0.25">
      <c r="A1338" s="170">
        <v>43980</v>
      </c>
      <c r="B1338" s="116">
        <v>751.6</v>
      </c>
      <c r="C1338" s="116">
        <v>743.4</v>
      </c>
      <c r="D1338" s="116">
        <v>739.75</v>
      </c>
      <c r="E1338" s="116">
        <v>747.8</v>
      </c>
      <c r="F1338" s="116">
        <v>743.4</v>
      </c>
      <c r="G1338">
        <v>5370</v>
      </c>
      <c r="H1338" s="116"/>
      <c r="I1338" s="116"/>
      <c r="L1338" s="170">
        <v>43980</v>
      </c>
      <c r="M1338" s="116">
        <v>744.25</v>
      </c>
      <c r="N1338" s="116">
        <v>753.9</v>
      </c>
      <c r="O1338" s="116">
        <v>739</v>
      </c>
      <c r="P1338" s="116">
        <v>741</v>
      </c>
      <c r="Q1338" s="116">
        <v>744.25</v>
      </c>
      <c r="R1338">
        <v>214976</v>
      </c>
    </row>
    <row r="1339" spans="1:18" x14ac:dyDescent="0.25">
      <c r="A1339" s="170">
        <v>43983</v>
      </c>
      <c r="B1339" s="116">
        <v>834.05</v>
      </c>
      <c r="C1339" s="116">
        <v>819.3</v>
      </c>
      <c r="D1339" s="116">
        <v>754</v>
      </c>
      <c r="E1339" s="116">
        <v>754</v>
      </c>
      <c r="F1339" s="116">
        <v>819.3</v>
      </c>
      <c r="G1339">
        <v>23820</v>
      </c>
      <c r="H1339" s="116"/>
      <c r="I1339" s="116"/>
      <c r="L1339" s="170">
        <v>43983</v>
      </c>
      <c r="M1339" s="116">
        <v>821.4</v>
      </c>
      <c r="N1339" s="116">
        <v>834</v>
      </c>
      <c r="O1339" s="116">
        <v>754.4</v>
      </c>
      <c r="P1339" s="116">
        <v>757</v>
      </c>
      <c r="Q1339" s="116">
        <v>821.4</v>
      </c>
      <c r="R1339">
        <v>541641</v>
      </c>
    </row>
    <row r="1340" spans="1:18" x14ac:dyDescent="0.25">
      <c r="A1340" s="170">
        <v>43984</v>
      </c>
      <c r="B1340" s="116">
        <v>845</v>
      </c>
      <c r="C1340" s="116">
        <v>824.4</v>
      </c>
      <c r="D1340" s="116">
        <v>819.3</v>
      </c>
      <c r="E1340" s="116">
        <v>825</v>
      </c>
      <c r="F1340" s="116">
        <v>824.4</v>
      </c>
      <c r="G1340">
        <v>9316</v>
      </c>
      <c r="H1340" s="116"/>
      <c r="I1340" s="116"/>
      <c r="L1340" s="170">
        <v>43984</v>
      </c>
      <c r="M1340" s="116">
        <v>824.9</v>
      </c>
      <c r="N1340" s="116">
        <v>844.5</v>
      </c>
      <c r="O1340" s="116">
        <v>817.3</v>
      </c>
      <c r="P1340" s="116">
        <v>828.4</v>
      </c>
      <c r="Q1340" s="116">
        <v>824.9</v>
      </c>
      <c r="R1340">
        <v>321593</v>
      </c>
    </row>
    <row r="1341" spans="1:18" x14ac:dyDescent="0.25">
      <c r="A1341" s="170">
        <v>43985</v>
      </c>
      <c r="B1341" s="116">
        <v>842.55</v>
      </c>
      <c r="C1341" s="116">
        <v>834.7</v>
      </c>
      <c r="D1341" s="116">
        <v>825</v>
      </c>
      <c r="E1341" s="116">
        <v>833</v>
      </c>
      <c r="F1341" s="116">
        <v>834.7</v>
      </c>
      <c r="G1341">
        <v>8069</v>
      </c>
      <c r="H1341" s="116"/>
      <c r="I1341" s="116"/>
      <c r="L1341" s="170">
        <v>43985</v>
      </c>
      <c r="M1341" s="116">
        <v>835.85</v>
      </c>
      <c r="N1341" s="116">
        <v>843.9</v>
      </c>
      <c r="O1341" s="116">
        <v>825</v>
      </c>
      <c r="P1341" s="116">
        <v>830</v>
      </c>
      <c r="Q1341" s="116">
        <v>835.85</v>
      </c>
      <c r="R1341">
        <v>245789</v>
      </c>
    </row>
    <row r="1342" spans="1:18" x14ac:dyDescent="0.25">
      <c r="A1342" s="170">
        <v>43986</v>
      </c>
      <c r="B1342" s="116">
        <v>847.95</v>
      </c>
      <c r="C1342" s="116">
        <v>834.4</v>
      </c>
      <c r="D1342" s="116">
        <v>804</v>
      </c>
      <c r="E1342" s="116">
        <v>847.95</v>
      </c>
      <c r="F1342" s="116">
        <v>834.4</v>
      </c>
      <c r="G1342">
        <v>6890</v>
      </c>
      <c r="H1342" s="116"/>
      <c r="I1342" s="116"/>
      <c r="L1342" s="170">
        <v>43986</v>
      </c>
      <c r="M1342" s="116">
        <v>835</v>
      </c>
      <c r="N1342" s="116">
        <v>842.5</v>
      </c>
      <c r="O1342" s="116">
        <v>829</v>
      </c>
      <c r="P1342" s="116">
        <v>836</v>
      </c>
      <c r="Q1342" s="116">
        <v>835</v>
      </c>
      <c r="R1342">
        <v>317234</v>
      </c>
    </row>
    <row r="1343" spans="1:18" x14ac:dyDescent="0.25">
      <c r="A1343" s="170">
        <v>43987</v>
      </c>
      <c r="B1343" s="116">
        <v>889</v>
      </c>
      <c r="C1343" s="116">
        <v>878.05</v>
      </c>
      <c r="D1343" s="116">
        <v>845.5</v>
      </c>
      <c r="E1343" s="116">
        <v>845.5</v>
      </c>
      <c r="F1343" s="116">
        <v>878.05</v>
      </c>
      <c r="G1343">
        <v>11632</v>
      </c>
      <c r="H1343" s="116"/>
      <c r="I1343" s="116"/>
      <c r="L1343" s="170">
        <v>43987</v>
      </c>
      <c r="M1343" s="116">
        <v>877.5</v>
      </c>
      <c r="N1343" s="116">
        <v>889.9</v>
      </c>
      <c r="O1343" s="116">
        <v>838.05</v>
      </c>
      <c r="P1343" s="116">
        <v>840</v>
      </c>
      <c r="Q1343" s="116">
        <v>877.5</v>
      </c>
      <c r="R1343">
        <v>357760</v>
      </c>
    </row>
    <row r="1344" spans="1:18" x14ac:dyDescent="0.25">
      <c r="A1344" s="170">
        <v>43990</v>
      </c>
      <c r="B1344" s="116">
        <v>911</v>
      </c>
      <c r="C1344" s="116">
        <v>877</v>
      </c>
      <c r="D1344" s="116">
        <v>870.4</v>
      </c>
      <c r="E1344" s="116">
        <v>890.05</v>
      </c>
      <c r="F1344" s="116">
        <v>877</v>
      </c>
      <c r="G1344">
        <v>8506</v>
      </c>
      <c r="H1344" s="116"/>
      <c r="I1344" s="116"/>
      <c r="L1344" s="170">
        <v>43990</v>
      </c>
      <c r="M1344" s="116">
        <v>878.45</v>
      </c>
      <c r="N1344" s="116">
        <v>913.95</v>
      </c>
      <c r="O1344" s="116">
        <v>870</v>
      </c>
      <c r="P1344" s="116">
        <v>900.15</v>
      </c>
      <c r="Q1344" s="116">
        <v>878.45</v>
      </c>
      <c r="R1344">
        <v>256663</v>
      </c>
    </row>
    <row r="1345" spans="1:18" x14ac:dyDescent="0.25">
      <c r="A1345" s="170">
        <v>43991</v>
      </c>
      <c r="B1345" s="116">
        <v>883.55</v>
      </c>
      <c r="C1345" s="116">
        <v>852.65</v>
      </c>
      <c r="D1345" s="116">
        <v>833</v>
      </c>
      <c r="E1345" s="116">
        <v>883.55</v>
      </c>
      <c r="F1345" s="116">
        <v>852.65</v>
      </c>
      <c r="G1345">
        <v>12670</v>
      </c>
      <c r="H1345" s="116"/>
      <c r="I1345" s="116"/>
      <c r="L1345" s="170">
        <v>43991</v>
      </c>
      <c r="M1345" s="116">
        <v>852.8</v>
      </c>
      <c r="N1345" s="116">
        <v>886.8</v>
      </c>
      <c r="O1345" s="116">
        <v>833</v>
      </c>
      <c r="P1345" s="116">
        <v>886</v>
      </c>
      <c r="Q1345" s="116">
        <v>852.8</v>
      </c>
      <c r="R1345">
        <v>232007</v>
      </c>
    </row>
    <row r="1346" spans="1:18" x14ac:dyDescent="0.25">
      <c r="A1346" s="170">
        <v>43992</v>
      </c>
      <c r="B1346" s="116">
        <v>845.55</v>
      </c>
      <c r="C1346" s="116">
        <v>830.5</v>
      </c>
      <c r="D1346" s="116">
        <v>824.95</v>
      </c>
      <c r="E1346" s="116">
        <v>845</v>
      </c>
      <c r="F1346" s="116">
        <v>830.5</v>
      </c>
      <c r="G1346">
        <v>5721</v>
      </c>
      <c r="H1346" s="116"/>
      <c r="I1346" s="116"/>
      <c r="L1346" s="170">
        <v>43992</v>
      </c>
      <c r="M1346" s="116">
        <v>830.35</v>
      </c>
      <c r="N1346" s="116">
        <v>847</v>
      </c>
      <c r="O1346" s="116">
        <v>825</v>
      </c>
      <c r="P1346" s="116">
        <v>838</v>
      </c>
      <c r="Q1346" s="116">
        <v>830.35</v>
      </c>
      <c r="R1346">
        <v>101930</v>
      </c>
    </row>
    <row r="1347" spans="1:18" x14ac:dyDescent="0.25">
      <c r="A1347" s="170">
        <v>43993</v>
      </c>
      <c r="B1347" s="116">
        <v>855</v>
      </c>
      <c r="C1347" s="116">
        <v>810.4</v>
      </c>
      <c r="D1347" s="116">
        <v>808</v>
      </c>
      <c r="E1347" s="116">
        <v>834.75</v>
      </c>
      <c r="F1347" s="116">
        <v>810.4</v>
      </c>
      <c r="G1347">
        <v>5631</v>
      </c>
      <c r="H1347" s="116"/>
      <c r="I1347" s="116"/>
      <c r="L1347" s="170">
        <v>43993</v>
      </c>
      <c r="M1347" s="116">
        <v>810.05</v>
      </c>
      <c r="N1347" s="116">
        <v>839.95</v>
      </c>
      <c r="O1347" s="116">
        <v>808</v>
      </c>
      <c r="P1347" s="116">
        <v>834</v>
      </c>
      <c r="Q1347" s="116">
        <v>810.05</v>
      </c>
      <c r="R1347">
        <v>123269</v>
      </c>
    </row>
    <row r="1348" spans="1:18" x14ac:dyDescent="0.25">
      <c r="A1348" s="170">
        <v>43994</v>
      </c>
      <c r="B1348" s="116">
        <v>813.2</v>
      </c>
      <c r="C1348" s="116">
        <v>808.35</v>
      </c>
      <c r="D1348" s="116">
        <v>785</v>
      </c>
      <c r="E1348" s="116">
        <v>800</v>
      </c>
      <c r="F1348" s="116">
        <v>808.35</v>
      </c>
      <c r="G1348">
        <v>6727</v>
      </c>
      <c r="H1348" s="116"/>
      <c r="I1348" s="116"/>
      <c r="L1348" s="170">
        <v>43994</v>
      </c>
      <c r="M1348" s="116">
        <v>807.4</v>
      </c>
      <c r="N1348" s="116">
        <v>815</v>
      </c>
      <c r="O1348" s="116">
        <v>780</v>
      </c>
      <c r="P1348" s="116">
        <v>786</v>
      </c>
      <c r="Q1348" s="116">
        <v>807.4</v>
      </c>
      <c r="R1348">
        <v>116248</v>
      </c>
    </row>
    <row r="1349" spans="1:18" x14ac:dyDescent="0.25">
      <c r="A1349" s="170">
        <v>43997</v>
      </c>
      <c r="B1349" s="116">
        <v>822.8</v>
      </c>
      <c r="C1349" s="116">
        <v>806</v>
      </c>
      <c r="D1349" s="116">
        <v>800.05</v>
      </c>
      <c r="E1349" s="116">
        <v>800.05</v>
      </c>
      <c r="F1349" s="116">
        <v>806</v>
      </c>
      <c r="G1349">
        <v>4650</v>
      </c>
      <c r="H1349" s="116"/>
      <c r="I1349" s="116"/>
      <c r="L1349" s="170">
        <v>43997</v>
      </c>
      <c r="M1349" s="116">
        <v>806.1</v>
      </c>
      <c r="N1349" s="116">
        <v>822.55</v>
      </c>
      <c r="O1349" s="116">
        <v>801.95</v>
      </c>
      <c r="P1349" s="116">
        <v>813.4</v>
      </c>
      <c r="Q1349" s="116">
        <v>806.1</v>
      </c>
      <c r="R1349">
        <v>66773</v>
      </c>
    </row>
    <row r="1350" spans="1:18" x14ac:dyDescent="0.25">
      <c r="A1350" s="170">
        <v>43998</v>
      </c>
      <c r="B1350" s="116">
        <v>820</v>
      </c>
      <c r="C1350" s="116">
        <v>794</v>
      </c>
      <c r="D1350" s="116">
        <v>790</v>
      </c>
      <c r="E1350" s="116">
        <v>809.4</v>
      </c>
      <c r="F1350" s="116">
        <v>794</v>
      </c>
      <c r="G1350">
        <v>8381</v>
      </c>
      <c r="H1350" s="116"/>
      <c r="I1350" s="116"/>
      <c r="L1350" s="170">
        <v>43998</v>
      </c>
      <c r="M1350" s="116">
        <v>794.95</v>
      </c>
      <c r="N1350" s="116">
        <v>824</v>
      </c>
      <c r="O1350" s="116">
        <v>789.65</v>
      </c>
      <c r="P1350" s="116">
        <v>819.95</v>
      </c>
      <c r="Q1350" s="116">
        <v>794.95</v>
      </c>
      <c r="R1350">
        <v>107848</v>
      </c>
    </row>
    <row r="1351" spans="1:18" x14ac:dyDescent="0.25">
      <c r="A1351" s="170">
        <v>43999</v>
      </c>
      <c r="B1351" s="116">
        <v>800.4</v>
      </c>
      <c r="C1351" s="116">
        <v>784.4</v>
      </c>
      <c r="D1351" s="116">
        <v>782.2</v>
      </c>
      <c r="E1351" s="116">
        <v>794</v>
      </c>
      <c r="F1351" s="116">
        <v>784.4</v>
      </c>
      <c r="G1351">
        <v>5464</v>
      </c>
      <c r="H1351" s="116"/>
      <c r="I1351" s="116"/>
      <c r="L1351" s="170">
        <v>43999</v>
      </c>
      <c r="M1351" s="116">
        <v>784.65</v>
      </c>
      <c r="N1351" s="116">
        <v>801</v>
      </c>
      <c r="O1351" s="116">
        <v>781</v>
      </c>
      <c r="P1351" s="116">
        <v>798.4</v>
      </c>
      <c r="Q1351" s="116">
        <v>784.65</v>
      </c>
      <c r="R1351">
        <v>139461</v>
      </c>
    </row>
    <row r="1352" spans="1:18" x14ac:dyDescent="0.25">
      <c r="A1352" s="170">
        <v>44000</v>
      </c>
      <c r="B1352" s="116">
        <v>800.8</v>
      </c>
      <c r="C1352" s="116">
        <v>788.05</v>
      </c>
      <c r="D1352" s="116">
        <v>785</v>
      </c>
      <c r="E1352" s="116">
        <v>790</v>
      </c>
      <c r="F1352" s="116">
        <v>788.05</v>
      </c>
      <c r="G1352">
        <v>4185</v>
      </c>
      <c r="H1352" s="116"/>
      <c r="I1352" s="116"/>
      <c r="L1352" s="170">
        <v>44000</v>
      </c>
      <c r="M1352" s="116">
        <v>787.5</v>
      </c>
      <c r="N1352" s="116">
        <v>800</v>
      </c>
      <c r="O1352" s="116">
        <v>784.55</v>
      </c>
      <c r="P1352" s="116">
        <v>787.85</v>
      </c>
      <c r="Q1352" s="116">
        <v>787.5</v>
      </c>
      <c r="R1352">
        <v>107018</v>
      </c>
    </row>
    <row r="1353" spans="1:18" x14ac:dyDescent="0.25">
      <c r="A1353" s="170">
        <v>44001</v>
      </c>
      <c r="B1353" s="116">
        <v>829.95</v>
      </c>
      <c r="C1353" s="116">
        <v>812.5</v>
      </c>
      <c r="D1353" s="116">
        <v>788</v>
      </c>
      <c r="E1353" s="116">
        <v>798</v>
      </c>
      <c r="F1353" s="116">
        <v>812.5</v>
      </c>
      <c r="G1353">
        <v>521707</v>
      </c>
      <c r="H1353" s="116"/>
      <c r="I1353" s="116"/>
      <c r="L1353" s="170">
        <v>44001</v>
      </c>
      <c r="M1353" s="116">
        <v>813</v>
      </c>
      <c r="N1353" s="116">
        <v>830</v>
      </c>
      <c r="O1353" s="116">
        <v>788</v>
      </c>
      <c r="P1353" s="116">
        <v>789.5</v>
      </c>
      <c r="Q1353" s="116">
        <v>813</v>
      </c>
      <c r="R1353">
        <v>1355781</v>
      </c>
    </row>
    <row r="1354" spans="1:18" x14ac:dyDescent="0.25">
      <c r="A1354" s="170">
        <v>44004</v>
      </c>
      <c r="B1354" s="116">
        <v>839.9</v>
      </c>
      <c r="C1354" s="116">
        <v>832.9</v>
      </c>
      <c r="D1354" s="116">
        <v>813</v>
      </c>
      <c r="E1354" s="116">
        <v>813</v>
      </c>
      <c r="F1354" s="116">
        <v>832.9</v>
      </c>
      <c r="G1354">
        <v>13591</v>
      </c>
      <c r="H1354" s="116"/>
      <c r="I1354" s="116"/>
      <c r="L1354" s="170">
        <v>44004</v>
      </c>
      <c r="M1354" s="116">
        <v>832.3</v>
      </c>
      <c r="N1354" s="116">
        <v>839.8</v>
      </c>
      <c r="O1354" s="116">
        <v>822.05</v>
      </c>
      <c r="P1354" s="116">
        <v>825</v>
      </c>
      <c r="Q1354" s="116">
        <v>832.3</v>
      </c>
      <c r="R1354">
        <v>175107</v>
      </c>
    </row>
    <row r="1355" spans="1:18" x14ac:dyDescent="0.25">
      <c r="A1355" s="170">
        <v>44005</v>
      </c>
      <c r="B1355" s="116">
        <v>859.05</v>
      </c>
      <c r="C1355" s="116">
        <v>855.05</v>
      </c>
      <c r="D1355" s="116">
        <v>832</v>
      </c>
      <c r="E1355" s="116">
        <v>833</v>
      </c>
      <c r="F1355" s="116">
        <v>855.05</v>
      </c>
      <c r="G1355">
        <v>18101</v>
      </c>
      <c r="H1355" s="116"/>
      <c r="I1355" s="116"/>
      <c r="L1355" s="170">
        <v>44005</v>
      </c>
      <c r="M1355" s="116">
        <v>854.85</v>
      </c>
      <c r="N1355" s="116">
        <v>859.9</v>
      </c>
      <c r="O1355" s="116">
        <v>832.15</v>
      </c>
      <c r="P1355" s="116">
        <v>838</v>
      </c>
      <c r="Q1355" s="116">
        <v>854.85</v>
      </c>
      <c r="R1355">
        <v>226768</v>
      </c>
    </row>
    <row r="1356" spans="1:18" x14ac:dyDescent="0.25">
      <c r="A1356" s="170">
        <v>44006</v>
      </c>
      <c r="B1356" s="116">
        <v>886.7</v>
      </c>
      <c r="C1356" s="116">
        <v>866.5</v>
      </c>
      <c r="D1356" s="116">
        <v>854.65</v>
      </c>
      <c r="E1356" s="116">
        <v>854.65</v>
      </c>
      <c r="F1356" s="116">
        <v>866.5</v>
      </c>
      <c r="G1356">
        <v>26956</v>
      </c>
      <c r="H1356" s="116"/>
      <c r="I1356" s="116"/>
      <c r="L1356" s="170">
        <v>44006</v>
      </c>
      <c r="M1356" s="116">
        <v>867.85</v>
      </c>
      <c r="N1356" s="116">
        <v>888.5</v>
      </c>
      <c r="O1356" s="116">
        <v>855.25</v>
      </c>
      <c r="P1356" s="116">
        <v>861</v>
      </c>
      <c r="Q1356" s="116">
        <v>867.85</v>
      </c>
      <c r="R1356">
        <v>569892</v>
      </c>
    </row>
    <row r="1357" spans="1:18" x14ac:dyDescent="0.25">
      <c r="A1357" s="170">
        <v>44007</v>
      </c>
      <c r="B1357" s="116">
        <v>895</v>
      </c>
      <c r="C1357" s="116">
        <v>887.5</v>
      </c>
      <c r="D1357" s="116">
        <v>870</v>
      </c>
      <c r="E1357" s="116">
        <v>870</v>
      </c>
      <c r="F1357" s="116">
        <v>887.5</v>
      </c>
      <c r="G1357">
        <v>10091</v>
      </c>
      <c r="H1357" s="116"/>
      <c r="I1357" s="116"/>
      <c r="L1357" s="170">
        <v>44007</v>
      </c>
      <c r="M1357" s="116">
        <v>880.5</v>
      </c>
      <c r="N1357" s="116">
        <v>896</v>
      </c>
      <c r="O1357" s="116">
        <v>871</v>
      </c>
      <c r="P1357" s="116">
        <v>871</v>
      </c>
      <c r="Q1357" s="116">
        <v>880.5</v>
      </c>
      <c r="R1357">
        <v>455476</v>
      </c>
    </row>
    <row r="1358" spans="1:18" x14ac:dyDescent="0.25">
      <c r="A1358" s="170">
        <v>44008</v>
      </c>
      <c r="B1358" s="116">
        <v>927</v>
      </c>
      <c r="C1358" s="116">
        <v>913.6</v>
      </c>
      <c r="D1358" s="116">
        <v>888</v>
      </c>
      <c r="E1358" s="116">
        <v>888</v>
      </c>
      <c r="F1358" s="116">
        <v>913.6</v>
      </c>
      <c r="G1358">
        <v>31587</v>
      </c>
      <c r="H1358" s="116"/>
      <c r="I1358" s="116"/>
      <c r="L1358" s="170">
        <v>44008</v>
      </c>
      <c r="M1358" s="116">
        <v>914.35</v>
      </c>
      <c r="N1358" s="116">
        <v>927</v>
      </c>
      <c r="O1358" s="116">
        <v>891.25</v>
      </c>
      <c r="P1358" s="116">
        <v>895.25</v>
      </c>
      <c r="Q1358" s="116">
        <v>914.35</v>
      </c>
      <c r="R1358">
        <v>603502</v>
      </c>
    </row>
    <row r="1359" spans="1:18" x14ac:dyDescent="0.25">
      <c r="A1359" s="170">
        <v>44011</v>
      </c>
      <c r="B1359" s="116">
        <v>929</v>
      </c>
      <c r="C1359" s="116">
        <v>919.9</v>
      </c>
      <c r="D1359" s="116">
        <v>885.1</v>
      </c>
      <c r="E1359" s="116">
        <v>915</v>
      </c>
      <c r="F1359" s="116">
        <v>919.9</v>
      </c>
      <c r="G1359">
        <v>10260</v>
      </c>
      <c r="H1359" s="116"/>
      <c r="I1359" s="116"/>
      <c r="L1359" s="170">
        <v>44011</v>
      </c>
      <c r="M1359" s="116">
        <v>922.35</v>
      </c>
      <c r="N1359" s="116">
        <v>929</v>
      </c>
      <c r="O1359" s="116">
        <v>885.6</v>
      </c>
      <c r="P1359" s="116">
        <v>920</v>
      </c>
      <c r="Q1359" s="116">
        <v>922.35</v>
      </c>
      <c r="R1359">
        <v>224329</v>
      </c>
    </row>
    <row r="1360" spans="1:18" x14ac:dyDescent="0.25">
      <c r="A1360" s="170">
        <v>44012</v>
      </c>
      <c r="B1360" s="116">
        <v>948.15</v>
      </c>
      <c r="C1360" s="116">
        <v>943.6</v>
      </c>
      <c r="D1360" s="116">
        <v>903.05</v>
      </c>
      <c r="E1360" s="116">
        <v>925</v>
      </c>
      <c r="F1360" s="116">
        <v>943.6</v>
      </c>
      <c r="G1360">
        <v>10085</v>
      </c>
      <c r="H1360" s="116"/>
      <c r="I1360" s="116"/>
      <c r="L1360" s="170">
        <v>44012</v>
      </c>
      <c r="M1360" s="116">
        <v>941.15</v>
      </c>
      <c r="N1360" s="116">
        <v>948.75</v>
      </c>
      <c r="O1360" s="116">
        <v>903.1</v>
      </c>
      <c r="P1360" s="116">
        <v>927</v>
      </c>
      <c r="Q1360" s="116">
        <v>941.15</v>
      </c>
      <c r="R1360">
        <v>259932</v>
      </c>
    </row>
    <row r="1361" spans="1:18" x14ac:dyDescent="0.25">
      <c r="A1361" s="170">
        <v>44013</v>
      </c>
      <c r="B1361" s="116">
        <v>962.75</v>
      </c>
      <c r="C1361" s="116">
        <v>953.25</v>
      </c>
      <c r="D1361" s="116">
        <v>919.4</v>
      </c>
      <c r="E1361" s="116">
        <v>926</v>
      </c>
      <c r="F1361" s="116">
        <v>953.25</v>
      </c>
      <c r="G1361">
        <v>13267</v>
      </c>
      <c r="H1361" s="116"/>
      <c r="I1361" s="116"/>
      <c r="L1361" s="170">
        <v>44013</v>
      </c>
      <c r="M1361" s="116">
        <v>954.3</v>
      </c>
      <c r="N1361" s="116">
        <v>964</v>
      </c>
      <c r="O1361" s="116">
        <v>919.05</v>
      </c>
      <c r="P1361" s="116">
        <v>939.05</v>
      </c>
      <c r="Q1361" s="116">
        <v>954.3</v>
      </c>
      <c r="R1361">
        <v>174485</v>
      </c>
    </row>
    <row r="1362" spans="1:18" x14ac:dyDescent="0.25">
      <c r="A1362" s="170">
        <v>44014</v>
      </c>
      <c r="B1362" s="116">
        <v>977.6</v>
      </c>
      <c r="C1362" s="116">
        <v>963.6</v>
      </c>
      <c r="D1362" s="116">
        <v>955</v>
      </c>
      <c r="E1362" s="116">
        <v>960</v>
      </c>
      <c r="F1362" s="116">
        <v>963.6</v>
      </c>
      <c r="G1362">
        <v>6569</v>
      </c>
      <c r="H1362" s="116"/>
      <c r="I1362" s="116"/>
      <c r="L1362" s="170">
        <v>44014</v>
      </c>
      <c r="M1362" s="116">
        <v>963.4</v>
      </c>
      <c r="N1362" s="116">
        <v>979</v>
      </c>
      <c r="O1362" s="116">
        <v>955.1</v>
      </c>
      <c r="P1362" s="116">
        <v>966</v>
      </c>
      <c r="Q1362" s="116">
        <v>963.4</v>
      </c>
      <c r="R1362">
        <v>161482</v>
      </c>
    </row>
    <row r="1363" spans="1:18" x14ac:dyDescent="0.25">
      <c r="A1363" s="170">
        <v>44015</v>
      </c>
      <c r="B1363" s="116">
        <v>985.95</v>
      </c>
      <c r="C1363" s="116">
        <v>980.45</v>
      </c>
      <c r="D1363" s="116">
        <v>939.4</v>
      </c>
      <c r="E1363" s="116">
        <v>965.65</v>
      </c>
      <c r="F1363" s="116">
        <v>980.45</v>
      </c>
      <c r="G1363">
        <v>15940</v>
      </c>
      <c r="H1363" s="116"/>
      <c r="I1363" s="116"/>
      <c r="L1363" s="170">
        <v>44015</v>
      </c>
      <c r="M1363" s="116">
        <v>979.5</v>
      </c>
      <c r="N1363" s="116">
        <v>988</v>
      </c>
      <c r="O1363" s="116">
        <v>940</v>
      </c>
      <c r="P1363" s="116">
        <v>965</v>
      </c>
      <c r="Q1363" s="116">
        <v>979.5</v>
      </c>
      <c r="R1363">
        <v>320566</v>
      </c>
    </row>
    <row r="1364" spans="1:18" x14ac:dyDescent="0.25">
      <c r="A1364" s="170">
        <v>44018</v>
      </c>
      <c r="B1364" s="116">
        <v>1016.75</v>
      </c>
      <c r="C1364" s="116">
        <v>983</v>
      </c>
      <c r="D1364" s="116">
        <v>975.15</v>
      </c>
      <c r="E1364" s="116">
        <v>982.35</v>
      </c>
      <c r="F1364" s="116">
        <v>983</v>
      </c>
      <c r="G1364">
        <v>14967</v>
      </c>
      <c r="H1364" s="116"/>
      <c r="I1364" s="116"/>
      <c r="L1364" s="170">
        <v>44018</v>
      </c>
      <c r="M1364" s="116">
        <v>983.4</v>
      </c>
      <c r="N1364" s="116">
        <v>1017</v>
      </c>
      <c r="O1364" s="116">
        <v>976.2</v>
      </c>
      <c r="P1364" s="116">
        <v>982</v>
      </c>
      <c r="Q1364" s="116">
        <v>983.4</v>
      </c>
      <c r="R1364">
        <v>398732</v>
      </c>
    </row>
    <row r="1365" spans="1:18" x14ac:dyDescent="0.25">
      <c r="A1365" s="170">
        <v>44019</v>
      </c>
      <c r="B1365" s="116">
        <v>989.65</v>
      </c>
      <c r="C1365" s="116">
        <v>960.8</v>
      </c>
      <c r="D1365" s="116">
        <v>957.65</v>
      </c>
      <c r="E1365" s="116">
        <v>983</v>
      </c>
      <c r="F1365" s="116">
        <v>960.8</v>
      </c>
      <c r="G1365">
        <v>10021</v>
      </c>
      <c r="H1365" s="116"/>
      <c r="I1365" s="116"/>
      <c r="L1365" s="170">
        <v>44019</v>
      </c>
      <c r="M1365" s="116">
        <v>961.4</v>
      </c>
      <c r="N1365" s="116">
        <v>988.95</v>
      </c>
      <c r="O1365" s="116">
        <v>957.25</v>
      </c>
      <c r="P1365" s="116">
        <v>987.5</v>
      </c>
      <c r="Q1365" s="116">
        <v>961.4</v>
      </c>
      <c r="R1365">
        <v>298468</v>
      </c>
    </row>
    <row r="1366" spans="1:18" x14ac:dyDescent="0.25">
      <c r="A1366" s="170">
        <v>44020</v>
      </c>
      <c r="B1366" s="116">
        <v>976.5</v>
      </c>
      <c r="C1366" s="116">
        <v>944.9</v>
      </c>
      <c r="D1366" s="116">
        <v>941.45</v>
      </c>
      <c r="E1366" s="116">
        <v>976.5</v>
      </c>
      <c r="F1366" s="116">
        <v>944.9</v>
      </c>
      <c r="G1366">
        <v>11617</v>
      </c>
      <c r="H1366" s="116"/>
      <c r="I1366" s="116"/>
      <c r="L1366" s="170">
        <v>44020</v>
      </c>
      <c r="M1366" s="116">
        <v>944.65</v>
      </c>
      <c r="N1366" s="116">
        <v>971.5</v>
      </c>
      <c r="O1366" s="116">
        <v>942</v>
      </c>
      <c r="P1366" s="116">
        <v>968</v>
      </c>
      <c r="Q1366" s="116">
        <v>944.65</v>
      </c>
      <c r="R1366">
        <v>194584</v>
      </c>
    </row>
    <row r="1367" spans="1:18" x14ac:dyDescent="0.25">
      <c r="A1367" s="170">
        <v>44021</v>
      </c>
      <c r="B1367" s="116">
        <v>955</v>
      </c>
      <c r="C1367" s="116">
        <v>929.1</v>
      </c>
      <c r="D1367" s="116">
        <v>927</v>
      </c>
      <c r="E1367" s="116">
        <v>937.1</v>
      </c>
      <c r="F1367" s="116">
        <v>929.1</v>
      </c>
      <c r="G1367">
        <v>7780</v>
      </c>
      <c r="H1367" s="116"/>
      <c r="I1367" s="116"/>
      <c r="L1367" s="170">
        <v>44021</v>
      </c>
      <c r="M1367" s="116">
        <v>928.5</v>
      </c>
      <c r="N1367" s="116">
        <v>955</v>
      </c>
      <c r="O1367" s="116">
        <v>926.05</v>
      </c>
      <c r="P1367" s="116">
        <v>947</v>
      </c>
      <c r="Q1367" s="116">
        <v>928.5</v>
      </c>
      <c r="R1367">
        <v>124766</v>
      </c>
    </row>
    <row r="1368" spans="1:18" x14ac:dyDescent="0.25">
      <c r="A1368" s="170">
        <v>44022</v>
      </c>
      <c r="B1368" s="116">
        <v>947</v>
      </c>
      <c r="C1368" s="116">
        <v>917.1</v>
      </c>
      <c r="D1368" s="116">
        <v>914.85</v>
      </c>
      <c r="E1368" s="116">
        <v>916</v>
      </c>
      <c r="F1368" s="116">
        <v>917.1</v>
      </c>
      <c r="G1368">
        <v>11855</v>
      </c>
      <c r="H1368" s="116"/>
      <c r="I1368" s="116"/>
      <c r="L1368" s="170">
        <v>44022</v>
      </c>
      <c r="M1368" s="116">
        <v>916.95</v>
      </c>
      <c r="N1368" s="116">
        <v>936.75</v>
      </c>
      <c r="O1368" s="116">
        <v>914.9</v>
      </c>
      <c r="P1368" s="116">
        <v>930</v>
      </c>
      <c r="Q1368" s="116">
        <v>916.95</v>
      </c>
      <c r="R1368">
        <v>109164</v>
      </c>
    </row>
    <row r="1369" spans="1:18" x14ac:dyDescent="0.25">
      <c r="A1369" s="170">
        <v>44025</v>
      </c>
      <c r="B1369" s="116">
        <v>925.35</v>
      </c>
      <c r="C1369" s="116">
        <v>914.05</v>
      </c>
      <c r="D1369" s="116">
        <v>910</v>
      </c>
      <c r="E1369" s="116">
        <v>920</v>
      </c>
      <c r="F1369" s="116">
        <v>914.05</v>
      </c>
      <c r="G1369">
        <v>5677</v>
      </c>
      <c r="H1369" s="116"/>
      <c r="I1369" s="116"/>
      <c r="L1369" s="170">
        <v>44025</v>
      </c>
      <c r="M1369" s="116">
        <v>914.9</v>
      </c>
      <c r="N1369" s="116">
        <v>925.35</v>
      </c>
      <c r="O1369" s="116">
        <v>910</v>
      </c>
      <c r="P1369" s="116">
        <v>922</v>
      </c>
      <c r="Q1369" s="116">
        <v>914.9</v>
      </c>
      <c r="R1369">
        <v>76574</v>
      </c>
    </row>
    <row r="1370" spans="1:18" x14ac:dyDescent="0.25">
      <c r="A1370" s="170">
        <v>44026</v>
      </c>
      <c r="B1370" s="116">
        <v>914.5</v>
      </c>
      <c r="C1370" s="116">
        <v>908.45</v>
      </c>
      <c r="D1370" s="116">
        <v>901.9</v>
      </c>
      <c r="E1370" s="116">
        <v>912.45</v>
      </c>
      <c r="F1370" s="116">
        <v>908.45</v>
      </c>
      <c r="G1370">
        <v>3435</v>
      </c>
      <c r="H1370" s="116"/>
      <c r="I1370" s="116"/>
      <c r="L1370" s="170">
        <v>44026</v>
      </c>
      <c r="M1370" s="116">
        <v>908.15</v>
      </c>
      <c r="N1370" s="116">
        <v>915</v>
      </c>
      <c r="O1370" s="116">
        <v>901.05</v>
      </c>
      <c r="P1370" s="116">
        <v>913</v>
      </c>
      <c r="Q1370" s="116">
        <v>908.15</v>
      </c>
      <c r="R1370">
        <v>53845</v>
      </c>
    </row>
    <row r="1371" spans="1:18" x14ac:dyDescent="0.25">
      <c r="A1371" s="170">
        <v>44027</v>
      </c>
      <c r="B1371" s="116">
        <v>934.4</v>
      </c>
      <c r="C1371" s="116">
        <v>905.15</v>
      </c>
      <c r="D1371" s="116">
        <v>901</v>
      </c>
      <c r="E1371" s="116">
        <v>918.55</v>
      </c>
      <c r="F1371" s="116">
        <v>905.15</v>
      </c>
      <c r="G1371">
        <v>8625</v>
      </c>
      <c r="H1371" s="116"/>
      <c r="I1371" s="116"/>
      <c r="L1371" s="170">
        <v>44027</v>
      </c>
      <c r="M1371" s="116">
        <v>905.8</v>
      </c>
      <c r="N1371" s="116">
        <v>933</v>
      </c>
      <c r="O1371" s="116">
        <v>900.9</v>
      </c>
      <c r="P1371" s="116">
        <v>916</v>
      </c>
      <c r="Q1371" s="116">
        <v>905.8</v>
      </c>
      <c r="R1371">
        <v>137247</v>
      </c>
    </row>
    <row r="1372" spans="1:18" x14ac:dyDescent="0.25">
      <c r="A1372" s="170">
        <v>44028</v>
      </c>
      <c r="B1372" s="116">
        <v>927.9</v>
      </c>
      <c r="C1372" s="116">
        <v>902.95</v>
      </c>
      <c r="D1372" s="116">
        <v>895</v>
      </c>
      <c r="E1372" s="116">
        <v>927.9</v>
      </c>
      <c r="F1372" s="116">
        <v>902.95</v>
      </c>
      <c r="G1372">
        <v>2857</v>
      </c>
      <c r="H1372" s="116"/>
      <c r="I1372" s="116"/>
      <c r="L1372" s="170">
        <v>44028</v>
      </c>
      <c r="M1372" s="116">
        <v>905.85</v>
      </c>
      <c r="N1372" s="116">
        <v>919</v>
      </c>
      <c r="O1372" s="116">
        <v>894</v>
      </c>
      <c r="P1372" s="116">
        <v>909.9</v>
      </c>
      <c r="Q1372" s="116">
        <v>905.85</v>
      </c>
      <c r="R1372">
        <v>144234</v>
      </c>
    </row>
    <row r="1373" spans="1:18" x14ac:dyDescent="0.25">
      <c r="A1373" s="170">
        <v>44029</v>
      </c>
      <c r="B1373" s="116">
        <v>922.4</v>
      </c>
      <c r="C1373" s="116">
        <v>912.15</v>
      </c>
      <c r="D1373" s="116">
        <v>909.7</v>
      </c>
      <c r="E1373" s="116">
        <v>914.8</v>
      </c>
      <c r="F1373" s="116">
        <v>912.15</v>
      </c>
      <c r="G1373">
        <v>2160</v>
      </c>
      <c r="H1373" s="116"/>
      <c r="I1373" s="116"/>
      <c r="L1373" s="170">
        <v>44029</v>
      </c>
      <c r="M1373" s="116">
        <v>912.15</v>
      </c>
      <c r="N1373" s="116">
        <v>923.25</v>
      </c>
      <c r="O1373" s="116">
        <v>907</v>
      </c>
      <c r="P1373" s="116">
        <v>914</v>
      </c>
      <c r="Q1373" s="116">
        <v>912.15</v>
      </c>
      <c r="R1373">
        <v>101310</v>
      </c>
    </row>
    <row r="1374" spans="1:18" x14ac:dyDescent="0.25">
      <c r="A1374" s="170">
        <v>44032</v>
      </c>
      <c r="B1374" s="116">
        <v>933.1</v>
      </c>
      <c r="C1374" s="116">
        <v>898.3</v>
      </c>
      <c r="D1374" s="116">
        <v>893.3</v>
      </c>
      <c r="E1374" s="116">
        <v>916</v>
      </c>
      <c r="F1374" s="116">
        <v>898.3</v>
      </c>
      <c r="G1374">
        <v>16830</v>
      </c>
      <c r="H1374" s="116"/>
      <c r="I1374" s="116"/>
      <c r="L1374" s="170">
        <v>44032</v>
      </c>
      <c r="M1374" s="116">
        <v>898.95</v>
      </c>
      <c r="N1374" s="116">
        <v>932.7</v>
      </c>
      <c r="O1374" s="116">
        <v>894</v>
      </c>
      <c r="P1374" s="116">
        <v>913.5</v>
      </c>
      <c r="Q1374" s="116">
        <v>898.95</v>
      </c>
      <c r="R1374">
        <v>286602</v>
      </c>
    </row>
    <row r="1375" spans="1:18" x14ac:dyDescent="0.25">
      <c r="A1375" s="170">
        <v>44033</v>
      </c>
      <c r="B1375" s="116">
        <v>930</v>
      </c>
      <c r="C1375" s="116">
        <v>909.85</v>
      </c>
      <c r="D1375" s="116">
        <v>901.15</v>
      </c>
      <c r="E1375" s="116">
        <v>901.15</v>
      </c>
      <c r="F1375" s="116">
        <v>909.85</v>
      </c>
      <c r="G1375">
        <v>16251</v>
      </c>
      <c r="H1375" s="116"/>
      <c r="I1375" s="116"/>
      <c r="L1375" s="170">
        <v>44033</v>
      </c>
      <c r="M1375" s="116">
        <v>906.85</v>
      </c>
      <c r="N1375" s="116">
        <v>913.95</v>
      </c>
      <c r="O1375" s="116">
        <v>901.15</v>
      </c>
      <c r="P1375" s="116">
        <v>903</v>
      </c>
      <c r="Q1375" s="116">
        <v>906.85</v>
      </c>
      <c r="R1375">
        <v>126509</v>
      </c>
    </row>
    <row r="1376" spans="1:18" x14ac:dyDescent="0.25">
      <c r="A1376" s="170">
        <v>44034</v>
      </c>
      <c r="B1376" s="116">
        <v>930</v>
      </c>
      <c r="C1376" s="116">
        <v>926</v>
      </c>
      <c r="D1376" s="116">
        <v>901.5</v>
      </c>
      <c r="E1376" s="116">
        <v>910</v>
      </c>
      <c r="F1376" s="116">
        <v>926</v>
      </c>
      <c r="G1376">
        <v>13978</v>
      </c>
      <c r="H1376" s="116"/>
      <c r="I1376" s="116"/>
      <c r="L1376" s="170">
        <v>44034</v>
      </c>
      <c r="M1376" s="116">
        <v>925.65</v>
      </c>
      <c r="N1376" s="116">
        <v>930</v>
      </c>
      <c r="O1376" s="116">
        <v>902</v>
      </c>
      <c r="P1376" s="116">
        <v>910</v>
      </c>
      <c r="Q1376" s="116">
        <v>925.65</v>
      </c>
      <c r="R1376">
        <v>145317</v>
      </c>
    </row>
    <row r="1377" spans="1:18" x14ac:dyDescent="0.25">
      <c r="A1377" s="170">
        <v>44035</v>
      </c>
      <c r="B1377" s="116">
        <v>943.55</v>
      </c>
      <c r="C1377" s="116">
        <v>936.5</v>
      </c>
      <c r="D1377" s="116">
        <v>926.5</v>
      </c>
      <c r="E1377" s="116">
        <v>935</v>
      </c>
      <c r="F1377" s="116">
        <v>936.5</v>
      </c>
      <c r="G1377">
        <v>14653</v>
      </c>
      <c r="H1377" s="116"/>
      <c r="I1377" s="116"/>
      <c r="L1377" s="170">
        <v>44035</v>
      </c>
      <c r="M1377" s="116">
        <v>934.8</v>
      </c>
      <c r="N1377" s="116">
        <v>945</v>
      </c>
      <c r="O1377" s="116">
        <v>925</v>
      </c>
      <c r="P1377" s="116">
        <v>930</v>
      </c>
      <c r="Q1377" s="116">
        <v>934.8</v>
      </c>
      <c r="R1377">
        <v>161417</v>
      </c>
    </row>
    <row r="1378" spans="1:18" x14ac:dyDescent="0.25">
      <c r="A1378" s="170">
        <v>44036</v>
      </c>
      <c r="B1378" s="116">
        <v>917.3</v>
      </c>
      <c r="C1378" s="116">
        <v>912.15</v>
      </c>
      <c r="D1378" s="116">
        <v>891</v>
      </c>
      <c r="E1378" s="116">
        <v>906</v>
      </c>
      <c r="F1378" s="116">
        <v>912.15</v>
      </c>
      <c r="G1378">
        <v>15896</v>
      </c>
      <c r="H1378" s="116"/>
      <c r="I1378" s="116"/>
      <c r="L1378" s="170">
        <v>44036</v>
      </c>
      <c r="M1378" s="116">
        <v>912.6</v>
      </c>
      <c r="N1378" s="116">
        <v>919</v>
      </c>
      <c r="O1378" s="116">
        <v>895</v>
      </c>
      <c r="P1378" s="116">
        <v>910</v>
      </c>
      <c r="Q1378" s="116">
        <v>912.6</v>
      </c>
      <c r="R1378">
        <v>242177</v>
      </c>
    </row>
    <row r="1379" spans="1:18" x14ac:dyDescent="0.25">
      <c r="A1379" s="170">
        <v>44039</v>
      </c>
      <c r="B1379" s="116">
        <v>912</v>
      </c>
      <c r="C1379" s="116">
        <v>893.4</v>
      </c>
      <c r="D1379" s="116">
        <v>890.05</v>
      </c>
      <c r="E1379" s="116">
        <v>912</v>
      </c>
      <c r="F1379" s="116">
        <v>893.4</v>
      </c>
      <c r="G1379">
        <v>4304</v>
      </c>
      <c r="H1379" s="116"/>
      <c r="I1379" s="116"/>
      <c r="L1379" s="170">
        <v>44039</v>
      </c>
      <c r="M1379" s="116">
        <v>893.55</v>
      </c>
      <c r="N1379" s="116">
        <v>912.1</v>
      </c>
      <c r="O1379" s="116">
        <v>890</v>
      </c>
      <c r="P1379" s="116">
        <v>912.1</v>
      </c>
      <c r="Q1379" s="116">
        <v>893.55</v>
      </c>
      <c r="R1379">
        <v>106000</v>
      </c>
    </row>
    <row r="1380" spans="1:18" x14ac:dyDescent="0.25">
      <c r="A1380" s="170">
        <v>44040</v>
      </c>
      <c r="B1380" s="116">
        <v>899</v>
      </c>
      <c r="C1380" s="116">
        <v>894.15</v>
      </c>
      <c r="D1380" s="116">
        <v>890.8</v>
      </c>
      <c r="E1380" s="116">
        <v>895.95</v>
      </c>
      <c r="F1380" s="116">
        <v>894.15</v>
      </c>
      <c r="G1380">
        <v>1860</v>
      </c>
      <c r="H1380" s="116"/>
      <c r="I1380" s="116"/>
      <c r="L1380" s="170">
        <v>44040</v>
      </c>
      <c r="M1380" s="116">
        <v>894.5</v>
      </c>
      <c r="N1380" s="116">
        <v>899.4</v>
      </c>
      <c r="O1380" s="116">
        <v>891</v>
      </c>
      <c r="P1380" s="116">
        <v>898.5</v>
      </c>
      <c r="Q1380" s="116">
        <v>894.5</v>
      </c>
      <c r="R1380">
        <v>52148</v>
      </c>
    </row>
    <row r="1381" spans="1:18" x14ac:dyDescent="0.25">
      <c r="A1381" s="170">
        <v>44041</v>
      </c>
      <c r="B1381" s="116">
        <v>900.5</v>
      </c>
      <c r="C1381" s="116">
        <v>881.45</v>
      </c>
      <c r="D1381" s="116">
        <v>875.1</v>
      </c>
      <c r="E1381" s="116">
        <v>897</v>
      </c>
      <c r="F1381" s="116">
        <v>881.45</v>
      </c>
      <c r="G1381">
        <v>7443</v>
      </c>
      <c r="H1381" s="116"/>
      <c r="I1381" s="116"/>
      <c r="L1381" s="170">
        <v>44041</v>
      </c>
      <c r="M1381" s="116">
        <v>880.95</v>
      </c>
      <c r="N1381" s="116">
        <v>902</v>
      </c>
      <c r="O1381" s="116">
        <v>875</v>
      </c>
      <c r="P1381" s="116">
        <v>897</v>
      </c>
      <c r="Q1381" s="116">
        <v>880.95</v>
      </c>
      <c r="R1381">
        <v>118544</v>
      </c>
    </row>
    <row r="1382" spans="1:18" x14ac:dyDescent="0.25">
      <c r="A1382" s="170">
        <v>44042</v>
      </c>
      <c r="B1382" s="116">
        <v>890.75</v>
      </c>
      <c r="C1382" s="116">
        <v>867.1</v>
      </c>
      <c r="D1382" s="116">
        <v>863</v>
      </c>
      <c r="E1382" s="116">
        <v>865.05</v>
      </c>
      <c r="F1382" s="116">
        <v>867.1</v>
      </c>
      <c r="G1382">
        <v>8005</v>
      </c>
      <c r="H1382" s="116"/>
      <c r="I1382" s="116"/>
      <c r="L1382" s="170">
        <v>44042</v>
      </c>
      <c r="M1382" s="116">
        <v>865.15</v>
      </c>
      <c r="N1382" s="116">
        <v>892.95</v>
      </c>
      <c r="O1382" s="116">
        <v>862.6</v>
      </c>
      <c r="P1382" s="116">
        <v>873.8</v>
      </c>
      <c r="Q1382" s="116">
        <v>865.15</v>
      </c>
      <c r="R1382">
        <v>108002</v>
      </c>
    </row>
    <row r="1383" spans="1:18" x14ac:dyDescent="0.25">
      <c r="A1383" s="170">
        <v>44043</v>
      </c>
      <c r="B1383" s="116">
        <v>898</v>
      </c>
      <c r="C1383" s="116">
        <v>895</v>
      </c>
      <c r="D1383" s="116">
        <v>866</v>
      </c>
      <c r="E1383" s="116">
        <v>869.85</v>
      </c>
      <c r="F1383" s="116">
        <v>895</v>
      </c>
      <c r="G1383">
        <v>10303</v>
      </c>
      <c r="H1383" s="116"/>
      <c r="I1383" s="116"/>
      <c r="L1383" s="170">
        <v>44043</v>
      </c>
      <c r="M1383" s="116">
        <v>894.95</v>
      </c>
      <c r="N1383" s="116">
        <v>897.4</v>
      </c>
      <c r="O1383" s="116">
        <v>865.5</v>
      </c>
      <c r="P1383" s="116">
        <v>870.5</v>
      </c>
      <c r="Q1383" s="116">
        <v>894.95</v>
      </c>
      <c r="R1383">
        <v>151890</v>
      </c>
    </row>
    <row r="1384" spans="1:18" x14ac:dyDescent="0.25">
      <c r="A1384" s="170">
        <v>44046</v>
      </c>
      <c r="B1384" s="116">
        <v>950</v>
      </c>
      <c r="C1384" s="116">
        <v>881.9</v>
      </c>
      <c r="D1384" s="116">
        <v>870</v>
      </c>
      <c r="E1384" s="116">
        <v>911</v>
      </c>
      <c r="F1384" s="116">
        <v>881.9</v>
      </c>
      <c r="G1384">
        <v>9836</v>
      </c>
      <c r="H1384" s="116"/>
      <c r="I1384" s="116"/>
      <c r="L1384" s="170">
        <v>44046</v>
      </c>
      <c r="M1384" s="116">
        <v>881.6</v>
      </c>
      <c r="N1384" s="116">
        <v>919.4</v>
      </c>
      <c r="O1384" s="116">
        <v>869.45</v>
      </c>
      <c r="P1384" s="116">
        <v>900.1</v>
      </c>
      <c r="Q1384" s="116">
        <v>881.6</v>
      </c>
      <c r="R1384">
        <v>119427</v>
      </c>
    </row>
    <row r="1385" spans="1:18" x14ac:dyDescent="0.25">
      <c r="A1385" s="170">
        <v>44047</v>
      </c>
      <c r="B1385" s="116">
        <v>909.95</v>
      </c>
      <c r="C1385" s="116">
        <v>905.6</v>
      </c>
      <c r="D1385" s="116">
        <v>877</v>
      </c>
      <c r="E1385" s="116">
        <v>877</v>
      </c>
      <c r="F1385" s="116">
        <v>905.6</v>
      </c>
      <c r="G1385">
        <v>7168</v>
      </c>
      <c r="H1385" s="116"/>
      <c r="I1385" s="116"/>
      <c r="L1385" s="170">
        <v>44047</v>
      </c>
      <c r="M1385" s="116">
        <v>905.3</v>
      </c>
      <c r="N1385" s="116">
        <v>909.7</v>
      </c>
      <c r="O1385" s="116">
        <v>881.6</v>
      </c>
      <c r="P1385" s="116">
        <v>882.6</v>
      </c>
      <c r="Q1385" s="116">
        <v>905.3</v>
      </c>
      <c r="R1385">
        <v>294577</v>
      </c>
    </row>
    <row r="1386" spans="1:18" x14ac:dyDescent="0.25">
      <c r="A1386" s="170">
        <v>44048</v>
      </c>
      <c r="B1386" s="116">
        <v>920.35</v>
      </c>
      <c r="C1386" s="116">
        <v>904.75</v>
      </c>
      <c r="D1386" s="116">
        <v>897</v>
      </c>
      <c r="E1386" s="116">
        <v>900.05</v>
      </c>
      <c r="F1386" s="116">
        <v>904.75</v>
      </c>
      <c r="G1386">
        <v>8495</v>
      </c>
      <c r="H1386" s="116"/>
      <c r="I1386" s="116"/>
      <c r="L1386" s="170">
        <v>44048</v>
      </c>
      <c r="M1386" s="116">
        <v>900.1</v>
      </c>
      <c r="N1386" s="116">
        <v>922</v>
      </c>
      <c r="O1386" s="116">
        <v>896</v>
      </c>
      <c r="P1386" s="116">
        <v>910</v>
      </c>
      <c r="Q1386" s="116">
        <v>900.1</v>
      </c>
      <c r="R1386">
        <v>92645</v>
      </c>
    </row>
    <row r="1387" spans="1:18" x14ac:dyDescent="0.25">
      <c r="A1387" s="170">
        <v>44049</v>
      </c>
      <c r="B1387" s="116">
        <v>902.85</v>
      </c>
      <c r="C1387" s="116">
        <v>890.3</v>
      </c>
      <c r="D1387" s="116">
        <v>886.35</v>
      </c>
      <c r="E1387" s="116">
        <v>902.85</v>
      </c>
      <c r="F1387" s="116">
        <v>890.3</v>
      </c>
      <c r="G1387">
        <v>7109</v>
      </c>
      <c r="H1387" s="116"/>
      <c r="I1387" s="116"/>
      <c r="L1387" s="170">
        <v>44049</v>
      </c>
      <c r="M1387" s="116">
        <v>889.4</v>
      </c>
      <c r="N1387" s="116">
        <v>904</v>
      </c>
      <c r="O1387" s="116">
        <v>886.15</v>
      </c>
      <c r="P1387" s="116">
        <v>904</v>
      </c>
      <c r="Q1387" s="116">
        <v>889.4</v>
      </c>
      <c r="R1387">
        <v>62322</v>
      </c>
    </row>
    <row r="1388" spans="1:18" x14ac:dyDescent="0.25">
      <c r="A1388" s="170">
        <v>44050</v>
      </c>
      <c r="B1388" s="116">
        <v>904</v>
      </c>
      <c r="C1388" s="116">
        <v>882.45</v>
      </c>
      <c r="D1388" s="116">
        <v>880</v>
      </c>
      <c r="E1388" s="116">
        <v>890</v>
      </c>
      <c r="F1388" s="116">
        <v>882.45</v>
      </c>
      <c r="G1388">
        <v>7789</v>
      </c>
      <c r="H1388" s="116"/>
      <c r="I1388" s="116"/>
      <c r="L1388" s="170">
        <v>44050</v>
      </c>
      <c r="M1388" s="116">
        <v>881.8</v>
      </c>
      <c r="N1388" s="116">
        <v>904.35</v>
      </c>
      <c r="O1388" s="116">
        <v>879.4</v>
      </c>
      <c r="P1388" s="116">
        <v>889.4</v>
      </c>
      <c r="Q1388" s="116">
        <v>881.8</v>
      </c>
      <c r="R1388">
        <v>95492</v>
      </c>
    </row>
    <row r="1389" spans="1:18" x14ac:dyDescent="0.25">
      <c r="A1389" s="170">
        <v>44053</v>
      </c>
      <c r="B1389" s="116">
        <v>897.95</v>
      </c>
      <c r="C1389" s="116">
        <v>891.75</v>
      </c>
      <c r="D1389" s="116">
        <v>875.05</v>
      </c>
      <c r="E1389" s="116">
        <v>897.95</v>
      </c>
      <c r="F1389" s="116">
        <v>891.75</v>
      </c>
      <c r="G1389">
        <v>13860</v>
      </c>
      <c r="H1389" s="116"/>
      <c r="I1389" s="116"/>
      <c r="L1389" s="170">
        <v>44053</v>
      </c>
      <c r="M1389" s="116">
        <v>892</v>
      </c>
      <c r="N1389" s="116">
        <v>899</v>
      </c>
      <c r="O1389" s="116">
        <v>874.6</v>
      </c>
      <c r="P1389" s="116">
        <v>886.65</v>
      </c>
      <c r="Q1389" s="116">
        <v>892</v>
      </c>
      <c r="R1389">
        <v>199349</v>
      </c>
    </row>
    <row r="1390" spans="1:18" x14ac:dyDescent="0.25">
      <c r="A1390" s="170">
        <v>44054</v>
      </c>
      <c r="B1390" s="116">
        <v>917.95</v>
      </c>
      <c r="C1390" s="116">
        <v>903.65</v>
      </c>
      <c r="D1390" s="116">
        <v>891</v>
      </c>
      <c r="E1390" s="116">
        <v>891</v>
      </c>
      <c r="F1390" s="116">
        <v>903.65</v>
      </c>
      <c r="G1390">
        <v>6717</v>
      </c>
      <c r="H1390" s="116"/>
      <c r="I1390" s="116"/>
      <c r="L1390" s="170">
        <v>44054</v>
      </c>
      <c r="M1390" s="116">
        <v>903.4</v>
      </c>
      <c r="N1390" s="116">
        <v>917.6</v>
      </c>
      <c r="O1390" s="116">
        <v>892</v>
      </c>
      <c r="P1390" s="116">
        <v>896.85</v>
      </c>
      <c r="Q1390" s="116">
        <v>903.4</v>
      </c>
      <c r="R1390">
        <v>165785</v>
      </c>
    </row>
    <row r="1391" spans="1:18" x14ac:dyDescent="0.25">
      <c r="A1391" s="170">
        <v>44055</v>
      </c>
      <c r="B1391" s="116">
        <v>924</v>
      </c>
      <c r="C1391" s="116">
        <v>907.95</v>
      </c>
      <c r="D1391" s="116">
        <v>903.85</v>
      </c>
      <c r="E1391" s="116">
        <v>907</v>
      </c>
      <c r="F1391" s="116">
        <v>907.95</v>
      </c>
      <c r="G1391">
        <v>11147</v>
      </c>
      <c r="H1391" s="116"/>
      <c r="I1391" s="116"/>
      <c r="L1391" s="170">
        <v>44055</v>
      </c>
      <c r="M1391" s="116">
        <v>908.15</v>
      </c>
      <c r="N1391" s="116">
        <v>924.8</v>
      </c>
      <c r="O1391" s="116">
        <v>903.45</v>
      </c>
      <c r="P1391" s="116">
        <v>903.45</v>
      </c>
      <c r="Q1391" s="116">
        <v>908.15</v>
      </c>
      <c r="R1391">
        <v>192428</v>
      </c>
    </row>
    <row r="1392" spans="1:18" x14ac:dyDescent="0.25">
      <c r="A1392" s="170">
        <v>44056</v>
      </c>
      <c r="B1392" s="116">
        <v>940.3</v>
      </c>
      <c r="C1392" s="116">
        <v>930.8</v>
      </c>
      <c r="D1392" s="116">
        <v>909</v>
      </c>
      <c r="E1392" s="116">
        <v>918.55</v>
      </c>
      <c r="F1392" s="116">
        <v>930.8</v>
      </c>
      <c r="G1392">
        <v>12557</v>
      </c>
      <c r="H1392" s="116"/>
      <c r="I1392" s="116"/>
      <c r="L1392" s="170">
        <v>44056</v>
      </c>
      <c r="M1392" s="116">
        <v>932.4</v>
      </c>
      <c r="N1392" s="116">
        <v>939.25</v>
      </c>
      <c r="O1392" s="116">
        <v>908.55</v>
      </c>
      <c r="P1392" s="116">
        <v>909.5</v>
      </c>
      <c r="Q1392" s="116">
        <v>932.4</v>
      </c>
      <c r="R1392">
        <v>220454</v>
      </c>
    </row>
    <row r="1393" spans="1:18" x14ac:dyDescent="0.25">
      <c r="A1393" s="170">
        <v>44057</v>
      </c>
      <c r="B1393" s="116">
        <v>958.95</v>
      </c>
      <c r="C1393" s="116">
        <v>947.7</v>
      </c>
      <c r="D1393" s="116">
        <v>934</v>
      </c>
      <c r="E1393" s="116">
        <v>942.25</v>
      </c>
      <c r="F1393" s="116">
        <v>947.7</v>
      </c>
      <c r="G1393">
        <v>18771</v>
      </c>
      <c r="H1393" s="116"/>
      <c r="I1393" s="116"/>
      <c r="L1393" s="170">
        <v>44057</v>
      </c>
      <c r="M1393" s="116">
        <v>949.4</v>
      </c>
      <c r="N1393" s="116">
        <v>959</v>
      </c>
      <c r="O1393" s="116">
        <v>933.55</v>
      </c>
      <c r="P1393" s="116">
        <v>945</v>
      </c>
      <c r="Q1393" s="116">
        <v>949.4</v>
      </c>
      <c r="R1393">
        <v>370866</v>
      </c>
    </row>
    <row r="1394" spans="1:18" x14ac:dyDescent="0.25">
      <c r="A1394" s="170">
        <v>44060</v>
      </c>
      <c r="B1394" s="116">
        <v>959</v>
      </c>
      <c r="C1394" s="116">
        <v>929.15</v>
      </c>
      <c r="D1394" s="116">
        <v>923.55</v>
      </c>
      <c r="E1394" s="116">
        <v>959</v>
      </c>
      <c r="F1394" s="116">
        <v>929.15</v>
      </c>
      <c r="G1394">
        <v>8707</v>
      </c>
      <c r="H1394" s="116"/>
      <c r="I1394" s="116"/>
      <c r="L1394" s="170">
        <v>44060</v>
      </c>
      <c r="M1394" s="116">
        <v>929.8</v>
      </c>
      <c r="N1394" s="116">
        <v>960</v>
      </c>
      <c r="O1394" s="116">
        <v>923</v>
      </c>
      <c r="P1394" s="116">
        <v>954</v>
      </c>
      <c r="Q1394" s="116">
        <v>929.8</v>
      </c>
      <c r="R1394">
        <v>129446</v>
      </c>
    </row>
    <row r="1395" spans="1:18" x14ac:dyDescent="0.25">
      <c r="A1395" s="170">
        <v>44061</v>
      </c>
      <c r="B1395" s="116">
        <v>939.3</v>
      </c>
      <c r="C1395" s="116">
        <v>933.65</v>
      </c>
      <c r="D1395" s="116">
        <v>931</v>
      </c>
      <c r="E1395" s="116">
        <v>931</v>
      </c>
      <c r="F1395" s="116">
        <v>933.65</v>
      </c>
      <c r="G1395">
        <v>3829</v>
      </c>
      <c r="H1395" s="116"/>
      <c r="I1395" s="116"/>
      <c r="L1395" s="170">
        <v>44061</v>
      </c>
      <c r="M1395" s="116">
        <v>933.1</v>
      </c>
      <c r="N1395" s="116">
        <v>939.5</v>
      </c>
      <c r="O1395" s="116">
        <v>930.05</v>
      </c>
      <c r="P1395" s="116">
        <v>935</v>
      </c>
      <c r="Q1395" s="116">
        <v>933.1</v>
      </c>
      <c r="R1395">
        <v>45097</v>
      </c>
    </row>
    <row r="1396" spans="1:18" x14ac:dyDescent="0.25">
      <c r="A1396" s="170">
        <v>44062</v>
      </c>
      <c r="B1396" s="116">
        <v>965</v>
      </c>
      <c r="C1396" s="116">
        <v>961.65</v>
      </c>
      <c r="D1396" s="116">
        <v>934.25</v>
      </c>
      <c r="E1396" s="116">
        <v>934.3</v>
      </c>
      <c r="F1396" s="116">
        <v>961.65</v>
      </c>
      <c r="G1396">
        <v>15734</v>
      </c>
      <c r="H1396" s="116"/>
      <c r="I1396" s="116"/>
      <c r="L1396" s="170">
        <v>44062</v>
      </c>
      <c r="M1396" s="116">
        <v>961.85</v>
      </c>
      <c r="N1396" s="116">
        <v>965.55</v>
      </c>
      <c r="O1396" s="116">
        <v>933.9</v>
      </c>
      <c r="P1396" s="116">
        <v>933.9</v>
      </c>
      <c r="Q1396" s="116">
        <v>961.85</v>
      </c>
      <c r="R1396">
        <v>189052</v>
      </c>
    </row>
    <row r="1397" spans="1:18" x14ac:dyDescent="0.25">
      <c r="A1397" s="170">
        <v>44063</v>
      </c>
      <c r="B1397" s="116">
        <v>974.05</v>
      </c>
      <c r="C1397" s="116">
        <v>969.2</v>
      </c>
      <c r="D1397" s="116">
        <v>931</v>
      </c>
      <c r="E1397" s="116">
        <v>961.45</v>
      </c>
      <c r="F1397" s="116">
        <v>969.2</v>
      </c>
      <c r="G1397">
        <v>6779</v>
      </c>
      <c r="H1397" s="116"/>
      <c r="I1397" s="116"/>
      <c r="L1397" s="170">
        <v>44063</v>
      </c>
      <c r="M1397" s="116">
        <v>968.8</v>
      </c>
      <c r="N1397" s="116">
        <v>974.2</v>
      </c>
      <c r="O1397" s="116">
        <v>949.5</v>
      </c>
      <c r="P1397" s="116">
        <v>959</v>
      </c>
      <c r="Q1397" s="116">
        <v>968.8</v>
      </c>
      <c r="R1397">
        <v>120158</v>
      </c>
    </row>
    <row r="1398" spans="1:18" x14ac:dyDescent="0.25">
      <c r="A1398" s="170">
        <v>44064</v>
      </c>
      <c r="B1398" s="116">
        <v>998</v>
      </c>
      <c r="C1398" s="116">
        <v>980.65</v>
      </c>
      <c r="D1398" s="116">
        <v>943.05</v>
      </c>
      <c r="E1398" s="116">
        <v>943.05</v>
      </c>
      <c r="F1398" s="116">
        <v>980.65</v>
      </c>
      <c r="G1398">
        <v>19956</v>
      </c>
      <c r="H1398" s="116"/>
      <c r="I1398" s="116"/>
      <c r="L1398" s="170">
        <v>44064</v>
      </c>
      <c r="M1398" s="116">
        <v>982.85</v>
      </c>
      <c r="N1398" s="116">
        <v>998</v>
      </c>
      <c r="O1398" s="116">
        <v>975</v>
      </c>
      <c r="P1398" s="116">
        <v>977</v>
      </c>
      <c r="Q1398" s="116">
        <v>982.85</v>
      </c>
      <c r="R1398">
        <v>306358</v>
      </c>
    </row>
    <row r="1399" spans="1:18" x14ac:dyDescent="0.25">
      <c r="A1399" s="170">
        <v>44067</v>
      </c>
      <c r="B1399" s="116">
        <v>995.55</v>
      </c>
      <c r="C1399" s="116">
        <v>971.25</v>
      </c>
      <c r="D1399" s="116">
        <v>968</v>
      </c>
      <c r="E1399" s="116">
        <v>994.8</v>
      </c>
      <c r="F1399" s="116">
        <v>971.25</v>
      </c>
      <c r="G1399">
        <v>3383</v>
      </c>
      <c r="H1399" s="116"/>
      <c r="I1399" s="116"/>
      <c r="L1399" s="170">
        <v>44067</v>
      </c>
      <c r="M1399" s="116">
        <v>971.25</v>
      </c>
      <c r="N1399" s="116">
        <v>996.5</v>
      </c>
      <c r="O1399" s="116">
        <v>966.25</v>
      </c>
      <c r="P1399" s="116">
        <v>986</v>
      </c>
      <c r="Q1399" s="116">
        <v>971.25</v>
      </c>
      <c r="R1399">
        <v>92187</v>
      </c>
    </row>
    <row r="1400" spans="1:18" x14ac:dyDescent="0.25">
      <c r="A1400" s="170">
        <v>44068</v>
      </c>
      <c r="B1400" s="116">
        <v>988.75</v>
      </c>
      <c r="C1400" s="116">
        <v>962.95</v>
      </c>
      <c r="D1400" s="116">
        <v>943.45</v>
      </c>
      <c r="E1400" s="116">
        <v>971.25</v>
      </c>
      <c r="F1400" s="116">
        <v>962.95</v>
      </c>
      <c r="G1400">
        <v>21601</v>
      </c>
      <c r="H1400" s="116"/>
      <c r="I1400" s="116"/>
      <c r="L1400" s="170">
        <v>44068</v>
      </c>
      <c r="M1400" s="116">
        <v>969.25</v>
      </c>
      <c r="N1400" s="116">
        <v>988.1</v>
      </c>
      <c r="O1400" s="116">
        <v>963.45</v>
      </c>
      <c r="P1400" s="116">
        <v>972</v>
      </c>
      <c r="Q1400" s="116">
        <v>969.25</v>
      </c>
      <c r="R1400">
        <v>202487</v>
      </c>
    </row>
    <row r="1401" spans="1:18" x14ac:dyDescent="0.25">
      <c r="A1401" s="170">
        <v>44069</v>
      </c>
      <c r="B1401" s="116">
        <v>988.7</v>
      </c>
      <c r="C1401" s="116">
        <v>959.95</v>
      </c>
      <c r="D1401" s="116">
        <v>951.3</v>
      </c>
      <c r="E1401" s="116">
        <v>973.25</v>
      </c>
      <c r="F1401" s="116">
        <v>959.95</v>
      </c>
      <c r="G1401">
        <v>9443</v>
      </c>
      <c r="H1401" s="116"/>
      <c r="I1401" s="116"/>
      <c r="L1401" s="170">
        <v>44069</v>
      </c>
      <c r="M1401" s="116">
        <v>959.25</v>
      </c>
      <c r="N1401" s="116">
        <v>979</v>
      </c>
      <c r="O1401" s="116">
        <v>950</v>
      </c>
      <c r="P1401" s="116">
        <v>973</v>
      </c>
      <c r="Q1401" s="116">
        <v>959.25</v>
      </c>
      <c r="R1401">
        <v>450210</v>
      </c>
    </row>
    <row r="1402" spans="1:18" x14ac:dyDescent="0.25">
      <c r="A1402" s="170">
        <v>44070</v>
      </c>
      <c r="B1402" s="116">
        <v>984</v>
      </c>
      <c r="C1402" s="116">
        <v>971.05</v>
      </c>
      <c r="D1402" s="116">
        <v>961.65</v>
      </c>
      <c r="E1402" s="116">
        <v>980</v>
      </c>
      <c r="F1402" s="116">
        <v>971.05</v>
      </c>
      <c r="G1402">
        <v>9989</v>
      </c>
      <c r="H1402" s="116"/>
      <c r="I1402" s="116"/>
      <c r="L1402" s="170">
        <v>44070</v>
      </c>
      <c r="M1402" s="116">
        <v>970.9</v>
      </c>
      <c r="N1402" s="116">
        <v>985</v>
      </c>
      <c r="O1402" s="116">
        <v>961.9</v>
      </c>
      <c r="P1402" s="116">
        <v>964</v>
      </c>
      <c r="Q1402" s="116">
        <v>970.9</v>
      </c>
      <c r="R1402">
        <v>515635</v>
      </c>
    </row>
    <row r="1403" spans="1:18" x14ac:dyDescent="0.25">
      <c r="A1403" s="170">
        <v>44071</v>
      </c>
      <c r="B1403" s="116">
        <v>993</v>
      </c>
      <c r="C1403" s="116">
        <v>985.35</v>
      </c>
      <c r="D1403" s="116">
        <v>974.35</v>
      </c>
      <c r="E1403" s="116">
        <v>974.35</v>
      </c>
      <c r="F1403" s="116">
        <v>985.35</v>
      </c>
      <c r="G1403">
        <v>19917</v>
      </c>
      <c r="H1403" s="116"/>
      <c r="I1403" s="116"/>
      <c r="L1403" s="170">
        <v>44071</v>
      </c>
      <c r="M1403" s="116">
        <v>985.6</v>
      </c>
      <c r="N1403" s="116">
        <v>994.7</v>
      </c>
      <c r="O1403" s="116">
        <v>972</v>
      </c>
      <c r="P1403" s="116">
        <v>972</v>
      </c>
      <c r="Q1403" s="116">
        <v>985.6</v>
      </c>
      <c r="R1403">
        <v>248761</v>
      </c>
    </row>
    <row r="1404" spans="1:18" x14ac:dyDescent="0.25">
      <c r="A1404" s="170">
        <v>44074</v>
      </c>
      <c r="B1404" s="116">
        <v>1008.85</v>
      </c>
      <c r="C1404" s="116">
        <v>950.5</v>
      </c>
      <c r="D1404" s="116">
        <v>944</v>
      </c>
      <c r="E1404" s="116">
        <v>987.5</v>
      </c>
      <c r="F1404" s="116">
        <v>950.5</v>
      </c>
      <c r="G1404">
        <v>15377</v>
      </c>
      <c r="H1404" s="116"/>
      <c r="I1404" s="116"/>
      <c r="L1404" s="170">
        <v>44074</v>
      </c>
      <c r="M1404" s="116">
        <v>950.75</v>
      </c>
      <c r="N1404" s="116">
        <v>1009</v>
      </c>
      <c r="O1404" s="116">
        <v>941.45</v>
      </c>
      <c r="P1404" s="116">
        <v>993</v>
      </c>
      <c r="Q1404" s="116">
        <v>950.75</v>
      </c>
      <c r="R1404">
        <v>297129</v>
      </c>
    </row>
    <row r="1405" spans="1:18" x14ac:dyDescent="0.25">
      <c r="A1405" s="170">
        <v>44075</v>
      </c>
      <c r="B1405" s="116">
        <v>967.4</v>
      </c>
      <c r="C1405" s="116">
        <v>944.65</v>
      </c>
      <c r="D1405" s="116">
        <v>936.5</v>
      </c>
      <c r="E1405" s="116">
        <v>946</v>
      </c>
      <c r="F1405" s="116">
        <v>944.65</v>
      </c>
      <c r="G1405">
        <v>3697</v>
      </c>
      <c r="H1405" s="116"/>
      <c r="I1405" s="116"/>
      <c r="L1405" s="170">
        <v>44075</v>
      </c>
      <c r="M1405" s="116">
        <v>945.6</v>
      </c>
      <c r="N1405" s="116">
        <v>961.15</v>
      </c>
      <c r="O1405" s="116">
        <v>936.3</v>
      </c>
      <c r="P1405" s="116">
        <v>952.2</v>
      </c>
      <c r="Q1405" s="116">
        <v>945.6</v>
      </c>
      <c r="R1405">
        <v>82705</v>
      </c>
    </row>
    <row r="1406" spans="1:18" x14ac:dyDescent="0.25">
      <c r="A1406" s="170">
        <v>44076</v>
      </c>
      <c r="B1406" s="116">
        <v>984.7</v>
      </c>
      <c r="C1406" s="116">
        <v>974.25</v>
      </c>
      <c r="D1406" s="116">
        <v>954</v>
      </c>
      <c r="E1406" s="116">
        <v>954</v>
      </c>
      <c r="F1406" s="116">
        <v>974.25</v>
      </c>
      <c r="G1406">
        <v>3664</v>
      </c>
      <c r="H1406" s="116"/>
      <c r="I1406" s="116"/>
      <c r="L1406" s="170">
        <v>44076</v>
      </c>
      <c r="M1406" s="116">
        <v>974.75</v>
      </c>
      <c r="N1406" s="116">
        <v>985</v>
      </c>
      <c r="O1406" s="116">
        <v>951</v>
      </c>
      <c r="P1406" s="116">
        <v>952.35</v>
      </c>
      <c r="Q1406" s="116">
        <v>974.75</v>
      </c>
      <c r="R1406">
        <v>106159</v>
      </c>
    </row>
    <row r="1407" spans="1:18" x14ac:dyDescent="0.25">
      <c r="A1407" s="170">
        <v>44077</v>
      </c>
      <c r="B1407" s="116">
        <v>990</v>
      </c>
      <c r="C1407" s="116">
        <v>980.5</v>
      </c>
      <c r="D1407" s="116">
        <v>972.2</v>
      </c>
      <c r="E1407" s="116">
        <v>979.55</v>
      </c>
      <c r="F1407" s="116">
        <v>980.5</v>
      </c>
      <c r="G1407">
        <v>3121</v>
      </c>
      <c r="H1407" s="116"/>
      <c r="I1407" s="116"/>
      <c r="L1407" s="170">
        <v>44077</v>
      </c>
      <c r="M1407" s="116">
        <v>981.35</v>
      </c>
      <c r="N1407" s="116">
        <v>990.8</v>
      </c>
      <c r="O1407" s="116">
        <v>971.75</v>
      </c>
      <c r="P1407" s="116">
        <v>979.9</v>
      </c>
      <c r="Q1407" s="116">
        <v>981.35</v>
      </c>
      <c r="R1407">
        <v>56835</v>
      </c>
    </row>
    <row r="1408" spans="1:18" x14ac:dyDescent="0.25">
      <c r="A1408" s="170">
        <v>44078</v>
      </c>
      <c r="B1408" s="116">
        <v>978.5</v>
      </c>
      <c r="C1408" s="116">
        <v>947.75</v>
      </c>
      <c r="D1408" s="116">
        <v>945</v>
      </c>
      <c r="E1408" s="116">
        <v>978.5</v>
      </c>
      <c r="F1408" s="116">
        <v>947.75</v>
      </c>
      <c r="G1408">
        <v>6125</v>
      </c>
      <c r="H1408" s="116"/>
      <c r="I1408" s="116"/>
      <c r="L1408" s="170">
        <v>44078</v>
      </c>
      <c r="M1408" s="116">
        <v>947.6</v>
      </c>
      <c r="N1408" s="116">
        <v>968.9</v>
      </c>
      <c r="O1408" s="116">
        <v>945.05</v>
      </c>
      <c r="P1408" s="116">
        <v>960.25</v>
      </c>
      <c r="Q1408" s="116">
        <v>947.6</v>
      </c>
      <c r="R1408">
        <v>142693</v>
      </c>
    </row>
    <row r="1409" spans="1:18" x14ac:dyDescent="0.25">
      <c r="A1409" s="170">
        <v>44081</v>
      </c>
      <c r="B1409" s="116">
        <v>965</v>
      </c>
      <c r="C1409" s="116">
        <v>926</v>
      </c>
      <c r="D1409" s="116">
        <v>921.1</v>
      </c>
      <c r="E1409" s="116">
        <v>965</v>
      </c>
      <c r="F1409" s="116">
        <v>926</v>
      </c>
      <c r="G1409">
        <v>7858</v>
      </c>
      <c r="H1409" s="116"/>
      <c r="I1409" s="116"/>
      <c r="L1409" s="170">
        <v>44081</v>
      </c>
      <c r="M1409" s="116">
        <v>925.05</v>
      </c>
      <c r="N1409" s="116">
        <v>957.35</v>
      </c>
      <c r="O1409" s="116">
        <v>920.6</v>
      </c>
      <c r="P1409" s="116">
        <v>955.85</v>
      </c>
      <c r="Q1409" s="116">
        <v>925.05</v>
      </c>
      <c r="R1409">
        <v>712824</v>
      </c>
    </row>
    <row r="1410" spans="1:18" x14ac:dyDescent="0.25">
      <c r="A1410" s="170">
        <v>44082</v>
      </c>
      <c r="B1410" s="116">
        <v>942.85</v>
      </c>
      <c r="C1410" s="116">
        <v>901.55</v>
      </c>
      <c r="D1410" s="116">
        <v>900</v>
      </c>
      <c r="E1410" s="116">
        <v>922.2</v>
      </c>
      <c r="F1410" s="116">
        <v>901.55</v>
      </c>
      <c r="G1410">
        <v>9018</v>
      </c>
      <c r="H1410" s="116"/>
      <c r="I1410" s="116"/>
      <c r="L1410" s="170">
        <v>44082</v>
      </c>
      <c r="M1410" s="116">
        <v>901.15</v>
      </c>
      <c r="N1410" s="116">
        <v>943.7</v>
      </c>
      <c r="O1410" s="116">
        <v>900</v>
      </c>
      <c r="P1410" s="116">
        <v>928.7</v>
      </c>
      <c r="Q1410" s="116">
        <v>901.15</v>
      </c>
      <c r="R1410">
        <v>183592</v>
      </c>
    </row>
    <row r="1411" spans="1:18" x14ac:dyDescent="0.25">
      <c r="A1411" s="170">
        <v>44083</v>
      </c>
      <c r="B1411" s="116">
        <v>914</v>
      </c>
      <c r="C1411" s="116">
        <v>902.35</v>
      </c>
      <c r="D1411" s="116">
        <v>895.65</v>
      </c>
      <c r="E1411" s="116">
        <v>900</v>
      </c>
      <c r="F1411" s="116">
        <v>902.35</v>
      </c>
      <c r="G1411">
        <v>4823</v>
      </c>
      <c r="H1411" s="116"/>
      <c r="I1411" s="116"/>
      <c r="L1411" s="170">
        <v>44083</v>
      </c>
      <c r="M1411" s="116">
        <v>901.8</v>
      </c>
      <c r="N1411" s="116">
        <v>914.5</v>
      </c>
      <c r="O1411" s="116">
        <v>894.7</v>
      </c>
      <c r="P1411" s="116">
        <v>899</v>
      </c>
      <c r="Q1411" s="116">
        <v>901.8</v>
      </c>
      <c r="R1411">
        <v>366227</v>
      </c>
    </row>
    <row r="1412" spans="1:18" x14ac:dyDescent="0.25">
      <c r="A1412" s="170">
        <v>44084</v>
      </c>
      <c r="B1412" s="116">
        <v>913.9</v>
      </c>
      <c r="C1412" s="116">
        <v>899.4</v>
      </c>
      <c r="D1412" s="116">
        <v>897</v>
      </c>
      <c r="E1412" s="116">
        <v>913.9</v>
      </c>
      <c r="F1412" s="116">
        <v>899.4</v>
      </c>
      <c r="G1412">
        <v>3777</v>
      </c>
      <c r="H1412" s="116"/>
      <c r="I1412" s="116"/>
      <c r="L1412" s="170">
        <v>44084</v>
      </c>
      <c r="M1412" s="116">
        <v>899.25</v>
      </c>
      <c r="N1412" s="116">
        <v>912</v>
      </c>
      <c r="O1412" s="116">
        <v>895.95</v>
      </c>
      <c r="P1412" s="116">
        <v>907</v>
      </c>
      <c r="Q1412" s="116">
        <v>899.25</v>
      </c>
      <c r="R1412">
        <v>230526</v>
      </c>
    </row>
    <row r="1413" spans="1:18" x14ac:dyDescent="0.25">
      <c r="A1413" s="170">
        <v>44085</v>
      </c>
      <c r="B1413" s="116">
        <v>904.25</v>
      </c>
      <c r="C1413" s="116">
        <v>897.3</v>
      </c>
      <c r="D1413" s="116">
        <v>894</v>
      </c>
      <c r="E1413" s="116">
        <v>899</v>
      </c>
      <c r="F1413" s="116">
        <v>897.3</v>
      </c>
      <c r="G1413">
        <v>6138</v>
      </c>
      <c r="H1413" s="116"/>
      <c r="I1413" s="116"/>
      <c r="L1413" s="170">
        <v>44085</v>
      </c>
      <c r="M1413" s="116">
        <v>898.4</v>
      </c>
      <c r="N1413" s="116">
        <v>903</v>
      </c>
      <c r="O1413" s="116">
        <v>893.55</v>
      </c>
      <c r="P1413" s="116">
        <v>903</v>
      </c>
      <c r="Q1413" s="116">
        <v>898.4</v>
      </c>
      <c r="R1413">
        <v>172447</v>
      </c>
    </row>
    <row r="1414" spans="1:18" x14ac:dyDescent="0.25">
      <c r="A1414" s="170">
        <v>44088</v>
      </c>
      <c r="B1414" s="116">
        <v>913.1</v>
      </c>
      <c r="C1414" s="116">
        <v>907.1</v>
      </c>
      <c r="D1414" s="116">
        <v>902.85</v>
      </c>
      <c r="E1414" s="116">
        <v>909.5</v>
      </c>
      <c r="F1414" s="116">
        <v>907.1</v>
      </c>
      <c r="G1414">
        <v>6638</v>
      </c>
      <c r="H1414" s="116"/>
      <c r="I1414" s="116"/>
      <c r="L1414" s="170">
        <v>44088</v>
      </c>
      <c r="M1414" s="116">
        <v>907.55</v>
      </c>
      <c r="N1414" s="116">
        <v>913</v>
      </c>
      <c r="O1414" s="116">
        <v>902</v>
      </c>
      <c r="P1414" s="116">
        <v>902.7</v>
      </c>
      <c r="Q1414" s="116">
        <v>907.55</v>
      </c>
      <c r="R1414">
        <v>357451</v>
      </c>
    </row>
    <row r="1415" spans="1:18" x14ac:dyDescent="0.25">
      <c r="A1415" s="170">
        <v>44089</v>
      </c>
      <c r="B1415" s="116">
        <v>923</v>
      </c>
      <c r="C1415" s="116">
        <v>914.45</v>
      </c>
      <c r="D1415" s="116">
        <v>905</v>
      </c>
      <c r="E1415" s="116">
        <v>905</v>
      </c>
      <c r="F1415" s="116">
        <v>914.45</v>
      </c>
      <c r="G1415">
        <v>7694</v>
      </c>
      <c r="H1415" s="116"/>
      <c r="I1415" s="116"/>
      <c r="L1415" s="170">
        <v>44089</v>
      </c>
      <c r="M1415" s="116">
        <v>915</v>
      </c>
      <c r="N1415" s="116">
        <v>923</v>
      </c>
      <c r="O1415" s="116">
        <v>912</v>
      </c>
      <c r="P1415" s="116">
        <v>913.7</v>
      </c>
      <c r="Q1415" s="116">
        <v>915</v>
      </c>
      <c r="R1415">
        <v>142131</v>
      </c>
    </row>
    <row r="1416" spans="1:18" x14ac:dyDescent="0.25">
      <c r="A1416" s="170">
        <v>44090</v>
      </c>
      <c r="B1416" s="116">
        <v>919.75</v>
      </c>
      <c r="C1416" s="116">
        <v>909.45</v>
      </c>
      <c r="D1416" s="116">
        <v>906.15</v>
      </c>
      <c r="E1416" s="116">
        <v>918.6</v>
      </c>
      <c r="F1416" s="116">
        <v>909.45</v>
      </c>
      <c r="G1416">
        <v>1882</v>
      </c>
      <c r="H1416" s="116"/>
      <c r="I1416" s="116"/>
      <c r="L1416" s="170">
        <v>44090</v>
      </c>
      <c r="M1416" s="116">
        <v>908.55</v>
      </c>
      <c r="N1416" s="116">
        <v>920.95</v>
      </c>
      <c r="O1416" s="116">
        <v>906.45</v>
      </c>
      <c r="P1416" s="116">
        <v>919.2</v>
      </c>
      <c r="Q1416" s="116">
        <v>908.55</v>
      </c>
      <c r="R1416">
        <v>70043</v>
      </c>
    </row>
    <row r="1417" spans="1:18" x14ac:dyDescent="0.25">
      <c r="A1417" s="170">
        <v>44091</v>
      </c>
      <c r="B1417" s="116">
        <v>921</v>
      </c>
      <c r="C1417" s="116">
        <v>917.75</v>
      </c>
      <c r="D1417" s="116">
        <v>902</v>
      </c>
      <c r="E1417" s="116">
        <v>909</v>
      </c>
      <c r="F1417" s="116">
        <v>917.75</v>
      </c>
      <c r="G1417">
        <v>4521</v>
      </c>
      <c r="H1417" s="116"/>
      <c r="I1417" s="116"/>
      <c r="L1417" s="170">
        <v>44091</v>
      </c>
      <c r="M1417" s="116">
        <v>916.3</v>
      </c>
      <c r="N1417" s="116">
        <v>922.5</v>
      </c>
      <c r="O1417" s="116">
        <v>902</v>
      </c>
      <c r="P1417" s="116">
        <v>907.65</v>
      </c>
      <c r="Q1417" s="116">
        <v>916.3</v>
      </c>
      <c r="R1417">
        <v>155361</v>
      </c>
    </row>
    <row r="1418" spans="1:18" x14ac:dyDescent="0.25">
      <c r="A1418" s="170">
        <v>44092</v>
      </c>
      <c r="B1418" s="116">
        <v>923.15</v>
      </c>
      <c r="C1418" s="116">
        <v>901.15</v>
      </c>
      <c r="D1418" s="116">
        <v>895</v>
      </c>
      <c r="E1418" s="116">
        <v>923.15</v>
      </c>
      <c r="F1418" s="116">
        <v>901.15</v>
      </c>
      <c r="G1418">
        <v>4731</v>
      </c>
      <c r="H1418" s="116"/>
      <c r="I1418" s="116"/>
      <c r="L1418" s="170">
        <v>44092</v>
      </c>
      <c r="M1418" s="116">
        <v>900.8</v>
      </c>
      <c r="N1418" s="116">
        <v>924.8</v>
      </c>
      <c r="O1418" s="116">
        <v>898.45</v>
      </c>
      <c r="P1418" s="116">
        <v>922.9</v>
      </c>
      <c r="Q1418" s="116">
        <v>900.8</v>
      </c>
      <c r="R1418">
        <v>79802</v>
      </c>
    </row>
    <row r="1419" spans="1:18" x14ac:dyDescent="0.25">
      <c r="A1419" s="170">
        <v>44095</v>
      </c>
      <c r="B1419" s="116">
        <v>920</v>
      </c>
      <c r="C1419" s="116">
        <v>898.8</v>
      </c>
      <c r="D1419" s="116">
        <v>897.2</v>
      </c>
      <c r="E1419" s="116">
        <v>901</v>
      </c>
      <c r="F1419" s="116">
        <v>898.8</v>
      </c>
      <c r="G1419">
        <v>10249</v>
      </c>
      <c r="H1419" s="116"/>
      <c r="I1419" s="116"/>
      <c r="L1419" s="170">
        <v>44095</v>
      </c>
      <c r="M1419" s="116">
        <v>898.75</v>
      </c>
      <c r="N1419" s="116">
        <v>905.9</v>
      </c>
      <c r="O1419" s="116">
        <v>896.3</v>
      </c>
      <c r="P1419" s="116">
        <v>904</v>
      </c>
      <c r="Q1419" s="116">
        <v>898.75</v>
      </c>
      <c r="R1419">
        <v>98225</v>
      </c>
    </row>
    <row r="1420" spans="1:18" x14ac:dyDescent="0.25">
      <c r="A1420" s="170">
        <v>44096</v>
      </c>
      <c r="B1420" s="116">
        <v>900</v>
      </c>
      <c r="C1420" s="116">
        <v>894.1</v>
      </c>
      <c r="D1420" s="116">
        <v>865</v>
      </c>
      <c r="E1420" s="116">
        <v>896</v>
      </c>
      <c r="F1420" s="116">
        <v>894.1</v>
      </c>
      <c r="G1420">
        <v>7162</v>
      </c>
      <c r="H1420" s="116"/>
      <c r="I1420" s="116"/>
      <c r="L1420" s="170">
        <v>44096</v>
      </c>
      <c r="M1420" s="116">
        <v>892.95</v>
      </c>
      <c r="N1420" s="116">
        <v>900.25</v>
      </c>
      <c r="O1420" s="116">
        <v>866</v>
      </c>
      <c r="P1420" s="116">
        <v>892</v>
      </c>
      <c r="Q1420" s="116">
        <v>892.95</v>
      </c>
      <c r="R1420">
        <v>69644</v>
      </c>
    </row>
    <row r="1421" spans="1:18" x14ac:dyDescent="0.25">
      <c r="A1421" s="170">
        <v>44097</v>
      </c>
      <c r="B1421" s="116">
        <v>900.2</v>
      </c>
      <c r="C1421" s="116">
        <v>885.2</v>
      </c>
      <c r="D1421" s="116">
        <v>881.2</v>
      </c>
      <c r="E1421" s="116">
        <v>895.2</v>
      </c>
      <c r="F1421" s="116">
        <v>885.2</v>
      </c>
      <c r="G1421">
        <v>11844</v>
      </c>
      <c r="H1421" s="116"/>
      <c r="I1421" s="116"/>
      <c r="L1421" s="170">
        <v>44097</v>
      </c>
      <c r="M1421" s="116">
        <v>884.3</v>
      </c>
      <c r="N1421" s="116">
        <v>900.05</v>
      </c>
      <c r="O1421" s="116">
        <v>882.05</v>
      </c>
      <c r="P1421" s="116">
        <v>897.3</v>
      </c>
      <c r="Q1421" s="116">
        <v>884.3</v>
      </c>
      <c r="R1421">
        <v>76188</v>
      </c>
    </row>
    <row r="1422" spans="1:18" x14ac:dyDescent="0.25">
      <c r="A1422" s="170">
        <v>44098</v>
      </c>
      <c r="B1422" s="116">
        <v>880.9</v>
      </c>
      <c r="C1422" s="116">
        <v>859.8</v>
      </c>
      <c r="D1422" s="116">
        <v>856.2</v>
      </c>
      <c r="E1422" s="116">
        <v>870</v>
      </c>
      <c r="F1422" s="116">
        <v>859.8</v>
      </c>
      <c r="G1422">
        <v>13679</v>
      </c>
      <c r="H1422" s="116"/>
      <c r="I1422" s="116"/>
      <c r="L1422" s="170">
        <v>44098</v>
      </c>
      <c r="M1422" s="116">
        <v>858.6</v>
      </c>
      <c r="N1422" s="116">
        <v>884.9</v>
      </c>
      <c r="O1422" s="116">
        <v>855.25</v>
      </c>
      <c r="P1422" s="116">
        <v>880</v>
      </c>
      <c r="Q1422" s="116">
        <v>858.6</v>
      </c>
      <c r="R1422">
        <v>107682</v>
      </c>
    </row>
    <row r="1423" spans="1:18" x14ac:dyDescent="0.25">
      <c r="A1423" s="170">
        <v>44099</v>
      </c>
      <c r="B1423" s="116">
        <v>874.9</v>
      </c>
      <c r="C1423" s="116">
        <v>852.35</v>
      </c>
      <c r="D1423" s="116">
        <v>848.5</v>
      </c>
      <c r="E1423" s="116">
        <v>874.9</v>
      </c>
      <c r="F1423" s="116">
        <v>852.35</v>
      </c>
      <c r="G1423">
        <v>10635</v>
      </c>
      <c r="H1423" s="116"/>
      <c r="I1423" s="116"/>
      <c r="L1423" s="170">
        <v>44099</v>
      </c>
      <c r="M1423" s="116">
        <v>852.3</v>
      </c>
      <c r="N1423" s="116">
        <v>875.95</v>
      </c>
      <c r="O1423" s="116">
        <v>846.6</v>
      </c>
      <c r="P1423" s="116">
        <v>864.95</v>
      </c>
      <c r="Q1423" s="116">
        <v>852.3</v>
      </c>
      <c r="R1423">
        <v>174158</v>
      </c>
    </row>
    <row r="1424" spans="1:18" x14ac:dyDescent="0.25">
      <c r="A1424" s="170">
        <v>44102</v>
      </c>
      <c r="B1424" s="116">
        <v>871.2</v>
      </c>
      <c r="C1424" s="116">
        <v>861.7</v>
      </c>
      <c r="D1424" s="116">
        <v>850.45</v>
      </c>
      <c r="E1424" s="116">
        <v>852</v>
      </c>
      <c r="F1424" s="116">
        <v>861.7</v>
      </c>
      <c r="G1424">
        <v>6382</v>
      </c>
      <c r="H1424" s="116"/>
      <c r="I1424" s="116"/>
      <c r="L1424" s="170">
        <v>44102</v>
      </c>
      <c r="M1424" s="116">
        <v>861.25</v>
      </c>
      <c r="N1424" s="116">
        <v>872.9</v>
      </c>
      <c r="O1424" s="116">
        <v>849.9</v>
      </c>
      <c r="P1424" s="116">
        <v>855</v>
      </c>
      <c r="Q1424" s="116">
        <v>861.25</v>
      </c>
      <c r="R1424">
        <v>79765</v>
      </c>
    </row>
    <row r="1425" spans="1:18" x14ac:dyDescent="0.25">
      <c r="A1425" s="170">
        <v>44103</v>
      </c>
      <c r="B1425" s="116">
        <v>874.75</v>
      </c>
      <c r="C1425" s="116">
        <v>854.45</v>
      </c>
      <c r="D1425" s="116">
        <v>853.1</v>
      </c>
      <c r="E1425" s="116">
        <v>866.15</v>
      </c>
      <c r="F1425" s="116">
        <v>854.45</v>
      </c>
      <c r="G1425">
        <v>8553</v>
      </c>
      <c r="H1425" s="116"/>
      <c r="I1425" s="116"/>
      <c r="L1425" s="170">
        <v>44103</v>
      </c>
      <c r="M1425" s="116">
        <v>854.95</v>
      </c>
      <c r="N1425" s="116">
        <v>874.85</v>
      </c>
      <c r="O1425" s="116">
        <v>853</v>
      </c>
      <c r="P1425" s="116">
        <v>867.9</v>
      </c>
      <c r="Q1425" s="116">
        <v>854.95</v>
      </c>
      <c r="R1425">
        <v>532383</v>
      </c>
    </row>
    <row r="1426" spans="1:18" x14ac:dyDescent="0.25">
      <c r="A1426" s="170">
        <v>44104</v>
      </c>
      <c r="B1426" s="116">
        <v>864</v>
      </c>
      <c r="C1426" s="116">
        <v>859.45</v>
      </c>
      <c r="D1426" s="116">
        <v>856</v>
      </c>
      <c r="E1426" s="116">
        <v>858.95</v>
      </c>
      <c r="F1426" s="116">
        <v>859.45</v>
      </c>
      <c r="G1426">
        <v>3899</v>
      </c>
      <c r="H1426" s="116"/>
      <c r="I1426" s="116"/>
      <c r="L1426" s="170">
        <v>44104</v>
      </c>
      <c r="M1426" s="116">
        <v>859.5</v>
      </c>
      <c r="N1426" s="116">
        <v>864.85</v>
      </c>
      <c r="O1426" s="116">
        <v>855.05</v>
      </c>
      <c r="P1426" s="116">
        <v>861.3</v>
      </c>
      <c r="Q1426" s="116">
        <v>859.5</v>
      </c>
      <c r="R1426">
        <v>340893</v>
      </c>
    </row>
    <row r="1427" spans="1:18" x14ac:dyDescent="0.25">
      <c r="A1427" s="170">
        <v>44105</v>
      </c>
      <c r="B1427" s="116">
        <v>872</v>
      </c>
      <c r="C1427" s="116">
        <v>862.55</v>
      </c>
      <c r="D1427" s="116">
        <v>860.95</v>
      </c>
      <c r="E1427" s="116">
        <v>868.65</v>
      </c>
      <c r="F1427" s="116">
        <v>862.55</v>
      </c>
      <c r="G1427">
        <v>6619</v>
      </c>
      <c r="H1427" s="116"/>
      <c r="I1427" s="116"/>
      <c r="L1427" s="170">
        <v>44105</v>
      </c>
      <c r="M1427" s="116">
        <v>861</v>
      </c>
      <c r="N1427" s="116">
        <v>873</v>
      </c>
      <c r="O1427" s="116">
        <v>859.9</v>
      </c>
      <c r="P1427" s="116">
        <v>866.05</v>
      </c>
      <c r="Q1427" s="116">
        <v>861</v>
      </c>
      <c r="R1427">
        <v>226679</v>
      </c>
    </row>
    <row r="1428" spans="1:18" x14ac:dyDescent="0.25">
      <c r="A1428" s="170">
        <v>44109</v>
      </c>
      <c r="B1428" s="116">
        <v>877.6</v>
      </c>
      <c r="C1428" s="116">
        <v>869.95</v>
      </c>
      <c r="D1428" s="116">
        <v>862.5</v>
      </c>
      <c r="E1428" s="116">
        <v>862.5</v>
      </c>
      <c r="F1428" s="116">
        <v>869.95</v>
      </c>
      <c r="G1428">
        <v>4564</v>
      </c>
      <c r="H1428" s="116"/>
      <c r="I1428" s="116"/>
      <c r="L1428" s="170">
        <v>44109</v>
      </c>
      <c r="M1428" s="116">
        <v>870.75</v>
      </c>
      <c r="N1428" s="116">
        <v>878</v>
      </c>
      <c r="O1428" s="116">
        <v>865</v>
      </c>
      <c r="P1428" s="116">
        <v>865</v>
      </c>
      <c r="Q1428" s="116">
        <v>870.75</v>
      </c>
      <c r="R1428">
        <v>59775</v>
      </c>
    </row>
    <row r="1429" spans="1:18" x14ac:dyDescent="0.25">
      <c r="A1429" s="170">
        <v>44110</v>
      </c>
      <c r="B1429" s="116">
        <v>879.5</v>
      </c>
      <c r="C1429" s="116">
        <v>872.05</v>
      </c>
      <c r="D1429" s="116">
        <v>870.6</v>
      </c>
      <c r="E1429" s="116">
        <v>872</v>
      </c>
      <c r="F1429" s="116">
        <v>872.05</v>
      </c>
      <c r="G1429">
        <v>1299</v>
      </c>
      <c r="H1429" s="116"/>
      <c r="I1429" s="116"/>
      <c r="L1429" s="170">
        <v>44110</v>
      </c>
      <c r="M1429" s="116">
        <v>872.1</v>
      </c>
      <c r="N1429" s="116">
        <v>879.9</v>
      </c>
      <c r="O1429" s="116">
        <v>870.15</v>
      </c>
      <c r="P1429" s="116">
        <v>872</v>
      </c>
      <c r="Q1429" s="116">
        <v>872.1</v>
      </c>
      <c r="R1429">
        <v>82327</v>
      </c>
    </row>
    <row r="1430" spans="1:18" x14ac:dyDescent="0.25">
      <c r="A1430" s="170">
        <v>44111</v>
      </c>
      <c r="B1430" s="116">
        <v>886</v>
      </c>
      <c r="C1430" s="116">
        <v>875.3</v>
      </c>
      <c r="D1430" s="116">
        <v>868</v>
      </c>
      <c r="E1430" s="116">
        <v>872.8</v>
      </c>
      <c r="F1430" s="116">
        <v>875.3</v>
      </c>
      <c r="G1430">
        <v>3766</v>
      </c>
      <c r="H1430" s="116"/>
      <c r="I1430" s="116"/>
      <c r="L1430" s="170">
        <v>44111</v>
      </c>
      <c r="M1430" s="116">
        <v>876.75</v>
      </c>
      <c r="N1430" s="116">
        <v>886.75</v>
      </c>
      <c r="O1430" s="116">
        <v>865</v>
      </c>
      <c r="P1430" s="116">
        <v>875.7</v>
      </c>
      <c r="Q1430" s="116">
        <v>876.75</v>
      </c>
      <c r="R1430">
        <v>85730</v>
      </c>
    </row>
    <row r="1431" spans="1:18" x14ac:dyDescent="0.25">
      <c r="A1431" s="170">
        <v>44112</v>
      </c>
      <c r="B1431" s="116">
        <v>886.9</v>
      </c>
      <c r="C1431" s="116">
        <v>865.35</v>
      </c>
      <c r="D1431" s="116">
        <v>861</v>
      </c>
      <c r="E1431" s="116">
        <v>875.55</v>
      </c>
      <c r="F1431" s="116">
        <v>865.35</v>
      </c>
      <c r="G1431">
        <v>2483</v>
      </c>
      <c r="H1431" s="116"/>
      <c r="I1431" s="116"/>
      <c r="L1431" s="170">
        <v>44112</v>
      </c>
      <c r="M1431" s="116">
        <v>864.95</v>
      </c>
      <c r="N1431" s="116">
        <v>887</v>
      </c>
      <c r="O1431" s="116">
        <v>860</v>
      </c>
      <c r="P1431" s="116">
        <v>878.95</v>
      </c>
      <c r="Q1431" s="116">
        <v>864.95</v>
      </c>
      <c r="R1431">
        <v>79361</v>
      </c>
    </row>
    <row r="1432" spans="1:18" x14ac:dyDescent="0.25">
      <c r="A1432" s="170">
        <v>44113</v>
      </c>
      <c r="B1432" s="116">
        <v>880.8</v>
      </c>
      <c r="C1432" s="116">
        <v>874.25</v>
      </c>
      <c r="D1432" s="116">
        <v>863.45</v>
      </c>
      <c r="E1432" s="116">
        <v>865</v>
      </c>
      <c r="F1432" s="116">
        <v>874.25</v>
      </c>
      <c r="G1432">
        <v>5304</v>
      </c>
      <c r="H1432" s="116"/>
      <c r="I1432" s="116"/>
      <c r="L1432" s="170">
        <v>44113</v>
      </c>
      <c r="M1432" s="116">
        <v>870.7</v>
      </c>
      <c r="N1432" s="116">
        <v>880.9</v>
      </c>
      <c r="O1432" s="116">
        <v>863.9</v>
      </c>
      <c r="P1432" s="116">
        <v>864</v>
      </c>
      <c r="Q1432" s="116">
        <v>870.7</v>
      </c>
      <c r="R1432">
        <v>642606</v>
      </c>
    </row>
    <row r="1433" spans="1:18" x14ac:dyDescent="0.25">
      <c r="A1433" s="170">
        <v>44116</v>
      </c>
      <c r="B1433" s="116">
        <v>884.25</v>
      </c>
      <c r="C1433" s="116">
        <v>867.6</v>
      </c>
      <c r="D1433" s="116">
        <v>864.5</v>
      </c>
      <c r="E1433" s="116">
        <v>871.85</v>
      </c>
      <c r="F1433" s="116">
        <v>867.6</v>
      </c>
      <c r="G1433">
        <v>4359</v>
      </c>
      <c r="H1433" s="116"/>
      <c r="I1433" s="116"/>
      <c r="L1433" s="170">
        <v>44116</v>
      </c>
      <c r="M1433" s="116">
        <v>866.45</v>
      </c>
      <c r="N1433" s="116">
        <v>885</v>
      </c>
      <c r="O1433" s="116">
        <v>864.45</v>
      </c>
      <c r="P1433" s="116">
        <v>874.9</v>
      </c>
      <c r="Q1433" s="116">
        <v>866.45</v>
      </c>
      <c r="R1433">
        <v>176524</v>
      </c>
    </row>
    <row r="1434" spans="1:18" x14ac:dyDescent="0.25">
      <c r="A1434" s="170">
        <v>44117</v>
      </c>
      <c r="B1434" s="116">
        <v>872</v>
      </c>
      <c r="C1434" s="116">
        <v>859.65</v>
      </c>
      <c r="D1434" s="116">
        <v>856</v>
      </c>
      <c r="E1434" s="116">
        <v>866.45</v>
      </c>
      <c r="F1434" s="116">
        <v>859.65</v>
      </c>
      <c r="G1434">
        <v>5755</v>
      </c>
      <c r="H1434" s="116"/>
      <c r="I1434" s="116"/>
      <c r="L1434" s="170">
        <v>44117</v>
      </c>
      <c r="M1434" s="116">
        <v>861.55</v>
      </c>
      <c r="N1434" s="116">
        <v>872.4</v>
      </c>
      <c r="O1434" s="116">
        <v>857</v>
      </c>
      <c r="P1434" s="116">
        <v>867</v>
      </c>
      <c r="Q1434" s="116">
        <v>861.55</v>
      </c>
      <c r="R1434">
        <v>188240</v>
      </c>
    </row>
    <row r="1435" spans="1:18" x14ac:dyDescent="0.25">
      <c r="A1435" s="170">
        <v>44118</v>
      </c>
      <c r="B1435" s="116">
        <v>867</v>
      </c>
      <c r="C1435" s="116">
        <v>857.85</v>
      </c>
      <c r="D1435" s="116">
        <v>848.5</v>
      </c>
      <c r="E1435" s="116">
        <v>856</v>
      </c>
      <c r="F1435" s="116">
        <v>857.85</v>
      </c>
      <c r="G1435">
        <v>2035</v>
      </c>
      <c r="H1435" s="116"/>
      <c r="I1435" s="116"/>
      <c r="L1435" s="170">
        <v>44118</v>
      </c>
      <c r="M1435" s="116">
        <v>859.2</v>
      </c>
      <c r="N1435" s="116">
        <v>867.7</v>
      </c>
      <c r="O1435" s="116">
        <v>848</v>
      </c>
      <c r="P1435" s="116">
        <v>859.95</v>
      </c>
      <c r="Q1435" s="116">
        <v>859.2</v>
      </c>
      <c r="R1435">
        <v>82812</v>
      </c>
    </row>
    <row r="1436" spans="1:18" x14ac:dyDescent="0.25">
      <c r="A1436" s="170">
        <v>44119</v>
      </c>
      <c r="B1436" s="116">
        <v>866</v>
      </c>
      <c r="C1436" s="116">
        <v>857.85</v>
      </c>
      <c r="D1436" s="116">
        <v>853.95</v>
      </c>
      <c r="E1436" s="116">
        <v>855.1</v>
      </c>
      <c r="F1436" s="116">
        <v>857.85</v>
      </c>
      <c r="G1436">
        <v>2198</v>
      </c>
      <c r="H1436" s="116"/>
      <c r="I1436" s="116"/>
      <c r="L1436" s="170">
        <v>44119</v>
      </c>
      <c r="M1436" s="116">
        <v>858.55</v>
      </c>
      <c r="N1436" s="116">
        <v>868.05</v>
      </c>
      <c r="O1436" s="116">
        <v>853</v>
      </c>
      <c r="P1436" s="116">
        <v>860.5</v>
      </c>
      <c r="Q1436" s="116">
        <v>858.55</v>
      </c>
      <c r="R1436">
        <v>163287</v>
      </c>
    </row>
    <row r="1437" spans="1:18" x14ac:dyDescent="0.25">
      <c r="A1437" s="170">
        <v>44120</v>
      </c>
      <c r="B1437" s="116">
        <v>866.6</v>
      </c>
      <c r="C1437" s="116">
        <v>863.75</v>
      </c>
      <c r="D1437" s="116">
        <v>850.55</v>
      </c>
      <c r="E1437" s="116">
        <v>858</v>
      </c>
      <c r="F1437" s="116">
        <v>863.75</v>
      </c>
      <c r="G1437">
        <v>1410</v>
      </c>
      <c r="H1437" s="116"/>
      <c r="I1437" s="116"/>
      <c r="L1437" s="170">
        <v>44120</v>
      </c>
      <c r="M1437" s="116">
        <v>863.8</v>
      </c>
      <c r="N1437" s="116">
        <v>867</v>
      </c>
      <c r="O1437" s="116">
        <v>850.7</v>
      </c>
      <c r="P1437" s="116">
        <v>855.1</v>
      </c>
      <c r="Q1437" s="116">
        <v>863.8</v>
      </c>
      <c r="R1437">
        <v>32896</v>
      </c>
    </row>
    <row r="1438" spans="1:18" x14ac:dyDescent="0.25">
      <c r="A1438" s="170">
        <v>44123</v>
      </c>
      <c r="B1438" s="116">
        <v>900</v>
      </c>
      <c r="C1438" s="116">
        <v>896.35</v>
      </c>
      <c r="D1438" s="116">
        <v>858.8</v>
      </c>
      <c r="E1438" s="116">
        <v>867.45</v>
      </c>
      <c r="F1438" s="116">
        <v>896.35</v>
      </c>
      <c r="G1438">
        <v>2349</v>
      </c>
      <c r="H1438" s="116"/>
      <c r="I1438" s="116"/>
      <c r="L1438" s="170">
        <v>44123</v>
      </c>
      <c r="M1438" s="116">
        <v>896.45</v>
      </c>
      <c r="N1438" s="116">
        <v>900.4</v>
      </c>
      <c r="O1438" s="116">
        <v>857.05</v>
      </c>
      <c r="P1438" s="116">
        <v>866</v>
      </c>
      <c r="Q1438" s="116">
        <v>896.45</v>
      </c>
      <c r="R1438">
        <v>130070</v>
      </c>
    </row>
    <row r="1439" spans="1:18" x14ac:dyDescent="0.25">
      <c r="A1439" s="170">
        <v>44124</v>
      </c>
      <c r="B1439" s="116">
        <v>896.35</v>
      </c>
      <c r="C1439" s="116">
        <v>884.9</v>
      </c>
      <c r="D1439" s="116">
        <v>883.1</v>
      </c>
      <c r="E1439" s="116">
        <v>896.35</v>
      </c>
      <c r="F1439" s="116">
        <v>884.9</v>
      </c>
      <c r="G1439">
        <v>2490</v>
      </c>
      <c r="H1439" s="116"/>
      <c r="I1439" s="116"/>
      <c r="L1439" s="170">
        <v>44124</v>
      </c>
      <c r="M1439" s="116">
        <v>884.85</v>
      </c>
      <c r="N1439" s="116">
        <v>895.9</v>
      </c>
      <c r="O1439" s="116">
        <v>882</v>
      </c>
      <c r="P1439" s="116">
        <v>895</v>
      </c>
      <c r="Q1439" s="116">
        <v>884.85</v>
      </c>
      <c r="R1439">
        <v>33587</v>
      </c>
    </row>
    <row r="1440" spans="1:18" x14ac:dyDescent="0.25">
      <c r="A1440" s="170">
        <v>44125</v>
      </c>
      <c r="B1440" s="116">
        <v>903.45</v>
      </c>
      <c r="C1440" s="116">
        <v>901.2</v>
      </c>
      <c r="D1440" s="116">
        <v>883.25</v>
      </c>
      <c r="E1440" s="116">
        <v>899</v>
      </c>
      <c r="F1440" s="116">
        <v>901.2</v>
      </c>
      <c r="G1440">
        <v>7358</v>
      </c>
      <c r="H1440" s="116"/>
      <c r="I1440" s="116"/>
      <c r="L1440" s="170">
        <v>44125</v>
      </c>
      <c r="M1440" s="116">
        <v>901.65</v>
      </c>
      <c r="N1440" s="116">
        <v>904.5</v>
      </c>
      <c r="O1440" s="116">
        <v>882</v>
      </c>
      <c r="P1440" s="116">
        <v>882</v>
      </c>
      <c r="Q1440" s="116">
        <v>901.65</v>
      </c>
      <c r="R1440">
        <v>150828</v>
      </c>
    </row>
    <row r="1441" spans="1:18" x14ac:dyDescent="0.25">
      <c r="A1441" s="170">
        <v>44126</v>
      </c>
      <c r="B1441" s="116">
        <v>922.2</v>
      </c>
      <c r="C1441" s="116">
        <v>916.9</v>
      </c>
      <c r="D1441" s="116">
        <v>898.7</v>
      </c>
      <c r="E1441" s="116">
        <v>907.3</v>
      </c>
      <c r="F1441" s="116">
        <v>916.9</v>
      </c>
      <c r="G1441">
        <v>4246</v>
      </c>
      <c r="H1441" s="116"/>
      <c r="I1441" s="116"/>
      <c r="L1441" s="170">
        <v>44126</v>
      </c>
      <c r="M1441" s="116">
        <v>917.2</v>
      </c>
      <c r="N1441" s="116">
        <v>923.3</v>
      </c>
      <c r="O1441" s="116">
        <v>898</v>
      </c>
      <c r="P1441" s="116">
        <v>901.65</v>
      </c>
      <c r="Q1441" s="116">
        <v>917.2</v>
      </c>
      <c r="R1441">
        <v>113581</v>
      </c>
    </row>
    <row r="1442" spans="1:18" x14ac:dyDescent="0.25">
      <c r="A1442" s="170">
        <v>44127</v>
      </c>
      <c r="B1442" s="116">
        <v>923.9</v>
      </c>
      <c r="C1442" s="116">
        <v>916.6</v>
      </c>
      <c r="D1442" s="116">
        <v>906</v>
      </c>
      <c r="E1442" s="116">
        <v>919</v>
      </c>
      <c r="F1442" s="116">
        <v>916.6</v>
      </c>
      <c r="G1442">
        <v>1741</v>
      </c>
      <c r="H1442" s="116"/>
      <c r="I1442" s="116"/>
      <c r="L1442" s="170">
        <v>44127</v>
      </c>
      <c r="M1442" s="116">
        <v>918</v>
      </c>
      <c r="N1442" s="116">
        <v>924.45</v>
      </c>
      <c r="O1442" s="116">
        <v>905.2</v>
      </c>
      <c r="P1442" s="116">
        <v>919.9</v>
      </c>
      <c r="Q1442" s="116">
        <v>918</v>
      </c>
      <c r="R1442">
        <v>45456</v>
      </c>
    </row>
    <row r="1443" spans="1:18" x14ac:dyDescent="0.25">
      <c r="A1443" s="170">
        <v>44130</v>
      </c>
      <c r="B1443" s="116">
        <v>912.65</v>
      </c>
      <c r="C1443" s="116">
        <v>887.45</v>
      </c>
      <c r="D1443" s="116">
        <v>880</v>
      </c>
      <c r="E1443" s="116">
        <v>912.5</v>
      </c>
      <c r="F1443" s="116">
        <v>887.45</v>
      </c>
      <c r="G1443">
        <v>4172</v>
      </c>
      <c r="H1443" s="116"/>
      <c r="I1443" s="116"/>
      <c r="L1443" s="170">
        <v>44130</v>
      </c>
      <c r="M1443" s="116">
        <v>889.05</v>
      </c>
      <c r="N1443" s="116">
        <v>917.4</v>
      </c>
      <c r="O1443" s="116">
        <v>880.05</v>
      </c>
      <c r="P1443" s="116">
        <v>915</v>
      </c>
      <c r="Q1443" s="116">
        <v>889.05</v>
      </c>
      <c r="R1443">
        <v>55576</v>
      </c>
    </row>
    <row r="1444" spans="1:18" x14ac:dyDescent="0.25">
      <c r="A1444" s="170">
        <v>44131</v>
      </c>
      <c r="B1444" s="116">
        <v>937.7</v>
      </c>
      <c r="C1444" s="116">
        <v>930.5</v>
      </c>
      <c r="D1444" s="116">
        <v>884.55</v>
      </c>
      <c r="E1444" s="116">
        <v>890.1</v>
      </c>
      <c r="F1444" s="116">
        <v>930.5</v>
      </c>
      <c r="G1444">
        <v>5625</v>
      </c>
      <c r="H1444" s="116"/>
      <c r="I1444" s="116"/>
      <c r="L1444" s="170">
        <v>44131</v>
      </c>
      <c r="M1444" s="116">
        <v>929.55</v>
      </c>
      <c r="N1444" s="116">
        <v>936.95</v>
      </c>
      <c r="O1444" s="116">
        <v>884.15</v>
      </c>
      <c r="P1444" s="116">
        <v>886.8</v>
      </c>
      <c r="Q1444" s="116">
        <v>929.55</v>
      </c>
      <c r="R1444">
        <v>239419</v>
      </c>
    </row>
    <row r="1445" spans="1:18" x14ac:dyDescent="0.25">
      <c r="A1445" s="170">
        <v>44132</v>
      </c>
      <c r="B1445" s="116">
        <v>937.95</v>
      </c>
      <c r="C1445" s="116">
        <v>908.7</v>
      </c>
      <c r="D1445" s="116">
        <v>904</v>
      </c>
      <c r="E1445" s="116">
        <v>934</v>
      </c>
      <c r="F1445" s="116">
        <v>908.7</v>
      </c>
      <c r="G1445">
        <v>6078</v>
      </c>
      <c r="H1445" s="116"/>
      <c r="I1445" s="116"/>
      <c r="L1445" s="170">
        <v>44132</v>
      </c>
      <c r="M1445" s="116">
        <v>907.05</v>
      </c>
      <c r="N1445" s="116">
        <v>937.2</v>
      </c>
      <c r="O1445" s="116">
        <v>902.85</v>
      </c>
      <c r="P1445" s="116">
        <v>933.8</v>
      </c>
      <c r="Q1445" s="116">
        <v>907.05</v>
      </c>
      <c r="R1445">
        <v>50003</v>
      </c>
    </row>
    <row r="1446" spans="1:18" x14ac:dyDescent="0.25">
      <c r="A1446" s="170">
        <v>44133</v>
      </c>
      <c r="B1446" s="116">
        <v>904</v>
      </c>
      <c r="C1446" s="116">
        <v>886.25</v>
      </c>
      <c r="D1446" s="116">
        <v>882.7</v>
      </c>
      <c r="E1446" s="116">
        <v>904</v>
      </c>
      <c r="F1446" s="116">
        <v>886.25</v>
      </c>
      <c r="G1446">
        <v>5069</v>
      </c>
      <c r="H1446" s="116"/>
      <c r="I1446" s="116"/>
      <c r="L1446" s="170">
        <v>44133</v>
      </c>
      <c r="M1446" s="116">
        <v>886.8</v>
      </c>
      <c r="N1446" s="116">
        <v>900</v>
      </c>
      <c r="O1446" s="116">
        <v>882</v>
      </c>
      <c r="P1446" s="116">
        <v>900</v>
      </c>
      <c r="Q1446" s="116">
        <v>886.8</v>
      </c>
      <c r="R1446">
        <v>156263</v>
      </c>
    </row>
    <row r="1447" spans="1:18" x14ac:dyDescent="0.25">
      <c r="A1447" s="170">
        <v>44134</v>
      </c>
      <c r="B1447" s="116">
        <v>907.15</v>
      </c>
      <c r="C1447" s="116">
        <v>897.3</v>
      </c>
      <c r="D1447" s="116">
        <v>887</v>
      </c>
      <c r="E1447" s="116">
        <v>887</v>
      </c>
      <c r="F1447" s="116">
        <v>897.3</v>
      </c>
      <c r="G1447">
        <v>3197</v>
      </c>
      <c r="H1447" s="116"/>
      <c r="I1447" s="116"/>
      <c r="L1447" s="170">
        <v>44134</v>
      </c>
      <c r="M1447" s="116">
        <v>893.7</v>
      </c>
      <c r="N1447" s="116">
        <v>909</v>
      </c>
      <c r="O1447" s="116">
        <v>883.85</v>
      </c>
      <c r="P1447" s="116">
        <v>888.3</v>
      </c>
      <c r="Q1447" s="116">
        <v>893.7</v>
      </c>
      <c r="R1447">
        <v>47974</v>
      </c>
    </row>
    <row r="1448" spans="1:18" x14ac:dyDescent="0.25">
      <c r="A1448" s="170">
        <v>44137</v>
      </c>
      <c r="B1448" s="116">
        <v>897.05</v>
      </c>
      <c r="C1448" s="116">
        <v>875.85</v>
      </c>
      <c r="D1448" s="116">
        <v>869</v>
      </c>
      <c r="E1448" s="116">
        <v>895.05</v>
      </c>
      <c r="F1448" s="116">
        <v>875.85</v>
      </c>
      <c r="G1448">
        <v>3217</v>
      </c>
      <c r="H1448" s="116"/>
      <c r="I1448" s="116"/>
      <c r="L1448" s="170">
        <v>44137</v>
      </c>
      <c r="M1448" s="116">
        <v>875.65</v>
      </c>
      <c r="N1448" s="116">
        <v>900.4</v>
      </c>
      <c r="O1448" s="116">
        <v>868.6</v>
      </c>
      <c r="P1448" s="116">
        <v>888</v>
      </c>
      <c r="Q1448" s="116">
        <v>875.65</v>
      </c>
      <c r="R1448">
        <v>86892</v>
      </c>
    </row>
    <row r="1449" spans="1:18" x14ac:dyDescent="0.25">
      <c r="A1449" s="170">
        <v>44138</v>
      </c>
      <c r="B1449" s="116">
        <v>893.1</v>
      </c>
      <c r="C1449" s="116">
        <v>877.55</v>
      </c>
      <c r="D1449" s="116">
        <v>870</v>
      </c>
      <c r="E1449" s="116">
        <v>870</v>
      </c>
      <c r="F1449" s="116">
        <v>877.55</v>
      </c>
      <c r="G1449">
        <v>2994</v>
      </c>
      <c r="H1449" s="116"/>
      <c r="I1449" s="116"/>
      <c r="L1449" s="170">
        <v>44138</v>
      </c>
      <c r="M1449" s="116">
        <v>877.4</v>
      </c>
      <c r="N1449" s="116">
        <v>892.75</v>
      </c>
      <c r="O1449" s="116">
        <v>875</v>
      </c>
      <c r="P1449" s="116">
        <v>880.05</v>
      </c>
      <c r="Q1449" s="116">
        <v>877.4</v>
      </c>
      <c r="R1449">
        <v>58871</v>
      </c>
    </row>
    <row r="1450" spans="1:18" x14ac:dyDescent="0.25">
      <c r="A1450" s="170">
        <v>44139</v>
      </c>
      <c r="B1450" s="116">
        <v>890</v>
      </c>
      <c r="C1450" s="116">
        <v>880.45</v>
      </c>
      <c r="D1450" s="116">
        <v>872.4</v>
      </c>
      <c r="E1450" s="116">
        <v>890</v>
      </c>
      <c r="F1450" s="116">
        <v>880.45</v>
      </c>
      <c r="G1450">
        <v>2190</v>
      </c>
      <c r="H1450" s="116"/>
      <c r="I1450" s="116"/>
      <c r="L1450" s="170">
        <v>44139</v>
      </c>
      <c r="M1450" s="116">
        <v>878.8</v>
      </c>
      <c r="N1450" s="116">
        <v>888.95</v>
      </c>
      <c r="O1450" s="116">
        <v>871.25</v>
      </c>
      <c r="P1450" s="116">
        <v>884.9</v>
      </c>
      <c r="Q1450" s="116">
        <v>878.8</v>
      </c>
      <c r="R1450">
        <v>25456</v>
      </c>
    </row>
    <row r="1451" spans="1:18" x14ac:dyDescent="0.25">
      <c r="A1451" s="170">
        <v>44140</v>
      </c>
      <c r="B1451" s="116">
        <v>904</v>
      </c>
      <c r="C1451" s="116">
        <v>893.2</v>
      </c>
      <c r="D1451" s="116">
        <v>882</v>
      </c>
      <c r="E1451" s="116">
        <v>889.45</v>
      </c>
      <c r="F1451" s="116">
        <v>893.2</v>
      </c>
      <c r="G1451">
        <v>5310</v>
      </c>
      <c r="H1451" s="116"/>
      <c r="I1451" s="116"/>
      <c r="L1451" s="170">
        <v>44140</v>
      </c>
      <c r="M1451" s="116">
        <v>894.15</v>
      </c>
      <c r="N1451" s="116">
        <v>905</v>
      </c>
      <c r="O1451" s="116">
        <v>881</v>
      </c>
      <c r="P1451" s="116">
        <v>892.75</v>
      </c>
      <c r="Q1451" s="116">
        <v>894.15</v>
      </c>
      <c r="R1451">
        <v>70353</v>
      </c>
    </row>
    <row r="1452" spans="1:18" x14ac:dyDescent="0.25">
      <c r="A1452" s="170">
        <v>44141</v>
      </c>
      <c r="B1452" s="116">
        <v>941.4</v>
      </c>
      <c r="C1452" s="116">
        <v>937.4</v>
      </c>
      <c r="D1452" s="116">
        <v>905.15</v>
      </c>
      <c r="E1452" s="116">
        <v>915</v>
      </c>
      <c r="F1452" s="116">
        <v>937.4</v>
      </c>
      <c r="G1452">
        <v>17371</v>
      </c>
      <c r="H1452" s="116"/>
      <c r="I1452" s="116"/>
      <c r="L1452" s="170">
        <v>44141</v>
      </c>
      <c r="M1452" s="116">
        <v>937.85</v>
      </c>
      <c r="N1452" s="116">
        <v>941.75</v>
      </c>
      <c r="O1452" s="116">
        <v>905.1</v>
      </c>
      <c r="P1452" s="116">
        <v>914</v>
      </c>
      <c r="Q1452" s="116">
        <v>937.85</v>
      </c>
      <c r="R1452">
        <v>251858</v>
      </c>
    </row>
    <row r="1453" spans="1:18" x14ac:dyDescent="0.25">
      <c r="A1453" s="170">
        <v>44144</v>
      </c>
      <c r="B1453" s="116">
        <v>955</v>
      </c>
      <c r="C1453" s="116">
        <v>947.45</v>
      </c>
      <c r="D1453" s="116">
        <v>938</v>
      </c>
      <c r="E1453" s="116">
        <v>939.35</v>
      </c>
      <c r="F1453" s="116">
        <v>947.45</v>
      </c>
      <c r="G1453">
        <v>7192</v>
      </c>
      <c r="H1453" s="116"/>
      <c r="I1453" s="116"/>
      <c r="L1453" s="170">
        <v>44144</v>
      </c>
      <c r="M1453" s="116">
        <v>949.3</v>
      </c>
      <c r="N1453" s="116">
        <v>954.75</v>
      </c>
      <c r="O1453" s="116">
        <v>935.1</v>
      </c>
      <c r="P1453" s="116">
        <v>935.1</v>
      </c>
      <c r="Q1453" s="116">
        <v>949.3</v>
      </c>
      <c r="R1453">
        <v>121810</v>
      </c>
    </row>
    <row r="1454" spans="1:18" x14ac:dyDescent="0.25">
      <c r="A1454" s="170">
        <v>44145</v>
      </c>
      <c r="B1454" s="116">
        <v>969</v>
      </c>
      <c r="C1454" s="116">
        <v>948.05</v>
      </c>
      <c r="D1454" s="116">
        <v>940.1</v>
      </c>
      <c r="E1454" s="116">
        <v>945</v>
      </c>
      <c r="F1454" s="116">
        <v>948.05</v>
      </c>
      <c r="G1454">
        <v>3124</v>
      </c>
      <c r="H1454" s="116"/>
      <c r="I1454" s="116"/>
      <c r="L1454" s="170">
        <v>44145</v>
      </c>
      <c r="M1454" s="116">
        <v>948.75</v>
      </c>
      <c r="N1454" s="116">
        <v>970</v>
      </c>
      <c r="O1454" s="116">
        <v>940</v>
      </c>
      <c r="P1454" s="116">
        <v>952.6</v>
      </c>
      <c r="Q1454" s="116">
        <v>948.75</v>
      </c>
      <c r="R1454">
        <v>107797</v>
      </c>
    </row>
    <row r="1455" spans="1:18" x14ac:dyDescent="0.25">
      <c r="A1455" s="170">
        <v>44146</v>
      </c>
      <c r="B1455" s="116">
        <v>956.7</v>
      </c>
      <c r="C1455" s="116">
        <v>944.45</v>
      </c>
      <c r="D1455" s="116">
        <v>937.5</v>
      </c>
      <c r="E1455" s="116">
        <v>946.75</v>
      </c>
      <c r="F1455" s="116">
        <v>944.45</v>
      </c>
      <c r="G1455">
        <v>3660</v>
      </c>
      <c r="H1455" s="116"/>
      <c r="I1455" s="116"/>
      <c r="L1455" s="170">
        <v>44146</v>
      </c>
      <c r="M1455" s="116">
        <v>944.25</v>
      </c>
      <c r="N1455" s="116">
        <v>958.75</v>
      </c>
      <c r="O1455" s="116">
        <v>936</v>
      </c>
      <c r="P1455" s="116">
        <v>946.95</v>
      </c>
      <c r="Q1455" s="116">
        <v>944.25</v>
      </c>
      <c r="R1455">
        <v>41822</v>
      </c>
    </row>
    <row r="1456" spans="1:18" x14ac:dyDescent="0.25">
      <c r="A1456" s="170">
        <v>44147</v>
      </c>
      <c r="B1456" s="116">
        <v>975</v>
      </c>
      <c r="C1456" s="116">
        <v>967.35</v>
      </c>
      <c r="D1456" s="116">
        <v>950.6</v>
      </c>
      <c r="E1456" s="116">
        <v>953.9</v>
      </c>
      <c r="F1456" s="116">
        <v>967.35</v>
      </c>
      <c r="G1456">
        <v>13131</v>
      </c>
      <c r="H1456" s="116"/>
      <c r="I1456" s="116"/>
      <c r="L1456" s="170">
        <v>44147</v>
      </c>
      <c r="M1456" s="116">
        <v>967.7</v>
      </c>
      <c r="N1456" s="116">
        <v>975.55</v>
      </c>
      <c r="O1456" s="116">
        <v>949.4</v>
      </c>
      <c r="P1456" s="116">
        <v>949.4</v>
      </c>
      <c r="Q1456" s="116">
        <v>967.7</v>
      </c>
      <c r="R1456">
        <v>173796</v>
      </c>
    </row>
    <row r="1457" spans="1:18" x14ac:dyDescent="0.25">
      <c r="A1457" s="170">
        <v>44148</v>
      </c>
      <c r="B1457" s="116">
        <v>1005.65</v>
      </c>
      <c r="C1457" s="116">
        <v>999.8</v>
      </c>
      <c r="D1457" s="116">
        <v>958.4</v>
      </c>
      <c r="E1457" s="116">
        <v>958.4</v>
      </c>
      <c r="F1457" s="116">
        <v>999.8</v>
      </c>
      <c r="G1457">
        <v>12011</v>
      </c>
      <c r="H1457" s="116"/>
      <c r="I1457" s="116"/>
      <c r="L1457" s="170">
        <v>44148</v>
      </c>
      <c r="M1457" s="116">
        <v>1000.25</v>
      </c>
      <c r="N1457" s="116">
        <v>1006</v>
      </c>
      <c r="O1457" s="116">
        <v>958.6</v>
      </c>
      <c r="P1457" s="116">
        <v>967.7</v>
      </c>
      <c r="Q1457" s="116">
        <v>1000.25</v>
      </c>
      <c r="R1457">
        <v>222825</v>
      </c>
    </row>
    <row r="1458" spans="1:18" x14ac:dyDescent="0.25">
      <c r="A1458" s="170">
        <v>44149</v>
      </c>
      <c r="B1458" s="116">
        <v>1010.45</v>
      </c>
      <c r="C1458" s="116">
        <v>984.25</v>
      </c>
      <c r="D1458" s="116">
        <v>971.75</v>
      </c>
      <c r="E1458" s="116">
        <v>1006.3</v>
      </c>
      <c r="F1458" s="116">
        <v>984.25</v>
      </c>
      <c r="G1458">
        <v>2832</v>
      </c>
      <c r="H1458" s="116"/>
      <c r="I1458" s="116"/>
      <c r="L1458" s="170">
        <v>44149</v>
      </c>
      <c r="M1458" s="116">
        <v>986.15</v>
      </c>
      <c r="N1458" s="116">
        <v>1010</v>
      </c>
      <c r="O1458" s="116">
        <v>972.05</v>
      </c>
      <c r="P1458" s="116">
        <v>1006</v>
      </c>
      <c r="Q1458" s="116">
        <v>986.15</v>
      </c>
      <c r="R1458">
        <v>36544</v>
      </c>
    </row>
    <row r="1459" spans="1:18" x14ac:dyDescent="0.25">
      <c r="A1459" s="170">
        <v>44152</v>
      </c>
      <c r="B1459" s="116">
        <v>1003.45</v>
      </c>
      <c r="C1459" s="116">
        <v>982.25</v>
      </c>
      <c r="D1459" s="116">
        <v>980</v>
      </c>
      <c r="E1459" s="116">
        <v>1001.7</v>
      </c>
      <c r="F1459" s="116">
        <v>982.25</v>
      </c>
      <c r="G1459">
        <v>3828</v>
      </c>
      <c r="H1459" s="116"/>
      <c r="I1459" s="116"/>
      <c r="L1459" s="170">
        <v>44152</v>
      </c>
      <c r="M1459" s="116">
        <v>982.85</v>
      </c>
      <c r="N1459" s="116">
        <v>1006.55</v>
      </c>
      <c r="O1459" s="116">
        <v>980</v>
      </c>
      <c r="P1459" s="116">
        <v>997</v>
      </c>
      <c r="Q1459" s="116">
        <v>982.85</v>
      </c>
      <c r="R1459">
        <v>94002</v>
      </c>
    </row>
    <row r="1460" spans="1:18" x14ac:dyDescent="0.25">
      <c r="A1460" s="170">
        <v>44153</v>
      </c>
      <c r="B1460" s="116">
        <v>1090</v>
      </c>
      <c r="C1460" s="116">
        <v>1078.8499999999999</v>
      </c>
      <c r="D1460" s="116">
        <v>989.9</v>
      </c>
      <c r="E1460" s="116">
        <v>989.9</v>
      </c>
      <c r="F1460" s="116">
        <v>1078.8499999999999</v>
      </c>
      <c r="G1460">
        <v>34350</v>
      </c>
      <c r="H1460" s="116"/>
      <c r="I1460" s="116"/>
      <c r="L1460" s="170">
        <v>44153</v>
      </c>
      <c r="M1460" s="116">
        <v>1078.9000000000001</v>
      </c>
      <c r="N1460" s="116">
        <v>1089.9000000000001</v>
      </c>
      <c r="O1460" s="116">
        <v>980.35</v>
      </c>
      <c r="P1460" s="116">
        <v>980.35</v>
      </c>
      <c r="Q1460" s="116">
        <v>1078.9000000000001</v>
      </c>
      <c r="R1460">
        <v>695220</v>
      </c>
    </row>
    <row r="1461" spans="1:18" x14ac:dyDescent="0.25">
      <c r="A1461" s="170">
        <v>44154</v>
      </c>
      <c r="B1461" s="116">
        <v>1087</v>
      </c>
      <c r="C1461" s="116">
        <v>1044.75</v>
      </c>
      <c r="D1461" s="116">
        <v>1035.0999999999999</v>
      </c>
      <c r="E1461" s="116">
        <v>1080</v>
      </c>
      <c r="F1461" s="116">
        <v>1044.75</v>
      </c>
      <c r="G1461">
        <v>11243</v>
      </c>
      <c r="H1461" s="116"/>
      <c r="I1461" s="116"/>
      <c r="L1461" s="170">
        <v>44154</v>
      </c>
      <c r="M1461" s="116">
        <v>1044.55</v>
      </c>
      <c r="N1461" s="116">
        <v>1089.95</v>
      </c>
      <c r="O1461" s="116">
        <v>1033.3499999999999</v>
      </c>
      <c r="P1461" s="116">
        <v>1078</v>
      </c>
      <c r="Q1461" s="116">
        <v>1044.55</v>
      </c>
      <c r="R1461">
        <v>190460</v>
      </c>
    </row>
    <row r="1462" spans="1:18" x14ac:dyDescent="0.25">
      <c r="A1462" s="170">
        <v>44155</v>
      </c>
      <c r="B1462" s="116">
        <v>1135</v>
      </c>
      <c r="C1462" s="116">
        <v>1122</v>
      </c>
      <c r="D1462" s="116">
        <v>1048.45</v>
      </c>
      <c r="E1462" s="116">
        <v>1052.8</v>
      </c>
      <c r="F1462" s="116">
        <v>1122</v>
      </c>
      <c r="G1462">
        <v>25574</v>
      </c>
      <c r="H1462" s="116"/>
      <c r="I1462" s="116"/>
      <c r="L1462" s="170">
        <v>44155</v>
      </c>
      <c r="M1462" s="116">
        <v>1116.05</v>
      </c>
      <c r="N1462" s="116">
        <v>1135</v>
      </c>
      <c r="O1462" s="116">
        <v>1044</v>
      </c>
      <c r="P1462" s="116">
        <v>1049</v>
      </c>
      <c r="Q1462" s="116">
        <v>1116.05</v>
      </c>
      <c r="R1462">
        <v>249798</v>
      </c>
    </row>
    <row r="1463" spans="1:18" x14ac:dyDescent="0.25">
      <c r="A1463" s="170">
        <v>44158</v>
      </c>
      <c r="B1463" s="116">
        <v>1160</v>
      </c>
      <c r="C1463" s="116">
        <v>1071.1500000000001</v>
      </c>
      <c r="D1463" s="116">
        <v>1050.3499999999999</v>
      </c>
      <c r="E1463" s="116">
        <v>1123</v>
      </c>
      <c r="F1463" s="116">
        <v>1071.1500000000001</v>
      </c>
      <c r="G1463">
        <v>18735</v>
      </c>
      <c r="H1463" s="116"/>
      <c r="I1463" s="116"/>
      <c r="L1463" s="170">
        <v>44158</v>
      </c>
      <c r="M1463" s="116">
        <v>1072.75</v>
      </c>
      <c r="N1463" s="116">
        <v>1163</v>
      </c>
      <c r="O1463" s="116">
        <v>1050</v>
      </c>
      <c r="P1463" s="116">
        <v>1129</v>
      </c>
      <c r="Q1463" s="116">
        <v>1072.75</v>
      </c>
      <c r="R1463">
        <v>176903</v>
      </c>
    </row>
    <row r="1464" spans="1:18" x14ac:dyDescent="0.25">
      <c r="A1464" s="170">
        <v>44159</v>
      </c>
      <c r="B1464" s="116">
        <v>1085</v>
      </c>
      <c r="C1464" s="116">
        <v>1073.95</v>
      </c>
      <c r="D1464" s="116">
        <v>1052.1500000000001</v>
      </c>
      <c r="E1464" s="116">
        <v>1071.1500000000001</v>
      </c>
      <c r="F1464" s="116">
        <v>1073.95</v>
      </c>
      <c r="G1464">
        <v>7405</v>
      </c>
      <c r="H1464" s="116"/>
      <c r="I1464" s="116"/>
      <c r="L1464" s="170">
        <v>44159</v>
      </c>
      <c r="M1464" s="116">
        <v>1072.3</v>
      </c>
      <c r="N1464" s="116">
        <v>1087.8499999999999</v>
      </c>
      <c r="O1464" s="116">
        <v>1051.0999999999999</v>
      </c>
      <c r="P1464" s="116">
        <v>1074.9000000000001</v>
      </c>
      <c r="Q1464" s="116">
        <v>1072.3</v>
      </c>
      <c r="R1464">
        <v>267122</v>
      </c>
    </row>
    <row r="1465" spans="1:18" x14ac:dyDescent="0.25">
      <c r="A1465" s="170">
        <v>44160</v>
      </c>
      <c r="B1465" s="116">
        <v>1083.95</v>
      </c>
      <c r="C1465" s="116">
        <v>1023.8</v>
      </c>
      <c r="D1465" s="116">
        <v>1016</v>
      </c>
      <c r="E1465" s="116">
        <v>1075</v>
      </c>
      <c r="F1465" s="116">
        <v>1023.8</v>
      </c>
      <c r="G1465">
        <v>13465</v>
      </c>
      <c r="H1465" s="116"/>
      <c r="I1465" s="116"/>
      <c r="L1465" s="170">
        <v>44160</v>
      </c>
      <c r="M1465" s="116">
        <v>1025.5</v>
      </c>
      <c r="N1465" s="116">
        <v>1085</v>
      </c>
      <c r="O1465" s="116">
        <v>1011.5</v>
      </c>
      <c r="P1465" s="116">
        <v>1077.7</v>
      </c>
      <c r="Q1465" s="116">
        <v>1025.5</v>
      </c>
      <c r="R1465">
        <v>141568</v>
      </c>
    </row>
    <row r="1466" spans="1:18" x14ac:dyDescent="0.25">
      <c r="A1466" s="170">
        <v>44161</v>
      </c>
      <c r="B1466" s="116">
        <v>1086.5</v>
      </c>
      <c r="C1466" s="116">
        <v>1076.8</v>
      </c>
      <c r="D1466" s="116">
        <v>1030</v>
      </c>
      <c r="E1466" s="116">
        <v>1040</v>
      </c>
      <c r="F1466" s="116">
        <v>1076.8</v>
      </c>
      <c r="G1466">
        <v>16763</v>
      </c>
      <c r="H1466" s="116"/>
      <c r="I1466" s="116"/>
      <c r="L1466" s="170">
        <v>44161</v>
      </c>
      <c r="M1466" s="116">
        <v>1076.95</v>
      </c>
      <c r="N1466" s="116">
        <v>1086.4000000000001</v>
      </c>
      <c r="O1466" s="116">
        <v>1030.3</v>
      </c>
      <c r="P1466" s="116">
        <v>1033.95</v>
      </c>
      <c r="Q1466" s="116">
        <v>1076.95</v>
      </c>
      <c r="R1466">
        <v>292405</v>
      </c>
    </row>
    <row r="1467" spans="1:18" x14ac:dyDescent="0.25">
      <c r="A1467" s="170">
        <v>44162</v>
      </c>
      <c r="B1467" s="116">
        <v>1103.8</v>
      </c>
      <c r="C1467" s="116">
        <v>1073.7</v>
      </c>
      <c r="D1467" s="116">
        <v>1060.0999999999999</v>
      </c>
      <c r="E1467" s="116">
        <v>1095</v>
      </c>
      <c r="F1467" s="116">
        <v>1073.7</v>
      </c>
      <c r="G1467">
        <v>18877</v>
      </c>
      <c r="H1467" s="116"/>
      <c r="I1467" s="116"/>
      <c r="L1467" s="170">
        <v>44162</v>
      </c>
      <c r="M1467" s="116">
        <v>1073.75</v>
      </c>
      <c r="N1467" s="116">
        <v>1104.8499999999999</v>
      </c>
      <c r="O1467" s="116">
        <v>1061</v>
      </c>
      <c r="P1467" s="116">
        <v>1092</v>
      </c>
      <c r="Q1467" s="116">
        <v>1073.75</v>
      </c>
      <c r="R1467">
        <v>253387</v>
      </c>
    </row>
    <row r="1468" spans="1:18" x14ac:dyDescent="0.25">
      <c r="A1468" s="170">
        <v>44166</v>
      </c>
      <c r="B1468" s="116">
        <v>1145.6500000000001</v>
      </c>
      <c r="C1468" s="116">
        <v>1139</v>
      </c>
      <c r="D1468" s="116">
        <v>1075</v>
      </c>
      <c r="E1468" s="116">
        <v>1075.75</v>
      </c>
      <c r="F1468" s="116">
        <v>1139</v>
      </c>
      <c r="G1468">
        <v>22511</v>
      </c>
      <c r="H1468" s="116"/>
      <c r="I1468" s="116"/>
      <c r="L1468" s="170">
        <v>44166</v>
      </c>
      <c r="M1468" s="116">
        <v>1138.05</v>
      </c>
      <c r="N1468" s="116">
        <v>1145</v>
      </c>
      <c r="O1468" s="116">
        <v>1073.8499999999999</v>
      </c>
      <c r="P1468" s="116">
        <v>1081.1500000000001</v>
      </c>
      <c r="Q1468" s="116">
        <v>1138.05</v>
      </c>
      <c r="R1468">
        <v>280795</v>
      </c>
    </row>
    <row r="1469" spans="1:18" x14ac:dyDescent="0.25">
      <c r="A1469" s="170">
        <v>44167</v>
      </c>
      <c r="B1469" s="116">
        <v>1199.5999999999999</v>
      </c>
      <c r="C1469" s="116">
        <v>1190.7</v>
      </c>
      <c r="D1469" s="116">
        <v>1115.45</v>
      </c>
      <c r="E1469" s="116">
        <v>1117</v>
      </c>
      <c r="F1469" s="116">
        <v>1190.7</v>
      </c>
      <c r="G1469">
        <v>30575</v>
      </c>
      <c r="H1469" s="116"/>
      <c r="I1469" s="116"/>
      <c r="L1469" s="170">
        <v>44167</v>
      </c>
      <c r="M1469" s="116">
        <v>1190.8</v>
      </c>
      <c r="N1469" s="116">
        <v>1200</v>
      </c>
      <c r="O1469" s="116">
        <v>1116.05</v>
      </c>
      <c r="P1469" s="116">
        <v>1142</v>
      </c>
      <c r="Q1469" s="116">
        <v>1190.8</v>
      </c>
      <c r="R1469">
        <v>294829</v>
      </c>
    </row>
    <row r="1470" spans="1:18" x14ac:dyDescent="0.25">
      <c r="A1470" s="170">
        <v>44168</v>
      </c>
      <c r="B1470" s="116">
        <v>1237.95</v>
      </c>
      <c r="C1470" s="116">
        <v>1171.25</v>
      </c>
      <c r="D1470" s="116">
        <v>1168.8</v>
      </c>
      <c r="E1470" s="116">
        <v>1199</v>
      </c>
      <c r="F1470" s="116">
        <v>1171.25</v>
      </c>
      <c r="G1470">
        <v>21664</v>
      </c>
      <c r="H1470" s="116"/>
      <c r="I1470" s="116"/>
      <c r="L1470" s="170">
        <v>44168</v>
      </c>
      <c r="M1470" s="116">
        <v>1172</v>
      </c>
      <c r="N1470" s="116">
        <v>1238.95</v>
      </c>
      <c r="O1470" s="116">
        <v>1170</v>
      </c>
      <c r="P1470" s="116">
        <v>1182.1500000000001</v>
      </c>
      <c r="Q1470" s="116">
        <v>1172</v>
      </c>
      <c r="R1470">
        <v>295720</v>
      </c>
    </row>
    <row r="1471" spans="1:18" x14ac:dyDescent="0.25">
      <c r="A1471" s="170">
        <v>44169</v>
      </c>
      <c r="B1471" s="116">
        <v>1198.9000000000001</v>
      </c>
      <c r="C1471" s="116">
        <v>1155.1500000000001</v>
      </c>
      <c r="D1471" s="116">
        <v>1149.5</v>
      </c>
      <c r="E1471" s="116">
        <v>1175</v>
      </c>
      <c r="F1471" s="116">
        <v>1155.1500000000001</v>
      </c>
      <c r="G1471">
        <v>12222</v>
      </c>
      <c r="H1471" s="116"/>
      <c r="I1471" s="116"/>
      <c r="L1471" s="170">
        <v>44169</v>
      </c>
      <c r="M1471" s="116">
        <v>1154.45</v>
      </c>
      <c r="N1471" s="116">
        <v>1197.6500000000001</v>
      </c>
      <c r="O1471" s="116">
        <v>1150</v>
      </c>
      <c r="P1471" s="116">
        <v>1184</v>
      </c>
      <c r="Q1471" s="116">
        <v>1154.45</v>
      </c>
      <c r="R1471">
        <v>162427</v>
      </c>
    </row>
    <row r="1472" spans="1:18" x14ac:dyDescent="0.25">
      <c r="A1472" s="170">
        <v>44172</v>
      </c>
      <c r="B1472" s="116">
        <v>1173</v>
      </c>
      <c r="C1472" s="116">
        <v>1153.75</v>
      </c>
      <c r="D1472" s="116">
        <v>1141</v>
      </c>
      <c r="E1472" s="116">
        <v>1165</v>
      </c>
      <c r="F1472" s="116">
        <v>1153.75</v>
      </c>
      <c r="G1472">
        <v>9752</v>
      </c>
      <c r="H1472" s="116"/>
      <c r="I1472" s="116"/>
      <c r="L1472" s="170">
        <v>44172</v>
      </c>
      <c r="M1472" s="116">
        <v>1154.95</v>
      </c>
      <c r="N1472" s="116">
        <v>1174</v>
      </c>
      <c r="O1472" s="116">
        <v>1140</v>
      </c>
      <c r="P1472" s="116">
        <v>1174</v>
      </c>
      <c r="Q1472" s="116">
        <v>1154.95</v>
      </c>
      <c r="R1472">
        <v>155809</v>
      </c>
    </row>
    <row r="1473" spans="1:18" x14ac:dyDescent="0.25">
      <c r="A1473" s="170">
        <v>44173</v>
      </c>
      <c r="B1473" s="116">
        <v>1189.5999999999999</v>
      </c>
      <c r="C1473" s="116">
        <v>1154.6500000000001</v>
      </c>
      <c r="D1473" s="116">
        <v>1148</v>
      </c>
      <c r="E1473" s="116">
        <v>1160.7</v>
      </c>
      <c r="F1473" s="116">
        <v>1154.6500000000001</v>
      </c>
      <c r="G1473">
        <v>10142</v>
      </c>
      <c r="H1473" s="116"/>
      <c r="I1473" s="116"/>
      <c r="L1473" s="170">
        <v>44173</v>
      </c>
      <c r="M1473" s="116">
        <v>1154.8</v>
      </c>
      <c r="N1473" s="116">
        <v>1190</v>
      </c>
      <c r="O1473" s="116">
        <v>1148</v>
      </c>
      <c r="P1473" s="116">
        <v>1165</v>
      </c>
      <c r="Q1473" s="116">
        <v>1154.8</v>
      </c>
      <c r="R1473">
        <v>225515</v>
      </c>
    </row>
    <row r="1474" spans="1:18" x14ac:dyDescent="0.25">
      <c r="A1474" s="170">
        <v>44174</v>
      </c>
      <c r="B1474" s="116">
        <v>1180</v>
      </c>
      <c r="C1474" s="116">
        <v>1156.3</v>
      </c>
      <c r="D1474" s="116">
        <v>1150</v>
      </c>
      <c r="E1474" s="116">
        <v>1180</v>
      </c>
      <c r="F1474" s="116">
        <v>1156.3</v>
      </c>
      <c r="G1474">
        <v>7038</v>
      </c>
      <c r="H1474" s="116"/>
      <c r="I1474" s="116"/>
      <c r="L1474" s="170">
        <v>44174</v>
      </c>
      <c r="M1474" s="116">
        <v>1155.1500000000001</v>
      </c>
      <c r="N1474" s="116">
        <v>1177</v>
      </c>
      <c r="O1474" s="116">
        <v>1152</v>
      </c>
      <c r="P1474" s="116">
        <v>1162.95</v>
      </c>
      <c r="Q1474" s="116">
        <v>1155.1500000000001</v>
      </c>
      <c r="R1474">
        <v>111606</v>
      </c>
    </row>
    <row r="1475" spans="1:18" x14ac:dyDescent="0.25">
      <c r="A1475" s="170">
        <v>44175</v>
      </c>
      <c r="B1475" s="116">
        <v>1187</v>
      </c>
      <c r="C1475" s="116">
        <v>1159.2</v>
      </c>
      <c r="D1475" s="116">
        <v>1145.5</v>
      </c>
      <c r="E1475" s="116">
        <v>1165</v>
      </c>
      <c r="F1475" s="116">
        <v>1159.2</v>
      </c>
      <c r="G1475">
        <v>19757</v>
      </c>
      <c r="H1475" s="116"/>
      <c r="I1475" s="116"/>
      <c r="L1475" s="170">
        <v>44175</v>
      </c>
      <c r="M1475" s="116">
        <v>1158.8</v>
      </c>
      <c r="N1475" s="116">
        <v>1186.8</v>
      </c>
      <c r="O1475" s="116">
        <v>1144.2</v>
      </c>
      <c r="P1475" s="116">
        <v>1167.25</v>
      </c>
      <c r="Q1475" s="116">
        <v>1158.8</v>
      </c>
      <c r="R1475">
        <v>310277</v>
      </c>
    </row>
    <row r="1476" spans="1:18" x14ac:dyDescent="0.25">
      <c r="A1476" s="170">
        <v>44176</v>
      </c>
      <c r="B1476" s="116">
        <v>1181</v>
      </c>
      <c r="C1476" s="116">
        <v>1174.45</v>
      </c>
      <c r="D1476" s="116">
        <v>1152.5</v>
      </c>
      <c r="E1476" s="116">
        <v>1161</v>
      </c>
      <c r="F1476" s="116">
        <v>1174.45</v>
      </c>
      <c r="G1476">
        <v>94460</v>
      </c>
      <c r="H1476" s="116"/>
      <c r="I1476" s="116"/>
      <c r="L1476" s="170">
        <v>44176</v>
      </c>
      <c r="M1476" s="116">
        <v>1176.2</v>
      </c>
      <c r="N1476" s="116">
        <v>1183.4000000000001</v>
      </c>
      <c r="O1476" s="116">
        <v>1152</v>
      </c>
      <c r="P1476" s="116">
        <v>1167.2</v>
      </c>
      <c r="Q1476" s="116">
        <v>1176.2</v>
      </c>
      <c r="R1476">
        <v>168483</v>
      </c>
    </row>
    <row r="1477" spans="1:18" x14ac:dyDescent="0.25">
      <c r="A1477" s="170">
        <v>44179</v>
      </c>
      <c r="B1477" s="116">
        <v>1180</v>
      </c>
      <c r="C1477" s="116">
        <v>1160.6500000000001</v>
      </c>
      <c r="D1477" s="116">
        <v>1153.6500000000001</v>
      </c>
      <c r="E1477" s="116">
        <v>1180</v>
      </c>
      <c r="F1477" s="116">
        <v>1160.6500000000001</v>
      </c>
      <c r="G1477">
        <v>6648</v>
      </c>
      <c r="H1477" s="116"/>
      <c r="I1477" s="116"/>
      <c r="L1477" s="170">
        <v>44179</v>
      </c>
      <c r="M1477" s="116">
        <v>1161.4000000000001</v>
      </c>
      <c r="N1477" s="116">
        <v>1180</v>
      </c>
      <c r="O1477" s="116">
        <v>1155</v>
      </c>
      <c r="P1477" s="116">
        <v>1180</v>
      </c>
      <c r="Q1477" s="116">
        <v>1161.4000000000001</v>
      </c>
      <c r="R1477">
        <v>119428</v>
      </c>
    </row>
    <row r="1478" spans="1:18" x14ac:dyDescent="0.25">
      <c r="A1478" s="170">
        <v>44180</v>
      </c>
      <c r="B1478" s="116">
        <v>1175</v>
      </c>
      <c r="C1478" s="116">
        <v>1153.2</v>
      </c>
      <c r="D1478" s="116">
        <v>1151.05</v>
      </c>
      <c r="E1478" s="116">
        <v>1175</v>
      </c>
      <c r="F1478" s="116">
        <v>1153.2</v>
      </c>
      <c r="G1478">
        <v>3548</v>
      </c>
      <c r="H1478" s="116"/>
      <c r="I1478" s="116"/>
      <c r="L1478" s="170">
        <v>44180</v>
      </c>
      <c r="M1478" s="116">
        <v>1154.3499999999999</v>
      </c>
      <c r="N1478" s="116">
        <v>1166.55</v>
      </c>
      <c r="O1478" s="116">
        <v>1151.1500000000001</v>
      </c>
      <c r="P1478" s="116">
        <v>1159</v>
      </c>
      <c r="Q1478" s="116">
        <v>1154.3499999999999</v>
      </c>
      <c r="R1478">
        <v>56631</v>
      </c>
    </row>
    <row r="1479" spans="1:18" x14ac:dyDescent="0.25">
      <c r="A1479" s="170">
        <v>44181</v>
      </c>
      <c r="B1479" s="116">
        <v>1206.75</v>
      </c>
      <c r="C1479" s="116">
        <v>1194.25</v>
      </c>
      <c r="D1479" s="116">
        <v>1159.95</v>
      </c>
      <c r="E1479" s="116">
        <v>1159.95</v>
      </c>
      <c r="F1479" s="116">
        <v>1194.25</v>
      </c>
      <c r="G1479">
        <v>101474</v>
      </c>
      <c r="H1479" s="116"/>
      <c r="I1479" s="116"/>
      <c r="L1479" s="170">
        <v>44181</v>
      </c>
      <c r="M1479" s="116">
        <v>1194.9000000000001</v>
      </c>
      <c r="N1479" s="116">
        <v>1206.75</v>
      </c>
      <c r="O1479" s="116">
        <v>1157.6500000000001</v>
      </c>
      <c r="P1479" s="116">
        <v>1159.3</v>
      </c>
      <c r="Q1479" s="116">
        <v>1194.9000000000001</v>
      </c>
      <c r="R1479">
        <v>323251</v>
      </c>
    </row>
    <row r="1480" spans="1:18" x14ac:dyDescent="0.25">
      <c r="A1480" s="170">
        <v>44182</v>
      </c>
      <c r="B1480" s="116">
        <v>1239</v>
      </c>
      <c r="C1480" s="116">
        <v>1233.55</v>
      </c>
      <c r="D1480" s="116">
        <v>1185.05</v>
      </c>
      <c r="E1480" s="116">
        <v>1185.05</v>
      </c>
      <c r="F1480" s="116">
        <v>1233.55</v>
      </c>
      <c r="G1480">
        <v>21722</v>
      </c>
      <c r="H1480" s="116"/>
      <c r="I1480" s="116"/>
      <c r="L1480" s="170">
        <v>44182</v>
      </c>
      <c r="M1480" s="116">
        <v>1232.7</v>
      </c>
      <c r="N1480" s="116">
        <v>1239.8</v>
      </c>
      <c r="O1480" s="116">
        <v>1195.75</v>
      </c>
      <c r="P1480" s="116">
        <v>1203.95</v>
      </c>
      <c r="Q1480" s="116">
        <v>1232.7</v>
      </c>
      <c r="R1480">
        <v>402509</v>
      </c>
    </row>
    <row r="1481" spans="1:18" x14ac:dyDescent="0.25">
      <c r="A1481" s="170">
        <v>44183</v>
      </c>
      <c r="B1481" s="116">
        <v>1260</v>
      </c>
      <c r="C1481" s="116">
        <v>1245.8</v>
      </c>
      <c r="D1481" s="116">
        <v>1204.3</v>
      </c>
      <c r="E1481" s="116">
        <v>1240.05</v>
      </c>
      <c r="F1481" s="116">
        <v>1245.8</v>
      </c>
      <c r="G1481">
        <v>20926</v>
      </c>
      <c r="H1481" s="116"/>
      <c r="I1481" s="116"/>
      <c r="L1481" s="170">
        <v>44183</v>
      </c>
      <c r="M1481" s="116">
        <v>1246.95</v>
      </c>
      <c r="N1481" s="116">
        <v>1260</v>
      </c>
      <c r="O1481" s="116">
        <v>1201.05</v>
      </c>
      <c r="P1481" s="116">
        <v>1244.4000000000001</v>
      </c>
      <c r="Q1481" s="116">
        <v>1246.95</v>
      </c>
      <c r="R1481">
        <v>378273</v>
      </c>
    </row>
    <row r="1482" spans="1:18" x14ac:dyDescent="0.25">
      <c r="A1482" s="170">
        <v>44186</v>
      </c>
      <c r="B1482" s="116">
        <v>1245</v>
      </c>
      <c r="C1482" s="116">
        <v>1214.25</v>
      </c>
      <c r="D1482" s="116">
        <v>1171.05</v>
      </c>
      <c r="E1482" s="116">
        <v>1232</v>
      </c>
      <c r="F1482" s="116">
        <v>1214.25</v>
      </c>
      <c r="G1482">
        <v>91624</v>
      </c>
      <c r="H1482" s="116"/>
      <c r="I1482" s="116"/>
      <c r="L1482" s="170">
        <v>44186</v>
      </c>
      <c r="M1482" s="116">
        <v>1215.3</v>
      </c>
      <c r="N1482" s="116">
        <v>1254.9000000000001</v>
      </c>
      <c r="O1482" s="116">
        <v>1181</v>
      </c>
      <c r="P1482" s="116">
        <v>1244.5</v>
      </c>
      <c r="Q1482" s="116">
        <v>1215.3</v>
      </c>
      <c r="R1482">
        <v>145777</v>
      </c>
    </row>
    <row r="1483" spans="1:18" x14ac:dyDescent="0.25">
      <c r="A1483" s="170">
        <v>44187</v>
      </c>
      <c r="B1483" s="116">
        <v>1225.3</v>
      </c>
      <c r="C1483" s="116">
        <v>1185.45</v>
      </c>
      <c r="D1483" s="116">
        <v>1157</v>
      </c>
      <c r="E1483" s="116">
        <v>1210.0999999999999</v>
      </c>
      <c r="F1483" s="116">
        <v>1185.45</v>
      </c>
      <c r="G1483">
        <v>12813</v>
      </c>
      <c r="H1483" s="116"/>
      <c r="I1483" s="116"/>
      <c r="L1483" s="170">
        <v>44187</v>
      </c>
      <c r="M1483" s="116">
        <v>1185.6500000000001</v>
      </c>
      <c r="N1483" s="116">
        <v>1225</v>
      </c>
      <c r="O1483" s="116">
        <v>1157.2</v>
      </c>
      <c r="P1483" s="116">
        <v>1214</v>
      </c>
      <c r="Q1483" s="116">
        <v>1185.6500000000001</v>
      </c>
      <c r="R1483">
        <v>327649</v>
      </c>
    </row>
    <row r="1484" spans="1:18" x14ac:dyDescent="0.25">
      <c r="A1484" s="170">
        <v>44188</v>
      </c>
      <c r="B1484" s="116">
        <v>1235</v>
      </c>
      <c r="C1484" s="116">
        <v>1199</v>
      </c>
      <c r="D1484" s="116">
        <v>1194.75</v>
      </c>
      <c r="E1484" s="116">
        <v>1196.6500000000001</v>
      </c>
      <c r="F1484" s="116">
        <v>1199</v>
      </c>
      <c r="G1484">
        <v>4819</v>
      </c>
      <c r="H1484" s="116"/>
      <c r="I1484" s="116"/>
      <c r="L1484" s="170">
        <v>44188</v>
      </c>
      <c r="M1484" s="116">
        <v>1201</v>
      </c>
      <c r="N1484" s="116">
        <v>1236.8499999999999</v>
      </c>
      <c r="O1484" s="116">
        <v>1190.25</v>
      </c>
      <c r="P1484" s="116">
        <v>1197</v>
      </c>
      <c r="Q1484" s="116">
        <v>1201</v>
      </c>
      <c r="R1484">
        <v>171273</v>
      </c>
    </row>
    <row r="1485" spans="1:18" x14ac:dyDescent="0.25">
      <c r="A1485" s="170">
        <v>44189</v>
      </c>
      <c r="B1485" s="116">
        <v>1229.95</v>
      </c>
      <c r="C1485" s="116">
        <v>1207.3499999999999</v>
      </c>
      <c r="D1485" s="116">
        <v>1191</v>
      </c>
      <c r="E1485" s="116">
        <v>1205</v>
      </c>
      <c r="F1485" s="116">
        <v>1207.3499999999999</v>
      </c>
      <c r="G1485">
        <v>45306</v>
      </c>
      <c r="H1485" s="116"/>
      <c r="I1485" s="116"/>
      <c r="L1485" s="170">
        <v>44189</v>
      </c>
      <c r="M1485" s="116">
        <v>1206.55</v>
      </c>
      <c r="N1485" s="116">
        <v>1230</v>
      </c>
      <c r="O1485" s="116">
        <v>1200</v>
      </c>
      <c r="P1485" s="116">
        <v>1218</v>
      </c>
      <c r="Q1485" s="116">
        <v>1206.55</v>
      </c>
      <c r="R1485">
        <v>246220</v>
      </c>
    </row>
    <row r="1486" spans="1:18" x14ac:dyDescent="0.25">
      <c r="A1486" s="170">
        <v>44193</v>
      </c>
      <c r="B1486" s="116">
        <v>1227.6500000000001</v>
      </c>
      <c r="C1486" s="116">
        <v>1219.2</v>
      </c>
      <c r="D1486" s="116">
        <v>1212</v>
      </c>
      <c r="E1486" s="116">
        <v>1225</v>
      </c>
      <c r="F1486" s="116">
        <v>1219.2</v>
      </c>
      <c r="G1486">
        <v>6106</v>
      </c>
      <c r="H1486" s="116"/>
      <c r="I1486" s="116"/>
      <c r="L1486" s="170">
        <v>44193</v>
      </c>
      <c r="M1486" s="116">
        <v>1217.55</v>
      </c>
      <c r="N1486" s="116">
        <v>1228</v>
      </c>
      <c r="O1486" s="116">
        <v>1212</v>
      </c>
      <c r="P1486" s="116">
        <v>1221.3499999999999</v>
      </c>
      <c r="Q1486" s="116">
        <v>1217.55</v>
      </c>
      <c r="R1486">
        <v>169125</v>
      </c>
    </row>
    <row r="1487" spans="1:18" x14ac:dyDescent="0.25">
      <c r="A1487" s="170">
        <v>44194</v>
      </c>
      <c r="B1487" s="116">
        <v>1229.0999999999999</v>
      </c>
      <c r="C1487" s="116">
        <v>1204.55</v>
      </c>
      <c r="D1487" s="116">
        <v>1195</v>
      </c>
      <c r="E1487" s="116">
        <v>1223</v>
      </c>
      <c r="F1487" s="116">
        <v>1204.55</v>
      </c>
      <c r="G1487">
        <v>7026</v>
      </c>
      <c r="H1487" s="116"/>
      <c r="I1487" s="116"/>
      <c r="L1487" s="170">
        <v>44194</v>
      </c>
      <c r="M1487" s="116">
        <v>1203.05</v>
      </c>
      <c r="N1487" s="116">
        <v>1227.9000000000001</v>
      </c>
      <c r="O1487" s="116">
        <v>1190</v>
      </c>
      <c r="P1487" s="116">
        <v>1223.2</v>
      </c>
      <c r="Q1487" s="116">
        <v>1203.05</v>
      </c>
      <c r="R1487">
        <v>154970</v>
      </c>
    </row>
    <row r="1488" spans="1:18" x14ac:dyDescent="0.25">
      <c r="A1488" s="170">
        <v>44195</v>
      </c>
      <c r="B1488" s="116">
        <v>1239.8499999999999</v>
      </c>
      <c r="C1488" s="116">
        <v>1209.95</v>
      </c>
      <c r="D1488" s="116">
        <v>1203.9000000000001</v>
      </c>
      <c r="E1488" s="116">
        <v>1229</v>
      </c>
      <c r="F1488" s="116">
        <v>1209.95</v>
      </c>
      <c r="G1488">
        <v>14034</v>
      </c>
      <c r="H1488" s="116"/>
      <c r="I1488" s="116"/>
      <c r="L1488" s="170">
        <v>44195</v>
      </c>
      <c r="M1488" s="116">
        <v>1208.9000000000001</v>
      </c>
      <c r="N1488" s="116">
        <v>1239.9000000000001</v>
      </c>
      <c r="O1488" s="116">
        <v>1201.25</v>
      </c>
      <c r="P1488" s="116">
        <v>1205.7</v>
      </c>
      <c r="Q1488" s="116">
        <v>1208.9000000000001</v>
      </c>
      <c r="R1488">
        <v>197431</v>
      </c>
    </row>
    <row r="1489" spans="1:18" x14ac:dyDescent="0.25">
      <c r="A1489" s="170">
        <v>44196</v>
      </c>
      <c r="B1489" s="116">
        <v>1217.7</v>
      </c>
      <c r="C1489" s="116">
        <v>1212.1500000000001</v>
      </c>
      <c r="D1489" s="116">
        <v>1203.55</v>
      </c>
      <c r="E1489" s="116">
        <v>1212</v>
      </c>
      <c r="F1489" s="116">
        <v>1212.1500000000001</v>
      </c>
      <c r="G1489">
        <v>7909</v>
      </c>
      <c r="H1489" s="116"/>
      <c r="I1489" s="116"/>
      <c r="L1489" s="170">
        <v>44196</v>
      </c>
      <c r="M1489" s="116">
        <v>1212.05</v>
      </c>
      <c r="N1489" s="116">
        <v>1217.9000000000001</v>
      </c>
      <c r="O1489" s="116">
        <v>1202.2</v>
      </c>
      <c r="P1489" s="116">
        <v>1214</v>
      </c>
      <c r="Q1489" s="116">
        <v>1212.05</v>
      </c>
      <c r="R1489">
        <v>296434</v>
      </c>
    </row>
    <row r="1490" spans="1:18" x14ac:dyDescent="0.25">
      <c r="A1490" s="170">
        <v>44197</v>
      </c>
      <c r="B1490" s="116">
        <v>1238</v>
      </c>
      <c r="C1490" s="116">
        <v>1233.45</v>
      </c>
      <c r="D1490" s="116">
        <v>1214.1500000000001</v>
      </c>
      <c r="E1490" s="116">
        <v>1214.1500000000001</v>
      </c>
      <c r="F1490" s="116">
        <v>1233.45</v>
      </c>
      <c r="G1490">
        <v>5192</v>
      </c>
      <c r="H1490" s="116"/>
      <c r="I1490" s="116"/>
      <c r="L1490" s="170">
        <v>44197</v>
      </c>
      <c r="M1490" s="116">
        <v>1232.7</v>
      </c>
      <c r="N1490" s="116">
        <v>1238.5</v>
      </c>
      <c r="O1490" s="116">
        <v>1212</v>
      </c>
      <c r="P1490" s="116">
        <v>1212</v>
      </c>
      <c r="Q1490" s="116">
        <v>1232.7</v>
      </c>
      <c r="R1490">
        <v>95451</v>
      </c>
    </row>
    <row r="1491" spans="1:18" x14ac:dyDescent="0.25">
      <c r="A1491" s="170">
        <v>44200</v>
      </c>
      <c r="B1491" s="116">
        <v>1270</v>
      </c>
      <c r="C1491" s="116">
        <v>1263.25</v>
      </c>
      <c r="D1491" s="116">
        <v>1233</v>
      </c>
      <c r="E1491" s="116">
        <v>1233</v>
      </c>
      <c r="F1491" s="116">
        <v>1263.25</v>
      </c>
      <c r="G1491">
        <v>14367</v>
      </c>
      <c r="H1491" s="116"/>
      <c r="I1491" s="116"/>
      <c r="L1491" s="170">
        <v>44200</v>
      </c>
      <c r="M1491" s="116">
        <v>1262.9000000000001</v>
      </c>
      <c r="N1491" s="116">
        <v>1290</v>
      </c>
      <c r="O1491" s="116">
        <v>1235</v>
      </c>
      <c r="P1491" s="116">
        <v>1239.0999999999999</v>
      </c>
      <c r="Q1491" s="116">
        <v>1262.9000000000001</v>
      </c>
      <c r="R1491">
        <v>99581</v>
      </c>
    </row>
    <row r="1492" spans="1:18" x14ac:dyDescent="0.25">
      <c r="A1492" s="170">
        <v>44201</v>
      </c>
      <c r="B1492" s="116">
        <v>1303.45</v>
      </c>
      <c r="C1492" s="116">
        <v>1293.7</v>
      </c>
      <c r="D1492" s="116">
        <v>1227.1500000000001</v>
      </c>
      <c r="E1492" s="116">
        <v>1227.1500000000001</v>
      </c>
      <c r="F1492" s="116">
        <v>1293.7</v>
      </c>
      <c r="G1492">
        <v>14219</v>
      </c>
      <c r="H1492" s="116"/>
      <c r="I1492" s="116"/>
      <c r="L1492" s="170">
        <v>44201</v>
      </c>
      <c r="M1492" s="116">
        <v>1293.5999999999999</v>
      </c>
      <c r="N1492" s="116">
        <v>1305</v>
      </c>
      <c r="O1492" s="116">
        <v>1225</v>
      </c>
      <c r="P1492" s="116">
        <v>1259.5</v>
      </c>
      <c r="Q1492" s="116">
        <v>1293.5999999999999</v>
      </c>
      <c r="R1492">
        <v>150290</v>
      </c>
    </row>
    <row r="1493" spans="1:18" x14ac:dyDescent="0.25">
      <c r="A1493" s="170">
        <v>44202</v>
      </c>
      <c r="B1493" s="116">
        <v>1316.4</v>
      </c>
      <c r="C1493" s="116">
        <v>1296.25</v>
      </c>
      <c r="D1493" s="116">
        <v>1291.7</v>
      </c>
      <c r="E1493" s="116">
        <v>1293.7</v>
      </c>
      <c r="F1493" s="116">
        <v>1296.25</v>
      </c>
      <c r="G1493">
        <v>10701</v>
      </c>
      <c r="H1493" s="116"/>
      <c r="I1493" s="116"/>
      <c r="L1493" s="170">
        <v>44202</v>
      </c>
      <c r="M1493" s="116">
        <v>1297.6500000000001</v>
      </c>
      <c r="N1493" s="116">
        <v>1316</v>
      </c>
      <c r="O1493" s="116">
        <v>1291</v>
      </c>
      <c r="P1493" s="116">
        <v>1295</v>
      </c>
      <c r="Q1493" s="116">
        <v>1297.6500000000001</v>
      </c>
      <c r="R1493">
        <v>108081</v>
      </c>
    </row>
    <row r="1494" spans="1:18" x14ac:dyDescent="0.25">
      <c r="A1494" s="170">
        <v>44203</v>
      </c>
      <c r="B1494" s="116">
        <v>1315.5</v>
      </c>
      <c r="C1494" s="116">
        <v>1302.75</v>
      </c>
      <c r="D1494" s="116">
        <v>1292.2</v>
      </c>
      <c r="E1494" s="116">
        <v>1305.3</v>
      </c>
      <c r="F1494" s="116">
        <v>1302.75</v>
      </c>
      <c r="G1494">
        <v>4764</v>
      </c>
      <c r="H1494" s="116"/>
      <c r="I1494" s="116"/>
      <c r="L1494" s="170">
        <v>44203</v>
      </c>
      <c r="M1494" s="116">
        <v>1302.6500000000001</v>
      </c>
      <c r="N1494" s="116">
        <v>1316.9</v>
      </c>
      <c r="O1494" s="116">
        <v>1291.25</v>
      </c>
      <c r="P1494" s="116">
        <v>1302</v>
      </c>
      <c r="Q1494" s="116">
        <v>1302.6500000000001</v>
      </c>
      <c r="R1494">
        <v>109031</v>
      </c>
    </row>
    <row r="1495" spans="1:18" x14ac:dyDescent="0.25">
      <c r="A1495" s="170">
        <v>44204</v>
      </c>
      <c r="B1495" s="116">
        <v>1327.2</v>
      </c>
      <c r="C1495" s="116">
        <v>1313.05</v>
      </c>
      <c r="D1495" s="116">
        <v>1299.8</v>
      </c>
      <c r="E1495" s="116">
        <v>1312</v>
      </c>
      <c r="F1495" s="116">
        <v>1313.05</v>
      </c>
      <c r="G1495">
        <v>12742</v>
      </c>
      <c r="H1495" s="116"/>
      <c r="I1495" s="116"/>
      <c r="L1495" s="170">
        <v>44204</v>
      </c>
      <c r="M1495" s="116">
        <v>1315</v>
      </c>
      <c r="N1495" s="116">
        <v>1330</v>
      </c>
      <c r="O1495" s="116">
        <v>1300</v>
      </c>
      <c r="P1495" s="116">
        <v>1307.55</v>
      </c>
      <c r="Q1495" s="116">
        <v>1315</v>
      </c>
      <c r="R1495">
        <v>285838</v>
      </c>
    </row>
    <row r="1496" spans="1:18" x14ac:dyDescent="0.25">
      <c r="A1496" s="170">
        <v>44207</v>
      </c>
      <c r="B1496" s="116">
        <v>1315</v>
      </c>
      <c r="C1496" s="116">
        <v>1296.9000000000001</v>
      </c>
      <c r="D1496" s="116">
        <v>1288.9000000000001</v>
      </c>
      <c r="E1496" s="116">
        <v>1315</v>
      </c>
      <c r="F1496" s="116">
        <v>1296.9000000000001</v>
      </c>
      <c r="G1496">
        <v>4714</v>
      </c>
      <c r="H1496" s="116"/>
      <c r="I1496" s="116"/>
      <c r="L1496" s="170">
        <v>44207</v>
      </c>
      <c r="M1496" s="116">
        <v>1296.9000000000001</v>
      </c>
      <c r="N1496" s="116">
        <v>1314</v>
      </c>
      <c r="O1496" s="116">
        <v>1288</v>
      </c>
      <c r="P1496" s="116">
        <v>1314</v>
      </c>
      <c r="Q1496" s="116">
        <v>1296.9000000000001</v>
      </c>
      <c r="R1496">
        <v>92160</v>
      </c>
    </row>
    <row r="1497" spans="1:18" x14ac:dyDescent="0.25">
      <c r="A1497" s="170">
        <v>44208</v>
      </c>
      <c r="B1497" s="116">
        <v>1301.8499999999999</v>
      </c>
      <c r="C1497" s="116">
        <v>1270.3</v>
      </c>
      <c r="D1497" s="116">
        <v>1266</v>
      </c>
      <c r="E1497" s="116">
        <v>1288</v>
      </c>
      <c r="F1497" s="116">
        <v>1270.3</v>
      </c>
      <c r="G1497">
        <v>7416</v>
      </c>
      <c r="H1497" s="116"/>
      <c r="I1497" s="116"/>
      <c r="L1497" s="170">
        <v>44208</v>
      </c>
      <c r="M1497" s="116">
        <v>1269.3</v>
      </c>
      <c r="N1497" s="116">
        <v>1301</v>
      </c>
      <c r="O1497" s="116">
        <v>1265</v>
      </c>
      <c r="P1497" s="116">
        <v>1288</v>
      </c>
      <c r="Q1497" s="116">
        <v>1269.3</v>
      </c>
      <c r="R1497">
        <v>162360</v>
      </c>
    </row>
    <row r="1498" spans="1:18" x14ac:dyDescent="0.25">
      <c r="A1498" s="170">
        <v>44209</v>
      </c>
      <c r="B1498" s="116">
        <v>1287.95</v>
      </c>
      <c r="C1498" s="116">
        <v>1279.8</v>
      </c>
      <c r="D1498" s="116">
        <v>1265.5999999999999</v>
      </c>
      <c r="E1498" s="116">
        <v>1284.7</v>
      </c>
      <c r="F1498" s="116">
        <v>1279.8</v>
      </c>
      <c r="G1498">
        <v>9778</v>
      </c>
      <c r="H1498" s="116"/>
      <c r="I1498" s="116"/>
      <c r="L1498" s="170">
        <v>44209</v>
      </c>
      <c r="M1498" s="116">
        <v>1280.5</v>
      </c>
      <c r="N1498" s="116">
        <v>1294</v>
      </c>
      <c r="O1498" s="116">
        <v>1265</v>
      </c>
      <c r="P1498" s="116">
        <v>1277.8</v>
      </c>
      <c r="Q1498" s="116">
        <v>1280.5</v>
      </c>
      <c r="R1498">
        <v>159570</v>
      </c>
    </row>
    <row r="1499" spans="1:18" x14ac:dyDescent="0.25">
      <c r="A1499" s="170">
        <v>44210</v>
      </c>
      <c r="B1499" s="116">
        <v>1296.95</v>
      </c>
      <c r="C1499" s="116">
        <v>1276.05</v>
      </c>
      <c r="D1499" s="116">
        <v>1264.5999999999999</v>
      </c>
      <c r="E1499" s="116">
        <v>1284.0999999999999</v>
      </c>
      <c r="F1499" s="116">
        <v>1276.05</v>
      </c>
      <c r="G1499">
        <v>3166</v>
      </c>
      <c r="H1499" s="116"/>
      <c r="I1499" s="116"/>
      <c r="L1499" s="170">
        <v>44210</v>
      </c>
      <c r="M1499" s="116">
        <v>1274.4000000000001</v>
      </c>
      <c r="N1499" s="116">
        <v>1298.6500000000001</v>
      </c>
      <c r="O1499" s="116">
        <v>1265.0999999999999</v>
      </c>
      <c r="P1499" s="116">
        <v>1284.05</v>
      </c>
      <c r="Q1499" s="116">
        <v>1274.4000000000001</v>
      </c>
      <c r="R1499">
        <v>45754</v>
      </c>
    </row>
    <row r="1500" spans="1:18" x14ac:dyDescent="0.25">
      <c r="A1500" s="170">
        <v>44211</v>
      </c>
      <c r="B1500" s="116">
        <v>1289.9000000000001</v>
      </c>
      <c r="C1500" s="116">
        <v>1282.5</v>
      </c>
      <c r="D1500" s="116">
        <v>1258.75</v>
      </c>
      <c r="E1500" s="116">
        <v>1278.6500000000001</v>
      </c>
      <c r="F1500" s="116">
        <v>1282.5</v>
      </c>
      <c r="G1500">
        <v>11080</v>
      </c>
      <c r="H1500" s="116"/>
      <c r="I1500" s="116"/>
      <c r="L1500" s="170">
        <v>44211</v>
      </c>
      <c r="M1500" s="116">
        <v>1284.6500000000001</v>
      </c>
      <c r="N1500" s="116">
        <v>1293</v>
      </c>
      <c r="O1500" s="116">
        <v>1260</v>
      </c>
      <c r="P1500" s="116">
        <v>1279.4000000000001</v>
      </c>
      <c r="Q1500" s="116">
        <v>1284.6500000000001</v>
      </c>
      <c r="R1500">
        <v>94356</v>
      </c>
    </row>
    <row r="1501" spans="1:18" x14ac:dyDescent="0.25">
      <c r="A1501" s="170">
        <v>44214</v>
      </c>
      <c r="B1501" s="116">
        <v>1348.5</v>
      </c>
      <c r="C1501" s="116">
        <v>1344.95</v>
      </c>
      <c r="D1501" s="116">
        <v>1287.3499999999999</v>
      </c>
      <c r="E1501" s="116">
        <v>1289.5</v>
      </c>
      <c r="F1501" s="116">
        <v>1344.95</v>
      </c>
      <c r="G1501">
        <v>16534</v>
      </c>
      <c r="H1501" s="116"/>
      <c r="I1501" s="116"/>
      <c r="L1501" s="170">
        <v>44214</v>
      </c>
      <c r="M1501" s="116">
        <v>1344.5</v>
      </c>
      <c r="N1501" s="116">
        <v>1349.4</v>
      </c>
      <c r="O1501" s="116">
        <v>1286.7</v>
      </c>
      <c r="P1501" s="116">
        <v>1291</v>
      </c>
      <c r="Q1501" s="116">
        <v>1344.5</v>
      </c>
      <c r="R1501">
        <v>370993</v>
      </c>
    </row>
    <row r="1502" spans="1:18" x14ac:dyDescent="0.25">
      <c r="A1502" s="170">
        <v>44215</v>
      </c>
      <c r="B1502" s="116">
        <v>1417.7</v>
      </c>
      <c r="C1502" s="116">
        <v>1391.35</v>
      </c>
      <c r="D1502" s="116">
        <v>1343</v>
      </c>
      <c r="E1502" s="116">
        <v>1343</v>
      </c>
      <c r="F1502" s="116">
        <v>1391.35</v>
      </c>
      <c r="G1502">
        <v>34514</v>
      </c>
      <c r="H1502" s="116"/>
      <c r="I1502" s="116"/>
      <c r="L1502" s="170">
        <v>44215</v>
      </c>
      <c r="M1502" s="116">
        <v>1391.25</v>
      </c>
      <c r="N1502" s="116">
        <v>1419</v>
      </c>
      <c r="O1502" s="116">
        <v>1343</v>
      </c>
      <c r="P1502" s="116">
        <v>1344</v>
      </c>
      <c r="Q1502" s="116">
        <v>1391.25</v>
      </c>
      <c r="R1502">
        <v>715853</v>
      </c>
    </row>
    <row r="1503" spans="1:18" x14ac:dyDescent="0.25">
      <c r="A1503" s="170">
        <v>44216</v>
      </c>
      <c r="B1503" s="116">
        <v>1408.1</v>
      </c>
      <c r="C1503" s="116">
        <v>1393.2</v>
      </c>
      <c r="D1503" s="116">
        <v>1372.55</v>
      </c>
      <c r="E1503" s="116">
        <v>1399</v>
      </c>
      <c r="F1503" s="116">
        <v>1393.2</v>
      </c>
      <c r="G1503">
        <v>12150</v>
      </c>
      <c r="H1503" s="116"/>
      <c r="I1503" s="116"/>
      <c r="L1503" s="170">
        <v>44216</v>
      </c>
      <c r="M1503" s="116">
        <v>1393.1</v>
      </c>
      <c r="N1503" s="116">
        <v>1408.25</v>
      </c>
      <c r="O1503" s="116">
        <v>1373</v>
      </c>
      <c r="P1503" s="116">
        <v>1392</v>
      </c>
      <c r="Q1503" s="116">
        <v>1393.1</v>
      </c>
      <c r="R1503">
        <v>330542</v>
      </c>
    </row>
    <row r="1504" spans="1:18" x14ac:dyDescent="0.25">
      <c r="A1504" s="170">
        <v>44217</v>
      </c>
      <c r="B1504" s="116">
        <v>1412</v>
      </c>
      <c r="C1504" s="116">
        <v>1376.95</v>
      </c>
      <c r="D1504" s="116">
        <v>1372</v>
      </c>
      <c r="E1504" s="116">
        <v>1412</v>
      </c>
      <c r="F1504" s="116">
        <v>1376.95</v>
      </c>
      <c r="G1504">
        <v>12277</v>
      </c>
      <c r="H1504" s="116"/>
      <c r="I1504" s="116"/>
      <c r="L1504" s="170">
        <v>44217</v>
      </c>
      <c r="M1504" s="116">
        <v>1377.3</v>
      </c>
      <c r="N1504" s="116">
        <v>1408.75</v>
      </c>
      <c r="O1504" s="116">
        <v>1372</v>
      </c>
      <c r="P1504" s="116">
        <v>1403.5</v>
      </c>
      <c r="Q1504" s="116">
        <v>1377.3</v>
      </c>
      <c r="R1504">
        <v>69623</v>
      </c>
    </row>
    <row r="1505" spans="1:18" x14ac:dyDescent="0.25">
      <c r="A1505" s="170">
        <v>44218</v>
      </c>
      <c r="B1505" s="116">
        <v>1404</v>
      </c>
      <c r="C1505" s="116">
        <v>1379.3</v>
      </c>
      <c r="D1505" s="116">
        <v>1366.8</v>
      </c>
      <c r="E1505" s="116">
        <v>1380</v>
      </c>
      <c r="F1505" s="116">
        <v>1379.3</v>
      </c>
      <c r="G1505">
        <v>10670</v>
      </c>
      <c r="H1505" s="116"/>
      <c r="I1505" s="116"/>
      <c r="L1505" s="170">
        <v>44218</v>
      </c>
      <c r="M1505" s="116">
        <v>1377.85</v>
      </c>
      <c r="N1505" s="116">
        <v>1405</v>
      </c>
      <c r="O1505" s="116">
        <v>1367</v>
      </c>
      <c r="P1505" s="116">
        <v>1380</v>
      </c>
      <c r="Q1505" s="116">
        <v>1377.85</v>
      </c>
      <c r="R1505">
        <v>223509</v>
      </c>
    </row>
    <row r="1506" spans="1:18" x14ac:dyDescent="0.25">
      <c r="A1506" s="170">
        <v>44221</v>
      </c>
      <c r="B1506" s="116">
        <v>1390.3</v>
      </c>
      <c r="C1506" s="116">
        <v>1354.7</v>
      </c>
      <c r="D1506" s="116">
        <v>1349.8</v>
      </c>
      <c r="E1506" s="116">
        <v>1380</v>
      </c>
      <c r="F1506" s="116">
        <v>1354.7</v>
      </c>
      <c r="G1506">
        <v>8808</v>
      </c>
      <c r="H1506" s="116"/>
      <c r="I1506" s="116"/>
      <c r="L1506" s="170">
        <v>44221</v>
      </c>
      <c r="M1506" s="116">
        <v>1354.8</v>
      </c>
      <c r="N1506" s="116">
        <v>1391.4</v>
      </c>
      <c r="O1506" s="116">
        <v>1349.75</v>
      </c>
      <c r="P1506" s="116">
        <v>1391.4</v>
      </c>
      <c r="Q1506" s="116">
        <v>1354.8</v>
      </c>
      <c r="R1506">
        <v>100682</v>
      </c>
    </row>
    <row r="1507" spans="1:18" x14ac:dyDescent="0.25">
      <c r="A1507" s="170">
        <v>44223</v>
      </c>
      <c r="B1507" s="116">
        <v>1399</v>
      </c>
      <c r="C1507" s="116">
        <v>1391.35</v>
      </c>
      <c r="D1507" s="116">
        <v>1348.8</v>
      </c>
      <c r="E1507" s="116">
        <v>1350</v>
      </c>
      <c r="F1507" s="116">
        <v>1391.35</v>
      </c>
      <c r="G1507">
        <v>7050</v>
      </c>
      <c r="H1507" s="116"/>
      <c r="I1507" s="116"/>
      <c r="L1507" s="170">
        <v>44223</v>
      </c>
      <c r="M1507" s="116">
        <v>1388.8</v>
      </c>
      <c r="N1507" s="116">
        <v>1399.9</v>
      </c>
      <c r="O1507" s="116">
        <v>1346</v>
      </c>
      <c r="P1507" s="116">
        <v>1350.05</v>
      </c>
      <c r="Q1507" s="116">
        <v>1388.8</v>
      </c>
      <c r="R1507">
        <v>184995</v>
      </c>
    </row>
    <row r="1508" spans="1:18" x14ac:dyDescent="0.25">
      <c r="A1508" s="170">
        <v>44224</v>
      </c>
      <c r="B1508" s="116">
        <v>1419.4</v>
      </c>
      <c r="C1508" s="116">
        <v>1356.85</v>
      </c>
      <c r="D1508" s="116">
        <v>1345.65</v>
      </c>
      <c r="E1508" s="116">
        <v>1360.2</v>
      </c>
      <c r="F1508" s="116">
        <v>1356.85</v>
      </c>
      <c r="G1508">
        <v>13450</v>
      </c>
      <c r="H1508" s="116"/>
      <c r="I1508" s="116"/>
      <c r="L1508" s="170">
        <v>44224</v>
      </c>
      <c r="M1508" s="116">
        <v>1354.8</v>
      </c>
      <c r="N1508" s="116">
        <v>1419.45</v>
      </c>
      <c r="O1508" s="116">
        <v>1344.95</v>
      </c>
      <c r="P1508" s="116">
        <v>1374</v>
      </c>
      <c r="Q1508" s="116">
        <v>1354.8</v>
      </c>
      <c r="R1508">
        <v>235173</v>
      </c>
    </row>
    <row r="1509" spans="1:18" x14ac:dyDescent="0.25">
      <c r="A1509" s="170">
        <v>44225</v>
      </c>
      <c r="B1509" s="116">
        <v>1405.7</v>
      </c>
      <c r="C1509" s="116">
        <v>1387.9</v>
      </c>
      <c r="D1509" s="116">
        <v>1356.65</v>
      </c>
      <c r="E1509" s="116">
        <v>1356.65</v>
      </c>
      <c r="F1509" s="116">
        <v>1387.9</v>
      </c>
      <c r="G1509">
        <v>10762</v>
      </c>
      <c r="H1509" s="116"/>
      <c r="I1509" s="116"/>
      <c r="L1509" s="170">
        <v>44225</v>
      </c>
      <c r="M1509" s="116">
        <v>1388.3</v>
      </c>
      <c r="N1509" s="116">
        <v>1405</v>
      </c>
      <c r="O1509" s="116">
        <v>1364.3</v>
      </c>
      <c r="P1509" s="116">
        <v>1365.4</v>
      </c>
      <c r="Q1509" s="116">
        <v>1388.3</v>
      </c>
      <c r="R1509">
        <v>166513</v>
      </c>
    </row>
    <row r="1510" spans="1:18" x14ac:dyDescent="0.25">
      <c r="A1510" s="170">
        <v>44228</v>
      </c>
      <c r="B1510" s="116">
        <v>1400</v>
      </c>
      <c r="C1510" s="116">
        <v>1380.9</v>
      </c>
      <c r="D1510" s="116">
        <v>1359.7</v>
      </c>
      <c r="E1510" s="116">
        <v>1400</v>
      </c>
      <c r="F1510" s="116">
        <v>1380.9</v>
      </c>
      <c r="G1510">
        <v>4824</v>
      </c>
      <c r="H1510" s="116"/>
      <c r="I1510" s="116"/>
      <c r="L1510" s="170">
        <v>44228</v>
      </c>
      <c r="M1510" s="116">
        <v>1382.95</v>
      </c>
      <c r="N1510" s="116">
        <v>1398.55</v>
      </c>
      <c r="O1510" s="116">
        <v>1357.15</v>
      </c>
      <c r="P1510" s="116">
        <v>1388.3</v>
      </c>
      <c r="Q1510" s="116">
        <v>1382.95</v>
      </c>
      <c r="R1510">
        <v>62919</v>
      </c>
    </row>
    <row r="1511" spans="1:18" x14ac:dyDescent="0.25">
      <c r="A1511" s="170">
        <v>44229</v>
      </c>
      <c r="B1511" s="116">
        <v>1507</v>
      </c>
      <c r="C1511" s="116">
        <v>1442.65</v>
      </c>
      <c r="D1511" s="116">
        <v>1397.45</v>
      </c>
      <c r="E1511" s="116">
        <v>1397.45</v>
      </c>
      <c r="F1511" s="116">
        <v>1442.65</v>
      </c>
      <c r="G1511">
        <v>20663</v>
      </c>
      <c r="H1511" s="116"/>
      <c r="I1511" s="116"/>
      <c r="L1511" s="170">
        <v>44229</v>
      </c>
      <c r="M1511" s="116">
        <v>1445.4</v>
      </c>
      <c r="N1511" s="116">
        <v>1507.35</v>
      </c>
      <c r="O1511" s="116">
        <v>1389.9</v>
      </c>
      <c r="P1511" s="116">
        <v>1389.9</v>
      </c>
      <c r="Q1511" s="116">
        <v>1445.4</v>
      </c>
      <c r="R1511">
        <v>415804</v>
      </c>
    </row>
    <row r="1512" spans="1:18" x14ac:dyDescent="0.25">
      <c r="A1512" s="170">
        <v>44230</v>
      </c>
      <c r="B1512" s="116">
        <v>1479</v>
      </c>
      <c r="C1512" s="116">
        <v>1443</v>
      </c>
      <c r="D1512" s="116">
        <v>1403.3</v>
      </c>
      <c r="E1512" s="116">
        <v>1479</v>
      </c>
      <c r="F1512" s="116">
        <v>1443</v>
      </c>
      <c r="G1512">
        <v>16509</v>
      </c>
      <c r="H1512" s="116"/>
      <c r="I1512" s="116"/>
      <c r="L1512" s="170">
        <v>44230</v>
      </c>
      <c r="M1512" s="116">
        <v>1447.45</v>
      </c>
      <c r="N1512" s="116">
        <v>1465</v>
      </c>
      <c r="O1512" s="116">
        <v>1421</v>
      </c>
      <c r="P1512" s="116">
        <v>1456.7</v>
      </c>
      <c r="Q1512" s="116">
        <v>1447.45</v>
      </c>
      <c r="R1512">
        <v>321671</v>
      </c>
    </row>
    <row r="1513" spans="1:18" x14ac:dyDescent="0.25">
      <c r="A1513" s="170">
        <v>44231</v>
      </c>
      <c r="B1513" s="116">
        <v>1533.9</v>
      </c>
      <c r="C1513" s="116">
        <v>1517.5</v>
      </c>
      <c r="D1513" s="116">
        <v>1444.8</v>
      </c>
      <c r="E1513" s="116">
        <v>1445.05</v>
      </c>
      <c r="F1513" s="116">
        <v>1517.5</v>
      </c>
      <c r="G1513">
        <v>22745</v>
      </c>
      <c r="H1513" s="116"/>
      <c r="I1513" s="116"/>
      <c r="L1513" s="170">
        <v>44231</v>
      </c>
      <c r="M1513" s="116">
        <v>1518.05</v>
      </c>
      <c r="N1513" s="116">
        <v>1534</v>
      </c>
      <c r="O1513" s="116">
        <v>1443</v>
      </c>
      <c r="P1513" s="116">
        <v>1448</v>
      </c>
      <c r="Q1513" s="116">
        <v>1518.05</v>
      </c>
      <c r="R1513">
        <v>282242</v>
      </c>
    </row>
    <row r="1514" spans="1:18" x14ac:dyDescent="0.25">
      <c r="A1514" s="170">
        <v>44232</v>
      </c>
      <c r="B1514" s="116">
        <v>1521.3</v>
      </c>
      <c r="C1514" s="116">
        <v>1495</v>
      </c>
      <c r="D1514" s="116">
        <v>1483.5</v>
      </c>
      <c r="E1514" s="116">
        <v>1516</v>
      </c>
      <c r="F1514" s="116">
        <v>1495</v>
      </c>
      <c r="G1514">
        <v>8209</v>
      </c>
      <c r="H1514" s="116"/>
      <c r="I1514" s="116"/>
      <c r="L1514" s="170">
        <v>44232</v>
      </c>
      <c r="M1514" s="116">
        <v>1495.3</v>
      </c>
      <c r="N1514" s="116">
        <v>1523.85</v>
      </c>
      <c r="O1514" s="116">
        <v>1481.6</v>
      </c>
      <c r="P1514" s="116">
        <v>1518</v>
      </c>
      <c r="Q1514" s="116">
        <v>1495.3</v>
      </c>
      <c r="R1514">
        <v>79091</v>
      </c>
    </row>
    <row r="1515" spans="1:18" x14ac:dyDescent="0.25">
      <c r="A1515" s="170">
        <v>44235</v>
      </c>
      <c r="B1515" s="116">
        <v>1502.95</v>
      </c>
      <c r="C1515" s="116">
        <v>1480.9</v>
      </c>
      <c r="D1515" s="116">
        <v>1475</v>
      </c>
      <c r="E1515" s="116">
        <v>1497.35</v>
      </c>
      <c r="F1515" s="116">
        <v>1480.9</v>
      </c>
      <c r="G1515">
        <v>6351</v>
      </c>
      <c r="H1515" s="116"/>
      <c r="I1515" s="116"/>
      <c r="L1515" s="170">
        <v>44235</v>
      </c>
      <c r="M1515" s="116">
        <v>1481.95</v>
      </c>
      <c r="N1515" s="116">
        <v>1504.75</v>
      </c>
      <c r="O1515" s="116">
        <v>1475.05</v>
      </c>
      <c r="P1515" s="116">
        <v>1496</v>
      </c>
      <c r="Q1515" s="116">
        <v>1481.95</v>
      </c>
      <c r="R1515">
        <v>90255</v>
      </c>
    </row>
    <row r="1516" spans="1:18" x14ac:dyDescent="0.25">
      <c r="A1516" s="170">
        <v>44236</v>
      </c>
      <c r="B1516" s="116">
        <v>1541</v>
      </c>
      <c r="C1516" s="116">
        <v>1462</v>
      </c>
      <c r="D1516" s="116">
        <v>1439</v>
      </c>
      <c r="E1516" s="116">
        <v>1498.5</v>
      </c>
      <c r="F1516" s="116">
        <v>1462</v>
      </c>
      <c r="G1516">
        <v>7632</v>
      </c>
      <c r="H1516" s="116"/>
      <c r="I1516" s="116"/>
      <c r="L1516" s="170">
        <v>44236</v>
      </c>
      <c r="M1516" s="116">
        <v>1458.65</v>
      </c>
      <c r="N1516" s="116">
        <v>1499</v>
      </c>
      <c r="O1516" s="116">
        <v>1439.2</v>
      </c>
      <c r="P1516" s="116">
        <v>1493.7</v>
      </c>
      <c r="Q1516" s="116">
        <v>1458.65</v>
      </c>
      <c r="R1516">
        <v>244781</v>
      </c>
    </row>
    <row r="1517" spans="1:18" x14ac:dyDescent="0.25">
      <c r="A1517" s="170">
        <v>44237</v>
      </c>
      <c r="B1517" s="116">
        <v>1483</v>
      </c>
      <c r="C1517" s="116">
        <v>1444.55</v>
      </c>
      <c r="D1517" s="116">
        <v>1430.8</v>
      </c>
      <c r="E1517" s="116">
        <v>1465</v>
      </c>
      <c r="F1517" s="116">
        <v>1444.55</v>
      </c>
      <c r="G1517">
        <v>18025</v>
      </c>
      <c r="H1517" s="116"/>
      <c r="I1517" s="116"/>
      <c r="L1517" s="170">
        <v>44237</v>
      </c>
      <c r="M1517" s="116">
        <v>1445</v>
      </c>
      <c r="N1517" s="116">
        <v>1487.45</v>
      </c>
      <c r="O1517" s="116">
        <v>1430.1</v>
      </c>
      <c r="P1517" s="116">
        <v>1462</v>
      </c>
      <c r="Q1517" s="116">
        <v>1445</v>
      </c>
      <c r="R1517">
        <v>356376</v>
      </c>
    </row>
    <row r="1518" spans="1:18" x14ac:dyDescent="0.25">
      <c r="A1518" s="170">
        <v>44238</v>
      </c>
      <c r="B1518" s="116">
        <v>1458.2</v>
      </c>
      <c r="C1518" s="116">
        <v>1421</v>
      </c>
      <c r="D1518" s="116">
        <v>1405.2</v>
      </c>
      <c r="E1518" s="116">
        <v>1445</v>
      </c>
      <c r="F1518" s="116">
        <v>1421</v>
      </c>
      <c r="G1518">
        <v>18288</v>
      </c>
      <c r="H1518" s="116"/>
      <c r="I1518" s="116"/>
      <c r="L1518" s="170">
        <v>44238</v>
      </c>
      <c r="M1518" s="116">
        <v>1423.35</v>
      </c>
      <c r="N1518" s="116">
        <v>1460</v>
      </c>
      <c r="O1518" s="116">
        <v>1405</v>
      </c>
      <c r="P1518" s="116">
        <v>1445</v>
      </c>
      <c r="Q1518" s="116">
        <v>1423.35</v>
      </c>
      <c r="R1518">
        <v>299192</v>
      </c>
    </row>
    <row r="1519" spans="1:18" x14ac:dyDescent="0.25">
      <c r="A1519" s="170">
        <v>44239</v>
      </c>
      <c r="B1519" s="116">
        <v>1485.3</v>
      </c>
      <c r="C1519" s="116">
        <v>1475.15</v>
      </c>
      <c r="D1519" s="116">
        <v>1429.1</v>
      </c>
      <c r="E1519" s="116">
        <v>1435</v>
      </c>
      <c r="F1519" s="116">
        <v>1475.15</v>
      </c>
      <c r="G1519">
        <v>17223</v>
      </c>
      <c r="H1519" s="116"/>
      <c r="I1519" s="116"/>
      <c r="L1519" s="170">
        <v>44239</v>
      </c>
      <c r="M1519" s="116">
        <v>1466.85</v>
      </c>
      <c r="N1519" s="116">
        <v>1480</v>
      </c>
      <c r="O1519" s="116">
        <v>1425.6</v>
      </c>
      <c r="P1519" s="116">
        <v>1429</v>
      </c>
      <c r="Q1519" s="116">
        <v>1466.85</v>
      </c>
      <c r="R1519">
        <v>224960</v>
      </c>
    </row>
    <row r="1520" spans="1:18" x14ac:dyDescent="0.25">
      <c r="A1520" s="170">
        <v>44242</v>
      </c>
      <c r="B1520" s="116">
        <v>1502</v>
      </c>
      <c r="C1520" s="116">
        <v>1472.25</v>
      </c>
      <c r="D1520" s="116">
        <v>1465</v>
      </c>
      <c r="E1520" s="116">
        <v>1476</v>
      </c>
      <c r="F1520" s="116">
        <v>1472.25</v>
      </c>
      <c r="G1520">
        <v>16647</v>
      </c>
      <c r="H1520" s="116"/>
      <c r="I1520" s="116"/>
      <c r="L1520" s="170">
        <v>44242</v>
      </c>
      <c r="M1520" s="116">
        <v>1474.15</v>
      </c>
      <c r="N1520" s="116">
        <v>1503.75</v>
      </c>
      <c r="O1520" s="116">
        <v>1465</v>
      </c>
      <c r="P1520" s="116">
        <v>1475</v>
      </c>
      <c r="Q1520" s="116">
        <v>1474.15</v>
      </c>
      <c r="R1520">
        <v>139523</v>
      </c>
    </row>
    <row r="1521" spans="1:18" x14ac:dyDescent="0.25">
      <c r="A1521" s="170">
        <v>44243</v>
      </c>
      <c r="B1521" s="116">
        <v>1514.4</v>
      </c>
      <c r="C1521" s="116">
        <v>1500.45</v>
      </c>
      <c r="D1521" s="116">
        <v>1470</v>
      </c>
      <c r="E1521" s="116">
        <v>1470</v>
      </c>
      <c r="F1521" s="116">
        <v>1500.45</v>
      </c>
      <c r="G1521">
        <v>14250</v>
      </c>
      <c r="H1521" s="116"/>
      <c r="I1521" s="116"/>
      <c r="L1521" s="170">
        <v>44243</v>
      </c>
      <c r="M1521" s="116">
        <v>1500.5</v>
      </c>
      <c r="N1521" s="116">
        <v>1515</v>
      </c>
      <c r="O1521" s="116">
        <v>1474</v>
      </c>
      <c r="P1521" s="116">
        <v>1480.8</v>
      </c>
      <c r="Q1521" s="116">
        <v>1500.5</v>
      </c>
      <c r="R1521">
        <v>170927</v>
      </c>
    </row>
    <row r="1522" spans="1:18" x14ac:dyDescent="0.25">
      <c r="A1522" s="170">
        <v>44244</v>
      </c>
      <c r="B1522" s="116">
        <v>1515</v>
      </c>
      <c r="C1522" s="116">
        <v>1497.95</v>
      </c>
      <c r="D1522" s="116">
        <v>1484.35</v>
      </c>
      <c r="E1522" s="116">
        <v>1515</v>
      </c>
      <c r="F1522" s="116">
        <v>1497.95</v>
      </c>
      <c r="G1522">
        <v>5289</v>
      </c>
      <c r="H1522" s="116"/>
      <c r="I1522" s="116"/>
      <c r="L1522" s="170">
        <v>44244</v>
      </c>
      <c r="M1522" s="116">
        <v>1498.95</v>
      </c>
      <c r="N1522" s="116">
        <v>1504.75</v>
      </c>
      <c r="O1522" s="116">
        <v>1480</v>
      </c>
      <c r="P1522" s="116">
        <v>1480</v>
      </c>
      <c r="Q1522" s="116">
        <v>1498.95</v>
      </c>
      <c r="R1522">
        <v>93001</v>
      </c>
    </row>
    <row r="1523" spans="1:18" x14ac:dyDescent="0.25">
      <c r="A1523" s="170">
        <v>44245</v>
      </c>
      <c r="B1523" s="116">
        <v>1565.65</v>
      </c>
      <c r="C1523" s="116">
        <v>1538.15</v>
      </c>
      <c r="D1523" s="116">
        <v>1504.2</v>
      </c>
      <c r="E1523" s="116">
        <v>1510</v>
      </c>
      <c r="F1523" s="116">
        <v>1538.15</v>
      </c>
      <c r="G1523">
        <v>19119</v>
      </c>
      <c r="H1523" s="116"/>
      <c r="I1523" s="116"/>
      <c r="L1523" s="170">
        <v>44245</v>
      </c>
      <c r="M1523" s="116">
        <v>1532.85</v>
      </c>
      <c r="N1523" s="116">
        <v>1570</v>
      </c>
      <c r="O1523" s="116">
        <v>1502</v>
      </c>
      <c r="P1523" s="116">
        <v>1509.8</v>
      </c>
      <c r="Q1523" s="116">
        <v>1532.85</v>
      </c>
      <c r="R1523">
        <v>310358</v>
      </c>
    </row>
    <row r="1524" spans="1:18" x14ac:dyDescent="0.25">
      <c r="A1524" s="170">
        <v>44246</v>
      </c>
      <c r="B1524" s="116">
        <v>1633.75</v>
      </c>
      <c r="C1524" s="116">
        <v>1523</v>
      </c>
      <c r="D1524" s="116">
        <v>1510</v>
      </c>
      <c r="E1524" s="116">
        <v>1562</v>
      </c>
      <c r="F1524" s="116">
        <v>1523</v>
      </c>
      <c r="G1524">
        <v>32459</v>
      </c>
      <c r="H1524" s="116"/>
      <c r="I1524" s="116"/>
      <c r="L1524" s="170">
        <v>44246</v>
      </c>
      <c r="M1524" s="116">
        <v>1521.6</v>
      </c>
      <c r="N1524" s="116">
        <v>1635</v>
      </c>
      <c r="O1524" s="116">
        <v>1510</v>
      </c>
      <c r="P1524" s="116">
        <v>1542</v>
      </c>
      <c r="Q1524" s="116">
        <v>1521.6</v>
      </c>
      <c r="R1524">
        <v>425564</v>
      </c>
    </row>
    <row r="1525" spans="1:18" x14ac:dyDescent="0.25">
      <c r="A1525" s="170">
        <v>44249</v>
      </c>
      <c r="B1525" s="116">
        <v>1529.9</v>
      </c>
      <c r="C1525" s="116">
        <v>1447.8</v>
      </c>
      <c r="D1525" s="116">
        <v>1413.9</v>
      </c>
      <c r="E1525" s="116">
        <v>1518</v>
      </c>
      <c r="F1525" s="116">
        <v>1447.8</v>
      </c>
      <c r="G1525">
        <v>14634</v>
      </c>
      <c r="H1525" s="116"/>
      <c r="I1525" s="116"/>
      <c r="L1525" s="170">
        <v>44249</v>
      </c>
      <c r="M1525" s="116">
        <v>1456.4</v>
      </c>
      <c r="N1525" s="116">
        <v>1529.95</v>
      </c>
      <c r="O1525" s="116">
        <v>1430</v>
      </c>
      <c r="P1525" s="116">
        <v>1521.6</v>
      </c>
      <c r="Q1525" s="116">
        <v>1456.4</v>
      </c>
      <c r="R1525">
        <v>161553</v>
      </c>
    </row>
    <row r="1526" spans="1:18" x14ac:dyDescent="0.25">
      <c r="A1526" s="170">
        <v>44250</v>
      </c>
      <c r="B1526" s="116">
        <v>1503.85</v>
      </c>
      <c r="C1526" s="116">
        <v>1479.65</v>
      </c>
      <c r="D1526" s="116">
        <v>1463.8</v>
      </c>
      <c r="E1526" s="116">
        <v>1497</v>
      </c>
      <c r="F1526" s="116">
        <v>1479.65</v>
      </c>
      <c r="G1526">
        <v>11117</v>
      </c>
      <c r="H1526" s="116"/>
      <c r="I1526" s="116"/>
      <c r="L1526" s="170">
        <v>44250</v>
      </c>
      <c r="M1526" s="116">
        <v>1480</v>
      </c>
      <c r="N1526" s="116">
        <v>1517.5</v>
      </c>
      <c r="O1526" s="116">
        <v>1463.05</v>
      </c>
      <c r="P1526" s="116">
        <v>1477.2</v>
      </c>
      <c r="Q1526" s="116">
        <v>1480</v>
      </c>
      <c r="R1526">
        <v>86666</v>
      </c>
    </row>
    <row r="1527" spans="1:18" x14ac:dyDescent="0.25">
      <c r="A1527" s="170">
        <v>44251</v>
      </c>
      <c r="B1527" s="116">
        <v>1699.9</v>
      </c>
      <c r="C1527" s="116">
        <v>1564</v>
      </c>
      <c r="D1527" s="116">
        <v>1469</v>
      </c>
      <c r="E1527" s="116">
        <v>1473.35</v>
      </c>
      <c r="F1527" s="116">
        <v>1564</v>
      </c>
      <c r="G1527">
        <v>83278</v>
      </c>
      <c r="H1527" s="116"/>
      <c r="I1527" s="116"/>
      <c r="L1527" s="170">
        <v>44251</v>
      </c>
      <c r="M1527" s="116">
        <v>1570.8</v>
      </c>
      <c r="N1527" s="116">
        <v>1600</v>
      </c>
      <c r="O1527" s="116">
        <v>1485.9</v>
      </c>
      <c r="P1527" s="116">
        <v>1494.65</v>
      </c>
      <c r="Q1527" s="116">
        <v>1570.8</v>
      </c>
      <c r="R1527">
        <v>216975</v>
      </c>
    </row>
    <row r="1528" spans="1:18" x14ac:dyDescent="0.25">
      <c r="A1528" s="170">
        <v>44252</v>
      </c>
      <c r="B1528" s="116">
        <v>1598.7</v>
      </c>
      <c r="C1528" s="116">
        <v>1536.55</v>
      </c>
      <c r="D1528" s="116">
        <v>1514.1</v>
      </c>
      <c r="E1528" s="116">
        <v>1598.7</v>
      </c>
      <c r="F1528" s="116">
        <v>1536.55</v>
      </c>
      <c r="G1528">
        <v>13197</v>
      </c>
      <c r="H1528" s="116"/>
      <c r="I1528" s="116"/>
      <c r="L1528" s="170">
        <v>44252</v>
      </c>
      <c r="M1528" s="116">
        <v>1537.9</v>
      </c>
      <c r="N1528" s="116">
        <v>1590.8</v>
      </c>
      <c r="O1528" s="116">
        <v>1511.35</v>
      </c>
      <c r="P1528" s="116">
        <v>1584.8</v>
      </c>
      <c r="Q1528" s="116">
        <v>1537.9</v>
      </c>
      <c r="R1528">
        <v>184689</v>
      </c>
    </row>
    <row r="1529" spans="1:18" x14ac:dyDescent="0.25">
      <c r="A1529" s="170">
        <v>44253</v>
      </c>
      <c r="B1529" s="116">
        <v>1563.1</v>
      </c>
      <c r="C1529" s="116">
        <v>1532.15</v>
      </c>
      <c r="D1529" s="116">
        <v>1500.05</v>
      </c>
      <c r="E1529" s="116">
        <v>1502</v>
      </c>
      <c r="F1529" s="116">
        <v>1532.15</v>
      </c>
      <c r="G1529">
        <v>14445</v>
      </c>
      <c r="H1529" s="116"/>
      <c r="I1529" s="116"/>
      <c r="L1529" s="170">
        <v>44253</v>
      </c>
      <c r="M1529" s="116">
        <v>1528.15</v>
      </c>
      <c r="N1529" s="116">
        <v>1564</v>
      </c>
      <c r="O1529" s="116">
        <v>1500</v>
      </c>
      <c r="P1529" s="116">
        <v>1521</v>
      </c>
      <c r="Q1529" s="116">
        <v>1528.15</v>
      </c>
      <c r="R1529">
        <v>139972</v>
      </c>
    </row>
    <row r="1530" spans="1:18" x14ac:dyDescent="0.25">
      <c r="A1530" s="170">
        <v>44256</v>
      </c>
      <c r="B1530" s="116">
        <v>1560</v>
      </c>
      <c r="C1530" s="116">
        <v>1523.75</v>
      </c>
      <c r="D1530" s="116">
        <v>1508.3</v>
      </c>
      <c r="E1530" s="116">
        <v>1537.05</v>
      </c>
      <c r="F1530" s="116">
        <v>1523.75</v>
      </c>
      <c r="G1530">
        <v>13605</v>
      </c>
      <c r="H1530" s="116"/>
      <c r="I1530" s="116"/>
      <c r="L1530" s="170">
        <v>44256</v>
      </c>
      <c r="M1530" s="116">
        <v>1525.2</v>
      </c>
      <c r="N1530" s="116">
        <v>1559.85</v>
      </c>
      <c r="O1530" s="116">
        <v>1515</v>
      </c>
      <c r="P1530" s="116">
        <v>1547</v>
      </c>
      <c r="Q1530" s="116">
        <v>1525.2</v>
      </c>
      <c r="R1530">
        <v>61354</v>
      </c>
    </row>
    <row r="1531" spans="1:18" x14ac:dyDescent="0.25">
      <c r="A1531" s="170">
        <v>44257</v>
      </c>
      <c r="B1531" s="116">
        <v>1556.8</v>
      </c>
      <c r="C1531" s="116">
        <v>1520.1</v>
      </c>
      <c r="D1531" s="116">
        <v>1510</v>
      </c>
      <c r="E1531" s="116">
        <v>1556.8</v>
      </c>
      <c r="F1531" s="116">
        <v>1520.1</v>
      </c>
      <c r="G1531">
        <v>9411</v>
      </c>
      <c r="H1531" s="116"/>
      <c r="I1531" s="116"/>
      <c r="L1531" s="170">
        <v>44257</v>
      </c>
      <c r="M1531" s="116">
        <v>1521</v>
      </c>
      <c r="N1531" s="116">
        <v>1549</v>
      </c>
      <c r="O1531" s="116">
        <v>1509</v>
      </c>
      <c r="P1531" s="116">
        <v>1526.4</v>
      </c>
      <c r="Q1531" s="116">
        <v>1521</v>
      </c>
      <c r="R1531">
        <v>56964</v>
      </c>
    </row>
    <row r="1532" spans="1:18" x14ac:dyDescent="0.25">
      <c r="A1532" s="170">
        <v>44258</v>
      </c>
      <c r="B1532" s="116">
        <v>1546.95</v>
      </c>
      <c r="C1532" s="116">
        <v>1532.15</v>
      </c>
      <c r="D1532" s="116">
        <v>1511.7</v>
      </c>
      <c r="E1532" s="116">
        <v>1534.05</v>
      </c>
      <c r="F1532" s="116">
        <v>1532.15</v>
      </c>
      <c r="G1532">
        <v>7699</v>
      </c>
      <c r="H1532" s="116"/>
      <c r="I1532" s="116"/>
      <c r="L1532" s="170">
        <v>44258</v>
      </c>
      <c r="M1532" s="116">
        <v>1532.7</v>
      </c>
      <c r="N1532" s="116">
        <v>1550.4</v>
      </c>
      <c r="O1532" s="116">
        <v>1510</v>
      </c>
      <c r="P1532" s="116">
        <v>1532.85</v>
      </c>
      <c r="Q1532" s="116">
        <v>1532.7</v>
      </c>
      <c r="R1532">
        <v>154956</v>
      </c>
    </row>
    <row r="1533" spans="1:18" x14ac:dyDescent="0.25">
      <c r="A1533" s="170">
        <v>44259</v>
      </c>
      <c r="B1533" s="116">
        <v>1545</v>
      </c>
      <c r="C1533" s="116">
        <v>1516</v>
      </c>
      <c r="D1533" s="116">
        <v>1506.95</v>
      </c>
      <c r="E1533" s="116">
        <v>1523.05</v>
      </c>
      <c r="F1533" s="116">
        <v>1516</v>
      </c>
      <c r="G1533">
        <v>8086</v>
      </c>
      <c r="H1533" s="116"/>
      <c r="I1533" s="116"/>
      <c r="L1533" s="170">
        <v>44259</v>
      </c>
      <c r="M1533" s="116">
        <v>1512.8</v>
      </c>
      <c r="N1533" s="116">
        <v>1546.9</v>
      </c>
      <c r="O1533" s="116">
        <v>1506</v>
      </c>
      <c r="P1533" s="116">
        <v>1522</v>
      </c>
      <c r="Q1533" s="116">
        <v>1512.8</v>
      </c>
      <c r="R1533">
        <v>201501</v>
      </c>
    </row>
    <row r="1534" spans="1:18" x14ac:dyDescent="0.25">
      <c r="A1534" s="170">
        <v>44260</v>
      </c>
      <c r="B1534" s="116">
        <v>1526.15</v>
      </c>
      <c r="C1534" s="116">
        <v>1489.6</v>
      </c>
      <c r="D1534" s="116">
        <v>1482</v>
      </c>
      <c r="E1534" s="116">
        <v>1520</v>
      </c>
      <c r="F1534" s="116">
        <v>1489.6</v>
      </c>
      <c r="G1534">
        <v>16044</v>
      </c>
      <c r="H1534" s="116"/>
      <c r="I1534" s="116"/>
      <c r="L1534" s="170">
        <v>44260</v>
      </c>
      <c r="M1534" s="116">
        <v>1488.85</v>
      </c>
      <c r="N1534" s="116">
        <v>1528</v>
      </c>
      <c r="O1534" s="116">
        <v>1485</v>
      </c>
      <c r="P1534" s="116">
        <v>1514.75</v>
      </c>
      <c r="Q1534" s="116">
        <v>1488.85</v>
      </c>
      <c r="R1534">
        <v>63126</v>
      </c>
    </row>
    <row r="1535" spans="1:18" x14ac:dyDescent="0.25">
      <c r="A1535" s="170">
        <v>44263</v>
      </c>
      <c r="B1535" s="116">
        <v>1512</v>
      </c>
      <c r="C1535" s="116">
        <v>1489.5</v>
      </c>
      <c r="D1535" s="116">
        <v>1477.25</v>
      </c>
      <c r="E1535" s="116">
        <v>1505</v>
      </c>
      <c r="F1535" s="116">
        <v>1489.5</v>
      </c>
      <c r="G1535">
        <v>9814</v>
      </c>
      <c r="H1535" s="116"/>
      <c r="I1535" s="116"/>
      <c r="L1535" s="170">
        <v>44263</v>
      </c>
      <c r="M1535" s="116">
        <v>1495.5</v>
      </c>
      <c r="N1535" s="116">
        <v>1512.55</v>
      </c>
      <c r="O1535" s="116">
        <v>1476.8</v>
      </c>
      <c r="P1535" s="116">
        <v>1504</v>
      </c>
      <c r="Q1535" s="116">
        <v>1495.5</v>
      </c>
      <c r="R1535">
        <v>96026</v>
      </c>
    </row>
    <row r="1536" spans="1:18" x14ac:dyDescent="0.25">
      <c r="A1536" s="170">
        <v>44264</v>
      </c>
      <c r="B1536" s="116">
        <v>1513</v>
      </c>
      <c r="C1536" s="116">
        <v>1479.55</v>
      </c>
      <c r="D1536" s="116">
        <v>1455.9</v>
      </c>
      <c r="E1536" s="116">
        <v>1455.9</v>
      </c>
      <c r="F1536" s="116">
        <v>1479.55</v>
      </c>
      <c r="G1536">
        <v>7682</v>
      </c>
      <c r="H1536" s="116"/>
      <c r="I1536" s="116"/>
      <c r="L1536" s="170">
        <v>44264</v>
      </c>
      <c r="M1536" s="116">
        <v>1476.45</v>
      </c>
      <c r="N1536" s="116">
        <v>1509.65</v>
      </c>
      <c r="O1536" s="116">
        <v>1464.5</v>
      </c>
      <c r="P1536" s="116">
        <v>1508</v>
      </c>
      <c r="Q1536" s="116">
        <v>1476.45</v>
      </c>
      <c r="R1536">
        <v>54450</v>
      </c>
    </row>
    <row r="1537" spans="1:18" x14ac:dyDescent="0.25">
      <c r="A1537" s="170">
        <v>44265</v>
      </c>
      <c r="B1537" s="116">
        <v>1508</v>
      </c>
      <c r="C1537" s="116">
        <v>1466.75</v>
      </c>
      <c r="D1537" s="116">
        <v>1452.5</v>
      </c>
      <c r="E1537" s="116">
        <v>1478.35</v>
      </c>
      <c r="F1537" s="116">
        <v>1466.75</v>
      </c>
      <c r="G1537">
        <v>13987</v>
      </c>
      <c r="H1537" s="116"/>
      <c r="I1537" s="116"/>
      <c r="L1537" s="170">
        <v>44265</v>
      </c>
      <c r="M1537" s="116">
        <v>1466.25</v>
      </c>
      <c r="N1537" s="116">
        <v>1523.9</v>
      </c>
      <c r="O1537" s="116">
        <v>1451</v>
      </c>
      <c r="P1537" s="116">
        <v>1478</v>
      </c>
      <c r="Q1537" s="116">
        <v>1466.25</v>
      </c>
      <c r="R1537">
        <v>131725</v>
      </c>
    </row>
    <row r="1538" spans="1:18" x14ac:dyDescent="0.25">
      <c r="A1538" s="170">
        <v>44267</v>
      </c>
      <c r="B1538" s="116">
        <v>1485</v>
      </c>
      <c r="C1538" s="116">
        <v>1471.1</v>
      </c>
      <c r="D1538" s="116">
        <v>1455.15</v>
      </c>
      <c r="E1538" s="116">
        <v>1485</v>
      </c>
      <c r="F1538" s="116">
        <v>1471.1</v>
      </c>
      <c r="G1538">
        <v>10128</v>
      </c>
      <c r="H1538" s="116"/>
      <c r="I1538" s="116"/>
      <c r="L1538" s="170">
        <v>44267</v>
      </c>
      <c r="M1538" s="116">
        <v>1471.1</v>
      </c>
      <c r="N1538" s="116">
        <v>1481.25</v>
      </c>
      <c r="O1538" s="116">
        <v>1455</v>
      </c>
      <c r="P1538" s="116">
        <v>1473</v>
      </c>
      <c r="Q1538" s="116">
        <v>1471.1</v>
      </c>
      <c r="R1538">
        <v>61753</v>
      </c>
    </row>
    <row r="1539" spans="1:18" x14ac:dyDescent="0.25">
      <c r="A1539" s="170">
        <v>44270</v>
      </c>
      <c r="B1539" s="116">
        <v>1475</v>
      </c>
      <c r="C1539" s="116">
        <v>1447.5</v>
      </c>
      <c r="D1539" s="116">
        <v>1440.2</v>
      </c>
      <c r="E1539" s="116">
        <v>1475</v>
      </c>
      <c r="F1539" s="116">
        <v>1447.5</v>
      </c>
      <c r="G1539">
        <v>8589</v>
      </c>
      <c r="H1539" s="116"/>
      <c r="I1539" s="116"/>
      <c r="L1539" s="170">
        <v>44270</v>
      </c>
      <c r="M1539" s="116">
        <v>1447.65</v>
      </c>
      <c r="N1539" s="116">
        <v>1476.9</v>
      </c>
      <c r="O1539" s="116">
        <v>1440.2</v>
      </c>
      <c r="P1539" s="116">
        <v>1471</v>
      </c>
      <c r="Q1539" s="116">
        <v>1447.65</v>
      </c>
      <c r="R1539">
        <v>49333</v>
      </c>
    </row>
    <row r="1540" spans="1:18" x14ac:dyDescent="0.25">
      <c r="A1540" s="170">
        <v>44271</v>
      </c>
      <c r="B1540" s="116">
        <v>1466.65</v>
      </c>
      <c r="C1540" s="116">
        <v>1441.8</v>
      </c>
      <c r="D1540" s="116">
        <v>1426</v>
      </c>
      <c r="E1540" s="116">
        <v>1449.35</v>
      </c>
      <c r="F1540" s="116">
        <v>1441.8</v>
      </c>
      <c r="G1540">
        <v>7444</v>
      </c>
      <c r="H1540" s="116"/>
      <c r="I1540" s="116"/>
      <c r="L1540" s="170">
        <v>44271</v>
      </c>
      <c r="M1540" s="116">
        <v>1442.05</v>
      </c>
      <c r="N1540" s="116">
        <v>1469</v>
      </c>
      <c r="O1540" s="116">
        <v>1425.95</v>
      </c>
      <c r="P1540" s="116">
        <v>1454</v>
      </c>
      <c r="Q1540" s="116">
        <v>1442.05</v>
      </c>
      <c r="R1540">
        <v>87214</v>
      </c>
    </row>
    <row r="1541" spans="1:18" x14ac:dyDescent="0.25">
      <c r="A1541" s="170">
        <v>44272</v>
      </c>
      <c r="B1541" s="116">
        <v>1447.2</v>
      </c>
      <c r="C1541" s="116">
        <v>1439.15</v>
      </c>
      <c r="D1541" s="116">
        <v>1425.25</v>
      </c>
      <c r="E1541" s="116">
        <v>1440.75</v>
      </c>
      <c r="F1541" s="116">
        <v>1439.15</v>
      </c>
      <c r="G1541">
        <v>9721</v>
      </c>
      <c r="H1541" s="116"/>
      <c r="I1541" s="116"/>
      <c r="L1541" s="170">
        <v>44272</v>
      </c>
      <c r="M1541" s="116">
        <v>1439.75</v>
      </c>
      <c r="N1541" s="116">
        <v>1450</v>
      </c>
      <c r="O1541" s="116">
        <v>1425.2</v>
      </c>
      <c r="P1541" s="116">
        <v>1447.9</v>
      </c>
      <c r="Q1541" s="116">
        <v>1439.75</v>
      </c>
      <c r="R1541">
        <v>47127</v>
      </c>
    </row>
    <row r="1542" spans="1:18" x14ac:dyDescent="0.25">
      <c r="A1542" s="170">
        <v>44273</v>
      </c>
      <c r="B1542" s="116">
        <v>1465.8</v>
      </c>
      <c r="C1542" s="116">
        <v>1428.45</v>
      </c>
      <c r="D1542" s="116">
        <v>1415.85</v>
      </c>
      <c r="E1542" s="116">
        <v>1447</v>
      </c>
      <c r="F1542" s="116">
        <v>1428.45</v>
      </c>
      <c r="G1542">
        <v>8916</v>
      </c>
      <c r="H1542" s="116"/>
      <c r="I1542" s="116"/>
      <c r="L1542" s="170">
        <v>44273</v>
      </c>
      <c r="M1542" s="116">
        <v>1427.3</v>
      </c>
      <c r="N1542" s="116">
        <v>1467.55</v>
      </c>
      <c r="O1542" s="116">
        <v>1416.15</v>
      </c>
      <c r="P1542" s="116">
        <v>1454.85</v>
      </c>
      <c r="Q1542" s="116">
        <v>1427.3</v>
      </c>
      <c r="R1542">
        <v>45465</v>
      </c>
    </row>
    <row r="1543" spans="1:18" x14ac:dyDescent="0.25">
      <c r="A1543" s="170">
        <v>44274</v>
      </c>
      <c r="B1543" s="116">
        <v>1432</v>
      </c>
      <c r="C1543" s="116">
        <v>1413.9</v>
      </c>
      <c r="D1543" s="116">
        <v>1335</v>
      </c>
      <c r="E1543" s="116">
        <v>1417.7</v>
      </c>
      <c r="F1543" s="116">
        <v>1413.9</v>
      </c>
      <c r="G1543">
        <v>22918</v>
      </c>
      <c r="H1543" s="116"/>
      <c r="I1543" s="116"/>
      <c r="L1543" s="170">
        <v>44274</v>
      </c>
      <c r="M1543" s="116">
        <v>1413.85</v>
      </c>
      <c r="N1543" s="116">
        <v>1433</v>
      </c>
      <c r="O1543" s="116">
        <v>1333</v>
      </c>
      <c r="P1543" s="116">
        <v>1422</v>
      </c>
      <c r="Q1543" s="116">
        <v>1413.85</v>
      </c>
      <c r="R1543">
        <v>157876</v>
      </c>
    </row>
    <row r="1544" spans="1:18" x14ac:dyDescent="0.25">
      <c r="A1544" s="170">
        <v>44277</v>
      </c>
      <c r="B1544" s="116">
        <v>1430</v>
      </c>
      <c r="C1544" s="116">
        <v>1388.7</v>
      </c>
      <c r="D1544" s="116">
        <v>1385.05</v>
      </c>
      <c r="E1544" s="116">
        <v>1430</v>
      </c>
      <c r="F1544" s="116">
        <v>1388.7</v>
      </c>
      <c r="G1544">
        <v>7674</v>
      </c>
      <c r="H1544" s="116"/>
      <c r="I1544" s="116"/>
      <c r="L1544" s="170">
        <v>44277</v>
      </c>
      <c r="M1544" s="116">
        <v>1388.6</v>
      </c>
      <c r="N1544" s="116">
        <v>1428</v>
      </c>
      <c r="O1544" s="116">
        <v>1385</v>
      </c>
      <c r="P1544" s="116">
        <v>1414</v>
      </c>
      <c r="Q1544" s="116">
        <v>1388.6</v>
      </c>
      <c r="R1544">
        <v>77105</v>
      </c>
    </row>
    <row r="1545" spans="1:18" x14ac:dyDescent="0.25">
      <c r="A1545" s="170">
        <v>44278</v>
      </c>
      <c r="B1545" s="116">
        <v>1416.25</v>
      </c>
      <c r="C1545" s="116">
        <v>1396.45</v>
      </c>
      <c r="D1545" s="116">
        <v>1385.8</v>
      </c>
      <c r="E1545" s="116">
        <v>1391</v>
      </c>
      <c r="F1545" s="116">
        <v>1396.45</v>
      </c>
      <c r="G1545">
        <v>5130</v>
      </c>
      <c r="H1545" s="116"/>
      <c r="I1545" s="116"/>
      <c r="L1545" s="170">
        <v>44278</v>
      </c>
      <c r="M1545" s="116">
        <v>1397.35</v>
      </c>
      <c r="N1545" s="116">
        <v>1420</v>
      </c>
      <c r="O1545" s="116">
        <v>1385</v>
      </c>
      <c r="P1545" s="116">
        <v>1395.8</v>
      </c>
      <c r="Q1545" s="116">
        <v>1397.35</v>
      </c>
      <c r="R1545">
        <v>68727</v>
      </c>
    </row>
    <row r="1546" spans="1:18" x14ac:dyDescent="0.25">
      <c r="A1546" s="170">
        <v>44279</v>
      </c>
      <c r="B1546" s="116">
        <v>1399.95</v>
      </c>
      <c r="C1546" s="116">
        <v>1377.75</v>
      </c>
      <c r="D1546" s="116">
        <v>1367.9</v>
      </c>
      <c r="E1546" s="116">
        <v>1391.3</v>
      </c>
      <c r="F1546" s="116">
        <v>1377.75</v>
      </c>
      <c r="G1546">
        <v>4371</v>
      </c>
      <c r="H1546" s="116"/>
      <c r="I1546" s="116"/>
      <c r="L1546" s="170">
        <v>44279</v>
      </c>
      <c r="M1546" s="116">
        <v>1375.6</v>
      </c>
      <c r="N1546" s="116">
        <v>1401.85</v>
      </c>
      <c r="O1546" s="116">
        <v>1368</v>
      </c>
      <c r="P1546" s="116">
        <v>1390</v>
      </c>
      <c r="Q1546" s="116">
        <v>1375.6</v>
      </c>
      <c r="R1546">
        <v>62821</v>
      </c>
    </row>
    <row r="1547" spans="1:18" x14ac:dyDescent="0.25">
      <c r="A1547" s="170">
        <v>44280</v>
      </c>
      <c r="B1547" s="116">
        <v>1401.7</v>
      </c>
      <c r="C1547" s="116">
        <v>1388.8</v>
      </c>
      <c r="D1547" s="116">
        <v>1332</v>
      </c>
      <c r="E1547" s="116">
        <v>1370.7</v>
      </c>
      <c r="F1547" s="116">
        <v>1388.8</v>
      </c>
      <c r="G1547">
        <v>10446</v>
      </c>
      <c r="H1547" s="116"/>
      <c r="I1547" s="116"/>
      <c r="L1547" s="170">
        <v>44280</v>
      </c>
      <c r="M1547" s="116">
        <v>1391.65</v>
      </c>
      <c r="N1547" s="116">
        <v>1405</v>
      </c>
      <c r="O1547" s="116">
        <v>1330.2</v>
      </c>
      <c r="P1547" s="116">
        <v>1375</v>
      </c>
      <c r="Q1547" s="116">
        <v>1391.65</v>
      </c>
      <c r="R1547">
        <v>88150</v>
      </c>
    </row>
    <row r="1548" spans="1:18" x14ac:dyDescent="0.25">
      <c r="A1548" s="170">
        <v>44281</v>
      </c>
      <c r="B1548" s="116">
        <v>1497.95</v>
      </c>
      <c r="C1548" s="116">
        <v>1453.55</v>
      </c>
      <c r="D1548" s="116">
        <v>1379.6</v>
      </c>
      <c r="E1548" s="116">
        <v>1394.6</v>
      </c>
      <c r="F1548" s="116">
        <v>1453.55</v>
      </c>
      <c r="G1548">
        <v>13027</v>
      </c>
      <c r="H1548" s="116"/>
      <c r="I1548" s="116"/>
      <c r="L1548" s="170">
        <v>44281</v>
      </c>
      <c r="M1548" s="116">
        <v>1453.55</v>
      </c>
      <c r="N1548" s="116">
        <v>1498.3</v>
      </c>
      <c r="O1548" s="116">
        <v>1375.3</v>
      </c>
      <c r="P1548" s="116">
        <v>1398</v>
      </c>
      <c r="Q1548" s="116">
        <v>1453.55</v>
      </c>
      <c r="R1548">
        <v>175036</v>
      </c>
    </row>
    <row r="1549" spans="1:18" x14ac:dyDescent="0.25">
      <c r="A1549" s="170">
        <v>44285</v>
      </c>
      <c r="B1549" s="116">
        <v>1480</v>
      </c>
      <c r="C1549" s="116">
        <v>1439.4</v>
      </c>
      <c r="D1549" s="116">
        <v>1431</v>
      </c>
      <c r="E1549" s="116">
        <v>1466</v>
      </c>
      <c r="F1549" s="116">
        <v>1439.4</v>
      </c>
      <c r="G1549">
        <v>7344</v>
      </c>
      <c r="H1549" s="116"/>
      <c r="I1549" s="116"/>
      <c r="L1549" s="170">
        <v>44285</v>
      </c>
      <c r="M1549" s="116">
        <v>1439.35</v>
      </c>
      <c r="N1549" s="116">
        <v>1481.55</v>
      </c>
      <c r="O1549" s="116">
        <v>1431.05</v>
      </c>
      <c r="P1549" s="116">
        <v>1453.55</v>
      </c>
      <c r="Q1549" s="116">
        <v>1439.35</v>
      </c>
      <c r="R1549">
        <v>135595</v>
      </c>
    </row>
    <row r="1550" spans="1:18" x14ac:dyDescent="0.25">
      <c r="A1550" s="170">
        <v>44286</v>
      </c>
      <c r="B1550" s="116">
        <v>1436.7</v>
      </c>
      <c r="C1550" s="116">
        <v>1417.4</v>
      </c>
      <c r="D1550" s="116">
        <v>1398.5</v>
      </c>
      <c r="E1550" s="116">
        <v>1431.75</v>
      </c>
      <c r="F1550" s="116">
        <v>1417.4</v>
      </c>
      <c r="G1550">
        <v>4765</v>
      </c>
      <c r="H1550" s="116"/>
      <c r="I1550" s="116"/>
      <c r="L1550" s="170">
        <v>44286</v>
      </c>
      <c r="M1550" s="116">
        <v>1410.05</v>
      </c>
      <c r="N1550" s="116">
        <v>1438</v>
      </c>
      <c r="O1550" s="116">
        <v>1397</v>
      </c>
      <c r="P1550" s="116">
        <v>1437.65</v>
      </c>
      <c r="Q1550" s="116">
        <v>1410.05</v>
      </c>
      <c r="R1550">
        <v>180576</v>
      </c>
    </row>
    <row r="1551" spans="1:18" x14ac:dyDescent="0.25">
      <c r="A1551" s="170">
        <v>44287</v>
      </c>
      <c r="B1551" s="116">
        <v>1425</v>
      </c>
      <c r="C1551" s="116">
        <v>1397.25</v>
      </c>
      <c r="D1551" s="116">
        <v>1393</v>
      </c>
      <c r="E1551" s="116">
        <v>1420.95</v>
      </c>
      <c r="F1551" s="116">
        <v>1397.25</v>
      </c>
      <c r="G1551">
        <v>5140</v>
      </c>
      <c r="H1551" s="116"/>
      <c r="I1551" s="116"/>
      <c r="L1551" s="170">
        <v>44287</v>
      </c>
      <c r="M1551" s="116">
        <v>1397.5</v>
      </c>
      <c r="N1551" s="116">
        <v>1424.7</v>
      </c>
      <c r="O1551" s="116">
        <v>1391.1</v>
      </c>
      <c r="P1551" s="116">
        <v>1413.8</v>
      </c>
      <c r="Q1551" s="116">
        <v>1397.5</v>
      </c>
      <c r="R1551">
        <v>80643</v>
      </c>
    </row>
    <row r="1552" spans="1:18" x14ac:dyDescent="0.25">
      <c r="A1552" s="170">
        <v>44291</v>
      </c>
      <c r="B1552" s="116">
        <v>1398.55</v>
      </c>
      <c r="C1552" s="116">
        <v>1377.95</v>
      </c>
      <c r="D1552" s="116">
        <v>1368.45</v>
      </c>
      <c r="E1552" s="116">
        <v>1394</v>
      </c>
      <c r="F1552" s="116">
        <v>1377.95</v>
      </c>
      <c r="G1552">
        <v>6119</v>
      </c>
      <c r="H1552" s="116"/>
      <c r="I1552" s="116"/>
      <c r="L1552" s="170">
        <v>44291</v>
      </c>
      <c r="M1552" s="116">
        <v>1382.2</v>
      </c>
      <c r="N1552" s="116">
        <v>1400</v>
      </c>
      <c r="O1552" s="116">
        <v>1365.15</v>
      </c>
      <c r="P1552" s="116">
        <v>1390</v>
      </c>
      <c r="Q1552" s="116">
        <v>1382.2</v>
      </c>
      <c r="R1552">
        <v>88800</v>
      </c>
    </row>
    <row r="1553" spans="1:18" x14ac:dyDescent="0.25">
      <c r="A1553" s="170">
        <v>44292</v>
      </c>
      <c r="B1553" s="116">
        <v>1394.5</v>
      </c>
      <c r="C1553" s="116">
        <v>1376.3</v>
      </c>
      <c r="D1553" s="116">
        <v>1366.6</v>
      </c>
      <c r="E1553" s="116">
        <v>1381.95</v>
      </c>
      <c r="F1553" s="116">
        <v>1376.3</v>
      </c>
      <c r="G1553">
        <v>2659</v>
      </c>
      <c r="H1553" s="116"/>
      <c r="I1553" s="116"/>
      <c r="L1553" s="170">
        <v>44292</v>
      </c>
      <c r="M1553" s="116">
        <v>1374.45</v>
      </c>
      <c r="N1553" s="116">
        <v>1395.55</v>
      </c>
      <c r="O1553" s="116">
        <v>1360</v>
      </c>
      <c r="P1553" s="116">
        <v>1384</v>
      </c>
      <c r="Q1553" s="116">
        <v>1374.45</v>
      </c>
      <c r="R1553">
        <v>100694</v>
      </c>
    </row>
    <row r="1554" spans="1:18" x14ac:dyDescent="0.25">
      <c r="A1554" s="170">
        <v>44293</v>
      </c>
      <c r="B1554" s="116">
        <v>1390</v>
      </c>
      <c r="C1554" s="116">
        <v>1374.6</v>
      </c>
      <c r="D1554" s="116">
        <v>1367.7</v>
      </c>
      <c r="E1554" s="116">
        <v>1377</v>
      </c>
      <c r="F1554" s="116">
        <v>1374.6</v>
      </c>
      <c r="G1554">
        <v>4345</v>
      </c>
      <c r="H1554" s="116"/>
      <c r="I1554" s="116"/>
      <c r="L1554" s="170">
        <v>44293</v>
      </c>
      <c r="M1554" s="116">
        <v>1375</v>
      </c>
      <c r="N1554" s="116">
        <v>1389.9</v>
      </c>
      <c r="O1554" s="116">
        <v>1366.75</v>
      </c>
      <c r="P1554" s="116">
        <v>1375</v>
      </c>
      <c r="Q1554" s="116">
        <v>1375</v>
      </c>
      <c r="R1554">
        <v>37217</v>
      </c>
    </row>
    <row r="1555" spans="1:18" x14ac:dyDescent="0.25">
      <c r="A1555" s="170">
        <v>44294</v>
      </c>
      <c r="B1555" s="116">
        <v>1405</v>
      </c>
      <c r="C1555" s="116">
        <v>1393.7</v>
      </c>
      <c r="D1555" s="116">
        <v>1378</v>
      </c>
      <c r="E1555" s="116">
        <v>1379.15</v>
      </c>
      <c r="F1555" s="116">
        <v>1393.7</v>
      </c>
      <c r="G1555">
        <v>3681</v>
      </c>
      <c r="H1555" s="116"/>
      <c r="I1555" s="116"/>
      <c r="L1555" s="170">
        <v>44294</v>
      </c>
      <c r="M1555" s="116">
        <v>1396.3</v>
      </c>
      <c r="N1555" s="116">
        <v>1405.5</v>
      </c>
      <c r="O1555" s="116">
        <v>1375.2</v>
      </c>
      <c r="P1555" s="116">
        <v>1377.85</v>
      </c>
      <c r="Q1555" s="116">
        <v>1396.3</v>
      </c>
      <c r="R1555">
        <v>47375</v>
      </c>
    </row>
    <row r="1556" spans="1:18" x14ac:dyDescent="0.25">
      <c r="A1556" s="170">
        <v>44295</v>
      </c>
      <c r="B1556" s="116">
        <v>1407.2</v>
      </c>
      <c r="C1556" s="116">
        <v>1379.35</v>
      </c>
      <c r="D1556" s="116">
        <v>1374.45</v>
      </c>
      <c r="E1556" s="116">
        <v>1395</v>
      </c>
      <c r="F1556" s="116">
        <v>1379.35</v>
      </c>
      <c r="G1556">
        <v>9122</v>
      </c>
      <c r="H1556" s="116"/>
      <c r="I1556" s="116"/>
      <c r="L1556" s="170">
        <v>44295</v>
      </c>
      <c r="M1556" s="116">
        <v>1380.4</v>
      </c>
      <c r="N1556" s="116">
        <v>1407.95</v>
      </c>
      <c r="O1556" s="116">
        <v>1375</v>
      </c>
      <c r="P1556" s="116">
        <v>1396.35</v>
      </c>
      <c r="Q1556" s="116">
        <v>1380.4</v>
      </c>
      <c r="R1556">
        <v>83100</v>
      </c>
    </row>
    <row r="1557" spans="1:18" x14ac:dyDescent="0.25">
      <c r="A1557" s="170">
        <v>44298</v>
      </c>
      <c r="B1557" s="116">
        <v>1381</v>
      </c>
      <c r="C1557" s="116">
        <v>1312.25</v>
      </c>
      <c r="D1557" s="116">
        <v>1300</v>
      </c>
      <c r="E1557" s="116">
        <v>1381</v>
      </c>
      <c r="F1557" s="116">
        <v>1312.25</v>
      </c>
      <c r="G1557">
        <v>8221</v>
      </c>
      <c r="H1557" s="116"/>
      <c r="I1557" s="116"/>
      <c r="L1557" s="170">
        <v>44298</v>
      </c>
      <c r="M1557" s="116">
        <v>1309.45</v>
      </c>
      <c r="N1557" s="116">
        <v>1378</v>
      </c>
      <c r="O1557" s="116">
        <v>1298.55</v>
      </c>
      <c r="P1557" s="116">
        <v>1378</v>
      </c>
      <c r="Q1557" s="116">
        <v>1309.45</v>
      </c>
      <c r="R1557">
        <v>69205</v>
      </c>
    </row>
    <row r="1558" spans="1:18" x14ac:dyDescent="0.25">
      <c r="A1558" s="170">
        <v>44299</v>
      </c>
      <c r="B1558" s="116">
        <v>1341.6</v>
      </c>
      <c r="C1558" s="116">
        <v>1321.7</v>
      </c>
      <c r="D1558" s="116">
        <v>1309</v>
      </c>
      <c r="E1558" s="116">
        <v>1311</v>
      </c>
      <c r="F1558" s="116">
        <v>1321.7</v>
      </c>
      <c r="G1558">
        <v>9047</v>
      </c>
      <c r="H1558" s="116"/>
      <c r="I1558" s="116"/>
      <c r="L1558" s="170">
        <v>44299</v>
      </c>
      <c r="M1558" s="116">
        <v>1319.6</v>
      </c>
      <c r="N1558" s="116">
        <v>1335</v>
      </c>
      <c r="O1558" s="116">
        <v>1305.8499999999999</v>
      </c>
      <c r="P1558" s="116">
        <v>1315</v>
      </c>
      <c r="Q1558" s="116">
        <v>1319.6</v>
      </c>
      <c r="R1558">
        <v>169333</v>
      </c>
    </row>
    <row r="1559" spans="1:18" x14ac:dyDescent="0.25">
      <c r="A1559" s="170">
        <v>44301</v>
      </c>
      <c r="B1559" s="116">
        <v>1365.05</v>
      </c>
      <c r="C1559" s="116">
        <v>1346.8</v>
      </c>
      <c r="D1559" s="116">
        <v>1312</v>
      </c>
      <c r="E1559" s="116">
        <v>1312</v>
      </c>
      <c r="F1559" s="116">
        <v>1346.8</v>
      </c>
      <c r="G1559">
        <v>11732</v>
      </c>
      <c r="H1559" s="116"/>
      <c r="I1559" s="116"/>
      <c r="L1559" s="170">
        <v>44301</v>
      </c>
      <c r="M1559" s="116">
        <v>1349.45</v>
      </c>
      <c r="N1559" s="116">
        <v>1363.95</v>
      </c>
      <c r="O1559" s="116">
        <v>1309.05</v>
      </c>
      <c r="P1559" s="116">
        <v>1316.5</v>
      </c>
      <c r="Q1559" s="116">
        <v>1349.45</v>
      </c>
      <c r="R1559">
        <v>426291</v>
      </c>
    </row>
    <row r="1560" spans="1:18" x14ac:dyDescent="0.25">
      <c r="A1560" s="170">
        <v>44302</v>
      </c>
      <c r="B1560" s="116">
        <v>1376</v>
      </c>
      <c r="C1560" s="116">
        <v>1367.75</v>
      </c>
      <c r="D1560" s="116">
        <v>1348.1</v>
      </c>
      <c r="E1560" s="116">
        <v>1350</v>
      </c>
      <c r="F1560" s="116">
        <v>1367.75</v>
      </c>
      <c r="G1560">
        <v>7126</v>
      </c>
      <c r="H1560" s="116"/>
      <c r="I1560" s="116"/>
      <c r="L1560" s="170">
        <v>44302</v>
      </c>
      <c r="M1560" s="116">
        <v>1371.35</v>
      </c>
      <c r="N1560" s="116">
        <v>1374.95</v>
      </c>
      <c r="O1560" s="116">
        <v>1345.3</v>
      </c>
      <c r="P1560" s="116">
        <v>1351.9</v>
      </c>
      <c r="Q1560" s="116">
        <v>1371.35</v>
      </c>
      <c r="R1560">
        <v>142921</v>
      </c>
    </row>
    <row r="1561" spans="1:18" x14ac:dyDescent="0.25">
      <c r="A1561" s="170">
        <v>44305</v>
      </c>
      <c r="B1561" s="116">
        <v>1412.3</v>
      </c>
      <c r="C1561" s="116">
        <v>1393.9</v>
      </c>
      <c r="D1561" s="116">
        <v>1317.5</v>
      </c>
      <c r="E1561" s="116">
        <v>1350.55</v>
      </c>
      <c r="F1561" s="116">
        <v>1393.9</v>
      </c>
      <c r="G1561">
        <v>13739</v>
      </c>
      <c r="H1561" s="116"/>
      <c r="I1561" s="116"/>
      <c r="L1561" s="170">
        <v>44305</v>
      </c>
      <c r="M1561" s="116">
        <v>1395.15</v>
      </c>
      <c r="N1561" s="116">
        <v>1412</v>
      </c>
      <c r="O1561" s="116">
        <v>1314.45</v>
      </c>
      <c r="P1561" s="116">
        <v>1357</v>
      </c>
      <c r="Q1561" s="116">
        <v>1395.15</v>
      </c>
      <c r="R1561">
        <v>177488</v>
      </c>
    </row>
    <row r="1562" spans="1:18" x14ac:dyDescent="0.25">
      <c r="A1562" s="170">
        <v>44306</v>
      </c>
      <c r="B1562" s="116">
        <v>1417</v>
      </c>
      <c r="C1562" s="116">
        <v>1392.85</v>
      </c>
      <c r="D1562" s="116">
        <v>1382</v>
      </c>
      <c r="E1562" s="116">
        <v>1394</v>
      </c>
      <c r="F1562" s="116">
        <v>1392.85</v>
      </c>
      <c r="G1562">
        <v>6964</v>
      </c>
      <c r="H1562" s="116"/>
      <c r="I1562" s="116"/>
      <c r="L1562" s="170">
        <v>44306</v>
      </c>
      <c r="M1562" s="116">
        <v>1395.4</v>
      </c>
      <c r="N1562" s="116">
        <v>1418</v>
      </c>
      <c r="O1562" s="116">
        <v>1381.1</v>
      </c>
      <c r="P1562" s="116">
        <v>1395</v>
      </c>
      <c r="Q1562" s="116">
        <v>1395.4</v>
      </c>
      <c r="R1562">
        <v>173676</v>
      </c>
    </row>
    <row r="1563" spans="1:18" x14ac:dyDescent="0.25">
      <c r="A1563" s="170">
        <v>44308</v>
      </c>
      <c r="B1563" s="116">
        <v>1394.25</v>
      </c>
      <c r="C1563" s="116">
        <v>1389.65</v>
      </c>
      <c r="D1563" s="116">
        <v>1368.55</v>
      </c>
      <c r="E1563" s="116">
        <v>1394.25</v>
      </c>
      <c r="F1563" s="116">
        <v>1389.65</v>
      </c>
      <c r="G1563">
        <v>6286</v>
      </c>
      <c r="H1563" s="116"/>
      <c r="I1563" s="116"/>
      <c r="L1563" s="170">
        <v>44308</v>
      </c>
      <c r="M1563" s="116">
        <v>1391.65</v>
      </c>
      <c r="N1563" s="116">
        <v>1400</v>
      </c>
      <c r="O1563" s="116">
        <v>1368.4</v>
      </c>
      <c r="P1563" s="116">
        <v>1395</v>
      </c>
      <c r="Q1563" s="116">
        <v>1391.65</v>
      </c>
      <c r="R1563">
        <v>93857</v>
      </c>
    </row>
    <row r="1564" spans="1:18" x14ac:dyDescent="0.25">
      <c r="A1564" s="170">
        <v>44309</v>
      </c>
      <c r="B1564" s="116">
        <v>1394</v>
      </c>
      <c r="C1564" s="116">
        <v>1381.65</v>
      </c>
      <c r="D1564" s="116">
        <v>1371.2</v>
      </c>
      <c r="E1564" s="116">
        <v>1385.15</v>
      </c>
      <c r="F1564" s="116">
        <v>1381.65</v>
      </c>
      <c r="G1564">
        <v>3259</v>
      </c>
      <c r="H1564" s="116"/>
      <c r="I1564" s="116"/>
      <c r="L1564" s="170">
        <v>44309</v>
      </c>
      <c r="M1564" s="116">
        <v>1380.7</v>
      </c>
      <c r="N1564" s="116">
        <v>1393.6</v>
      </c>
      <c r="O1564" s="116">
        <v>1369</v>
      </c>
      <c r="P1564" s="116">
        <v>1387</v>
      </c>
      <c r="Q1564" s="116">
        <v>1380.7</v>
      </c>
      <c r="R1564">
        <v>155372</v>
      </c>
    </row>
    <row r="1565" spans="1:18" x14ac:dyDescent="0.25">
      <c r="A1565" s="170">
        <v>44312</v>
      </c>
      <c r="B1565" s="116">
        <v>1400.25</v>
      </c>
      <c r="C1565" s="116">
        <v>1366.85</v>
      </c>
      <c r="D1565" s="116">
        <v>1360.7</v>
      </c>
      <c r="E1565" s="116">
        <v>1382</v>
      </c>
      <c r="F1565" s="116">
        <v>1366.85</v>
      </c>
      <c r="G1565">
        <v>7816</v>
      </c>
      <c r="H1565" s="116"/>
      <c r="I1565" s="116"/>
      <c r="L1565" s="170">
        <v>44312</v>
      </c>
      <c r="M1565" s="116">
        <v>1369.1</v>
      </c>
      <c r="N1565" s="116">
        <v>1402.95</v>
      </c>
      <c r="O1565" s="116">
        <v>1360.1</v>
      </c>
      <c r="P1565" s="116">
        <v>1381.95</v>
      </c>
      <c r="Q1565" s="116">
        <v>1369.1</v>
      </c>
      <c r="R1565">
        <v>189659</v>
      </c>
    </row>
    <row r="1566" spans="1:18" x14ac:dyDescent="0.25">
      <c r="A1566" s="170">
        <v>44313</v>
      </c>
      <c r="B1566" s="116">
        <v>1401</v>
      </c>
      <c r="C1566" s="116">
        <v>1384.8</v>
      </c>
      <c r="D1566" s="116">
        <v>1366.3</v>
      </c>
      <c r="E1566" s="116">
        <v>1366.3</v>
      </c>
      <c r="F1566" s="116">
        <v>1384.8</v>
      </c>
      <c r="G1566">
        <v>8329</v>
      </c>
      <c r="H1566" s="116"/>
      <c r="I1566" s="116"/>
      <c r="L1566" s="170">
        <v>44313</v>
      </c>
      <c r="M1566" s="116">
        <v>1384.35</v>
      </c>
      <c r="N1566" s="116">
        <v>1401.9</v>
      </c>
      <c r="O1566" s="116">
        <v>1375.2</v>
      </c>
      <c r="P1566" s="116">
        <v>1378</v>
      </c>
      <c r="Q1566" s="116">
        <v>1384.35</v>
      </c>
      <c r="R1566">
        <v>444609</v>
      </c>
    </row>
    <row r="1567" spans="1:18" x14ac:dyDescent="0.25">
      <c r="A1567" s="170">
        <v>44314</v>
      </c>
      <c r="B1567" s="116">
        <v>1440</v>
      </c>
      <c r="C1567" s="116">
        <v>1382.8</v>
      </c>
      <c r="D1567" s="116">
        <v>1360.3</v>
      </c>
      <c r="E1567" s="116">
        <v>1412.5</v>
      </c>
      <c r="F1567" s="116">
        <v>1382.8</v>
      </c>
      <c r="G1567">
        <v>22546</v>
      </c>
      <c r="H1567" s="116"/>
      <c r="I1567" s="116"/>
      <c r="L1567" s="170">
        <v>44314</v>
      </c>
      <c r="M1567" s="116">
        <v>1387.9</v>
      </c>
      <c r="N1567" s="116">
        <v>1436.25</v>
      </c>
      <c r="O1567" s="116">
        <v>1362</v>
      </c>
      <c r="P1567" s="116">
        <v>1408.1</v>
      </c>
      <c r="Q1567" s="116">
        <v>1387.9</v>
      </c>
      <c r="R1567">
        <v>474157</v>
      </c>
    </row>
    <row r="1568" spans="1:18" x14ac:dyDescent="0.25">
      <c r="A1568" s="170">
        <v>44315</v>
      </c>
      <c r="B1568" s="116">
        <v>1407</v>
      </c>
      <c r="C1568" s="116">
        <v>1383.15</v>
      </c>
      <c r="D1568" s="116">
        <v>1378.1</v>
      </c>
      <c r="E1568" s="116">
        <v>1407</v>
      </c>
      <c r="F1568" s="116">
        <v>1383.15</v>
      </c>
      <c r="G1568">
        <v>5008</v>
      </c>
      <c r="H1568" s="116"/>
      <c r="I1568" s="116"/>
      <c r="L1568" s="170">
        <v>44315</v>
      </c>
      <c r="M1568" s="116">
        <v>1381.3</v>
      </c>
      <c r="N1568" s="116">
        <v>1405</v>
      </c>
      <c r="O1568" s="116">
        <v>1377</v>
      </c>
      <c r="P1568" s="116">
        <v>1405</v>
      </c>
      <c r="Q1568" s="116">
        <v>1381.3</v>
      </c>
      <c r="R1568">
        <v>110440</v>
      </c>
    </row>
    <row r="1569" spans="1:18" x14ac:dyDescent="0.25">
      <c r="A1569" s="170">
        <v>44316</v>
      </c>
      <c r="B1569" s="116">
        <v>1399</v>
      </c>
      <c r="C1569" s="116">
        <v>1382.75</v>
      </c>
      <c r="D1569" s="116">
        <v>1362.3</v>
      </c>
      <c r="E1569" s="116">
        <v>1382</v>
      </c>
      <c r="F1569" s="116">
        <v>1382.75</v>
      </c>
      <c r="G1569">
        <v>11122</v>
      </c>
      <c r="H1569" s="116"/>
      <c r="I1569" s="116"/>
      <c r="L1569" s="170">
        <v>44316</v>
      </c>
      <c r="M1569" s="116">
        <v>1381.25</v>
      </c>
      <c r="N1569" s="116">
        <v>1399.4</v>
      </c>
      <c r="O1569" s="116">
        <v>1360</v>
      </c>
      <c r="P1569" s="116">
        <v>1375</v>
      </c>
      <c r="Q1569" s="116">
        <v>1381.25</v>
      </c>
      <c r="R1569">
        <v>167258</v>
      </c>
    </row>
    <row r="1570" spans="1:18" x14ac:dyDescent="0.25">
      <c r="A1570" s="170">
        <v>44319</v>
      </c>
      <c r="B1570" s="116">
        <v>1398</v>
      </c>
      <c r="C1570" s="116">
        <v>1393.45</v>
      </c>
      <c r="D1570" s="116">
        <v>1352.8</v>
      </c>
      <c r="E1570" s="116">
        <v>1389</v>
      </c>
      <c r="F1570" s="116">
        <v>1393.45</v>
      </c>
      <c r="G1570">
        <v>20428</v>
      </c>
      <c r="H1570" s="116"/>
      <c r="I1570" s="116"/>
      <c r="L1570" s="170">
        <v>44319</v>
      </c>
      <c r="M1570" s="116">
        <v>1392</v>
      </c>
      <c r="N1570" s="116">
        <v>1399</v>
      </c>
      <c r="O1570" s="116">
        <v>1352.05</v>
      </c>
      <c r="P1570" s="116">
        <v>1385.6</v>
      </c>
      <c r="Q1570" s="116">
        <v>1392</v>
      </c>
      <c r="R1570">
        <v>163384</v>
      </c>
    </row>
    <row r="1571" spans="1:18" x14ac:dyDescent="0.25">
      <c r="A1571" s="170">
        <v>44320</v>
      </c>
      <c r="B1571" s="116">
        <v>1398.85</v>
      </c>
      <c r="C1571" s="116">
        <v>1375</v>
      </c>
      <c r="D1571" s="116">
        <v>1366</v>
      </c>
      <c r="E1571" s="116">
        <v>1370</v>
      </c>
      <c r="F1571" s="116">
        <v>1375</v>
      </c>
      <c r="G1571">
        <v>6668</v>
      </c>
      <c r="H1571" s="116"/>
      <c r="I1571" s="116"/>
      <c r="L1571" s="170">
        <v>44320</v>
      </c>
      <c r="M1571" s="116">
        <v>1377.45</v>
      </c>
      <c r="N1571" s="116">
        <v>1399.6</v>
      </c>
      <c r="O1571" s="116">
        <v>1365.1</v>
      </c>
      <c r="P1571" s="116">
        <v>1392</v>
      </c>
      <c r="Q1571" s="116">
        <v>1377.45</v>
      </c>
      <c r="R1571">
        <v>95411</v>
      </c>
    </row>
    <row r="1572" spans="1:18" x14ac:dyDescent="0.25">
      <c r="A1572" s="170">
        <v>44321</v>
      </c>
      <c r="B1572" s="116">
        <v>1386.3</v>
      </c>
      <c r="C1572" s="116">
        <v>1370.95</v>
      </c>
      <c r="D1572" s="116">
        <v>1367</v>
      </c>
      <c r="E1572" s="116">
        <v>1378.65</v>
      </c>
      <c r="F1572" s="116">
        <v>1370.95</v>
      </c>
      <c r="G1572">
        <v>9179</v>
      </c>
      <c r="H1572" s="116"/>
      <c r="I1572" s="116"/>
      <c r="L1572" s="170">
        <v>44321</v>
      </c>
      <c r="M1572" s="116">
        <v>1370.65</v>
      </c>
      <c r="N1572" s="116">
        <v>1387.55</v>
      </c>
      <c r="O1572" s="116">
        <v>1363</v>
      </c>
      <c r="P1572" s="116">
        <v>1378.1</v>
      </c>
      <c r="Q1572" s="116">
        <v>1370.65</v>
      </c>
      <c r="R1572">
        <v>51196</v>
      </c>
    </row>
    <row r="1573" spans="1:18" x14ac:dyDescent="0.25">
      <c r="A1573" s="170">
        <v>44322</v>
      </c>
      <c r="B1573" s="116">
        <v>1384</v>
      </c>
      <c r="C1573" s="116">
        <v>1381.4</v>
      </c>
      <c r="D1573" s="116">
        <v>1363.65</v>
      </c>
      <c r="E1573" s="116">
        <v>1363.65</v>
      </c>
      <c r="F1573" s="116">
        <v>1381.4</v>
      </c>
      <c r="G1573">
        <v>5401</v>
      </c>
      <c r="H1573" s="116"/>
      <c r="I1573" s="116"/>
      <c r="L1573" s="170">
        <v>44322</v>
      </c>
      <c r="M1573" s="116">
        <v>1380.6</v>
      </c>
      <c r="N1573" s="116">
        <v>1385</v>
      </c>
      <c r="O1573" s="116">
        <v>1374.15</v>
      </c>
      <c r="P1573" s="116">
        <v>1374.7</v>
      </c>
      <c r="Q1573" s="116">
        <v>1380.6</v>
      </c>
      <c r="R1573">
        <v>27868</v>
      </c>
    </row>
    <row r="1574" spans="1:18" x14ac:dyDescent="0.25">
      <c r="A1574" s="170">
        <v>44323</v>
      </c>
      <c r="B1574" s="116">
        <v>1393.35</v>
      </c>
      <c r="C1574" s="116">
        <v>1371.35</v>
      </c>
      <c r="D1574" s="116">
        <v>1368</v>
      </c>
      <c r="E1574" s="116">
        <v>1385</v>
      </c>
      <c r="F1574" s="116">
        <v>1371.35</v>
      </c>
      <c r="G1574">
        <v>10812</v>
      </c>
      <c r="H1574" s="116"/>
      <c r="I1574" s="116"/>
      <c r="L1574" s="170">
        <v>44323</v>
      </c>
      <c r="M1574" s="116">
        <v>1371.95</v>
      </c>
      <c r="N1574" s="116">
        <v>1394.45</v>
      </c>
      <c r="O1574" s="116">
        <v>1368</v>
      </c>
      <c r="P1574" s="116">
        <v>1385</v>
      </c>
      <c r="Q1574" s="116">
        <v>1371.95</v>
      </c>
      <c r="R1574">
        <v>160890</v>
      </c>
    </row>
    <row r="1575" spans="1:18" x14ac:dyDescent="0.25">
      <c r="A1575" s="170">
        <v>44326</v>
      </c>
      <c r="B1575" s="116">
        <v>1394.8</v>
      </c>
      <c r="C1575" s="116">
        <v>1374.65</v>
      </c>
      <c r="D1575" s="116">
        <v>1361</v>
      </c>
      <c r="E1575" s="116">
        <v>1390</v>
      </c>
      <c r="F1575" s="116">
        <v>1374.65</v>
      </c>
      <c r="G1575">
        <v>15794</v>
      </c>
      <c r="H1575" s="116"/>
      <c r="I1575" s="116"/>
      <c r="L1575" s="170">
        <v>44326</v>
      </c>
      <c r="M1575" s="116">
        <v>1375.35</v>
      </c>
      <c r="N1575" s="116">
        <v>1397</v>
      </c>
      <c r="O1575" s="116">
        <v>1367.25</v>
      </c>
      <c r="P1575" s="116">
        <v>1385.1</v>
      </c>
      <c r="Q1575" s="116">
        <v>1375.35</v>
      </c>
      <c r="R1575">
        <v>136672</v>
      </c>
    </row>
    <row r="1576" spans="1:18" x14ac:dyDescent="0.25">
      <c r="A1576" s="170">
        <v>44327</v>
      </c>
      <c r="B1576" s="116">
        <v>1384.25</v>
      </c>
      <c r="C1576" s="116">
        <v>1368.35</v>
      </c>
      <c r="D1576" s="116">
        <v>1364</v>
      </c>
      <c r="E1576" s="116">
        <v>1371.65</v>
      </c>
      <c r="F1576" s="116">
        <v>1368.35</v>
      </c>
      <c r="G1576">
        <v>2954</v>
      </c>
      <c r="H1576" s="116"/>
      <c r="I1576" s="116"/>
      <c r="L1576" s="170">
        <v>44327</v>
      </c>
      <c r="M1576" s="116">
        <v>1368.85</v>
      </c>
      <c r="N1576" s="116">
        <v>1385</v>
      </c>
      <c r="O1576" s="116">
        <v>1362.7</v>
      </c>
      <c r="P1576" s="116">
        <v>1369</v>
      </c>
      <c r="Q1576" s="116">
        <v>1368.85</v>
      </c>
      <c r="R1576">
        <v>66321</v>
      </c>
    </row>
    <row r="1577" spans="1:18" x14ac:dyDescent="0.25">
      <c r="A1577" s="170">
        <v>44328</v>
      </c>
      <c r="B1577" s="116">
        <v>1433.25</v>
      </c>
      <c r="C1577" s="116">
        <v>1403.5</v>
      </c>
      <c r="D1577" s="116">
        <v>1373.3</v>
      </c>
      <c r="E1577" s="116">
        <v>1385.8</v>
      </c>
      <c r="F1577" s="116">
        <v>1403.5</v>
      </c>
      <c r="G1577">
        <v>29672</v>
      </c>
      <c r="H1577" s="116"/>
      <c r="I1577" s="116"/>
      <c r="L1577" s="170">
        <v>44328</v>
      </c>
      <c r="M1577" s="116">
        <v>1401.9</v>
      </c>
      <c r="N1577" s="116">
        <v>1434</v>
      </c>
      <c r="O1577" s="116">
        <v>1371.1</v>
      </c>
      <c r="P1577" s="116">
        <v>1381</v>
      </c>
      <c r="Q1577" s="116">
        <v>1401.9</v>
      </c>
      <c r="R1577">
        <v>603531</v>
      </c>
    </row>
    <row r="1578" spans="1:18" x14ac:dyDescent="0.25">
      <c r="A1578" s="170">
        <v>44330</v>
      </c>
      <c r="B1578" s="116">
        <v>1423.15</v>
      </c>
      <c r="C1578" s="116">
        <v>1394.85</v>
      </c>
      <c r="D1578" s="116">
        <v>1380.1</v>
      </c>
      <c r="E1578" s="116">
        <v>1405</v>
      </c>
      <c r="F1578" s="116">
        <v>1394.85</v>
      </c>
      <c r="G1578">
        <v>19799</v>
      </c>
      <c r="H1578" s="116"/>
      <c r="I1578" s="116"/>
      <c r="L1578" s="170">
        <v>44330</v>
      </c>
      <c r="M1578" s="116">
        <v>1391.8</v>
      </c>
      <c r="N1578" s="116">
        <v>1423.95</v>
      </c>
      <c r="O1578" s="116">
        <v>1378.25</v>
      </c>
      <c r="P1578" s="116">
        <v>1414</v>
      </c>
      <c r="Q1578" s="116">
        <v>1391.8</v>
      </c>
      <c r="R1578">
        <v>107932</v>
      </c>
    </row>
    <row r="1579" spans="1:18" x14ac:dyDescent="0.25">
      <c r="A1579" s="170">
        <v>44333</v>
      </c>
      <c r="B1579" s="116">
        <v>1425</v>
      </c>
      <c r="C1579" s="116">
        <v>1418.25</v>
      </c>
      <c r="D1579" s="116">
        <v>1380.55</v>
      </c>
      <c r="E1579" s="116">
        <v>1380.55</v>
      </c>
      <c r="F1579" s="116">
        <v>1418.25</v>
      </c>
      <c r="G1579">
        <v>17937</v>
      </c>
      <c r="H1579" s="116"/>
      <c r="I1579" s="116"/>
      <c r="L1579" s="170">
        <v>44333</v>
      </c>
      <c r="M1579" s="116">
        <v>1420.75</v>
      </c>
      <c r="N1579" s="116">
        <v>1425</v>
      </c>
      <c r="O1579" s="116">
        <v>1382</v>
      </c>
      <c r="P1579" s="116">
        <v>1391</v>
      </c>
      <c r="Q1579" s="116">
        <v>1420.75</v>
      </c>
      <c r="R1579">
        <v>112679</v>
      </c>
    </row>
    <row r="1580" spans="1:18" x14ac:dyDescent="0.25">
      <c r="A1580" s="170">
        <v>44334</v>
      </c>
      <c r="B1580" s="116">
        <v>1469.5</v>
      </c>
      <c r="C1580" s="116">
        <v>1449.6</v>
      </c>
      <c r="D1580" s="116">
        <v>1415.5</v>
      </c>
      <c r="E1580" s="116">
        <v>1430</v>
      </c>
      <c r="F1580" s="116">
        <v>1449.6</v>
      </c>
      <c r="G1580">
        <v>30026</v>
      </c>
      <c r="H1580" s="116"/>
      <c r="I1580" s="116"/>
      <c r="L1580" s="170">
        <v>44334</v>
      </c>
      <c r="M1580" s="116">
        <v>1449.85</v>
      </c>
      <c r="N1580" s="116">
        <v>1470</v>
      </c>
      <c r="O1580" s="116">
        <v>1410.8</v>
      </c>
      <c r="P1580" s="116">
        <v>1410.8</v>
      </c>
      <c r="Q1580" s="116">
        <v>1449.85</v>
      </c>
      <c r="R1580">
        <v>327604</v>
      </c>
    </row>
    <row r="1581" spans="1:18" x14ac:dyDescent="0.25">
      <c r="A1581" s="170">
        <v>44335</v>
      </c>
      <c r="B1581" s="116">
        <v>1480</v>
      </c>
      <c r="C1581" s="116">
        <v>1454.35</v>
      </c>
      <c r="D1581" s="116">
        <v>1441.55</v>
      </c>
      <c r="E1581" s="116">
        <v>1457.05</v>
      </c>
      <c r="F1581" s="116">
        <v>1454.35</v>
      </c>
      <c r="G1581">
        <v>18988</v>
      </c>
      <c r="H1581" s="116"/>
      <c r="I1581" s="116"/>
      <c r="L1581" s="170">
        <v>44335</v>
      </c>
      <c r="M1581" s="116">
        <v>1450.2</v>
      </c>
      <c r="N1581" s="116">
        <v>1481.8</v>
      </c>
      <c r="O1581" s="116">
        <v>1441</v>
      </c>
      <c r="P1581" s="116">
        <v>1448</v>
      </c>
      <c r="Q1581" s="116">
        <v>1450.2</v>
      </c>
      <c r="R1581">
        <v>161989</v>
      </c>
    </row>
    <row r="1582" spans="1:18" x14ac:dyDescent="0.25">
      <c r="A1582" s="170">
        <v>44336</v>
      </c>
      <c r="B1582" s="116">
        <v>1470</v>
      </c>
      <c r="C1582" s="116">
        <v>1425.35</v>
      </c>
      <c r="D1582" s="116">
        <v>1417.4</v>
      </c>
      <c r="E1582" s="116">
        <v>1470</v>
      </c>
      <c r="F1582" s="116">
        <v>1425.35</v>
      </c>
      <c r="G1582">
        <v>8880</v>
      </c>
      <c r="H1582" s="116"/>
      <c r="I1582" s="116"/>
      <c r="L1582" s="170">
        <v>44336</v>
      </c>
      <c r="M1582" s="116">
        <v>1429.25</v>
      </c>
      <c r="N1582" s="116">
        <v>1459.8</v>
      </c>
      <c r="O1582" s="116">
        <v>1416.05</v>
      </c>
      <c r="P1582" s="116">
        <v>1448</v>
      </c>
      <c r="Q1582" s="116">
        <v>1429.25</v>
      </c>
      <c r="R1582">
        <v>109513</v>
      </c>
    </row>
    <row r="1583" spans="1:18" x14ac:dyDescent="0.25">
      <c r="A1583" s="170">
        <v>44337</v>
      </c>
      <c r="B1583" s="116">
        <v>1442</v>
      </c>
      <c r="C1583" s="116">
        <v>1433.85</v>
      </c>
      <c r="D1583" s="116">
        <v>1425.7</v>
      </c>
      <c r="E1583" s="116">
        <v>1435.6</v>
      </c>
      <c r="F1583" s="116">
        <v>1433.85</v>
      </c>
      <c r="G1583">
        <v>5027</v>
      </c>
      <c r="H1583" s="116"/>
      <c r="I1583" s="116"/>
      <c r="L1583" s="170">
        <v>44337</v>
      </c>
      <c r="M1583" s="116">
        <v>1433.1</v>
      </c>
      <c r="N1583" s="116">
        <v>1443.7</v>
      </c>
      <c r="O1583" s="116">
        <v>1424.75</v>
      </c>
      <c r="P1583" s="116">
        <v>1432</v>
      </c>
      <c r="Q1583" s="116">
        <v>1433.1</v>
      </c>
      <c r="R1583">
        <v>141945</v>
      </c>
    </row>
    <row r="1584" spans="1:18" x14ac:dyDescent="0.25">
      <c r="A1584" s="170">
        <v>44340</v>
      </c>
      <c r="B1584" s="116">
        <v>1483.25</v>
      </c>
      <c r="C1584" s="116">
        <v>1474.8</v>
      </c>
      <c r="D1584" s="116">
        <v>1434.4</v>
      </c>
      <c r="E1584" s="116">
        <v>1443</v>
      </c>
      <c r="F1584" s="116">
        <v>1474.8</v>
      </c>
      <c r="G1584">
        <v>16464</v>
      </c>
      <c r="H1584" s="116"/>
      <c r="I1584" s="116"/>
      <c r="L1584" s="170">
        <v>44340</v>
      </c>
      <c r="M1584" s="116">
        <v>1475.7</v>
      </c>
      <c r="N1584" s="116">
        <v>1483.25</v>
      </c>
      <c r="O1584" s="116">
        <v>1433.1</v>
      </c>
      <c r="P1584" s="116">
        <v>1436.25</v>
      </c>
      <c r="Q1584" s="116">
        <v>1475.7</v>
      </c>
      <c r="R1584">
        <v>234226</v>
      </c>
    </row>
    <row r="1585" spans="1:18" x14ac:dyDescent="0.25">
      <c r="A1585" s="170">
        <v>44341</v>
      </c>
      <c r="B1585" s="116">
        <v>1514.5</v>
      </c>
      <c r="C1585" s="116">
        <v>1494.55</v>
      </c>
      <c r="D1585" s="116">
        <v>1471.3</v>
      </c>
      <c r="E1585" s="116">
        <v>1490</v>
      </c>
      <c r="F1585" s="116">
        <v>1494.55</v>
      </c>
      <c r="G1585">
        <v>10678</v>
      </c>
      <c r="H1585" s="116"/>
      <c r="I1585" s="116"/>
      <c r="L1585" s="170">
        <v>44341</v>
      </c>
      <c r="M1585" s="116">
        <v>1495.65</v>
      </c>
      <c r="N1585" s="116">
        <v>1517.35</v>
      </c>
      <c r="O1585" s="116">
        <v>1466</v>
      </c>
      <c r="P1585" s="116">
        <v>1481</v>
      </c>
      <c r="Q1585" s="116">
        <v>1495.65</v>
      </c>
      <c r="R1585">
        <v>131448</v>
      </c>
    </row>
    <row r="1586" spans="1:18" x14ac:dyDescent="0.25">
      <c r="A1586" s="170">
        <v>44342</v>
      </c>
      <c r="B1586" s="116">
        <v>1518</v>
      </c>
      <c r="C1586" s="116">
        <v>1501.5</v>
      </c>
      <c r="D1586" s="116">
        <v>1482.25</v>
      </c>
      <c r="E1586" s="116">
        <v>1497.35</v>
      </c>
      <c r="F1586" s="116">
        <v>1501.5</v>
      </c>
      <c r="G1586">
        <v>7767</v>
      </c>
      <c r="H1586" s="116"/>
      <c r="I1586" s="116"/>
      <c r="L1586" s="170">
        <v>44342</v>
      </c>
      <c r="M1586" s="116">
        <v>1501.35</v>
      </c>
      <c r="N1586" s="116">
        <v>1519.4</v>
      </c>
      <c r="O1586" s="116">
        <v>1482.95</v>
      </c>
      <c r="P1586" s="116">
        <v>1490.5</v>
      </c>
      <c r="Q1586" s="116">
        <v>1501.35</v>
      </c>
      <c r="R1586">
        <v>100456</v>
      </c>
    </row>
    <row r="1587" spans="1:18" x14ac:dyDescent="0.25">
      <c r="A1587" s="170">
        <v>44343</v>
      </c>
      <c r="B1587" s="116">
        <v>1600</v>
      </c>
      <c r="C1587" s="116">
        <v>1576.5</v>
      </c>
      <c r="D1587" s="116">
        <v>1493.85</v>
      </c>
      <c r="E1587" s="116">
        <v>1518</v>
      </c>
      <c r="F1587" s="116">
        <v>1576.5</v>
      </c>
      <c r="G1587">
        <v>28890</v>
      </c>
      <c r="H1587" s="116"/>
      <c r="I1587" s="116"/>
      <c r="L1587" s="170">
        <v>44343</v>
      </c>
      <c r="M1587" s="116">
        <v>1579.25</v>
      </c>
      <c r="N1587" s="116">
        <v>1600</v>
      </c>
      <c r="O1587" s="116">
        <v>1492.5</v>
      </c>
      <c r="P1587" s="116">
        <v>1505</v>
      </c>
      <c r="Q1587" s="116">
        <v>1579.25</v>
      </c>
      <c r="R1587">
        <v>247167</v>
      </c>
    </row>
    <row r="1588" spans="1:18" x14ac:dyDescent="0.25">
      <c r="A1588" s="170">
        <v>44344</v>
      </c>
      <c r="B1588" s="116">
        <v>1600</v>
      </c>
      <c r="C1588" s="116">
        <v>1590.75</v>
      </c>
      <c r="D1588" s="116">
        <v>1524.5</v>
      </c>
      <c r="E1588" s="116">
        <v>1571</v>
      </c>
      <c r="F1588" s="116">
        <v>1590.75</v>
      </c>
      <c r="G1588">
        <v>12899</v>
      </c>
      <c r="H1588" s="116"/>
      <c r="I1588" s="116"/>
      <c r="L1588" s="170">
        <v>44344</v>
      </c>
      <c r="M1588" s="116">
        <v>1588.75</v>
      </c>
      <c r="N1588" s="116">
        <v>1600</v>
      </c>
      <c r="O1588" s="116">
        <v>1523.1</v>
      </c>
      <c r="P1588" s="116">
        <v>1565</v>
      </c>
      <c r="Q1588" s="116">
        <v>1588.75</v>
      </c>
      <c r="R1588">
        <v>181421</v>
      </c>
    </row>
    <row r="1589" spans="1:18" x14ac:dyDescent="0.25">
      <c r="A1589" s="170">
        <v>44347</v>
      </c>
      <c r="B1589" s="116">
        <v>1730</v>
      </c>
      <c r="C1589" s="116">
        <v>1667.9</v>
      </c>
      <c r="D1589" s="116">
        <v>1599</v>
      </c>
      <c r="E1589" s="116">
        <v>1599</v>
      </c>
      <c r="F1589" s="116">
        <v>1667.9</v>
      </c>
      <c r="G1589">
        <v>75026</v>
      </c>
      <c r="H1589" s="116"/>
      <c r="I1589" s="116"/>
      <c r="L1589" s="170">
        <v>44347</v>
      </c>
      <c r="M1589" s="116">
        <v>1668.85</v>
      </c>
      <c r="N1589" s="116">
        <v>1730</v>
      </c>
      <c r="O1589" s="116">
        <v>1600</v>
      </c>
      <c r="P1589" s="116">
        <v>1600</v>
      </c>
      <c r="Q1589" s="116">
        <v>1668.85</v>
      </c>
      <c r="R1589">
        <v>1174066</v>
      </c>
    </row>
    <row r="1590" spans="1:18" x14ac:dyDescent="0.25">
      <c r="A1590" s="170">
        <v>44348</v>
      </c>
      <c r="B1590" s="116">
        <v>1751</v>
      </c>
      <c r="C1590" s="116">
        <v>1689.05</v>
      </c>
      <c r="D1590" s="116">
        <v>1653</v>
      </c>
      <c r="E1590" s="116">
        <v>1688</v>
      </c>
      <c r="F1590" s="116">
        <v>1689.05</v>
      </c>
      <c r="G1590">
        <v>39050</v>
      </c>
      <c r="H1590" s="116"/>
      <c r="I1590" s="116"/>
      <c r="L1590" s="170">
        <v>44348</v>
      </c>
      <c r="M1590" s="116">
        <v>1693.25</v>
      </c>
      <c r="N1590" s="116">
        <v>1754</v>
      </c>
      <c r="O1590" s="116">
        <v>1651</v>
      </c>
      <c r="P1590" s="116">
        <v>1685</v>
      </c>
      <c r="Q1590" s="116">
        <v>1693.25</v>
      </c>
      <c r="R1590">
        <v>717658</v>
      </c>
    </row>
    <row r="1591" spans="1:18" x14ac:dyDescent="0.25">
      <c r="A1591" s="170">
        <v>44349</v>
      </c>
      <c r="B1591" s="116">
        <v>1719.9</v>
      </c>
      <c r="C1591" s="116">
        <v>1702</v>
      </c>
      <c r="D1591" s="116">
        <v>1650</v>
      </c>
      <c r="E1591" s="116">
        <v>1708</v>
      </c>
      <c r="F1591" s="116">
        <v>1702</v>
      </c>
      <c r="G1591">
        <v>12034</v>
      </c>
      <c r="H1591" s="116"/>
      <c r="I1591" s="116"/>
      <c r="L1591" s="170">
        <v>44349</v>
      </c>
      <c r="M1591" s="116">
        <v>1700.55</v>
      </c>
      <c r="N1591" s="116">
        <v>1717</v>
      </c>
      <c r="O1591" s="116">
        <v>1668</v>
      </c>
      <c r="P1591" s="116">
        <v>1698</v>
      </c>
      <c r="Q1591" s="116">
        <v>1700.55</v>
      </c>
      <c r="R1591">
        <v>314707</v>
      </c>
    </row>
    <row r="1592" spans="1:18" x14ac:dyDescent="0.25">
      <c r="A1592" s="170">
        <v>44350</v>
      </c>
      <c r="B1592" s="116">
        <v>1730</v>
      </c>
      <c r="C1592" s="116">
        <v>1688.75</v>
      </c>
      <c r="D1592" s="116">
        <v>1678.05</v>
      </c>
      <c r="E1592" s="116">
        <v>1706.05</v>
      </c>
      <c r="F1592" s="116">
        <v>1688.75</v>
      </c>
      <c r="G1592">
        <v>18055</v>
      </c>
      <c r="H1592" s="116"/>
      <c r="I1592" s="116"/>
      <c r="L1592" s="170">
        <v>44350</v>
      </c>
      <c r="M1592" s="116">
        <v>1691.95</v>
      </c>
      <c r="N1592" s="116">
        <v>1717.45</v>
      </c>
      <c r="O1592" s="116">
        <v>1681</v>
      </c>
      <c r="P1592" s="116">
        <v>1711</v>
      </c>
      <c r="Q1592" s="116">
        <v>1691.95</v>
      </c>
      <c r="R1592">
        <v>146129</v>
      </c>
    </row>
    <row r="1593" spans="1:18" x14ac:dyDescent="0.25">
      <c r="A1593" s="170">
        <v>44351</v>
      </c>
      <c r="B1593" s="116">
        <v>1692.5</v>
      </c>
      <c r="C1593" s="116">
        <v>1650.35</v>
      </c>
      <c r="D1593" s="116">
        <v>1640</v>
      </c>
      <c r="E1593" s="116">
        <v>1691</v>
      </c>
      <c r="F1593" s="116">
        <v>1650.35</v>
      </c>
      <c r="G1593">
        <v>15091</v>
      </c>
      <c r="H1593" s="116"/>
      <c r="I1593" s="116"/>
      <c r="L1593" s="170">
        <v>44351</v>
      </c>
      <c r="M1593" s="116">
        <v>1650.5</v>
      </c>
      <c r="N1593" s="116">
        <v>1698.95</v>
      </c>
      <c r="O1593" s="116">
        <v>1640</v>
      </c>
      <c r="P1593" s="116">
        <v>1691.95</v>
      </c>
      <c r="Q1593" s="116">
        <v>1650.5</v>
      </c>
      <c r="R1593">
        <v>194307</v>
      </c>
    </row>
    <row r="1594" spans="1:18" x14ac:dyDescent="0.25">
      <c r="A1594" s="170">
        <v>44354</v>
      </c>
      <c r="B1594" s="116">
        <v>1697.65</v>
      </c>
      <c r="C1594" s="116">
        <v>1685.5</v>
      </c>
      <c r="D1594" s="116">
        <v>1636.3</v>
      </c>
      <c r="E1594" s="116">
        <v>1679.95</v>
      </c>
      <c r="F1594" s="116">
        <v>1685.5</v>
      </c>
      <c r="G1594">
        <v>104846</v>
      </c>
      <c r="H1594" s="116"/>
      <c r="I1594" s="116"/>
      <c r="L1594" s="170">
        <v>44354</v>
      </c>
      <c r="M1594" s="116">
        <v>1685.65</v>
      </c>
      <c r="N1594" s="116">
        <v>1698</v>
      </c>
      <c r="O1594" s="116">
        <v>1637</v>
      </c>
      <c r="P1594" s="116">
        <v>1659</v>
      </c>
      <c r="Q1594" s="116">
        <v>1685.65</v>
      </c>
      <c r="R1594">
        <v>269594</v>
      </c>
    </row>
    <row r="1595" spans="1:18" x14ac:dyDescent="0.25">
      <c r="A1595" s="170">
        <v>44355</v>
      </c>
      <c r="B1595" s="116">
        <v>1691.15</v>
      </c>
      <c r="C1595" s="116">
        <v>1680.4</v>
      </c>
      <c r="D1595" s="116">
        <v>1661.95</v>
      </c>
      <c r="E1595" s="116">
        <v>1685.5</v>
      </c>
      <c r="F1595" s="116">
        <v>1680.4</v>
      </c>
      <c r="G1595">
        <v>5077</v>
      </c>
      <c r="H1595" s="116"/>
      <c r="I1595" s="116"/>
      <c r="L1595" s="170">
        <v>44355</v>
      </c>
      <c r="M1595" s="116">
        <v>1680.25</v>
      </c>
      <c r="N1595" s="116">
        <v>1697.6</v>
      </c>
      <c r="O1595" s="116">
        <v>1661.1</v>
      </c>
      <c r="P1595" s="116">
        <v>1687.05</v>
      </c>
      <c r="Q1595" s="116">
        <v>1680.25</v>
      </c>
      <c r="R1595">
        <v>128082</v>
      </c>
    </row>
    <row r="1596" spans="1:18" x14ac:dyDescent="0.25">
      <c r="A1596" s="170">
        <v>44356</v>
      </c>
      <c r="B1596" s="116">
        <v>1720</v>
      </c>
      <c r="C1596" s="116">
        <v>1674.3</v>
      </c>
      <c r="D1596" s="116">
        <v>1665.9</v>
      </c>
      <c r="E1596" s="116">
        <v>1684.8</v>
      </c>
      <c r="F1596" s="116">
        <v>1674.3</v>
      </c>
      <c r="G1596">
        <v>23355</v>
      </c>
      <c r="H1596" s="116"/>
      <c r="I1596" s="116"/>
      <c r="L1596" s="170">
        <v>44356</v>
      </c>
      <c r="M1596" s="116">
        <v>1674.85</v>
      </c>
      <c r="N1596" s="116">
        <v>1721</v>
      </c>
      <c r="O1596" s="116">
        <v>1665</v>
      </c>
      <c r="P1596" s="116">
        <v>1692.15</v>
      </c>
      <c r="Q1596" s="116">
        <v>1674.85</v>
      </c>
      <c r="R1596">
        <v>224477</v>
      </c>
    </row>
    <row r="1597" spans="1:18" x14ac:dyDescent="0.25">
      <c r="A1597" s="170">
        <v>44357</v>
      </c>
      <c r="B1597" s="116">
        <v>1687.95</v>
      </c>
      <c r="C1597" s="116">
        <v>1670.4</v>
      </c>
      <c r="D1597" s="116">
        <v>1663</v>
      </c>
      <c r="E1597" s="116">
        <v>1666.25</v>
      </c>
      <c r="F1597" s="116">
        <v>1670.4</v>
      </c>
      <c r="G1597">
        <v>4837</v>
      </c>
      <c r="H1597" s="116"/>
      <c r="I1597" s="116"/>
      <c r="L1597" s="170">
        <v>44357</v>
      </c>
      <c r="M1597" s="116">
        <v>1671.35</v>
      </c>
      <c r="N1597" s="116">
        <v>1690</v>
      </c>
      <c r="O1597" s="116">
        <v>1660</v>
      </c>
      <c r="P1597" s="116">
        <v>1680</v>
      </c>
      <c r="Q1597" s="116">
        <v>1671.35</v>
      </c>
      <c r="R1597">
        <v>87950</v>
      </c>
    </row>
    <row r="1598" spans="1:18" x14ac:dyDescent="0.25">
      <c r="A1598" s="170">
        <v>44358</v>
      </c>
      <c r="B1598" s="116">
        <v>1731.45</v>
      </c>
      <c r="C1598" s="116">
        <v>1650.75</v>
      </c>
      <c r="D1598" s="116">
        <v>1646</v>
      </c>
      <c r="E1598" s="116">
        <v>1689.95</v>
      </c>
      <c r="F1598" s="116">
        <v>1650.75</v>
      </c>
      <c r="G1598">
        <v>8039</v>
      </c>
      <c r="H1598" s="116"/>
      <c r="I1598" s="116"/>
      <c r="L1598" s="170">
        <v>44358</v>
      </c>
      <c r="M1598" s="116">
        <v>1648.55</v>
      </c>
      <c r="N1598" s="116">
        <v>1750.05</v>
      </c>
      <c r="O1598" s="116">
        <v>1645</v>
      </c>
      <c r="P1598" s="116">
        <v>1684.1</v>
      </c>
      <c r="Q1598" s="116">
        <v>1648.55</v>
      </c>
      <c r="R1598">
        <v>124172</v>
      </c>
    </row>
    <row r="1599" spans="1:18" x14ac:dyDescent="0.25">
      <c r="A1599" s="170">
        <v>44361</v>
      </c>
      <c r="B1599" s="116">
        <v>1672.9</v>
      </c>
      <c r="C1599" s="116">
        <v>1658.95</v>
      </c>
      <c r="D1599" s="116">
        <v>1602</v>
      </c>
      <c r="E1599" s="116">
        <v>1650</v>
      </c>
      <c r="F1599" s="116">
        <v>1658.95</v>
      </c>
      <c r="G1599">
        <v>15663</v>
      </c>
      <c r="H1599" s="116"/>
      <c r="I1599" s="116"/>
      <c r="L1599" s="170">
        <v>44361</v>
      </c>
      <c r="M1599" s="116">
        <v>1660.6</v>
      </c>
      <c r="N1599" s="116">
        <v>1672.3</v>
      </c>
      <c r="O1599" s="116">
        <v>1601</v>
      </c>
      <c r="P1599" s="116">
        <v>1659</v>
      </c>
      <c r="Q1599" s="116">
        <v>1660.6</v>
      </c>
      <c r="R1599">
        <v>124292</v>
      </c>
    </row>
    <row r="1600" spans="1:18" x14ac:dyDescent="0.25">
      <c r="A1600" s="170">
        <v>44362</v>
      </c>
      <c r="B1600" s="116">
        <v>1697</v>
      </c>
      <c r="C1600" s="116">
        <v>1693.15</v>
      </c>
      <c r="D1600" s="116">
        <v>1662.65</v>
      </c>
      <c r="E1600" s="116">
        <v>1662.65</v>
      </c>
      <c r="F1600" s="116">
        <v>1693.15</v>
      </c>
      <c r="G1600">
        <v>4803</v>
      </c>
      <c r="H1600" s="116"/>
      <c r="I1600" s="116"/>
      <c r="L1600" s="170">
        <v>44362</v>
      </c>
      <c r="M1600" s="116">
        <v>1693.95</v>
      </c>
      <c r="N1600" s="116">
        <v>1698</v>
      </c>
      <c r="O1600" s="116">
        <v>1660.55</v>
      </c>
      <c r="P1600" s="116">
        <v>1660.6</v>
      </c>
      <c r="Q1600" s="116">
        <v>1693.95</v>
      </c>
      <c r="R1600">
        <v>103988</v>
      </c>
    </row>
    <row r="1601" spans="1:18" x14ac:dyDescent="0.25">
      <c r="A1601" s="170">
        <v>44363</v>
      </c>
      <c r="B1601" s="116">
        <v>1727</v>
      </c>
      <c r="C1601" s="116">
        <v>1717.45</v>
      </c>
      <c r="D1601" s="116">
        <v>1674.5</v>
      </c>
      <c r="E1601" s="116">
        <v>1700</v>
      </c>
      <c r="F1601" s="116">
        <v>1717.45</v>
      </c>
      <c r="G1601">
        <v>14538</v>
      </c>
      <c r="H1601" s="116"/>
      <c r="I1601" s="116"/>
      <c r="L1601" s="170">
        <v>44363</v>
      </c>
      <c r="M1601" s="116">
        <v>1720.3</v>
      </c>
      <c r="N1601" s="116">
        <v>1728</v>
      </c>
      <c r="O1601" s="116">
        <v>1673.75</v>
      </c>
      <c r="P1601" s="116">
        <v>1699</v>
      </c>
      <c r="Q1601" s="116">
        <v>1720.3</v>
      </c>
      <c r="R1601">
        <v>207324</v>
      </c>
    </row>
    <row r="1602" spans="1:18" x14ac:dyDescent="0.25">
      <c r="A1602" s="170">
        <v>44364</v>
      </c>
      <c r="B1602" s="116">
        <v>1775</v>
      </c>
      <c r="C1602" s="116">
        <v>1715.1</v>
      </c>
      <c r="D1602" s="116">
        <v>1694.1</v>
      </c>
      <c r="E1602" s="116">
        <v>1745</v>
      </c>
      <c r="F1602" s="116">
        <v>1715.1</v>
      </c>
      <c r="G1602">
        <v>29047</v>
      </c>
      <c r="H1602" s="116"/>
      <c r="I1602" s="116"/>
      <c r="L1602" s="170">
        <v>44364</v>
      </c>
      <c r="M1602" s="116">
        <v>1716.5</v>
      </c>
      <c r="N1602" s="116">
        <v>1776.7</v>
      </c>
      <c r="O1602" s="116">
        <v>1692.3</v>
      </c>
      <c r="P1602" s="116">
        <v>1725.25</v>
      </c>
      <c r="Q1602" s="116">
        <v>1716.5</v>
      </c>
      <c r="R1602">
        <v>416009</v>
      </c>
    </row>
    <row r="1603" spans="1:18" x14ac:dyDescent="0.25">
      <c r="A1603" s="170">
        <v>44365</v>
      </c>
      <c r="B1603" s="116">
        <v>1753</v>
      </c>
      <c r="C1603" s="116">
        <v>1740.8</v>
      </c>
      <c r="D1603" s="116">
        <v>1658.85</v>
      </c>
      <c r="E1603" s="116">
        <v>1729.9</v>
      </c>
      <c r="F1603" s="116">
        <v>1740.8</v>
      </c>
      <c r="G1603">
        <v>10697</v>
      </c>
      <c r="H1603" s="116"/>
      <c r="I1603" s="116"/>
      <c r="L1603" s="170">
        <v>44365</v>
      </c>
      <c r="M1603" s="116">
        <v>1743.45</v>
      </c>
      <c r="N1603" s="116">
        <v>1753</v>
      </c>
      <c r="O1603" s="116">
        <v>1656.95</v>
      </c>
      <c r="P1603" s="116">
        <v>1730</v>
      </c>
      <c r="Q1603" s="116">
        <v>1743.45</v>
      </c>
      <c r="R1603">
        <v>128040</v>
      </c>
    </row>
    <row r="1604" spans="1:18" x14ac:dyDescent="0.25">
      <c r="A1604" s="170">
        <v>44368</v>
      </c>
      <c r="B1604" s="116">
        <v>1735.95</v>
      </c>
      <c r="C1604" s="116">
        <v>1717.35</v>
      </c>
      <c r="D1604" s="116">
        <v>1700.1</v>
      </c>
      <c r="E1604" s="116">
        <v>1702.35</v>
      </c>
      <c r="F1604" s="116">
        <v>1717.35</v>
      </c>
      <c r="G1604">
        <v>7617</v>
      </c>
      <c r="H1604" s="116"/>
      <c r="I1604" s="116"/>
      <c r="L1604" s="170">
        <v>44368</v>
      </c>
      <c r="M1604" s="116">
        <v>1719.4</v>
      </c>
      <c r="N1604" s="116">
        <v>1738</v>
      </c>
      <c r="O1604" s="116">
        <v>1695.05</v>
      </c>
      <c r="P1604" s="116">
        <v>1700</v>
      </c>
      <c r="Q1604" s="116">
        <v>1719.4</v>
      </c>
      <c r="R1604">
        <v>152232</v>
      </c>
    </row>
    <row r="1605" spans="1:18" x14ac:dyDescent="0.25">
      <c r="A1605" s="170">
        <v>44369</v>
      </c>
      <c r="B1605" s="116">
        <v>1764.2</v>
      </c>
      <c r="C1605" s="116">
        <v>1739.8</v>
      </c>
      <c r="D1605" s="116">
        <v>1726.05</v>
      </c>
      <c r="E1605" s="116">
        <v>1726.05</v>
      </c>
      <c r="F1605" s="116">
        <v>1739.8</v>
      </c>
      <c r="G1605">
        <v>4969</v>
      </c>
      <c r="H1605" s="116"/>
      <c r="I1605" s="116"/>
      <c r="L1605" s="170">
        <v>44369</v>
      </c>
      <c r="M1605" s="116">
        <v>1739.25</v>
      </c>
      <c r="N1605" s="116">
        <v>1767.65</v>
      </c>
      <c r="O1605" s="116">
        <v>1728</v>
      </c>
      <c r="P1605" s="116">
        <v>1728</v>
      </c>
      <c r="Q1605" s="116">
        <v>1739.25</v>
      </c>
      <c r="R1605">
        <v>125176</v>
      </c>
    </row>
    <row r="1606" spans="1:18" x14ac:dyDescent="0.25">
      <c r="A1606" s="170">
        <v>44370</v>
      </c>
      <c r="B1606" s="116">
        <v>1850</v>
      </c>
      <c r="C1606" s="116">
        <v>1810.75</v>
      </c>
      <c r="D1606" s="116">
        <v>1736.85</v>
      </c>
      <c r="E1606" s="116">
        <v>1764.5</v>
      </c>
      <c r="F1606" s="116">
        <v>1810.75</v>
      </c>
      <c r="G1606">
        <v>62282</v>
      </c>
      <c r="H1606" s="116"/>
      <c r="I1606" s="116"/>
      <c r="L1606" s="170">
        <v>44370</v>
      </c>
      <c r="M1606" s="116">
        <v>1806.55</v>
      </c>
      <c r="N1606" s="116">
        <v>1851.1</v>
      </c>
      <c r="O1606" s="116">
        <v>1738.25</v>
      </c>
      <c r="P1606" s="116">
        <v>1752</v>
      </c>
      <c r="Q1606" s="116">
        <v>1806.55</v>
      </c>
      <c r="R1606">
        <v>747874</v>
      </c>
    </row>
    <row r="1607" spans="1:18" x14ac:dyDescent="0.25">
      <c r="A1607" s="170">
        <v>44371</v>
      </c>
      <c r="B1607" s="116">
        <v>1831.8</v>
      </c>
      <c r="C1607" s="116">
        <v>1809.45</v>
      </c>
      <c r="D1607" s="116">
        <v>1798.75</v>
      </c>
      <c r="E1607" s="116">
        <v>1816</v>
      </c>
      <c r="F1607" s="116">
        <v>1809.45</v>
      </c>
      <c r="G1607">
        <v>14045</v>
      </c>
      <c r="H1607" s="116"/>
      <c r="I1607" s="116"/>
      <c r="L1607" s="170">
        <v>44371</v>
      </c>
      <c r="M1607" s="116">
        <v>1809.45</v>
      </c>
      <c r="N1607" s="116">
        <v>1830</v>
      </c>
      <c r="O1607" s="116">
        <v>1800</v>
      </c>
      <c r="P1607" s="116">
        <v>1828</v>
      </c>
      <c r="Q1607" s="116">
        <v>1809.45</v>
      </c>
      <c r="R1607">
        <v>180859</v>
      </c>
    </row>
    <row r="1608" spans="1:18" x14ac:dyDescent="0.25">
      <c r="A1608" s="170">
        <v>44372</v>
      </c>
      <c r="B1608" s="116">
        <v>1839.6</v>
      </c>
      <c r="C1608" s="116">
        <v>1824.3</v>
      </c>
      <c r="D1608" s="116">
        <v>1795.15</v>
      </c>
      <c r="E1608" s="116">
        <v>1816.25</v>
      </c>
      <c r="F1608" s="116">
        <v>1824.3</v>
      </c>
      <c r="G1608">
        <v>6142</v>
      </c>
      <c r="H1608" s="116"/>
      <c r="I1608" s="116"/>
      <c r="L1608" s="170">
        <v>44372</v>
      </c>
      <c r="M1608" s="116">
        <v>1824.05</v>
      </c>
      <c r="N1608" s="116">
        <v>1839.9</v>
      </c>
      <c r="O1608" s="116">
        <v>1794.05</v>
      </c>
      <c r="P1608" s="116">
        <v>1823.6</v>
      </c>
      <c r="Q1608" s="116">
        <v>1824.05</v>
      </c>
      <c r="R1608">
        <v>448519</v>
      </c>
    </row>
    <row r="1609" spans="1:18" x14ac:dyDescent="0.25">
      <c r="A1609" s="170">
        <v>44375</v>
      </c>
      <c r="B1609" s="116">
        <v>1856.1</v>
      </c>
      <c r="C1609" s="116">
        <v>1809.8</v>
      </c>
      <c r="D1609" s="116">
        <v>1777.2</v>
      </c>
      <c r="E1609" s="116">
        <v>1826</v>
      </c>
      <c r="F1609" s="116">
        <v>1809.8</v>
      </c>
      <c r="G1609">
        <v>17954</v>
      </c>
      <c r="H1609" s="116"/>
      <c r="I1609" s="116"/>
      <c r="L1609" s="170">
        <v>44375</v>
      </c>
      <c r="M1609" s="116">
        <v>1809.8</v>
      </c>
      <c r="N1609" s="116">
        <v>1857</v>
      </c>
      <c r="O1609" s="116">
        <v>1792.15</v>
      </c>
      <c r="P1609" s="116">
        <v>1839.05</v>
      </c>
      <c r="Q1609" s="116">
        <v>1809.8</v>
      </c>
      <c r="R1609">
        <v>142851</v>
      </c>
    </row>
    <row r="1610" spans="1:18" x14ac:dyDescent="0.25">
      <c r="A1610" s="170">
        <v>44376</v>
      </c>
      <c r="B1610" s="116">
        <v>1815.6</v>
      </c>
      <c r="C1610" s="116">
        <v>1788.75</v>
      </c>
      <c r="D1610" s="116">
        <v>1772.85</v>
      </c>
      <c r="E1610" s="116">
        <v>1810</v>
      </c>
      <c r="F1610" s="116">
        <v>1788.75</v>
      </c>
      <c r="G1610">
        <v>5557</v>
      </c>
      <c r="H1610" s="116"/>
      <c r="I1610" s="116"/>
      <c r="L1610" s="170">
        <v>44376</v>
      </c>
      <c r="M1610" s="116">
        <v>1788.85</v>
      </c>
      <c r="N1610" s="116">
        <v>1815.5</v>
      </c>
      <c r="O1610" s="116">
        <v>1771</v>
      </c>
      <c r="P1610" s="116">
        <v>1804.95</v>
      </c>
      <c r="Q1610" s="116">
        <v>1788.85</v>
      </c>
      <c r="R1610">
        <v>84656</v>
      </c>
    </row>
    <row r="1611" spans="1:18" x14ac:dyDescent="0.25">
      <c r="A1611" s="170">
        <v>44377</v>
      </c>
      <c r="B1611" s="116">
        <v>1854.95</v>
      </c>
      <c r="C1611" s="116">
        <v>1806.05</v>
      </c>
      <c r="D1611" s="116">
        <v>1802.55</v>
      </c>
      <c r="E1611" s="116">
        <v>1803.6</v>
      </c>
      <c r="F1611" s="116">
        <v>1806.05</v>
      </c>
      <c r="G1611">
        <v>18434</v>
      </c>
      <c r="H1611" s="116"/>
      <c r="I1611" s="116"/>
      <c r="L1611" s="170">
        <v>44377</v>
      </c>
      <c r="M1611" s="116">
        <v>1808.2</v>
      </c>
      <c r="N1611" s="116">
        <v>1857</v>
      </c>
      <c r="O1611" s="116">
        <v>1801</v>
      </c>
      <c r="P1611" s="116">
        <v>1801</v>
      </c>
      <c r="Q1611" s="116">
        <v>1808.2</v>
      </c>
      <c r="R1611">
        <v>248720</v>
      </c>
    </row>
    <row r="1612" spans="1:18" x14ac:dyDescent="0.25">
      <c r="A1612" s="170">
        <v>44378</v>
      </c>
      <c r="B1612" s="116">
        <v>1826.1</v>
      </c>
      <c r="C1612" s="116">
        <v>1792.05</v>
      </c>
      <c r="D1612" s="116">
        <v>1780.05</v>
      </c>
      <c r="E1612" s="116">
        <v>1819.65</v>
      </c>
      <c r="F1612" s="116">
        <v>1792.05</v>
      </c>
      <c r="G1612">
        <v>8965</v>
      </c>
      <c r="H1612" s="116"/>
      <c r="I1612" s="116"/>
      <c r="L1612" s="170">
        <v>44378</v>
      </c>
      <c r="M1612" s="116">
        <v>1793.7</v>
      </c>
      <c r="N1612" s="116">
        <v>1826.95</v>
      </c>
      <c r="O1612" s="116">
        <v>1778.8</v>
      </c>
      <c r="P1612" s="116">
        <v>1816</v>
      </c>
      <c r="Q1612" s="116">
        <v>1793.7</v>
      </c>
      <c r="R1612">
        <v>69271</v>
      </c>
    </row>
    <row r="1613" spans="1:18" x14ac:dyDescent="0.25">
      <c r="A1613" s="170">
        <v>44379</v>
      </c>
      <c r="B1613" s="116">
        <v>1800.45</v>
      </c>
      <c r="C1613" s="116">
        <v>1785.45</v>
      </c>
      <c r="D1613" s="116">
        <v>1767.85</v>
      </c>
      <c r="E1613" s="116">
        <v>1796.4</v>
      </c>
      <c r="F1613" s="116">
        <v>1785.45</v>
      </c>
      <c r="G1613">
        <v>14277</v>
      </c>
      <c r="H1613" s="116"/>
      <c r="I1613" s="116"/>
      <c r="L1613" s="170">
        <v>44379</v>
      </c>
      <c r="M1613" s="116">
        <v>1787.15</v>
      </c>
      <c r="N1613" s="116">
        <v>1830</v>
      </c>
      <c r="O1613" s="116">
        <v>1766.65</v>
      </c>
      <c r="P1613" s="116">
        <v>1810</v>
      </c>
      <c r="Q1613" s="116">
        <v>1787.15</v>
      </c>
      <c r="R1613">
        <v>92544</v>
      </c>
    </row>
    <row r="1614" spans="1:18" x14ac:dyDescent="0.25">
      <c r="A1614" s="170">
        <v>44382</v>
      </c>
      <c r="B1614" s="116">
        <v>1804</v>
      </c>
      <c r="C1614" s="116">
        <v>1774</v>
      </c>
      <c r="D1614" s="116">
        <v>1762.9</v>
      </c>
      <c r="E1614" s="116">
        <v>1804</v>
      </c>
      <c r="F1614" s="116">
        <v>1774</v>
      </c>
      <c r="G1614">
        <v>6674</v>
      </c>
      <c r="H1614" s="116"/>
      <c r="I1614" s="116"/>
      <c r="L1614" s="170">
        <v>44382</v>
      </c>
      <c r="M1614" s="116">
        <v>1773.75</v>
      </c>
      <c r="N1614" s="116">
        <v>1801</v>
      </c>
      <c r="O1614" s="116">
        <v>1761</v>
      </c>
      <c r="P1614" s="116">
        <v>1794.9</v>
      </c>
      <c r="Q1614" s="116">
        <v>1773.75</v>
      </c>
      <c r="R1614">
        <v>99623</v>
      </c>
    </row>
    <row r="1615" spans="1:18" x14ac:dyDescent="0.25">
      <c r="A1615" s="170">
        <v>44383</v>
      </c>
      <c r="B1615" s="116">
        <v>1783.5</v>
      </c>
      <c r="C1615" s="116">
        <v>1755.6</v>
      </c>
      <c r="D1615" s="116">
        <v>1750.15</v>
      </c>
      <c r="E1615" s="116">
        <v>1763.05</v>
      </c>
      <c r="F1615" s="116">
        <v>1755.6</v>
      </c>
      <c r="G1615">
        <v>7109</v>
      </c>
      <c r="H1615" s="116"/>
      <c r="I1615" s="116"/>
      <c r="L1615" s="170">
        <v>44383</v>
      </c>
      <c r="M1615" s="116">
        <v>1757.75</v>
      </c>
      <c r="N1615" s="116">
        <v>1784.25</v>
      </c>
      <c r="O1615" s="116">
        <v>1746.05</v>
      </c>
      <c r="P1615" s="116">
        <v>1771.05</v>
      </c>
      <c r="Q1615" s="116">
        <v>1757.75</v>
      </c>
      <c r="R1615">
        <v>76698</v>
      </c>
    </row>
    <row r="1616" spans="1:18" x14ac:dyDescent="0.25">
      <c r="A1616" s="170">
        <v>44384</v>
      </c>
      <c r="B1616" s="116">
        <v>1755.3</v>
      </c>
      <c r="C1616" s="116">
        <v>1745.25</v>
      </c>
      <c r="D1616" s="116">
        <v>1733.6</v>
      </c>
      <c r="E1616" s="116">
        <v>1755.3</v>
      </c>
      <c r="F1616" s="116">
        <v>1745.25</v>
      </c>
      <c r="G1616">
        <v>3562</v>
      </c>
      <c r="H1616" s="116"/>
      <c r="I1616" s="116"/>
      <c r="L1616" s="170">
        <v>44384</v>
      </c>
      <c r="M1616" s="116">
        <v>1742.1</v>
      </c>
      <c r="N1616" s="116">
        <v>1757.7</v>
      </c>
      <c r="O1616" s="116">
        <v>1730.2</v>
      </c>
      <c r="P1616" s="116">
        <v>1753</v>
      </c>
      <c r="Q1616" s="116">
        <v>1742.1</v>
      </c>
      <c r="R1616">
        <v>69427</v>
      </c>
    </row>
    <row r="1617" spans="1:18" x14ac:dyDescent="0.25">
      <c r="A1617" s="170">
        <v>44385</v>
      </c>
      <c r="B1617" s="116">
        <v>1751.05</v>
      </c>
      <c r="C1617" s="116">
        <v>1703.2</v>
      </c>
      <c r="D1617" s="116">
        <v>1696.2</v>
      </c>
      <c r="E1617" s="116">
        <v>1740</v>
      </c>
      <c r="F1617" s="116">
        <v>1703.2</v>
      </c>
      <c r="G1617">
        <v>12148</v>
      </c>
      <c r="H1617" s="116"/>
      <c r="I1617" s="116"/>
      <c r="L1617" s="170">
        <v>44385</v>
      </c>
      <c r="M1617" s="116">
        <v>1703.25</v>
      </c>
      <c r="N1617" s="116">
        <v>1750.5</v>
      </c>
      <c r="O1617" s="116">
        <v>1695.1</v>
      </c>
      <c r="P1617" s="116">
        <v>1742.1</v>
      </c>
      <c r="Q1617" s="116">
        <v>1703.25</v>
      </c>
      <c r="R1617">
        <v>127100</v>
      </c>
    </row>
    <row r="1618" spans="1:18" x14ac:dyDescent="0.25">
      <c r="A1618" s="170">
        <v>44386</v>
      </c>
      <c r="B1618" s="116">
        <v>1734.85</v>
      </c>
      <c r="C1618" s="116">
        <v>1713.75</v>
      </c>
      <c r="D1618" s="116">
        <v>1683</v>
      </c>
      <c r="E1618" s="116">
        <v>1703.2</v>
      </c>
      <c r="F1618" s="116">
        <v>1713.75</v>
      </c>
      <c r="G1618">
        <v>7914</v>
      </c>
      <c r="H1618" s="116"/>
      <c r="I1618" s="116"/>
      <c r="L1618" s="170">
        <v>44386</v>
      </c>
      <c r="M1618" s="116">
        <v>1713.45</v>
      </c>
      <c r="N1618" s="116">
        <v>1725</v>
      </c>
      <c r="O1618" s="116">
        <v>1683.5</v>
      </c>
      <c r="P1618" s="116">
        <v>1711.2</v>
      </c>
      <c r="Q1618" s="116">
        <v>1713.45</v>
      </c>
      <c r="R1618">
        <v>163245</v>
      </c>
    </row>
    <row r="1619" spans="1:18" x14ac:dyDescent="0.25">
      <c r="A1619" s="170">
        <v>44389</v>
      </c>
      <c r="B1619" s="116">
        <v>1736</v>
      </c>
      <c r="C1619" s="116">
        <v>1725.45</v>
      </c>
      <c r="D1619" s="116">
        <v>1702</v>
      </c>
      <c r="E1619" s="116">
        <v>1719.3</v>
      </c>
      <c r="F1619" s="116">
        <v>1725.45</v>
      </c>
      <c r="G1619">
        <v>11637</v>
      </c>
      <c r="H1619" s="116"/>
      <c r="I1619" s="116"/>
      <c r="L1619" s="170">
        <v>44389</v>
      </c>
      <c r="M1619" s="116">
        <v>1725.95</v>
      </c>
      <c r="N1619" s="116">
        <v>1736</v>
      </c>
      <c r="O1619" s="116">
        <v>1701.45</v>
      </c>
      <c r="P1619" s="116">
        <v>1718.45</v>
      </c>
      <c r="Q1619" s="116">
        <v>1725.95</v>
      </c>
      <c r="R1619">
        <v>468250</v>
      </c>
    </row>
    <row r="1620" spans="1:18" x14ac:dyDescent="0.25">
      <c r="A1620" s="170">
        <v>44390</v>
      </c>
      <c r="B1620" s="116">
        <v>1803.95</v>
      </c>
      <c r="C1620" s="116">
        <v>1785.4</v>
      </c>
      <c r="D1620" s="116">
        <v>1716.6</v>
      </c>
      <c r="E1620" s="116">
        <v>1731.55</v>
      </c>
      <c r="F1620" s="116">
        <v>1785.4</v>
      </c>
      <c r="G1620">
        <v>10303</v>
      </c>
      <c r="H1620" s="116"/>
      <c r="I1620" s="116"/>
      <c r="L1620" s="170">
        <v>44390</v>
      </c>
      <c r="M1620" s="116">
        <v>1787.05</v>
      </c>
      <c r="N1620" s="116">
        <v>1804</v>
      </c>
      <c r="O1620" s="116">
        <v>1715.55</v>
      </c>
      <c r="P1620" s="116">
        <v>1730</v>
      </c>
      <c r="Q1620" s="116">
        <v>1787.05</v>
      </c>
      <c r="R1620">
        <v>235129</v>
      </c>
    </row>
    <row r="1621" spans="1:18" x14ac:dyDescent="0.25">
      <c r="A1621" s="170">
        <v>44391</v>
      </c>
      <c r="B1621" s="116">
        <v>1840.15</v>
      </c>
      <c r="C1621" s="116">
        <v>1806.35</v>
      </c>
      <c r="D1621" s="116">
        <v>1786.5</v>
      </c>
      <c r="E1621" s="116">
        <v>1798.9</v>
      </c>
      <c r="F1621" s="116">
        <v>1806.35</v>
      </c>
      <c r="G1621">
        <v>10061</v>
      </c>
      <c r="H1621" s="116"/>
      <c r="I1621" s="116"/>
      <c r="L1621" s="170">
        <v>44391</v>
      </c>
      <c r="M1621" s="116">
        <v>1805.5</v>
      </c>
      <c r="N1621" s="116">
        <v>1840</v>
      </c>
      <c r="O1621" s="116">
        <v>1785.55</v>
      </c>
      <c r="P1621" s="116">
        <v>1804</v>
      </c>
      <c r="Q1621" s="116">
        <v>1805.5</v>
      </c>
      <c r="R1621">
        <v>155095</v>
      </c>
    </row>
    <row r="1622" spans="1:18" x14ac:dyDescent="0.25">
      <c r="A1622" s="170">
        <v>44392</v>
      </c>
      <c r="B1622" s="116">
        <v>1816.4</v>
      </c>
      <c r="C1622" s="116">
        <v>1779.1</v>
      </c>
      <c r="D1622" s="116">
        <v>1770</v>
      </c>
      <c r="E1622" s="116">
        <v>1800</v>
      </c>
      <c r="F1622" s="116">
        <v>1779.1</v>
      </c>
      <c r="G1622">
        <v>8144</v>
      </c>
      <c r="H1622" s="116"/>
      <c r="I1622" s="116"/>
      <c r="L1622" s="170">
        <v>44392</v>
      </c>
      <c r="M1622" s="116">
        <v>1779.05</v>
      </c>
      <c r="N1622" s="116">
        <v>1818.5</v>
      </c>
      <c r="O1622" s="116">
        <v>1770</v>
      </c>
      <c r="P1622" s="116">
        <v>1806.5</v>
      </c>
      <c r="Q1622" s="116">
        <v>1779.05</v>
      </c>
      <c r="R1622">
        <v>87502</v>
      </c>
    </row>
    <row r="1623" spans="1:18" x14ac:dyDescent="0.25">
      <c r="A1623" s="170">
        <v>44393</v>
      </c>
      <c r="B1623" s="116">
        <v>1784.2</v>
      </c>
      <c r="C1623" s="116">
        <v>1762.8</v>
      </c>
      <c r="D1623" s="116">
        <v>1754.35</v>
      </c>
      <c r="E1623" s="116">
        <v>1779.1</v>
      </c>
      <c r="F1623" s="116">
        <v>1762.8</v>
      </c>
      <c r="G1623">
        <v>6664</v>
      </c>
      <c r="H1623" s="116"/>
      <c r="I1623" s="116"/>
      <c r="L1623" s="170">
        <v>44393</v>
      </c>
      <c r="M1623" s="116">
        <v>1763.2</v>
      </c>
      <c r="N1623" s="116">
        <v>1784</v>
      </c>
      <c r="O1623" s="116">
        <v>1751.45</v>
      </c>
      <c r="P1623" s="116">
        <v>1779</v>
      </c>
      <c r="Q1623" s="116">
        <v>1763.2</v>
      </c>
      <c r="R1623">
        <v>107459</v>
      </c>
    </row>
    <row r="1624" spans="1:18" x14ac:dyDescent="0.25">
      <c r="A1624" s="170">
        <v>44396</v>
      </c>
      <c r="B1624" s="116">
        <v>1775.65</v>
      </c>
      <c r="C1624" s="116">
        <v>1739.75</v>
      </c>
      <c r="D1624" s="116">
        <v>1732</v>
      </c>
      <c r="E1624" s="116">
        <v>1775.65</v>
      </c>
      <c r="F1624" s="116">
        <v>1739.75</v>
      </c>
      <c r="G1624">
        <v>4016</v>
      </c>
      <c r="H1624" s="116"/>
      <c r="I1624" s="116"/>
      <c r="L1624" s="170">
        <v>44396</v>
      </c>
      <c r="M1624" s="116">
        <v>1738.8</v>
      </c>
      <c r="N1624" s="116">
        <v>1777.9</v>
      </c>
      <c r="O1624" s="116">
        <v>1731.15</v>
      </c>
      <c r="P1624" s="116">
        <v>1772.5</v>
      </c>
      <c r="Q1624" s="116">
        <v>1738.8</v>
      </c>
      <c r="R1624">
        <v>103293</v>
      </c>
    </row>
    <row r="1625" spans="1:18" x14ac:dyDescent="0.25">
      <c r="A1625" s="170">
        <v>44397</v>
      </c>
      <c r="B1625" s="116">
        <v>1749</v>
      </c>
      <c r="C1625" s="116">
        <v>1716.5</v>
      </c>
      <c r="D1625" s="116">
        <v>1710</v>
      </c>
      <c r="E1625" s="116">
        <v>1749</v>
      </c>
      <c r="F1625" s="116">
        <v>1716.5</v>
      </c>
      <c r="G1625">
        <v>6776</v>
      </c>
      <c r="H1625" s="116"/>
      <c r="I1625" s="116"/>
      <c r="L1625" s="170">
        <v>44397</v>
      </c>
      <c r="M1625" s="116">
        <v>1719</v>
      </c>
      <c r="N1625" s="116">
        <v>1743.85</v>
      </c>
      <c r="O1625" s="116">
        <v>1710</v>
      </c>
      <c r="P1625" s="116">
        <v>1739.25</v>
      </c>
      <c r="Q1625" s="116">
        <v>1719</v>
      </c>
      <c r="R1625">
        <v>111360</v>
      </c>
    </row>
    <row r="1626" spans="1:18" x14ac:dyDescent="0.25">
      <c r="A1626" s="170">
        <v>44399</v>
      </c>
      <c r="B1626" s="116">
        <v>1749</v>
      </c>
      <c r="C1626" s="116">
        <v>1712.8</v>
      </c>
      <c r="D1626" s="116">
        <v>1702</v>
      </c>
      <c r="E1626" s="116">
        <v>1749</v>
      </c>
      <c r="F1626" s="116">
        <v>1712.8</v>
      </c>
      <c r="G1626">
        <v>11881</v>
      </c>
      <c r="H1626" s="116"/>
      <c r="I1626" s="116"/>
      <c r="L1626" s="170">
        <v>44399</v>
      </c>
      <c r="M1626" s="116">
        <v>1711.1</v>
      </c>
      <c r="N1626" s="116">
        <v>1735</v>
      </c>
      <c r="O1626" s="116">
        <v>1702.25</v>
      </c>
      <c r="P1626" s="116">
        <v>1726.45</v>
      </c>
      <c r="Q1626" s="116">
        <v>1711.1</v>
      </c>
      <c r="R1626">
        <v>131419</v>
      </c>
    </row>
    <row r="1627" spans="1:18" x14ac:dyDescent="0.25">
      <c r="A1627" s="170">
        <v>44400</v>
      </c>
      <c r="B1627" s="116">
        <v>1716.2</v>
      </c>
      <c r="C1627" s="116">
        <v>1696.35</v>
      </c>
      <c r="D1627" s="116">
        <v>1691.65</v>
      </c>
      <c r="E1627" s="116">
        <v>1712.85</v>
      </c>
      <c r="F1627" s="116">
        <v>1696.35</v>
      </c>
      <c r="G1627">
        <v>5818</v>
      </c>
      <c r="H1627" s="116"/>
      <c r="I1627" s="116"/>
      <c r="L1627" s="170">
        <v>44400</v>
      </c>
      <c r="M1627" s="116">
        <v>1695.8</v>
      </c>
      <c r="N1627" s="116">
        <v>1716.9</v>
      </c>
      <c r="O1627" s="116">
        <v>1691.1</v>
      </c>
      <c r="P1627" s="116">
        <v>1716.9</v>
      </c>
      <c r="Q1627" s="116">
        <v>1695.8</v>
      </c>
      <c r="R1627">
        <v>42756</v>
      </c>
    </row>
    <row r="1628" spans="1:18" x14ac:dyDescent="0.25">
      <c r="A1628" s="170">
        <v>44403</v>
      </c>
      <c r="B1628" s="116">
        <v>1723.4</v>
      </c>
      <c r="C1628" s="116">
        <v>1712.25</v>
      </c>
      <c r="D1628" s="116">
        <v>1678</v>
      </c>
      <c r="E1628" s="116">
        <v>1678</v>
      </c>
      <c r="F1628" s="116">
        <v>1712.25</v>
      </c>
      <c r="G1628">
        <v>5183</v>
      </c>
      <c r="H1628" s="116"/>
      <c r="I1628" s="116"/>
      <c r="L1628" s="170">
        <v>44403</v>
      </c>
      <c r="M1628" s="116">
        <v>1712.3</v>
      </c>
      <c r="N1628" s="116">
        <v>1726.15</v>
      </c>
      <c r="O1628" s="116">
        <v>1678.15</v>
      </c>
      <c r="P1628" s="116">
        <v>1688</v>
      </c>
      <c r="Q1628" s="116">
        <v>1712.3</v>
      </c>
      <c r="R1628">
        <v>69698</v>
      </c>
    </row>
    <row r="1629" spans="1:18" x14ac:dyDescent="0.25">
      <c r="A1629" s="170">
        <v>44404</v>
      </c>
      <c r="B1629" s="116">
        <v>1780</v>
      </c>
      <c r="C1629" s="116">
        <v>1670.55</v>
      </c>
      <c r="D1629" s="116">
        <v>1626.05</v>
      </c>
      <c r="E1629" s="116">
        <v>1720</v>
      </c>
      <c r="F1629" s="116">
        <v>1670.55</v>
      </c>
      <c r="G1629">
        <v>12940</v>
      </c>
      <c r="H1629" s="116"/>
      <c r="I1629" s="116"/>
      <c r="L1629" s="170">
        <v>44404</v>
      </c>
      <c r="M1629" s="116">
        <v>1669.15</v>
      </c>
      <c r="N1629" s="116">
        <v>1780.3</v>
      </c>
      <c r="O1629" s="116">
        <v>1624.05</v>
      </c>
      <c r="P1629" s="116">
        <v>1727.2</v>
      </c>
      <c r="Q1629" s="116">
        <v>1669.15</v>
      </c>
      <c r="R1629">
        <v>240727</v>
      </c>
    </row>
    <row r="1630" spans="1:18" x14ac:dyDescent="0.25">
      <c r="A1630" s="170">
        <v>44405</v>
      </c>
      <c r="B1630" s="116">
        <v>1706.3</v>
      </c>
      <c r="C1630" s="116">
        <v>1696.25</v>
      </c>
      <c r="D1630" s="116">
        <v>1653.05</v>
      </c>
      <c r="E1630" s="116">
        <v>1672.2</v>
      </c>
      <c r="F1630" s="116">
        <v>1696.25</v>
      </c>
      <c r="G1630">
        <v>14632</v>
      </c>
      <c r="H1630" s="116"/>
      <c r="I1630" s="116"/>
      <c r="L1630" s="170">
        <v>44405</v>
      </c>
      <c r="M1630" s="116">
        <v>1699.05</v>
      </c>
      <c r="N1630" s="116">
        <v>1708.5</v>
      </c>
      <c r="O1630" s="116">
        <v>1653.75</v>
      </c>
      <c r="P1630" s="116">
        <v>1675.15</v>
      </c>
      <c r="Q1630" s="116">
        <v>1699.05</v>
      </c>
      <c r="R1630">
        <v>107633</v>
      </c>
    </row>
    <row r="1631" spans="1:18" x14ac:dyDescent="0.25">
      <c r="A1631" s="170">
        <v>44406</v>
      </c>
      <c r="B1631" s="116">
        <v>1708</v>
      </c>
      <c r="C1631" s="116">
        <v>1683.8</v>
      </c>
      <c r="D1631" s="116">
        <v>1671.45</v>
      </c>
      <c r="E1631" s="116">
        <v>1708</v>
      </c>
      <c r="F1631" s="116">
        <v>1683.8</v>
      </c>
      <c r="G1631">
        <v>4059</v>
      </c>
      <c r="H1631" s="116"/>
      <c r="I1631" s="116"/>
      <c r="L1631" s="170">
        <v>44406</v>
      </c>
      <c r="M1631" s="116">
        <v>1686.5</v>
      </c>
      <c r="N1631" s="116">
        <v>1707</v>
      </c>
      <c r="O1631" s="116">
        <v>1670.25</v>
      </c>
      <c r="P1631" s="116">
        <v>1706</v>
      </c>
      <c r="Q1631" s="116">
        <v>1686.5</v>
      </c>
      <c r="R1631">
        <v>103286</v>
      </c>
    </row>
    <row r="1632" spans="1:18" x14ac:dyDescent="0.25">
      <c r="A1632" s="170">
        <v>44407</v>
      </c>
      <c r="B1632" s="116">
        <v>1723</v>
      </c>
      <c r="C1632" s="116">
        <v>1699.35</v>
      </c>
      <c r="D1632" s="116">
        <v>1687.65</v>
      </c>
      <c r="E1632" s="116">
        <v>1689.95</v>
      </c>
      <c r="F1632" s="116">
        <v>1699.35</v>
      </c>
      <c r="G1632">
        <v>3059</v>
      </c>
      <c r="H1632" s="116"/>
      <c r="I1632" s="116"/>
      <c r="L1632" s="170">
        <v>44407</v>
      </c>
      <c r="M1632" s="116">
        <v>1699.15</v>
      </c>
      <c r="N1632" s="116">
        <v>1725</v>
      </c>
      <c r="O1632" s="116">
        <v>1682.75</v>
      </c>
      <c r="P1632" s="116">
        <v>1694.9</v>
      </c>
      <c r="Q1632" s="116">
        <v>1699.15</v>
      </c>
      <c r="R1632">
        <v>85831</v>
      </c>
    </row>
    <row r="1633" spans="1:18" x14ac:dyDescent="0.25">
      <c r="A1633" s="170">
        <v>44410</v>
      </c>
      <c r="B1633" s="116">
        <v>1730.85</v>
      </c>
      <c r="C1633" s="116">
        <v>1681.7</v>
      </c>
      <c r="D1633" s="116">
        <v>1661.35</v>
      </c>
      <c r="E1633" s="116">
        <v>1692.5</v>
      </c>
      <c r="F1633" s="116">
        <v>1681.7</v>
      </c>
      <c r="G1633">
        <v>11789</v>
      </c>
      <c r="H1633" s="116"/>
      <c r="I1633" s="116"/>
      <c r="L1633" s="170">
        <v>44410</v>
      </c>
      <c r="M1633" s="116">
        <v>1683.45</v>
      </c>
      <c r="N1633" s="116">
        <v>1734.65</v>
      </c>
      <c r="O1633" s="116">
        <v>1661.4</v>
      </c>
      <c r="P1633" s="116">
        <v>1702.2</v>
      </c>
      <c r="Q1633" s="116">
        <v>1683.45</v>
      </c>
      <c r="R1633">
        <v>223836</v>
      </c>
    </row>
    <row r="1634" spans="1:18" x14ac:dyDescent="0.25">
      <c r="A1634" s="170">
        <v>44411</v>
      </c>
      <c r="B1634" s="116">
        <v>1697</v>
      </c>
      <c r="C1634" s="116">
        <v>1671.25</v>
      </c>
      <c r="D1634" s="116">
        <v>1665</v>
      </c>
      <c r="E1634" s="116">
        <v>1683</v>
      </c>
      <c r="F1634" s="116">
        <v>1671.25</v>
      </c>
      <c r="G1634">
        <v>4495</v>
      </c>
      <c r="H1634" s="116"/>
      <c r="I1634" s="116"/>
      <c r="L1634" s="170">
        <v>44411</v>
      </c>
      <c r="M1634" s="116">
        <v>1670.7</v>
      </c>
      <c r="N1634" s="116">
        <v>1697.75</v>
      </c>
      <c r="O1634" s="116">
        <v>1664.9</v>
      </c>
      <c r="P1634" s="116">
        <v>1684.9</v>
      </c>
      <c r="Q1634" s="116">
        <v>1670.7</v>
      </c>
      <c r="R1634">
        <v>127132</v>
      </c>
    </row>
    <row r="1635" spans="1:18" x14ac:dyDescent="0.25">
      <c r="A1635" s="170">
        <v>44412</v>
      </c>
      <c r="B1635" s="116">
        <v>1698.5</v>
      </c>
      <c r="C1635" s="116">
        <v>1638.35</v>
      </c>
      <c r="D1635" s="116">
        <v>1630</v>
      </c>
      <c r="E1635" s="116">
        <v>1698.5</v>
      </c>
      <c r="F1635" s="116">
        <v>1638.35</v>
      </c>
      <c r="G1635">
        <v>8257</v>
      </c>
      <c r="H1635" s="116"/>
      <c r="I1635" s="116"/>
      <c r="L1635" s="170">
        <v>44412</v>
      </c>
      <c r="M1635" s="116">
        <v>1636.45</v>
      </c>
      <c r="N1635" s="116">
        <v>1689</v>
      </c>
      <c r="O1635" s="116">
        <v>1629</v>
      </c>
      <c r="P1635" s="116">
        <v>1683</v>
      </c>
      <c r="Q1635" s="116">
        <v>1636.45</v>
      </c>
      <c r="R1635">
        <v>75011</v>
      </c>
    </row>
    <row r="1636" spans="1:18" x14ac:dyDescent="0.25">
      <c r="A1636" s="170">
        <v>44413</v>
      </c>
      <c r="B1636" s="116">
        <v>1675.05</v>
      </c>
      <c r="C1636" s="116">
        <v>1663.2</v>
      </c>
      <c r="D1636" s="116">
        <v>1632.85</v>
      </c>
      <c r="E1636" s="116">
        <v>1648</v>
      </c>
      <c r="F1636" s="116">
        <v>1663.2</v>
      </c>
      <c r="G1636">
        <v>5656</v>
      </c>
      <c r="H1636" s="116"/>
      <c r="I1636" s="116"/>
      <c r="L1636" s="170">
        <v>44413</v>
      </c>
      <c r="M1636" s="116">
        <v>1666.35</v>
      </c>
      <c r="N1636" s="116">
        <v>1677.65</v>
      </c>
      <c r="O1636" s="116">
        <v>1631.05</v>
      </c>
      <c r="P1636" s="116">
        <v>1644.8</v>
      </c>
      <c r="Q1636" s="116">
        <v>1666.35</v>
      </c>
      <c r="R1636">
        <v>72531</v>
      </c>
    </row>
    <row r="1637" spans="1:18" x14ac:dyDescent="0.25">
      <c r="A1637" s="170">
        <v>44414</v>
      </c>
      <c r="B1637" s="116">
        <v>1697</v>
      </c>
      <c r="C1637" s="116">
        <v>1664.2</v>
      </c>
      <c r="D1637" s="116">
        <v>1656.15</v>
      </c>
      <c r="E1637" s="116">
        <v>1664.3</v>
      </c>
      <c r="F1637" s="116">
        <v>1664.2</v>
      </c>
      <c r="G1637">
        <v>8356</v>
      </c>
      <c r="H1637" s="116"/>
      <c r="I1637" s="116"/>
      <c r="L1637" s="170">
        <v>44414</v>
      </c>
      <c r="M1637" s="116">
        <v>1663.85</v>
      </c>
      <c r="N1637" s="116">
        <v>1696.3</v>
      </c>
      <c r="O1637" s="116">
        <v>1651.05</v>
      </c>
      <c r="P1637" s="116">
        <v>1666.35</v>
      </c>
      <c r="Q1637" s="116">
        <v>1663.85</v>
      </c>
      <c r="R1637">
        <v>93434</v>
      </c>
    </row>
    <row r="1638" spans="1:18" x14ac:dyDescent="0.25">
      <c r="A1638" s="170">
        <v>44417</v>
      </c>
      <c r="B1638" s="116">
        <v>1685.3</v>
      </c>
      <c r="C1638" s="116">
        <v>1646.15</v>
      </c>
      <c r="D1638" s="116">
        <v>1636.45</v>
      </c>
      <c r="E1638" s="116">
        <v>1664.2</v>
      </c>
      <c r="F1638" s="116">
        <v>1646.15</v>
      </c>
      <c r="G1638">
        <v>6880</v>
      </c>
      <c r="H1638" s="116"/>
      <c r="I1638" s="116"/>
      <c r="L1638" s="170">
        <v>44417</v>
      </c>
      <c r="M1638" s="116">
        <v>1644.25</v>
      </c>
      <c r="N1638" s="116">
        <v>1686.95</v>
      </c>
      <c r="O1638" s="116">
        <v>1636.35</v>
      </c>
      <c r="P1638" s="116">
        <v>1671.8</v>
      </c>
      <c r="Q1638" s="116">
        <v>1644.25</v>
      </c>
      <c r="R1638">
        <v>50984</v>
      </c>
    </row>
    <row r="1639" spans="1:18" x14ac:dyDescent="0.25">
      <c r="A1639" s="170">
        <v>44418</v>
      </c>
      <c r="B1639" s="116">
        <v>1660.4</v>
      </c>
      <c r="C1639" s="116">
        <v>1650.4</v>
      </c>
      <c r="D1639" s="116">
        <v>1630</v>
      </c>
      <c r="E1639" s="116">
        <v>1635.3</v>
      </c>
      <c r="F1639" s="116">
        <v>1650.4</v>
      </c>
      <c r="G1639">
        <v>6281</v>
      </c>
      <c r="H1639" s="116"/>
      <c r="I1639" s="116"/>
      <c r="L1639" s="170">
        <v>44418</v>
      </c>
      <c r="M1639" s="116">
        <v>1650.9</v>
      </c>
      <c r="N1639" s="116">
        <v>1658.4</v>
      </c>
      <c r="O1639" s="116">
        <v>1629.05</v>
      </c>
      <c r="P1639" s="116">
        <v>1644.25</v>
      </c>
      <c r="Q1639" s="116">
        <v>1650.9</v>
      </c>
      <c r="R1639">
        <v>40981</v>
      </c>
    </row>
    <row r="1640" spans="1:18" x14ac:dyDescent="0.25">
      <c r="A1640" s="170">
        <v>44419</v>
      </c>
      <c r="B1640" s="116">
        <v>1715.85</v>
      </c>
      <c r="C1640" s="116">
        <v>1675.55</v>
      </c>
      <c r="D1640" s="116">
        <v>1619.3</v>
      </c>
      <c r="E1640" s="116">
        <v>1653.65</v>
      </c>
      <c r="F1640" s="116">
        <v>1675.55</v>
      </c>
      <c r="G1640">
        <v>5424</v>
      </c>
      <c r="H1640" s="116"/>
      <c r="I1640" s="116"/>
      <c r="L1640" s="170">
        <v>44419</v>
      </c>
      <c r="M1640" s="116">
        <v>1674.55</v>
      </c>
      <c r="N1640" s="116">
        <v>1717</v>
      </c>
      <c r="O1640" s="116">
        <v>1618.05</v>
      </c>
      <c r="P1640" s="116">
        <v>1658.8</v>
      </c>
      <c r="Q1640" s="116">
        <v>1674.55</v>
      </c>
      <c r="R1640">
        <v>136424</v>
      </c>
    </row>
    <row r="1641" spans="1:18" x14ac:dyDescent="0.25">
      <c r="A1641" s="170">
        <v>44420</v>
      </c>
      <c r="B1641" s="116">
        <v>1723.1</v>
      </c>
      <c r="C1641" s="116">
        <v>1716.3</v>
      </c>
      <c r="D1641" s="116">
        <v>1665.75</v>
      </c>
      <c r="E1641" s="116">
        <v>1675.35</v>
      </c>
      <c r="F1641" s="116">
        <v>1716.3</v>
      </c>
      <c r="G1641">
        <v>9132</v>
      </c>
      <c r="H1641" s="116"/>
      <c r="I1641" s="116"/>
      <c r="L1641" s="170">
        <v>44420</v>
      </c>
      <c r="M1641" s="116">
        <v>1718.35</v>
      </c>
      <c r="N1641" s="116">
        <v>1724.4</v>
      </c>
      <c r="O1641" s="116">
        <v>1666</v>
      </c>
      <c r="P1641" s="116">
        <v>1677</v>
      </c>
      <c r="Q1641" s="116">
        <v>1718.35</v>
      </c>
      <c r="R1641">
        <v>78404</v>
      </c>
    </row>
    <row r="1642" spans="1:18" x14ac:dyDescent="0.25">
      <c r="A1642" s="170">
        <v>44421</v>
      </c>
      <c r="B1642" s="116">
        <v>1760</v>
      </c>
      <c r="C1642" s="116">
        <v>1749.8</v>
      </c>
      <c r="D1642" s="116">
        <v>1713.85</v>
      </c>
      <c r="E1642" s="116">
        <v>1724.95</v>
      </c>
      <c r="F1642" s="116">
        <v>1749.8</v>
      </c>
      <c r="G1642">
        <v>8669</v>
      </c>
      <c r="H1642" s="116"/>
      <c r="I1642" s="116"/>
      <c r="L1642" s="170">
        <v>44421</v>
      </c>
      <c r="M1642" s="116">
        <v>1747.95</v>
      </c>
      <c r="N1642" s="116">
        <v>1759.95</v>
      </c>
      <c r="O1642" s="116">
        <v>1713.3</v>
      </c>
      <c r="P1642" s="116">
        <v>1725</v>
      </c>
      <c r="Q1642" s="116">
        <v>1747.95</v>
      </c>
      <c r="R1642">
        <v>116726</v>
      </c>
    </row>
    <row r="1643" spans="1:18" x14ac:dyDescent="0.25">
      <c r="A1643" s="170">
        <v>44424</v>
      </c>
      <c r="B1643" s="116">
        <v>1794</v>
      </c>
      <c r="C1643" s="116">
        <v>1757.3</v>
      </c>
      <c r="D1643" s="116">
        <v>1729</v>
      </c>
      <c r="E1643" s="116">
        <v>1770</v>
      </c>
      <c r="F1643" s="116">
        <v>1757.3</v>
      </c>
      <c r="G1643">
        <v>11807</v>
      </c>
      <c r="H1643" s="116"/>
      <c r="I1643" s="116"/>
      <c r="L1643" s="170">
        <v>44424</v>
      </c>
      <c r="M1643" s="116">
        <v>1758.4</v>
      </c>
      <c r="N1643" s="116">
        <v>1795</v>
      </c>
      <c r="O1643" s="116">
        <v>1731</v>
      </c>
      <c r="P1643" s="116">
        <v>1761.5</v>
      </c>
      <c r="Q1643" s="116">
        <v>1758.4</v>
      </c>
      <c r="R1643">
        <v>103044</v>
      </c>
    </row>
    <row r="1644" spans="1:18" x14ac:dyDescent="0.25">
      <c r="A1644" s="170">
        <v>44425</v>
      </c>
      <c r="B1644" s="116">
        <v>1768.6</v>
      </c>
      <c r="C1644" s="116">
        <v>1734.6</v>
      </c>
      <c r="D1644" s="116">
        <v>1724.15</v>
      </c>
      <c r="E1644" s="116">
        <v>1742</v>
      </c>
      <c r="F1644" s="116">
        <v>1734.6</v>
      </c>
      <c r="G1644">
        <v>3278</v>
      </c>
      <c r="H1644" s="116"/>
      <c r="I1644" s="116"/>
      <c r="L1644" s="170">
        <v>44425</v>
      </c>
      <c r="M1644" s="116">
        <v>1745.45</v>
      </c>
      <c r="N1644" s="116">
        <v>1769</v>
      </c>
      <c r="O1644" s="116">
        <v>1724.35</v>
      </c>
      <c r="P1644" s="116">
        <v>1758.4</v>
      </c>
      <c r="Q1644" s="116">
        <v>1745.45</v>
      </c>
      <c r="R1644">
        <v>124149</v>
      </c>
    </row>
    <row r="1645" spans="1:18" x14ac:dyDescent="0.25">
      <c r="A1645" s="170">
        <v>44426</v>
      </c>
      <c r="B1645" s="116">
        <v>1764.95</v>
      </c>
      <c r="C1645" s="116">
        <v>1760.5</v>
      </c>
      <c r="D1645" s="116">
        <v>1650</v>
      </c>
      <c r="E1645" s="116">
        <v>1759</v>
      </c>
      <c r="F1645" s="116">
        <v>1760.5</v>
      </c>
      <c r="G1645">
        <v>6470</v>
      </c>
      <c r="H1645" s="116"/>
      <c r="I1645" s="116"/>
      <c r="L1645" s="170">
        <v>44426</v>
      </c>
      <c r="M1645" s="116">
        <v>1761.3</v>
      </c>
      <c r="N1645" s="116">
        <v>1765.8</v>
      </c>
      <c r="O1645" s="116">
        <v>1705</v>
      </c>
      <c r="P1645" s="116">
        <v>1739</v>
      </c>
      <c r="Q1645" s="116">
        <v>1761.3</v>
      </c>
      <c r="R1645">
        <v>79837</v>
      </c>
    </row>
    <row r="1646" spans="1:18" x14ac:dyDescent="0.25">
      <c r="A1646" s="170">
        <v>44428</v>
      </c>
      <c r="B1646" s="116">
        <v>1805</v>
      </c>
      <c r="C1646" s="116">
        <v>1707.7</v>
      </c>
      <c r="D1646" s="116">
        <v>1684</v>
      </c>
      <c r="E1646" s="116">
        <v>1762.5</v>
      </c>
      <c r="F1646" s="116">
        <v>1707.7</v>
      </c>
      <c r="G1646">
        <v>11165</v>
      </c>
      <c r="H1646" s="116"/>
      <c r="I1646" s="116"/>
      <c r="L1646" s="170">
        <v>44428</v>
      </c>
      <c r="M1646" s="116">
        <v>1714.65</v>
      </c>
      <c r="N1646" s="116">
        <v>1807.1</v>
      </c>
      <c r="O1646" s="116">
        <v>1683.05</v>
      </c>
      <c r="P1646" s="116">
        <v>1764</v>
      </c>
      <c r="Q1646" s="116">
        <v>1714.65</v>
      </c>
      <c r="R1646">
        <v>161033</v>
      </c>
    </row>
    <row r="1647" spans="1:18" x14ac:dyDescent="0.25">
      <c r="A1647" s="170">
        <v>44431</v>
      </c>
      <c r="B1647" s="116">
        <v>1730</v>
      </c>
      <c r="C1647" s="116">
        <v>1678.6</v>
      </c>
      <c r="D1647" s="116">
        <v>1629.2</v>
      </c>
      <c r="E1647" s="116">
        <v>1717</v>
      </c>
      <c r="F1647" s="116">
        <v>1678.6</v>
      </c>
      <c r="G1647">
        <v>7893</v>
      </c>
      <c r="H1647" s="116"/>
      <c r="I1647" s="116"/>
      <c r="L1647" s="170">
        <v>44431</v>
      </c>
      <c r="M1647" s="116">
        <v>1674.95</v>
      </c>
      <c r="N1647" s="116">
        <v>1731.9</v>
      </c>
      <c r="O1647" s="116">
        <v>1624.35</v>
      </c>
      <c r="P1647" s="116">
        <v>1715</v>
      </c>
      <c r="Q1647" s="116">
        <v>1674.95</v>
      </c>
      <c r="R1647">
        <v>82244</v>
      </c>
    </row>
    <row r="1648" spans="1:18" x14ac:dyDescent="0.25">
      <c r="A1648" s="170">
        <v>44432</v>
      </c>
      <c r="B1648" s="116">
        <v>1724.2</v>
      </c>
      <c r="C1648" s="116">
        <v>1697.55</v>
      </c>
      <c r="D1648" s="116">
        <v>1664.9</v>
      </c>
      <c r="E1648" s="116">
        <v>1680</v>
      </c>
      <c r="F1648" s="116">
        <v>1697.55</v>
      </c>
      <c r="G1648">
        <v>5089</v>
      </c>
      <c r="H1648" s="116"/>
      <c r="I1648" s="116"/>
      <c r="L1648" s="170">
        <v>44432</v>
      </c>
      <c r="M1648" s="116">
        <v>1696.9</v>
      </c>
      <c r="N1648" s="116">
        <v>1725</v>
      </c>
      <c r="O1648" s="116">
        <v>1662.05</v>
      </c>
      <c r="P1648" s="116">
        <v>1679.9</v>
      </c>
      <c r="Q1648" s="116">
        <v>1696.9</v>
      </c>
      <c r="R1648">
        <v>76587</v>
      </c>
    </row>
    <row r="1649" spans="1:18" x14ac:dyDescent="0.25">
      <c r="A1649" s="170">
        <v>44433</v>
      </c>
      <c r="B1649" s="116">
        <v>1745</v>
      </c>
      <c r="C1649" s="116">
        <v>1729.5</v>
      </c>
      <c r="D1649" s="116">
        <v>1693.1</v>
      </c>
      <c r="E1649" s="116">
        <v>1699.95</v>
      </c>
      <c r="F1649" s="116">
        <v>1729.5</v>
      </c>
      <c r="G1649">
        <v>4809</v>
      </c>
      <c r="H1649" s="116"/>
      <c r="I1649" s="116"/>
      <c r="L1649" s="170">
        <v>44433</v>
      </c>
      <c r="M1649" s="116">
        <v>1731.1</v>
      </c>
      <c r="N1649" s="116">
        <v>1746.8</v>
      </c>
      <c r="O1649" s="116">
        <v>1688.75</v>
      </c>
      <c r="P1649" s="116">
        <v>1701.9</v>
      </c>
      <c r="Q1649" s="116">
        <v>1731.1</v>
      </c>
      <c r="R1649">
        <v>82301</v>
      </c>
    </row>
    <row r="1650" spans="1:18" x14ac:dyDescent="0.25">
      <c r="A1650" s="170">
        <v>44434</v>
      </c>
      <c r="B1650" s="116">
        <v>1775.1</v>
      </c>
      <c r="C1650" s="116">
        <v>1732.1</v>
      </c>
      <c r="D1650" s="116">
        <v>1724.4</v>
      </c>
      <c r="E1650" s="116">
        <v>1760</v>
      </c>
      <c r="F1650" s="116">
        <v>1732.1</v>
      </c>
      <c r="G1650">
        <v>4093</v>
      </c>
      <c r="H1650" s="116"/>
      <c r="I1650" s="116"/>
      <c r="L1650" s="170">
        <v>44434</v>
      </c>
      <c r="M1650" s="116">
        <v>1736.35</v>
      </c>
      <c r="N1650" s="116">
        <v>1775.7</v>
      </c>
      <c r="O1650" s="116">
        <v>1722.4</v>
      </c>
      <c r="P1650" s="116">
        <v>1743.5</v>
      </c>
      <c r="Q1650" s="116">
        <v>1736.35</v>
      </c>
      <c r="R1650">
        <v>91908</v>
      </c>
    </row>
    <row r="1651" spans="1:18" x14ac:dyDescent="0.25">
      <c r="A1651" s="170">
        <v>44435</v>
      </c>
      <c r="B1651" s="116">
        <v>1865.5</v>
      </c>
      <c r="C1651" s="116">
        <v>1848.2</v>
      </c>
      <c r="D1651" s="116">
        <v>1740.75</v>
      </c>
      <c r="E1651" s="116">
        <v>1742.15</v>
      </c>
      <c r="F1651" s="116">
        <v>1848.2</v>
      </c>
      <c r="G1651">
        <v>31696</v>
      </c>
      <c r="H1651" s="116"/>
      <c r="I1651" s="116"/>
      <c r="L1651" s="170">
        <v>44435</v>
      </c>
      <c r="M1651" s="116">
        <v>1850.05</v>
      </c>
      <c r="N1651" s="116">
        <v>1865</v>
      </c>
      <c r="O1651" s="116">
        <v>1735</v>
      </c>
      <c r="P1651" s="116">
        <v>1750</v>
      </c>
      <c r="Q1651" s="116">
        <v>1850.05</v>
      </c>
      <c r="R1651">
        <v>540087</v>
      </c>
    </row>
    <row r="1652" spans="1:18" x14ac:dyDescent="0.25">
      <c r="A1652" s="170">
        <v>44438</v>
      </c>
      <c r="B1652" s="116">
        <v>1934</v>
      </c>
      <c r="C1652" s="116">
        <v>1922.75</v>
      </c>
      <c r="D1652" s="116">
        <v>1833.25</v>
      </c>
      <c r="E1652" s="116">
        <v>1875</v>
      </c>
      <c r="F1652" s="116">
        <v>1922.75</v>
      </c>
      <c r="G1652">
        <v>35420</v>
      </c>
      <c r="H1652" s="116"/>
      <c r="I1652" s="116"/>
      <c r="L1652" s="170">
        <v>44438</v>
      </c>
      <c r="M1652" s="116">
        <v>1921.7</v>
      </c>
      <c r="N1652" s="116">
        <v>1925</v>
      </c>
      <c r="O1652" s="116">
        <v>1832</v>
      </c>
      <c r="P1652" s="116">
        <v>1875</v>
      </c>
      <c r="Q1652" s="116">
        <v>1921.7</v>
      </c>
      <c r="R1652">
        <v>656830</v>
      </c>
    </row>
    <row r="1653" spans="1:18" x14ac:dyDescent="0.25">
      <c r="A1653" s="170">
        <v>44439</v>
      </c>
      <c r="B1653" s="116">
        <v>1925</v>
      </c>
      <c r="C1653" s="116">
        <v>1892.85</v>
      </c>
      <c r="D1653" s="116">
        <v>1884.8</v>
      </c>
      <c r="E1653" s="116">
        <v>1925</v>
      </c>
      <c r="F1653" s="116">
        <v>1892.85</v>
      </c>
      <c r="G1653">
        <v>14572</v>
      </c>
      <c r="H1653" s="116"/>
      <c r="I1653" s="116"/>
      <c r="L1653" s="170">
        <v>44439</v>
      </c>
      <c r="M1653" s="116">
        <v>1895.75</v>
      </c>
      <c r="N1653" s="116">
        <v>1925</v>
      </c>
      <c r="O1653" s="116">
        <v>1886</v>
      </c>
      <c r="P1653" s="116">
        <v>1925</v>
      </c>
      <c r="Q1653" s="116">
        <v>1895.75</v>
      </c>
      <c r="R1653">
        <v>149686</v>
      </c>
    </row>
    <row r="1654" spans="1:18" x14ac:dyDescent="0.25">
      <c r="A1654" s="170">
        <v>44440</v>
      </c>
      <c r="B1654" s="116">
        <v>1910.15</v>
      </c>
      <c r="C1654" s="116">
        <v>1881.4</v>
      </c>
      <c r="D1654" s="116">
        <v>1858.2</v>
      </c>
      <c r="E1654" s="116">
        <v>1900</v>
      </c>
      <c r="F1654" s="116">
        <v>1881.4</v>
      </c>
      <c r="G1654">
        <v>6286</v>
      </c>
      <c r="H1654" s="116"/>
      <c r="I1654" s="116"/>
      <c r="L1654" s="170">
        <v>44440</v>
      </c>
      <c r="M1654" s="116">
        <v>1883.2</v>
      </c>
      <c r="N1654" s="116">
        <v>1911.25</v>
      </c>
      <c r="O1654" s="116">
        <v>1857.5</v>
      </c>
      <c r="P1654" s="116">
        <v>1910</v>
      </c>
      <c r="Q1654" s="116">
        <v>1883.2</v>
      </c>
      <c r="R1654">
        <v>130632</v>
      </c>
    </row>
    <row r="1655" spans="1:18" x14ac:dyDescent="0.25">
      <c r="A1655" s="170">
        <v>44441</v>
      </c>
      <c r="B1655" s="116">
        <v>1916.2</v>
      </c>
      <c r="C1655" s="116">
        <v>1893.7</v>
      </c>
      <c r="D1655" s="116">
        <v>1871.3</v>
      </c>
      <c r="E1655" s="116">
        <v>1905</v>
      </c>
      <c r="F1655" s="116">
        <v>1893.7</v>
      </c>
      <c r="G1655">
        <v>5198</v>
      </c>
      <c r="H1655" s="116"/>
      <c r="I1655" s="116"/>
      <c r="L1655" s="170">
        <v>44441</v>
      </c>
      <c r="M1655" s="116">
        <v>1894.35</v>
      </c>
      <c r="N1655" s="116">
        <v>1917.95</v>
      </c>
      <c r="O1655" s="116">
        <v>1872.35</v>
      </c>
      <c r="P1655" s="116">
        <v>1906.5</v>
      </c>
      <c r="Q1655" s="116">
        <v>1894.35</v>
      </c>
      <c r="R1655">
        <v>199503</v>
      </c>
    </row>
    <row r="1656" spans="1:18" x14ac:dyDescent="0.25">
      <c r="A1656" s="170">
        <v>44442</v>
      </c>
      <c r="B1656" s="116">
        <v>1908</v>
      </c>
      <c r="C1656" s="116">
        <v>1848.35</v>
      </c>
      <c r="D1656" s="116">
        <v>1840</v>
      </c>
      <c r="E1656" s="116">
        <v>1908</v>
      </c>
      <c r="F1656" s="116">
        <v>1848.35</v>
      </c>
      <c r="G1656">
        <v>5642</v>
      </c>
      <c r="H1656" s="116"/>
      <c r="I1656" s="116"/>
      <c r="L1656" s="170">
        <v>44442</v>
      </c>
      <c r="M1656" s="116">
        <v>1848.7</v>
      </c>
      <c r="N1656" s="116">
        <v>1900</v>
      </c>
      <c r="O1656" s="116">
        <v>1843</v>
      </c>
      <c r="P1656" s="116">
        <v>1900</v>
      </c>
      <c r="Q1656" s="116">
        <v>1848.7</v>
      </c>
      <c r="R1656">
        <v>202306</v>
      </c>
    </row>
    <row r="1657" spans="1:18" x14ac:dyDescent="0.25">
      <c r="A1657" s="170">
        <v>44445</v>
      </c>
      <c r="B1657" s="116">
        <v>1871.7</v>
      </c>
      <c r="C1657" s="116">
        <v>1851.1</v>
      </c>
      <c r="D1657" s="116">
        <v>1840.85</v>
      </c>
      <c r="E1657" s="116">
        <v>1865.8</v>
      </c>
      <c r="F1657" s="116">
        <v>1851.1</v>
      </c>
      <c r="G1657">
        <v>2240</v>
      </c>
      <c r="H1657" s="116"/>
      <c r="I1657" s="116"/>
      <c r="L1657" s="170">
        <v>44445</v>
      </c>
      <c r="M1657" s="116">
        <v>1851.85</v>
      </c>
      <c r="N1657" s="116">
        <v>1872.75</v>
      </c>
      <c r="O1657" s="116">
        <v>1840</v>
      </c>
      <c r="P1657" s="116">
        <v>1855</v>
      </c>
      <c r="Q1657" s="116">
        <v>1851.85</v>
      </c>
      <c r="R1657">
        <v>87428</v>
      </c>
    </row>
    <row r="1658" spans="1:18" x14ac:dyDescent="0.25">
      <c r="A1658" s="170">
        <v>44446</v>
      </c>
      <c r="B1658" s="116">
        <v>1890</v>
      </c>
      <c r="C1658" s="116">
        <v>1864.5</v>
      </c>
      <c r="D1658" s="116">
        <v>1837.55</v>
      </c>
      <c r="E1658" s="116">
        <v>1862</v>
      </c>
      <c r="F1658" s="116">
        <v>1864.5</v>
      </c>
      <c r="G1658">
        <v>5833</v>
      </c>
      <c r="H1658" s="116"/>
      <c r="I1658" s="116"/>
      <c r="L1658" s="170">
        <v>44446</v>
      </c>
      <c r="M1658" s="116">
        <v>1870.3</v>
      </c>
      <c r="N1658" s="116">
        <v>1899</v>
      </c>
      <c r="O1658" s="116">
        <v>1835.05</v>
      </c>
      <c r="P1658" s="116">
        <v>1868.6</v>
      </c>
      <c r="Q1658" s="116">
        <v>1870.3</v>
      </c>
      <c r="R1658">
        <v>238450</v>
      </c>
    </row>
    <row r="1659" spans="1:18" x14ac:dyDescent="0.25">
      <c r="A1659" s="170">
        <v>44447</v>
      </c>
      <c r="B1659" s="116">
        <v>1896.2</v>
      </c>
      <c r="C1659" s="116">
        <v>1873.8</v>
      </c>
      <c r="D1659" s="116">
        <v>1861.65</v>
      </c>
      <c r="E1659" s="116">
        <v>1870</v>
      </c>
      <c r="F1659" s="116">
        <v>1873.8</v>
      </c>
      <c r="G1659">
        <v>2617</v>
      </c>
      <c r="H1659" s="116"/>
      <c r="I1659" s="116"/>
      <c r="L1659" s="170">
        <v>44447</v>
      </c>
      <c r="M1659" s="116">
        <v>1876.75</v>
      </c>
      <c r="N1659" s="116">
        <v>1898</v>
      </c>
      <c r="O1659" s="116">
        <v>1858.65</v>
      </c>
      <c r="P1659" s="116">
        <v>1860</v>
      </c>
      <c r="Q1659" s="116">
        <v>1876.75</v>
      </c>
      <c r="R1659">
        <v>238158</v>
      </c>
    </row>
    <row r="1660" spans="1:18" x14ac:dyDescent="0.25">
      <c r="A1660" s="170">
        <v>44448</v>
      </c>
      <c r="B1660" s="116">
        <v>1911</v>
      </c>
      <c r="C1660" s="116">
        <v>1869.65</v>
      </c>
      <c r="D1660" s="116">
        <v>1857.3</v>
      </c>
      <c r="E1660" s="116">
        <v>1891.4</v>
      </c>
      <c r="F1660" s="116">
        <v>1869.65</v>
      </c>
      <c r="G1660">
        <v>4304</v>
      </c>
      <c r="H1660" s="116"/>
      <c r="I1660" s="116"/>
      <c r="L1660" s="170">
        <v>44448</v>
      </c>
      <c r="M1660" s="116">
        <v>1869.45</v>
      </c>
      <c r="N1660" s="116">
        <v>1913.45</v>
      </c>
      <c r="O1660" s="116">
        <v>1852.1</v>
      </c>
      <c r="P1660" s="116">
        <v>1885.25</v>
      </c>
      <c r="Q1660" s="116">
        <v>1869.45</v>
      </c>
      <c r="R1660">
        <v>227286</v>
      </c>
    </row>
    <row r="1661" spans="1:18" x14ac:dyDescent="0.25">
      <c r="A1661" s="170">
        <v>44452</v>
      </c>
      <c r="B1661" s="116">
        <v>1877.4</v>
      </c>
      <c r="C1661" s="116">
        <v>1867.85</v>
      </c>
      <c r="D1661" s="116">
        <v>1839</v>
      </c>
      <c r="E1661" s="116">
        <v>1845</v>
      </c>
      <c r="F1661" s="116">
        <v>1867.85</v>
      </c>
      <c r="G1661">
        <v>9929</v>
      </c>
      <c r="H1661" s="116"/>
      <c r="I1661" s="116"/>
      <c r="L1661" s="170">
        <v>44452</v>
      </c>
      <c r="M1661" s="116">
        <v>1861</v>
      </c>
      <c r="N1661" s="116">
        <v>1876.45</v>
      </c>
      <c r="O1661" s="116">
        <v>1839.05</v>
      </c>
      <c r="P1661" s="116">
        <v>1865</v>
      </c>
      <c r="Q1661" s="116">
        <v>1861</v>
      </c>
      <c r="R1661">
        <v>80818</v>
      </c>
    </row>
    <row r="1662" spans="1:18" x14ac:dyDescent="0.25">
      <c r="A1662" s="170">
        <v>44453</v>
      </c>
      <c r="B1662" s="116">
        <v>1916.05</v>
      </c>
      <c r="C1662" s="116">
        <v>1906.65</v>
      </c>
      <c r="D1662" s="116">
        <v>1870.35</v>
      </c>
      <c r="E1662" s="116">
        <v>1895</v>
      </c>
      <c r="F1662" s="116">
        <v>1906.65</v>
      </c>
      <c r="G1662">
        <v>11207</v>
      </c>
      <c r="H1662" s="116"/>
      <c r="I1662" s="116"/>
      <c r="L1662" s="170">
        <v>44453</v>
      </c>
      <c r="M1662" s="116">
        <v>1907.3</v>
      </c>
      <c r="N1662" s="116">
        <v>1917</v>
      </c>
      <c r="O1662" s="116">
        <v>1870.65</v>
      </c>
      <c r="P1662" s="116">
        <v>1888</v>
      </c>
      <c r="Q1662" s="116">
        <v>1907.3</v>
      </c>
      <c r="R1662">
        <v>163938</v>
      </c>
    </row>
    <row r="1663" spans="1:18" x14ac:dyDescent="0.25">
      <c r="A1663" s="170">
        <v>44454</v>
      </c>
      <c r="B1663" s="116">
        <v>1932</v>
      </c>
      <c r="C1663" s="116">
        <v>1903.45</v>
      </c>
      <c r="D1663" s="116">
        <v>1894</v>
      </c>
      <c r="E1663" s="116">
        <v>1915</v>
      </c>
      <c r="F1663" s="116">
        <v>1903.45</v>
      </c>
      <c r="G1663">
        <v>6279</v>
      </c>
      <c r="H1663" s="116"/>
      <c r="I1663" s="116"/>
      <c r="L1663" s="170">
        <v>44454</v>
      </c>
      <c r="M1663" s="116">
        <v>1905.9</v>
      </c>
      <c r="N1663" s="116">
        <v>1925</v>
      </c>
      <c r="O1663" s="116">
        <v>1890.2</v>
      </c>
      <c r="P1663" s="116">
        <v>1919</v>
      </c>
      <c r="Q1663" s="116">
        <v>1905.9</v>
      </c>
      <c r="R1663">
        <v>159852</v>
      </c>
    </row>
    <row r="1664" spans="1:18" x14ac:dyDescent="0.25">
      <c r="A1664" s="170">
        <v>44455</v>
      </c>
      <c r="B1664" s="116">
        <v>1941</v>
      </c>
      <c r="C1664" s="116">
        <v>1910.6</v>
      </c>
      <c r="D1664" s="116">
        <v>1882.35</v>
      </c>
      <c r="E1664" s="116">
        <v>1906.5</v>
      </c>
      <c r="F1664" s="116">
        <v>1910.6</v>
      </c>
      <c r="G1664">
        <v>4144</v>
      </c>
      <c r="H1664" s="116"/>
      <c r="I1664" s="116"/>
      <c r="L1664" s="170">
        <v>44455</v>
      </c>
      <c r="M1664" s="116">
        <v>1908.05</v>
      </c>
      <c r="N1664" s="116">
        <v>1943.9</v>
      </c>
      <c r="O1664" s="116">
        <v>1881.9</v>
      </c>
      <c r="P1664" s="116">
        <v>1900</v>
      </c>
      <c r="Q1664" s="116">
        <v>1908.05</v>
      </c>
      <c r="R1664">
        <v>248127</v>
      </c>
    </row>
    <row r="1665" spans="1:18" x14ac:dyDescent="0.25">
      <c r="A1665" s="170">
        <v>44456</v>
      </c>
      <c r="B1665" s="116">
        <v>1912.6</v>
      </c>
      <c r="C1665" s="116">
        <v>1842.2</v>
      </c>
      <c r="D1665" s="116">
        <v>1837.1</v>
      </c>
      <c r="E1665" s="116">
        <v>1909</v>
      </c>
      <c r="F1665" s="116">
        <v>1842.2</v>
      </c>
      <c r="G1665">
        <v>12134</v>
      </c>
      <c r="H1665" s="116"/>
      <c r="I1665" s="116"/>
      <c r="L1665" s="170">
        <v>44456</v>
      </c>
      <c r="M1665" s="116">
        <v>1843.2</v>
      </c>
      <c r="N1665" s="116">
        <v>1915</v>
      </c>
      <c r="O1665" s="116">
        <v>1835.05</v>
      </c>
      <c r="P1665" s="116">
        <v>1901</v>
      </c>
      <c r="Q1665" s="116">
        <v>1843.2</v>
      </c>
      <c r="R1665">
        <v>115350</v>
      </c>
    </row>
    <row r="1666" spans="1:18" x14ac:dyDescent="0.25">
      <c r="A1666" s="170">
        <v>44459</v>
      </c>
      <c r="B1666" s="116">
        <v>1885</v>
      </c>
      <c r="C1666" s="116">
        <v>1874.1</v>
      </c>
      <c r="D1666" s="116">
        <v>1842.2</v>
      </c>
      <c r="E1666" s="116">
        <v>1883.6</v>
      </c>
      <c r="F1666" s="116">
        <v>1874.1</v>
      </c>
      <c r="G1666">
        <v>4206</v>
      </c>
      <c r="H1666" s="116"/>
      <c r="I1666" s="116"/>
      <c r="L1666" s="170">
        <v>44459</v>
      </c>
      <c r="M1666" s="116">
        <v>1875.15</v>
      </c>
      <c r="N1666" s="116">
        <v>1884.65</v>
      </c>
      <c r="O1666" s="116">
        <v>1840</v>
      </c>
      <c r="P1666" s="116">
        <v>1843.2</v>
      </c>
      <c r="Q1666" s="116">
        <v>1875.15</v>
      </c>
      <c r="R1666">
        <v>105956</v>
      </c>
    </row>
    <row r="1667" spans="1:18" x14ac:dyDescent="0.25">
      <c r="A1667" s="170">
        <v>44460</v>
      </c>
      <c r="B1667" s="116">
        <v>1906</v>
      </c>
      <c r="C1667" s="116">
        <v>1871.9</v>
      </c>
      <c r="D1667" s="116">
        <v>1854.5</v>
      </c>
      <c r="E1667" s="116">
        <v>1862.5</v>
      </c>
      <c r="F1667" s="116">
        <v>1871.9</v>
      </c>
      <c r="G1667">
        <v>4347</v>
      </c>
      <c r="H1667" s="116"/>
      <c r="I1667" s="116"/>
      <c r="L1667" s="170">
        <v>44460</v>
      </c>
      <c r="M1667" s="116">
        <v>1875</v>
      </c>
      <c r="N1667" s="116">
        <v>1905</v>
      </c>
      <c r="O1667" s="116">
        <v>1854.15</v>
      </c>
      <c r="P1667" s="116">
        <v>1871</v>
      </c>
      <c r="Q1667" s="116">
        <v>1875</v>
      </c>
      <c r="R1667">
        <v>118562</v>
      </c>
    </row>
    <row r="1668" spans="1:18" x14ac:dyDescent="0.25">
      <c r="A1668" s="170">
        <v>44461</v>
      </c>
      <c r="B1668" s="116">
        <v>1902.1</v>
      </c>
      <c r="C1668" s="116">
        <v>1870.2</v>
      </c>
      <c r="D1668" s="116">
        <v>1867</v>
      </c>
      <c r="E1668" s="116">
        <v>1875</v>
      </c>
      <c r="F1668" s="116">
        <v>1870.2</v>
      </c>
      <c r="G1668">
        <v>4195</v>
      </c>
      <c r="H1668" s="116"/>
      <c r="I1668" s="116"/>
      <c r="L1668" s="170">
        <v>44461</v>
      </c>
      <c r="M1668" s="116">
        <v>1869.15</v>
      </c>
      <c r="N1668" s="116">
        <v>1904</v>
      </c>
      <c r="O1668" s="116">
        <v>1865.1</v>
      </c>
      <c r="P1668" s="116">
        <v>1870</v>
      </c>
      <c r="Q1668" s="116">
        <v>1869.15</v>
      </c>
      <c r="R1668">
        <v>138187</v>
      </c>
    </row>
    <row r="1669" spans="1:18" x14ac:dyDescent="0.25">
      <c r="A1669" s="170">
        <v>44462</v>
      </c>
      <c r="B1669" s="116">
        <v>1905</v>
      </c>
      <c r="C1669" s="116">
        <v>1899.6</v>
      </c>
      <c r="D1669" s="116">
        <v>1858</v>
      </c>
      <c r="E1669" s="116">
        <v>1890</v>
      </c>
      <c r="F1669" s="116">
        <v>1899.6</v>
      </c>
      <c r="G1669">
        <v>9053</v>
      </c>
      <c r="H1669" s="116"/>
      <c r="I1669" s="116"/>
      <c r="L1669" s="170">
        <v>44462</v>
      </c>
      <c r="M1669" s="116">
        <v>1898.1</v>
      </c>
      <c r="N1669" s="116">
        <v>1905.9</v>
      </c>
      <c r="O1669" s="116">
        <v>1857</v>
      </c>
      <c r="P1669" s="116">
        <v>1890</v>
      </c>
      <c r="Q1669" s="116">
        <v>1898.1</v>
      </c>
      <c r="R1669">
        <v>119769</v>
      </c>
    </row>
    <row r="1670" spans="1:18" x14ac:dyDescent="0.25">
      <c r="A1670" s="170">
        <v>44463</v>
      </c>
      <c r="B1670" s="116">
        <v>1915</v>
      </c>
      <c r="C1670" s="116">
        <v>1877.35</v>
      </c>
      <c r="D1670" s="116">
        <v>1871.9</v>
      </c>
      <c r="E1670" s="116">
        <v>1900.65</v>
      </c>
      <c r="F1670" s="116">
        <v>1877.35</v>
      </c>
      <c r="G1670">
        <v>7237</v>
      </c>
      <c r="H1670" s="116"/>
      <c r="I1670" s="116"/>
      <c r="L1670" s="170">
        <v>44463</v>
      </c>
      <c r="M1670" s="116">
        <v>1878.7</v>
      </c>
      <c r="N1670" s="116">
        <v>1918.25</v>
      </c>
      <c r="O1670" s="116">
        <v>1871.1</v>
      </c>
      <c r="P1670" s="116">
        <v>1903</v>
      </c>
      <c r="Q1670" s="116">
        <v>1878.7</v>
      </c>
      <c r="R1670">
        <v>56336</v>
      </c>
    </row>
    <row r="1671" spans="1:18" x14ac:dyDescent="0.25">
      <c r="A1671" s="170">
        <v>44466</v>
      </c>
      <c r="B1671" s="116">
        <v>1905.5</v>
      </c>
      <c r="C1671" s="116">
        <v>1850</v>
      </c>
      <c r="D1671" s="116">
        <v>1840</v>
      </c>
      <c r="E1671" s="116">
        <v>1890.15</v>
      </c>
      <c r="F1671" s="116">
        <v>1850</v>
      </c>
      <c r="G1671">
        <v>6409</v>
      </c>
      <c r="H1671" s="116"/>
      <c r="I1671" s="116"/>
      <c r="L1671" s="170">
        <v>44466</v>
      </c>
      <c r="M1671" s="116">
        <v>1855</v>
      </c>
      <c r="N1671" s="116">
        <v>1908.05</v>
      </c>
      <c r="O1671" s="116">
        <v>1845.1</v>
      </c>
      <c r="P1671" s="116">
        <v>1888</v>
      </c>
      <c r="Q1671" s="116">
        <v>1855</v>
      </c>
      <c r="R1671">
        <v>134399</v>
      </c>
    </row>
    <row r="1672" spans="1:18" x14ac:dyDescent="0.25">
      <c r="A1672" s="170">
        <v>44467</v>
      </c>
      <c r="B1672" s="116">
        <v>1867</v>
      </c>
      <c r="C1672" s="116">
        <v>1804.05</v>
      </c>
      <c r="D1672" s="116">
        <v>1792.4</v>
      </c>
      <c r="E1672" s="116">
        <v>1862</v>
      </c>
      <c r="F1672" s="116">
        <v>1804.05</v>
      </c>
      <c r="G1672">
        <v>6780</v>
      </c>
      <c r="H1672" s="116"/>
      <c r="I1672" s="116"/>
      <c r="L1672" s="170">
        <v>44467</v>
      </c>
      <c r="M1672" s="116">
        <v>1800.65</v>
      </c>
      <c r="N1672" s="116">
        <v>1869.9</v>
      </c>
      <c r="O1672" s="116">
        <v>1790</v>
      </c>
      <c r="P1672" s="116">
        <v>1869.9</v>
      </c>
      <c r="Q1672" s="116">
        <v>1800.65</v>
      </c>
      <c r="R1672">
        <v>87735</v>
      </c>
    </row>
    <row r="1673" spans="1:18" x14ac:dyDescent="0.25">
      <c r="A1673" s="170">
        <v>44468</v>
      </c>
      <c r="B1673" s="116">
        <v>1837</v>
      </c>
      <c r="C1673" s="116">
        <v>1823.05</v>
      </c>
      <c r="D1673" s="116">
        <v>1794</v>
      </c>
      <c r="E1673" s="116">
        <v>1794</v>
      </c>
      <c r="F1673" s="116">
        <v>1823.05</v>
      </c>
      <c r="G1673">
        <v>12166</v>
      </c>
      <c r="H1673" s="116"/>
      <c r="I1673" s="116"/>
      <c r="L1673" s="170">
        <v>44468</v>
      </c>
      <c r="M1673" s="116">
        <v>1820.55</v>
      </c>
      <c r="N1673" s="116">
        <v>1838.8</v>
      </c>
      <c r="O1673" s="116">
        <v>1797.1</v>
      </c>
      <c r="P1673" s="116">
        <v>1800.9</v>
      </c>
      <c r="Q1673" s="116">
        <v>1820.55</v>
      </c>
      <c r="R1673">
        <v>152524</v>
      </c>
    </row>
    <row r="1674" spans="1:18" x14ac:dyDescent="0.25">
      <c r="A1674" s="170">
        <v>44469</v>
      </c>
      <c r="B1674" s="116">
        <v>1874</v>
      </c>
      <c r="C1674" s="116">
        <v>1869.05</v>
      </c>
      <c r="D1674" s="116">
        <v>1821.05</v>
      </c>
      <c r="E1674" s="116">
        <v>1829.65</v>
      </c>
      <c r="F1674" s="116">
        <v>1869.05</v>
      </c>
      <c r="G1674">
        <v>8352</v>
      </c>
      <c r="H1674" s="116"/>
      <c r="I1674" s="116"/>
      <c r="L1674" s="170">
        <v>44469</v>
      </c>
      <c r="M1674" s="116">
        <v>1870.6</v>
      </c>
      <c r="N1674" s="116">
        <v>1879</v>
      </c>
      <c r="O1674" s="116">
        <v>1821.3</v>
      </c>
      <c r="P1674" s="116">
        <v>1834.7</v>
      </c>
      <c r="Q1674" s="116">
        <v>1870.6</v>
      </c>
      <c r="R1674">
        <v>70990</v>
      </c>
    </row>
    <row r="1675" spans="1:18" x14ac:dyDescent="0.25">
      <c r="A1675" s="170">
        <v>44470</v>
      </c>
      <c r="B1675" s="116">
        <v>1874</v>
      </c>
      <c r="C1675" s="116">
        <v>1854.95</v>
      </c>
      <c r="D1675" s="116">
        <v>1819.95</v>
      </c>
      <c r="E1675" s="116">
        <v>1868.2</v>
      </c>
      <c r="F1675" s="116">
        <v>1854.95</v>
      </c>
      <c r="G1675">
        <v>4819</v>
      </c>
      <c r="H1675" s="116"/>
      <c r="I1675" s="116"/>
      <c r="L1675" s="170">
        <v>44470</v>
      </c>
      <c r="M1675" s="116">
        <v>1858.9</v>
      </c>
      <c r="N1675" s="116">
        <v>1873.85</v>
      </c>
      <c r="O1675" s="116">
        <v>1819.3</v>
      </c>
      <c r="P1675" s="116">
        <v>1870</v>
      </c>
      <c r="Q1675" s="116">
        <v>1858.9</v>
      </c>
      <c r="R1675">
        <v>67958</v>
      </c>
    </row>
    <row r="1676" spans="1:18" x14ac:dyDescent="0.25">
      <c r="A1676" s="170">
        <v>44473</v>
      </c>
      <c r="B1676" s="116">
        <v>1892</v>
      </c>
      <c r="C1676" s="116">
        <v>1873.2</v>
      </c>
      <c r="D1676" s="116">
        <v>1846</v>
      </c>
      <c r="E1676" s="116">
        <v>1860.25</v>
      </c>
      <c r="F1676" s="116">
        <v>1873.2</v>
      </c>
      <c r="G1676">
        <v>4120</v>
      </c>
      <c r="H1676" s="116"/>
      <c r="I1676" s="116"/>
      <c r="L1676" s="170">
        <v>44473</v>
      </c>
      <c r="M1676" s="116">
        <v>1873.2</v>
      </c>
      <c r="N1676" s="116">
        <v>1893.4</v>
      </c>
      <c r="O1676" s="116">
        <v>1845</v>
      </c>
      <c r="P1676" s="116">
        <v>1860.1</v>
      </c>
      <c r="Q1676" s="116">
        <v>1873.2</v>
      </c>
      <c r="R1676">
        <v>169391</v>
      </c>
    </row>
    <row r="1677" spans="1:18" x14ac:dyDescent="0.25">
      <c r="A1677" s="170">
        <v>44474</v>
      </c>
      <c r="B1677" s="116">
        <v>1906.35</v>
      </c>
      <c r="C1677" s="116">
        <v>1877.25</v>
      </c>
      <c r="D1677" s="116">
        <v>1860</v>
      </c>
      <c r="E1677" s="116">
        <v>1873.2</v>
      </c>
      <c r="F1677" s="116">
        <v>1877.25</v>
      </c>
      <c r="G1677">
        <v>5550</v>
      </c>
      <c r="H1677" s="116"/>
      <c r="I1677" s="116"/>
      <c r="L1677" s="170">
        <v>44474</v>
      </c>
      <c r="M1677" s="116">
        <v>1877.95</v>
      </c>
      <c r="N1677" s="116">
        <v>1905.6</v>
      </c>
      <c r="O1677" s="116">
        <v>1858</v>
      </c>
      <c r="P1677" s="116">
        <v>1858</v>
      </c>
      <c r="Q1677" s="116">
        <v>1877.95</v>
      </c>
      <c r="R1677">
        <v>159998</v>
      </c>
    </row>
    <row r="1678" spans="1:18" x14ac:dyDescent="0.25">
      <c r="A1678" s="170">
        <v>44475</v>
      </c>
      <c r="B1678" s="116">
        <v>1894.35</v>
      </c>
      <c r="C1678" s="116">
        <v>1872</v>
      </c>
      <c r="D1678" s="116">
        <v>1866</v>
      </c>
      <c r="E1678" s="116">
        <v>1885</v>
      </c>
      <c r="F1678" s="116">
        <v>1872</v>
      </c>
      <c r="G1678">
        <v>1765</v>
      </c>
      <c r="H1678" s="116"/>
      <c r="I1678" s="116"/>
      <c r="L1678" s="170">
        <v>44475</v>
      </c>
      <c r="M1678" s="116">
        <v>1873.35</v>
      </c>
      <c r="N1678" s="116">
        <v>1895.95</v>
      </c>
      <c r="O1678" s="116">
        <v>1860.1</v>
      </c>
      <c r="P1678" s="116">
        <v>1879</v>
      </c>
      <c r="Q1678" s="116">
        <v>1873.35</v>
      </c>
      <c r="R1678">
        <v>60478</v>
      </c>
    </row>
    <row r="1679" spans="1:18" x14ac:dyDescent="0.25">
      <c r="A1679" s="170">
        <v>44476</v>
      </c>
      <c r="B1679" s="116">
        <v>1898.9</v>
      </c>
      <c r="C1679" s="116">
        <v>1872.3</v>
      </c>
      <c r="D1679" s="116">
        <v>1865</v>
      </c>
      <c r="E1679" s="116">
        <v>1898.9</v>
      </c>
      <c r="F1679" s="116">
        <v>1872.3</v>
      </c>
      <c r="G1679">
        <v>2670</v>
      </c>
      <c r="H1679" s="116"/>
      <c r="I1679" s="116"/>
      <c r="L1679" s="170">
        <v>44476</v>
      </c>
      <c r="M1679" s="116">
        <v>1871.5</v>
      </c>
      <c r="N1679" s="116">
        <v>1898</v>
      </c>
      <c r="O1679" s="116">
        <v>1863</v>
      </c>
      <c r="P1679" s="116">
        <v>1880</v>
      </c>
      <c r="Q1679" s="116">
        <v>1871.5</v>
      </c>
      <c r="R1679">
        <v>64748</v>
      </c>
    </row>
    <row r="1680" spans="1:18" x14ac:dyDescent="0.25">
      <c r="A1680" s="170">
        <v>44477</v>
      </c>
      <c r="B1680" s="116">
        <v>1886</v>
      </c>
      <c r="C1680" s="116">
        <v>1841.5</v>
      </c>
      <c r="D1680" s="116">
        <v>1827</v>
      </c>
      <c r="E1680" s="116">
        <v>1873</v>
      </c>
      <c r="F1680" s="116">
        <v>1841.5</v>
      </c>
      <c r="G1680">
        <v>9382</v>
      </c>
      <c r="H1680" s="116"/>
      <c r="I1680" s="116"/>
      <c r="L1680" s="170">
        <v>44477</v>
      </c>
      <c r="M1680" s="116">
        <v>1839.75</v>
      </c>
      <c r="N1680" s="116">
        <v>1887.5</v>
      </c>
      <c r="O1680" s="116">
        <v>1827</v>
      </c>
      <c r="P1680" s="116">
        <v>1877.9</v>
      </c>
      <c r="Q1680" s="116">
        <v>1839.75</v>
      </c>
      <c r="R1680">
        <v>62953</v>
      </c>
    </row>
    <row r="1681" spans="1:18" x14ac:dyDescent="0.25">
      <c r="A1681" s="170">
        <v>44480</v>
      </c>
      <c r="B1681" s="116">
        <v>1870</v>
      </c>
      <c r="C1681" s="116">
        <v>1830.7</v>
      </c>
      <c r="D1681" s="116">
        <v>1822</v>
      </c>
      <c r="E1681" s="116">
        <v>1849.1</v>
      </c>
      <c r="F1681" s="116">
        <v>1830.7</v>
      </c>
      <c r="G1681">
        <v>7979</v>
      </c>
      <c r="H1681" s="116"/>
      <c r="I1681" s="116"/>
      <c r="L1681" s="170">
        <v>44480</v>
      </c>
      <c r="M1681" s="116">
        <v>1830.6</v>
      </c>
      <c r="N1681" s="116">
        <v>1870.05</v>
      </c>
      <c r="O1681" s="116">
        <v>1820.55</v>
      </c>
      <c r="P1681" s="116">
        <v>1846.4</v>
      </c>
      <c r="Q1681" s="116">
        <v>1830.6</v>
      </c>
      <c r="R1681">
        <v>66749</v>
      </c>
    </row>
    <row r="1682" spans="1:18" x14ac:dyDescent="0.25">
      <c r="A1682" s="170">
        <v>44481</v>
      </c>
      <c r="B1682" s="116">
        <v>1860</v>
      </c>
      <c r="C1682" s="116">
        <v>1827.35</v>
      </c>
      <c r="D1682" s="116">
        <v>1819</v>
      </c>
      <c r="E1682" s="116">
        <v>1854.2</v>
      </c>
      <c r="F1682" s="116">
        <v>1827.35</v>
      </c>
      <c r="G1682">
        <v>7200</v>
      </c>
      <c r="H1682" s="116"/>
      <c r="I1682" s="116"/>
      <c r="L1682" s="170">
        <v>44481</v>
      </c>
      <c r="M1682" s="116">
        <v>1827.65</v>
      </c>
      <c r="N1682" s="116">
        <v>1860</v>
      </c>
      <c r="O1682" s="116">
        <v>1819</v>
      </c>
      <c r="P1682" s="116">
        <v>1840.2</v>
      </c>
      <c r="Q1682" s="116">
        <v>1827.65</v>
      </c>
      <c r="R1682">
        <v>83711</v>
      </c>
    </row>
    <row r="1683" spans="1:18" x14ac:dyDescent="0.25">
      <c r="A1683" s="170">
        <v>44482</v>
      </c>
      <c r="B1683" s="116">
        <v>1875.95</v>
      </c>
      <c r="C1683" s="116">
        <v>1809.35</v>
      </c>
      <c r="D1683" s="116">
        <v>1801</v>
      </c>
      <c r="E1683" s="116">
        <v>1818</v>
      </c>
      <c r="F1683" s="116">
        <v>1809.35</v>
      </c>
      <c r="G1683">
        <v>7187</v>
      </c>
      <c r="H1683" s="116"/>
      <c r="I1683" s="116"/>
      <c r="L1683" s="170">
        <v>44482</v>
      </c>
      <c r="M1683" s="116">
        <v>1806.85</v>
      </c>
      <c r="N1683" s="116">
        <v>1877</v>
      </c>
      <c r="O1683" s="116">
        <v>1800</v>
      </c>
      <c r="P1683" s="116">
        <v>1834.95</v>
      </c>
      <c r="Q1683" s="116">
        <v>1806.85</v>
      </c>
      <c r="R1683">
        <v>132820</v>
      </c>
    </row>
    <row r="1684" spans="1:18" x14ac:dyDescent="0.25">
      <c r="A1684" s="170">
        <v>44483</v>
      </c>
      <c r="B1684" s="116">
        <v>1845</v>
      </c>
      <c r="C1684" s="116">
        <v>1819.75</v>
      </c>
      <c r="D1684" s="116">
        <v>1812</v>
      </c>
      <c r="E1684" s="116">
        <v>1812</v>
      </c>
      <c r="F1684" s="116">
        <v>1819.75</v>
      </c>
      <c r="G1684">
        <v>11563</v>
      </c>
      <c r="H1684" s="116"/>
      <c r="I1684" s="116"/>
      <c r="L1684" s="170">
        <v>44483</v>
      </c>
      <c r="M1684" s="116">
        <v>1819</v>
      </c>
      <c r="N1684" s="116">
        <v>1846.5</v>
      </c>
      <c r="O1684" s="116">
        <v>1811.6</v>
      </c>
      <c r="P1684" s="116">
        <v>1824.4</v>
      </c>
      <c r="Q1684" s="116">
        <v>1819</v>
      </c>
      <c r="R1684">
        <v>92662</v>
      </c>
    </row>
    <row r="1685" spans="1:18" x14ac:dyDescent="0.25">
      <c r="A1685" s="170">
        <v>44487</v>
      </c>
      <c r="B1685" s="116">
        <v>1858</v>
      </c>
      <c r="C1685" s="116">
        <v>1829.45</v>
      </c>
      <c r="D1685" s="116">
        <v>1825.95</v>
      </c>
      <c r="E1685" s="116">
        <v>1828</v>
      </c>
      <c r="F1685" s="116">
        <v>1829.45</v>
      </c>
      <c r="G1685">
        <v>10319</v>
      </c>
      <c r="H1685" s="116"/>
      <c r="I1685" s="116"/>
      <c r="L1685" s="170">
        <v>44487</v>
      </c>
      <c r="M1685" s="116">
        <v>1829.5</v>
      </c>
      <c r="N1685" s="116">
        <v>1858.95</v>
      </c>
      <c r="O1685" s="116">
        <v>1827</v>
      </c>
      <c r="P1685" s="116">
        <v>1837.8</v>
      </c>
      <c r="Q1685" s="116">
        <v>1829.5</v>
      </c>
      <c r="R1685">
        <v>92011</v>
      </c>
    </row>
    <row r="1686" spans="1:18" x14ac:dyDescent="0.25">
      <c r="A1686" s="170">
        <v>44488</v>
      </c>
      <c r="B1686" s="116">
        <v>1862.1</v>
      </c>
      <c r="C1686" s="116">
        <v>1842.65</v>
      </c>
      <c r="D1686" s="116">
        <v>1821</v>
      </c>
      <c r="E1686" s="116">
        <v>1834.6</v>
      </c>
      <c r="F1686" s="116">
        <v>1842.65</v>
      </c>
      <c r="G1686">
        <v>5906</v>
      </c>
      <c r="H1686" s="116"/>
      <c r="I1686" s="116"/>
      <c r="L1686" s="170">
        <v>44488</v>
      </c>
      <c r="M1686" s="116">
        <v>1846.25</v>
      </c>
      <c r="N1686" s="116">
        <v>1864</v>
      </c>
      <c r="O1686" s="116">
        <v>1821</v>
      </c>
      <c r="P1686" s="116">
        <v>1842.9</v>
      </c>
      <c r="Q1686" s="116">
        <v>1846.25</v>
      </c>
      <c r="R1686">
        <v>93823</v>
      </c>
    </row>
    <row r="1687" spans="1:18" x14ac:dyDescent="0.25">
      <c r="A1687" s="170">
        <v>44489</v>
      </c>
      <c r="B1687" s="116">
        <v>1857</v>
      </c>
      <c r="C1687" s="116">
        <v>1830.2</v>
      </c>
      <c r="D1687" s="116">
        <v>1816</v>
      </c>
      <c r="E1687" s="116">
        <v>1849</v>
      </c>
      <c r="F1687" s="116">
        <v>1830.2</v>
      </c>
      <c r="G1687">
        <v>11886</v>
      </c>
      <c r="H1687" s="116"/>
      <c r="I1687" s="116"/>
      <c r="L1687" s="170">
        <v>44489</v>
      </c>
      <c r="M1687" s="116">
        <v>1830.25</v>
      </c>
      <c r="N1687" s="116">
        <v>1857.9</v>
      </c>
      <c r="O1687" s="116">
        <v>1815.25</v>
      </c>
      <c r="P1687" s="116">
        <v>1857</v>
      </c>
      <c r="Q1687" s="116">
        <v>1830.25</v>
      </c>
      <c r="R1687">
        <v>93490</v>
      </c>
    </row>
    <row r="1688" spans="1:18" x14ac:dyDescent="0.25">
      <c r="A1688" s="170">
        <v>44490</v>
      </c>
      <c r="B1688" s="116">
        <v>1878</v>
      </c>
      <c r="C1688" s="116">
        <v>1872.5</v>
      </c>
      <c r="D1688" s="116">
        <v>1825</v>
      </c>
      <c r="E1688" s="116">
        <v>1840.35</v>
      </c>
      <c r="F1688" s="116">
        <v>1872.5</v>
      </c>
      <c r="G1688">
        <v>7706</v>
      </c>
      <c r="H1688" s="116"/>
      <c r="I1688" s="116"/>
      <c r="L1688" s="170">
        <v>44490</v>
      </c>
      <c r="M1688" s="116">
        <v>1875</v>
      </c>
      <c r="N1688" s="116">
        <v>1878.7</v>
      </c>
      <c r="O1688" s="116">
        <v>1825.05</v>
      </c>
      <c r="P1688" s="116">
        <v>1839.7</v>
      </c>
      <c r="Q1688" s="116">
        <v>1875</v>
      </c>
      <c r="R1688">
        <v>114209</v>
      </c>
    </row>
    <row r="1689" spans="1:18" x14ac:dyDescent="0.25">
      <c r="A1689" s="170">
        <v>44491</v>
      </c>
      <c r="B1689" s="116">
        <v>1938.85</v>
      </c>
      <c r="C1689" s="116">
        <v>1911.3</v>
      </c>
      <c r="D1689" s="116">
        <v>1882.85</v>
      </c>
      <c r="E1689" s="116">
        <v>1885</v>
      </c>
      <c r="F1689" s="116">
        <v>1911.3</v>
      </c>
      <c r="G1689">
        <v>14029</v>
      </c>
      <c r="H1689" s="116"/>
      <c r="I1689" s="116"/>
      <c r="L1689" s="170">
        <v>44491</v>
      </c>
      <c r="M1689" s="116">
        <v>1909.3</v>
      </c>
      <c r="N1689" s="116">
        <v>1939</v>
      </c>
      <c r="O1689" s="116">
        <v>1880.35</v>
      </c>
      <c r="P1689" s="116">
        <v>1888</v>
      </c>
      <c r="Q1689" s="116">
        <v>1909.3</v>
      </c>
      <c r="R1689">
        <v>338028</v>
      </c>
    </row>
    <row r="1690" spans="1:18" x14ac:dyDescent="0.25">
      <c r="A1690" s="170">
        <v>44494</v>
      </c>
      <c r="B1690" s="116">
        <v>1970.95</v>
      </c>
      <c r="C1690" s="116">
        <v>1848.1</v>
      </c>
      <c r="D1690" s="116">
        <v>1829.45</v>
      </c>
      <c r="E1690" s="116">
        <v>1911.5</v>
      </c>
      <c r="F1690" s="116">
        <v>1848.1</v>
      </c>
      <c r="G1690">
        <v>25358</v>
      </c>
      <c r="H1690" s="116"/>
      <c r="I1690" s="116"/>
      <c r="L1690" s="170">
        <v>44494</v>
      </c>
      <c r="M1690" s="116">
        <v>1850.2</v>
      </c>
      <c r="N1690" s="116">
        <v>1970</v>
      </c>
      <c r="O1690" s="116">
        <v>1830</v>
      </c>
      <c r="P1690" s="116">
        <v>1920</v>
      </c>
      <c r="Q1690" s="116">
        <v>1850.2</v>
      </c>
      <c r="R1690">
        <v>335087</v>
      </c>
    </row>
    <row r="1691" spans="1:18" x14ac:dyDescent="0.25">
      <c r="A1691" s="170">
        <v>44495</v>
      </c>
      <c r="B1691" s="116">
        <v>1880.45</v>
      </c>
      <c r="C1691" s="116">
        <v>1841.8</v>
      </c>
      <c r="D1691" s="116">
        <v>1819</v>
      </c>
      <c r="E1691" s="116">
        <v>1880.45</v>
      </c>
      <c r="F1691" s="116">
        <v>1841.8</v>
      </c>
      <c r="G1691">
        <v>7141</v>
      </c>
      <c r="H1691" s="116"/>
      <c r="I1691" s="116"/>
      <c r="L1691" s="170">
        <v>44495</v>
      </c>
      <c r="M1691" s="116">
        <v>1845.6</v>
      </c>
      <c r="N1691" s="116">
        <v>1868.85</v>
      </c>
      <c r="O1691" s="116">
        <v>1818.1</v>
      </c>
      <c r="P1691" s="116">
        <v>1864.9</v>
      </c>
      <c r="Q1691" s="116">
        <v>1845.6</v>
      </c>
      <c r="R1691">
        <v>206780</v>
      </c>
    </row>
    <row r="1692" spans="1:18" x14ac:dyDescent="0.25">
      <c r="A1692" s="170">
        <v>44496</v>
      </c>
      <c r="B1692" s="116">
        <v>1950</v>
      </c>
      <c r="C1692" s="116">
        <v>1862.5</v>
      </c>
      <c r="D1692" s="116">
        <v>1833</v>
      </c>
      <c r="E1692" s="116">
        <v>1878.3</v>
      </c>
      <c r="F1692" s="116">
        <v>1862.5</v>
      </c>
      <c r="G1692">
        <v>20512</v>
      </c>
      <c r="H1692" s="116"/>
      <c r="I1692" s="116"/>
      <c r="L1692" s="170">
        <v>44496</v>
      </c>
      <c r="M1692" s="116">
        <v>1879.7</v>
      </c>
      <c r="N1692" s="116">
        <v>1932.85</v>
      </c>
      <c r="O1692" s="116">
        <v>1866.05</v>
      </c>
      <c r="P1692" s="116">
        <v>1920.05</v>
      </c>
      <c r="Q1692" s="116">
        <v>1879.7</v>
      </c>
      <c r="R1692">
        <v>529236</v>
      </c>
    </row>
    <row r="1693" spans="1:18" x14ac:dyDescent="0.25">
      <c r="A1693" s="170">
        <v>44497</v>
      </c>
      <c r="B1693" s="116">
        <v>2000</v>
      </c>
      <c r="C1693" s="116">
        <v>1985.95</v>
      </c>
      <c r="D1693" s="116">
        <v>1888.85</v>
      </c>
      <c r="E1693" s="116">
        <v>1889</v>
      </c>
      <c r="F1693" s="116">
        <v>1985.95</v>
      </c>
      <c r="G1693">
        <v>44917</v>
      </c>
      <c r="H1693" s="116"/>
      <c r="I1693" s="116"/>
      <c r="L1693" s="170">
        <v>44497</v>
      </c>
      <c r="M1693" s="116">
        <v>1983.65</v>
      </c>
      <c r="N1693" s="116">
        <v>1999</v>
      </c>
      <c r="O1693" s="116">
        <v>1878.8</v>
      </c>
      <c r="P1693" s="116">
        <v>1879.7</v>
      </c>
      <c r="Q1693" s="116">
        <v>1983.65</v>
      </c>
      <c r="R1693">
        <v>1355503</v>
      </c>
    </row>
    <row r="1694" spans="1:18" x14ac:dyDescent="0.25">
      <c r="A1694" s="170">
        <v>44498</v>
      </c>
      <c r="B1694" s="116">
        <v>2152.5</v>
      </c>
      <c r="C1694" s="116">
        <v>2109.6999999999998</v>
      </c>
      <c r="D1694" s="116">
        <v>1949.15</v>
      </c>
      <c r="E1694" s="116">
        <v>1975.05</v>
      </c>
      <c r="F1694" s="116">
        <v>2109.6999999999998</v>
      </c>
      <c r="G1694">
        <v>272248</v>
      </c>
      <c r="H1694" s="116"/>
      <c r="I1694" s="116"/>
      <c r="L1694" s="170">
        <v>44498</v>
      </c>
      <c r="M1694" s="116">
        <v>2119.9</v>
      </c>
      <c r="N1694" s="116">
        <v>2153.75</v>
      </c>
      <c r="O1694" s="116">
        <v>1954.3</v>
      </c>
      <c r="P1694" s="116">
        <v>1997.95</v>
      </c>
      <c r="Q1694" s="116">
        <v>2119.9</v>
      </c>
      <c r="R1694">
        <v>960349</v>
      </c>
    </row>
    <row r="1695" spans="1:18" x14ac:dyDescent="0.25">
      <c r="A1695" s="170">
        <v>44501</v>
      </c>
      <c r="B1695" s="116">
        <v>2167.5500000000002</v>
      </c>
      <c r="C1695" s="116">
        <v>2081.5500000000002</v>
      </c>
      <c r="D1695" s="116">
        <v>2030</v>
      </c>
      <c r="E1695" s="116">
        <v>2125</v>
      </c>
      <c r="F1695" s="116">
        <v>2081.5500000000002</v>
      </c>
      <c r="G1695">
        <v>27205</v>
      </c>
      <c r="H1695" s="116"/>
      <c r="I1695" s="116"/>
      <c r="L1695" s="170">
        <v>44501</v>
      </c>
      <c r="M1695" s="116">
        <v>2079.6999999999998</v>
      </c>
      <c r="N1695" s="116">
        <v>2170</v>
      </c>
      <c r="O1695" s="116">
        <v>2032.1</v>
      </c>
      <c r="P1695" s="116">
        <v>2105</v>
      </c>
      <c r="Q1695" s="116">
        <v>2079.6999999999998</v>
      </c>
      <c r="R1695">
        <v>485302</v>
      </c>
    </row>
    <row r="1696" spans="1:18" x14ac:dyDescent="0.25">
      <c r="A1696" s="170">
        <v>44502</v>
      </c>
      <c r="B1696" s="116">
        <v>2113.4499999999998</v>
      </c>
      <c r="C1696" s="116">
        <v>2061.3000000000002</v>
      </c>
      <c r="D1696" s="116">
        <v>2041</v>
      </c>
      <c r="E1696" s="116">
        <v>2085</v>
      </c>
      <c r="F1696" s="116">
        <v>2061.3000000000002</v>
      </c>
      <c r="G1696">
        <v>9263</v>
      </c>
      <c r="H1696" s="116"/>
      <c r="I1696" s="116"/>
      <c r="L1696" s="170">
        <v>44502</v>
      </c>
      <c r="M1696" s="116">
        <v>2062.4499999999998</v>
      </c>
      <c r="N1696" s="116">
        <v>2115</v>
      </c>
      <c r="O1696" s="116">
        <v>2041.3</v>
      </c>
      <c r="P1696" s="116">
        <v>2090</v>
      </c>
      <c r="Q1696" s="116">
        <v>2062.4499999999998</v>
      </c>
      <c r="R1696">
        <v>118552</v>
      </c>
    </row>
    <row r="1697" spans="1:18" x14ac:dyDescent="0.25">
      <c r="A1697" s="170">
        <v>44503</v>
      </c>
      <c r="B1697" s="116">
        <v>2142</v>
      </c>
      <c r="C1697" s="116">
        <v>2064.6</v>
      </c>
      <c r="D1697" s="116">
        <v>2044.5</v>
      </c>
      <c r="E1697" s="116">
        <v>2073.9499999999998</v>
      </c>
      <c r="F1697" s="116">
        <v>2064.6</v>
      </c>
      <c r="G1697">
        <v>14628</v>
      </c>
      <c r="H1697" s="116"/>
      <c r="I1697" s="116"/>
      <c r="L1697" s="170">
        <v>44503</v>
      </c>
      <c r="M1697" s="116">
        <v>2068.9499999999998</v>
      </c>
      <c r="N1697" s="116">
        <v>2144.75</v>
      </c>
      <c r="O1697" s="116">
        <v>2052.1999999999998</v>
      </c>
      <c r="P1697" s="116">
        <v>2066.1999999999998</v>
      </c>
      <c r="Q1697" s="116">
        <v>2068.9499999999998</v>
      </c>
      <c r="R1697">
        <v>385323</v>
      </c>
    </row>
    <row r="1698" spans="1:18" x14ac:dyDescent="0.25">
      <c r="A1698" s="170">
        <v>44504</v>
      </c>
      <c r="B1698" s="116">
        <v>2122.25</v>
      </c>
      <c r="C1698" s="116">
        <v>2103.9499999999998</v>
      </c>
      <c r="D1698" s="116">
        <v>2050.1</v>
      </c>
      <c r="E1698" s="116">
        <v>2070.0500000000002</v>
      </c>
      <c r="F1698" s="116">
        <v>2103.9499999999998</v>
      </c>
      <c r="G1698">
        <v>2224</v>
      </c>
      <c r="H1698" s="116"/>
      <c r="I1698" s="116"/>
      <c r="L1698" s="170">
        <v>44504</v>
      </c>
      <c r="M1698" s="116">
        <v>2105.65</v>
      </c>
      <c r="N1698" s="116">
        <v>2123.6999999999998</v>
      </c>
      <c r="O1698" s="116">
        <v>2060</v>
      </c>
      <c r="P1698" s="116">
        <v>2076.25</v>
      </c>
      <c r="Q1698" s="116">
        <v>2105.65</v>
      </c>
      <c r="R1698">
        <v>42743</v>
      </c>
    </row>
    <row r="1699" spans="1:18" x14ac:dyDescent="0.25">
      <c r="A1699" s="170">
        <v>44508</v>
      </c>
      <c r="B1699" s="116">
        <v>2121.5</v>
      </c>
      <c r="C1699" s="116">
        <v>2081.85</v>
      </c>
      <c r="D1699" s="116">
        <v>2074.15</v>
      </c>
      <c r="E1699" s="116">
        <v>2107.4499999999998</v>
      </c>
      <c r="F1699" s="116">
        <v>2081.85</v>
      </c>
      <c r="G1699">
        <v>5360</v>
      </c>
      <c r="H1699" s="116"/>
      <c r="I1699" s="116"/>
      <c r="L1699" s="170">
        <v>44508</v>
      </c>
      <c r="M1699" s="116">
        <v>2086.9</v>
      </c>
      <c r="N1699" s="116">
        <v>2124.35</v>
      </c>
      <c r="O1699" s="116">
        <v>2071.1999999999998</v>
      </c>
      <c r="P1699" s="116">
        <v>2110</v>
      </c>
      <c r="Q1699" s="116">
        <v>2086.9</v>
      </c>
      <c r="R1699">
        <v>194599</v>
      </c>
    </row>
    <row r="1700" spans="1:18" x14ac:dyDescent="0.25">
      <c r="A1700" s="170">
        <v>44509</v>
      </c>
      <c r="B1700" s="116">
        <v>2205.1</v>
      </c>
      <c r="C1700" s="116">
        <v>2182.6999999999998</v>
      </c>
      <c r="D1700" s="116">
        <v>2083</v>
      </c>
      <c r="E1700" s="116">
        <v>2086.9499999999998</v>
      </c>
      <c r="F1700" s="116">
        <v>2182.6999999999998</v>
      </c>
      <c r="G1700">
        <v>24933</v>
      </c>
      <c r="H1700" s="116"/>
      <c r="I1700" s="116"/>
      <c r="L1700" s="170">
        <v>44509</v>
      </c>
      <c r="M1700" s="116">
        <v>2185.0500000000002</v>
      </c>
      <c r="N1700" s="116">
        <v>2208.4</v>
      </c>
      <c r="O1700" s="116">
        <v>2084.4499999999998</v>
      </c>
      <c r="P1700" s="116">
        <v>2094.9499999999998</v>
      </c>
      <c r="Q1700" s="116">
        <v>2185.0500000000002</v>
      </c>
      <c r="R1700">
        <v>595914</v>
      </c>
    </row>
    <row r="1701" spans="1:18" x14ac:dyDescent="0.25">
      <c r="A1701" s="170">
        <v>44510</v>
      </c>
      <c r="B1701" s="116">
        <v>2222</v>
      </c>
      <c r="C1701" s="116">
        <v>2169.85</v>
      </c>
      <c r="D1701" s="116">
        <v>2152</v>
      </c>
      <c r="E1701" s="116">
        <v>2188</v>
      </c>
      <c r="F1701" s="116">
        <v>2169.85</v>
      </c>
      <c r="G1701">
        <v>10639</v>
      </c>
      <c r="H1701" s="116"/>
      <c r="I1701" s="116"/>
      <c r="L1701" s="170">
        <v>44510</v>
      </c>
      <c r="M1701" s="116">
        <v>2170.6999999999998</v>
      </c>
      <c r="N1701" s="116">
        <v>2222.1</v>
      </c>
      <c r="O1701" s="116">
        <v>2151</v>
      </c>
      <c r="P1701" s="116">
        <v>2185.0500000000002</v>
      </c>
      <c r="Q1701" s="116">
        <v>2170.6999999999998</v>
      </c>
      <c r="R1701">
        <v>207186</v>
      </c>
    </row>
    <row r="1702" spans="1:18" x14ac:dyDescent="0.25">
      <c r="A1702" s="170">
        <v>44511</v>
      </c>
      <c r="B1702" s="116">
        <v>2203.9499999999998</v>
      </c>
      <c r="C1702" s="116">
        <v>2172.0500000000002</v>
      </c>
      <c r="D1702" s="116">
        <v>2133.8000000000002</v>
      </c>
      <c r="E1702" s="116">
        <v>2180.9499999999998</v>
      </c>
      <c r="F1702" s="116">
        <v>2172.0500000000002</v>
      </c>
      <c r="G1702">
        <v>8332</v>
      </c>
      <c r="H1702" s="116"/>
      <c r="I1702" s="116"/>
      <c r="L1702" s="170">
        <v>44511</v>
      </c>
      <c r="M1702" s="116">
        <v>2172.3000000000002</v>
      </c>
      <c r="N1702" s="116">
        <v>2205</v>
      </c>
      <c r="O1702" s="116">
        <v>2132.15</v>
      </c>
      <c r="P1702" s="116">
        <v>2181.85</v>
      </c>
      <c r="Q1702" s="116">
        <v>2172.3000000000002</v>
      </c>
      <c r="R1702">
        <v>123304</v>
      </c>
    </row>
    <row r="1703" spans="1:18" x14ac:dyDescent="0.25">
      <c r="A1703" s="170">
        <v>44512</v>
      </c>
      <c r="B1703" s="116">
        <v>2232.9</v>
      </c>
      <c r="C1703" s="116">
        <v>2215.4</v>
      </c>
      <c r="D1703" s="116">
        <v>2155</v>
      </c>
      <c r="E1703" s="116">
        <v>2188.9</v>
      </c>
      <c r="F1703" s="116">
        <v>2215.4</v>
      </c>
      <c r="G1703">
        <v>17310</v>
      </c>
      <c r="H1703" s="116"/>
      <c r="I1703" s="116"/>
      <c r="L1703" s="170">
        <v>44512</v>
      </c>
      <c r="M1703" s="116">
        <v>2211.3000000000002</v>
      </c>
      <c r="N1703" s="116">
        <v>2232</v>
      </c>
      <c r="O1703" s="116">
        <v>2153.5</v>
      </c>
      <c r="P1703" s="116">
        <v>2160.1999999999998</v>
      </c>
      <c r="Q1703" s="116">
        <v>2211.3000000000002</v>
      </c>
      <c r="R1703">
        <v>258341</v>
      </c>
    </row>
    <row r="1704" spans="1:18" x14ac:dyDescent="0.25">
      <c r="A1704" s="170">
        <v>44515</v>
      </c>
      <c r="B1704" s="116">
        <v>2227</v>
      </c>
      <c r="C1704" s="116">
        <v>2144.8000000000002</v>
      </c>
      <c r="D1704" s="116">
        <v>2131.25</v>
      </c>
      <c r="E1704" s="116">
        <v>2225</v>
      </c>
      <c r="F1704" s="116">
        <v>2144.8000000000002</v>
      </c>
      <c r="G1704">
        <v>63739</v>
      </c>
      <c r="H1704" s="116"/>
      <c r="I1704" s="116"/>
      <c r="L1704" s="170">
        <v>44515</v>
      </c>
      <c r="M1704" s="116">
        <v>2148.1</v>
      </c>
      <c r="N1704" s="116">
        <v>2231</v>
      </c>
      <c r="O1704" s="116">
        <v>2137</v>
      </c>
      <c r="P1704" s="116">
        <v>2230</v>
      </c>
      <c r="Q1704" s="116">
        <v>2148.1</v>
      </c>
      <c r="R1704">
        <v>91793</v>
      </c>
    </row>
    <row r="1705" spans="1:18" x14ac:dyDescent="0.25">
      <c r="A1705" s="170">
        <v>44516</v>
      </c>
      <c r="B1705" s="116">
        <v>2190.9499999999998</v>
      </c>
      <c r="C1705" s="116">
        <v>2176.4</v>
      </c>
      <c r="D1705" s="116">
        <v>2140.0500000000002</v>
      </c>
      <c r="E1705" s="116">
        <v>2150</v>
      </c>
      <c r="F1705" s="116">
        <v>2176.4</v>
      </c>
      <c r="G1705">
        <v>9253</v>
      </c>
      <c r="H1705" s="116"/>
      <c r="I1705" s="116"/>
      <c r="L1705" s="170">
        <v>44516</v>
      </c>
      <c r="M1705" s="116">
        <v>2176.9499999999998</v>
      </c>
      <c r="N1705" s="116">
        <v>2189.9499999999998</v>
      </c>
      <c r="O1705" s="116">
        <v>2140.1999999999998</v>
      </c>
      <c r="P1705" s="116">
        <v>2148.1</v>
      </c>
      <c r="Q1705" s="116">
        <v>2176.9499999999998</v>
      </c>
      <c r="R1705">
        <v>384464</v>
      </c>
    </row>
    <row r="1706" spans="1:18" x14ac:dyDescent="0.25">
      <c r="A1706" s="170">
        <v>44517</v>
      </c>
      <c r="B1706" s="116">
        <v>2209.9499999999998</v>
      </c>
      <c r="C1706" s="116">
        <v>2192.9499999999998</v>
      </c>
      <c r="D1706" s="116">
        <v>2157.5</v>
      </c>
      <c r="E1706" s="116">
        <v>2169</v>
      </c>
      <c r="F1706" s="116">
        <v>2192.9499999999998</v>
      </c>
      <c r="G1706">
        <v>24028</v>
      </c>
      <c r="H1706" s="116"/>
      <c r="I1706" s="116"/>
      <c r="L1706" s="170">
        <v>44517</v>
      </c>
      <c r="M1706" s="116">
        <v>2191.6999999999998</v>
      </c>
      <c r="N1706" s="116">
        <v>2210</v>
      </c>
      <c r="O1706" s="116">
        <v>2150.0500000000002</v>
      </c>
      <c r="P1706" s="116">
        <v>2157.1999999999998</v>
      </c>
      <c r="Q1706" s="116">
        <v>2191.6999999999998</v>
      </c>
      <c r="R1706">
        <v>216359</v>
      </c>
    </row>
    <row r="1707" spans="1:18" x14ac:dyDescent="0.25">
      <c r="A1707" s="170">
        <v>44518</v>
      </c>
      <c r="B1707" s="116">
        <v>2220</v>
      </c>
      <c r="C1707" s="116">
        <v>2144.0500000000002</v>
      </c>
      <c r="D1707" s="116">
        <v>2124.3000000000002</v>
      </c>
      <c r="E1707" s="116">
        <v>2198.8000000000002</v>
      </c>
      <c r="F1707" s="116">
        <v>2144.0500000000002</v>
      </c>
      <c r="G1707">
        <v>93326</v>
      </c>
      <c r="H1707" s="116"/>
      <c r="I1707" s="116"/>
      <c r="L1707" s="170">
        <v>44518</v>
      </c>
      <c r="M1707" s="116">
        <v>2149.5500000000002</v>
      </c>
      <c r="N1707" s="116">
        <v>2222.9</v>
      </c>
      <c r="O1707" s="116">
        <v>2124</v>
      </c>
      <c r="P1707" s="116">
        <v>2200</v>
      </c>
      <c r="Q1707" s="116">
        <v>2149.5500000000002</v>
      </c>
      <c r="R1707">
        <v>110299</v>
      </c>
    </row>
    <row r="1708" spans="1:18" x14ac:dyDescent="0.25">
      <c r="A1708" s="170">
        <v>44522</v>
      </c>
      <c r="B1708" s="116">
        <v>2182.4</v>
      </c>
      <c r="C1708" s="116">
        <v>2092.3000000000002</v>
      </c>
      <c r="D1708" s="116">
        <v>1978.95</v>
      </c>
      <c r="E1708" s="116">
        <v>2150</v>
      </c>
      <c r="F1708" s="116">
        <v>2092.3000000000002</v>
      </c>
      <c r="G1708">
        <v>28729</v>
      </c>
      <c r="H1708" s="116"/>
      <c r="I1708" s="116"/>
      <c r="L1708" s="170">
        <v>44522</v>
      </c>
      <c r="M1708" s="116">
        <v>2099.8000000000002</v>
      </c>
      <c r="N1708" s="116">
        <v>2184.65</v>
      </c>
      <c r="O1708" s="116">
        <v>1978.25</v>
      </c>
      <c r="P1708" s="116">
        <v>2158.15</v>
      </c>
      <c r="Q1708" s="116">
        <v>2099.8000000000002</v>
      </c>
      <c r="R1708">
        <v>240928</v>
      </c>
    </row>
    <row r="1709" spans="1:18" x14ac:dyDescent="0.25">
      <c r="A1709" s="170">
        <v>44523</v>
      </c>
      <c r="B1709" s="116">
        <v>2152.75</v>
      </c>
      <c r="C1709" s="116">
        <v>2102.35</v>
      </c>
      <c r="D1709" s="116">
        <v>2078.9499999999998</v>
      </c>
      <c r="E1709" s="116">
        <v>2092.3000000000002</v>
      </c>
      <c r="F1709" s="116">
        <v>2102.35</v>
      </c>
      <c r="G1709">
        <v>5629</v>
      </c>
      <c r="H1709" s="116"/>
      <c r="I1709" s="116"/>
      <c r="L1709" s="170">
        <v>44523</v>
      </c>
      <c r="M1709" s="116">
        <v>2103.1999999999998</v>
      </c>
      <c r="N1709" s="116">
        <v>2155</v>
      </c>
      <c r="O1709" s="116">
        <v>2079.35</v>
      </c>
      <c r="P1709" s="116">
        <v>2080</v>
      </c>
      <c r="Q1709" s="116">
        <v>2103.1999999999998</v>
      </c>
      <c r="R1709">
        <v>107742</v>
      </c>
    </row>
    <row r="1710" spans="1:18" x14ac:dyDescent="0.25">
      <c r="A1710" s="170">
        <v>44524</v>
      </c>
      <c r="B1710" s="116">
        <v>2110.15</v>
      </c>
      <c r="C1710" s="116">
        <v>2086.1999999999998</v>
      </c>
      <c r="D1710" s="116">
        <v>2056.9</v>
      </c>
      <c r="E1710" s="116">
        <v>2110.15</v>
      </c>
      <c r="F1710" s="116">
        <v>2086.1999999999998</v>
      </c>
      <c r="G1710">
        <v>10801</v>
      </c>
      <c r="H1710" s="116"/>
      <c r="I1710" s="116"/>
      <c r="L1710" s="170">
        <v>44524</v>
      </c>
      <c r="M1710" s="116">
        <v>2085.8000000000002</v>
      </c>
      <c r="N1710" s="116">
        <v>2109.9</v>
      </c>
      <c r="O1710" s="116">
        <v>2055.6999999999998</v>
      </c>
      <c r="P1710" s="116">
        <v>2105</v>
      </c>
      <c r="Q1710" s="116">
        <v>2085.8000000000002</v>
      </c>
      <c r="R1710">
        <v>214763</v>
      </c>
    </row>
    <row r="1711" spans="1:18" x14ac:dyDescent="0.25">
      <c r="A1711" s="170">
        <v>44525</v>
      </c>
      <c r="B1711" s="116">
        <v>2110</v>
      </c>
      <c r="C1711" s="116">
        <v>2047.15</v>
      </c>
      <c r="D1711" s="116">
        <v>2040</v>
      </c>
      <c r="E1711" s="116">
        <v>2110</v>
      </c>
      <c r="F1711" s="116">
        <v>2047.15</v>
      </c>
      <c r="G1711">
        <v>12337</v>
      </c>
      <c r="H1711" s="116"/>
      <c r="I1711" s="116"/>
      <c r="L1711" s="170">
        <v>44525</v>
      </c>
      <c r="M1711" s="116">
        <v>2046.95</v>
      </c>
      <c r="N1711" s="116">
        <v>2101.4499999999998</v>
      </c>
      <c r="O1711" s="116">
        <v>2040</v>
      </c>
      <c r="P1711" s="116">
        <v>2094.15</v>
      </c>
      <c r="Q1711" s="116">
        <v>2046.95</v>
      </c>
      <c r="R1711">
        <v>248082</v>
      </c>
    </row>
    <row r="1712" spans="1:18" x14ac:dyDescent="0.25">
      <c r="A1712" s="170">
        <v>44526</v>
      </c>
      <c r="B1712" s="116">
        <v>2062.35</v>
      </c>
      <c r="C1712" s="116">
        <v>1993.15</v>
      </c>
      <c r="D1712" s="116">
        <v>1977.65</v>
      </c>
      <c r="E1712" s="116">
        <v>2020</v>
      </c>
      <c r="F1712" s="116">
        <v>1993.15</v>
      </c>
      <c r="G1712">
        <v>9534</v>
      </c>
      <c r="H1712" s="116"/>
      <c r="I1712" s="116"/>
      <c r="L1712" s="170">
        <v>44526</v>
      </c>
      <c r="M1712" s="116">
        <v>1995</v>
      </c>
      <c r="N1712" s="116">
        <v>2063.1999999999998</v>
      </c>
      <c r="O1712" s="116">
        <v>1975</v>
      </c>
      <c r="P1712" s="116">
        <v>2043</v>
      </c>
      <c r="Q1712" s="116">
        <v>1995</v>
      </c>
      <c r="R1712">
        <v>87944</v>
      </c>
    </row>
    <row r="1713" spans="1:18" x14ac:dyDescent="0.25">
      <c r="A1713" s="170">
        <v>44529</v>
      </c>
      <c r="B1713" s="116">
        <v>2115</v>
      </c>
      <c r="C1713" s="116">
        <v>2085.1</v>
      </c>
      <c r="D1713" s="116">
        <v>1955.15</v>
      </c>
      <c r="E1713" s="116">
        <v>1995.05</v>
      </c>
      <c r="F1713" s="116">
        <v>2085.1</v>
      </c>
      <c r="G1713">
        <v>12813</v>
      </c>
      <c r="H1713" s="116"/>
      <c r="I1713" s="116"/>
      <c r="L1713" s="170">
        <v>44529</v>
      </c>
      <c r="M1713" s="116">
        <v>2083.35</v>
      </c>
      <c r="N1713" s="116">
        <v>2119</v>
      </c>
      <c r="O1713" s="116">
        <v>1954.05</v>
      </c>
      <c r="P1713" s="116">
        <v>1955</v>
      </c>
      <c r="Q1713" s="116">
        <v>2083.35</v>
      </c>
      <c r="R1713">
        <v>141832</v>
      </c>
    </row>
    <row r="1714" spans="1:18" x14ac:dyDescent="0.25">
      <c r="A1714" s="170">
        <v>44530</v>
      </c>
      <c r="B1714" s="116">
        <v>2161.4</v>
      </c>
      <c r="C1714" s="116">
        <v>2068.35</v>
      </c>
      <c r="D1714" s="116">
        <v>2024.4</v>
      </c>
      <c r="E1714" s="116">
        <v>2090</v>
      </c>
      <c r="F1714" s="116">
        <v>2068.35</v>
      </c>
      <c r="G1714">
        <v>13727</v>
      </c>
      <c r="H1714" s="116"/>
      <c r="I1714" s="116"/>
      <c r="L1714" s="170">
        <v>44530</v>
      </c>
      <c r="M1714" s="116">
        <v>2061.85</v>
      </c>
      <c r="N1714" s="116">
        <v>2164.5</v>
      </c>
      <c r="O1714" s="116">
        <v>2022</v>
      </c>
      <c r="P1714" s="116">
        <v>2106</v>
      </c>
      <c r="Q1714" s="116">
        <v>2061.85</v>
      </c>
      <c r="R1714">
        <v>239856</v>
      </c>
    </row>
    <row r="1715" spans="1:18" x14ac:dyDescent="0.25">
      <c r="A1715" s="170">
        <v>44531</v>
      </c>
      <c r="B1715" s="116">
        <v>2085.5</v>
      </c>
      <c r="C1715" s="116">
        <v>2019.75</v>
      </c>
      <c r="D1715" s="116">
        <v>2009.1</v>
      </c>
      <c r="E1715" s="116">
        <v>2060</v>
      </c>
      <c r="F1715" s="116">
        <v>2019.75</v>
      </c>
      <c r="G1715">
        <v>7387</v>
      </c>
      <c r="H1715" s="116"/>
      <c r="I1715" s="116"/>
      <c r="L1715" s="170">
        <v>44531</v>
      </c>
      <c r="M1715" s="116">
        <v>2017.9</v>
      </c>
      <c r="N1715" s="116">
        <v>2087.6999999999998</v>
      </c>
      <c r="O1715" s="116">
        <v>2008.3</v>
      </c>
      <c r="P1715" s="116">
        <v>2056</v>
      </c>
      <c r="Q1715" s="116">
        <v>2017.9</v>
      </c>
      <c r="R1715">
        <v>122697</v>
      </c>
    </row>
    <row r="1716" spans="1:18" x14ac:dyDescent="0.25">
      <c r="A1716" s="170">
        <v>44532</v>
      </c>
      <c r="B1716" s="116">
        <v>2130</v>
      </c>
      <c r="C1716" s="116">
        <v>2113.25</v>
      </c>
      <c r="D1716" s="116">
        <v>2020.05</v>
      </c>
      <c r="E1716" s="116">
        <v>2020.05</v>
      </c>
      <c r="F1716" s="116">
        <v>2113.25</v>
      </c>
      <c r="G1716">
        <v>12351</v>
      </c>
      <c r="H1716" s="116"/>
      <c r="I1716" s="116"/>
      <c r="L1716" s="170">
        <v>44532</v>
      </c>
      <c r="M1716" s="116">
        <v>2112.85</v>
      </c>
      <c r="N1716" s="116">
        <v>2139</v>
      </c>
      <c r="O1716" s="116">
        <v>2017.9</v>
      </c>
      <c r="P1716" s="116">
        <v>2017.9</v>
      </c>
      <c r="Q1716" s="116">
        <v>2112.85</v>
      </c>
      <c r="R1716">
        <v>299002</v>
      </c>
    </row>
    <row r="1717" spans="1:18" x14ac:dyDescent="0.25">
      <c r="A1717" s="170">
        <v>44533</v>
      </c>
      <c r="B1717" s="116">
        <v>2130</v>
      </c>
      <c r="C1717" s="116">
        <v>2079.1999999999998</v>
      </c>
      <c r="D1717" s="116">
        <v>2067.75</v>
      </c>
      <c r="E1717" s="116">
        <v>2099</v>
      </c>
      <c r="F1717" s="116">
        <v>2079.1999999999998</v>
      </c>
      <c r="G1717">
        <v>9454</v>
      </c>
      <c r="H1717" s="116"/>
      <c r="I1717" s="116"/>
      <c r="L1717" s="170">
        <v>44533</v>
      </c>
      <c r="M1717" s="116">
        <v>2078.4</v>
      </c>
      <c r="N1717" s="116">
        <v>2130.5</v>
      </c>
      <c r="O1717" s="116">
        <v>2064.1</v>
      </c>
      <c r="P1717" s="116">
        <v>2090.3000000000002</v>
      </c>
      <c r="Q1717" s="116">
        <v>2078.4</v>
      </c>
      <c r="R1717">
        <v>54725</v>
      </c>
    </row>
    <row r="1718" spans="1:18" x14ac:dyDescent="0.25">
      <c r="A1718" s="170">
        <v>44536</v>
      </c>
      <c r="B1718" s="116">
        <v>2098.1999999999998</v>
      </c>
      <c r="C1718" s="116">
        <v>2047.45</v>
      </c>
      <c r="D1718" s="116">
        <v>1997.3</v>
      </c>
      <c r="E1718" s="116">
        <v>2075</v>
      </c>
      <c r="F1718" s="116">
        <v>2047.45</v>
      </c>
      <c r="G1718">
        <v>4518</v>
      </c>
      <c r="H1718" s="116"/>
      <c r="I1718" s="116"/>
      <c r="L1718" s="170">
        <v>44536</v>
      </c>
      <c r="M1718" s="116">
        <v>2054.5500000000002</v>
      </c>
      <c r="N1718" s="116">
        <v>2086.85</v>
      </c>
      <c r="O1718" s="116">
        <v>2035</v>
      </c>
      <c r="P1718" s="116">
        <v>2078</v>
      </c>
      <c r="Q1718" s="116">
        <v>2054.5500000000002</v>
      </c>
      <c r="R1718">
        <v>57116</v>
      </c>
    </row>
    <row r="1719" spans="1:18" x14ac:dyDescent="0.25">
      <c r="A1719" s="170">
        <v>44537</v>
      </c>
      <c r="B1719" s="116">
        <v>2093.0500000000002</v>
      </c>
      <c r="C1719" s="116">
        <v>2066.35</v>
      </c>
      <c r="D1719" s="116">
        <v>2037.45</v>
      </c>
      <c r="E1719" s="116">
        <v>2066.35</v>
      </c>
      <c r="F1719" s="116">
        <v>2066.35</v>
      </c>
      <c r="G1719">
        <v>4226</v>
      </c>
      <c r="H1719" s="116"/>
      <c r="I1719" s="116"/>
      <c r="L1719" s="170">
        <v>44537</v>
      </c>
      <c r="M1719" s="116">
        <v>2065.6999999999998</v>
      </c>
      <c r="N1719" s="116">
        <v>2097.9499999999998</v>
      </c>
      <c r="O1719" s="116">
        <v>2035</v>
      </c>
      <c r="P1719" s="116">
        <v>2064.8000000000002</v>
      </c>
      <c r="Q1719" s="116">
        <v>2065.6999999999998</v>
      </c>
      <c r="R1719">
        <v>132978</v>
      </c>
    </row>
    <row r="1720" spans="1:18" x14ac:dyDescent="0.25">
      <c r="A1720" s="170">
        <v>44538</v>
      </c>
      <c r="B1720" s="116">
        <v>2118.3000000000002</v>
      </c>
      <c r="C1720" s="116">
        <v>2094.9</v>
      </c>
      <c r="D1720" s="116">
        <v>2060</v>
      </c>
      <c r="E1720" s="116">
        <v>2060</v>
      </c>
      <c r="F1720" s="116">
        <v>2094.9</v>
      </c>
      <c r="G1720">
        <v>9019</v>
      </c>
      <c r="H1720" s="116"/>
      <c r="I1720" s="116"/>
      <c r="L1720" s="170">
        <v>44538</v>
      </c>
      <c r="M1720" s="116">
        <v>2092.75</v>
      </c>
      <c r="N1720" s="116">
        <v>2119.4499999999998</v>
      </c>
      <c r="O1720" s="116">
        <v>2077.5500000000002</v>
      </c>
      <c r="P1720" s="116">
        <v>2077.5500000000002</v>
      </c>
      <c r="Q1720" s="116">
        <v>2092.75</v>
      </c>
      <c r="R1720">
        <v>176891</v>
      </c>
    </row>
    <row r="1721" spans="1:18" x14ac:dyDescent="0.25">
      <c r="A1721" s="170">
        <v>44539</v>
      </c>
      <c r="B1721" s="116">
        <v>2368.25</v>
      </c>
      <c r="C1721" s="116">
        <v>2304.8000000000002</v>
      </c>
      <c r="D1721" s="116">
        <v>2110.25</v>
      </c>
      <c r="E1721" s="116">
        <v>2116.6999999999998</v>
      </c>
      <c r="F1721" s="116">
        <v>2304.8000000000002</v>
      </c>
      <c r="G1721">
        <v>41936</v>
      </c>
      <c r="H1721" s="116"/>
      <c r="I1721" s="116"/>
      <c r="L1721" s="170">
        <v>44539</v>
      </c>
      <c r="M1721" s="116">
        <v>2300.4</v>
      </c>
      <c r="N1721" s="116">
        <v>2375</v>
      </c>
      <c r="O1721" s="116">
        <v>2100.15</v>
      </c>
      <c r="P1721" s="116">
        <v>2104.4</v>
      </c>
      <c r="Q1721" s="116">
        <v>2300.4</v>
      </c>
      <c r="R1721">
        <v>1034082</v>
      </c>
    </row>
    <row r="1722" spans="1:18" x14ac:dyDescent="0.25">
      <c r="A1722" s="170">
        <v>44540</v>
      </c>
      <c r="B1722" s="116">
        <v>2370</v>
      </c>
      <c r="C1722" s="116">
        <v>2258.75</v>
      </c>
      <c r="D1722" s="116">
        <v>2233.6999999999998</v>
      </c>
      <c r="E1722" s="116">
        <v>2302</v>
      </c>
      <c r="F1722" s="116">
        <v>2258.75</v>
      </c>
      <c r="G1722">
        <v>39439</v>
      </c>
      <c r="H1722" s="116"/>
      <c r="I1722" s="116"/>
      <c r="L1722" s="170">
        <v>44540</v>
      </c>
      <c r="M1722" s="116">
        <v>2264.4</v>
      </c>
      <c r="N1722" s="116">
        <v>2372</v>
      </c>
      <c r="O1722" s="116">
        <v>2235.35</v>
      </c>
      <c r="P1722" s="116">
        <v>2300</v>
      </c>
      <c r="Q1722" s="116">
        <v>2264.4</v>
      </c>
      <c r="R1722">
        <v>481269</v>
      </c>
    </row>
    <row r="1723" spans="1:18" x14ac:dyDescent="0.25">
      <c r="A1723" s="170">
        <v>44543</v>
      </c>
      <c r="B1723" s="116">
        <v>2354.35</v>
      </c>
      <c r="C1723" s="116">
        <v>2307.35</v>
      </c>
      <c r="D1723" s="116">
        <v>2268.8000000000002</v>
      </c>
      <c r="E1723" s="116">
        <v>2270</v>
      </c>
      <c r="F1723" s="116">
        <v>2307.35</v>
      </c>
      <c r="G1723">
        <v>10249</v>
      </c>
      <c r="H1723" s="116"/>
      <c r="I1723" s="116"/>
      <c r="L1723" s="170">
        <v>44543</v>
      </c>
      <c r="M1723" s="116">
        <v>2307.6</v>
      </c>
      <c r="N1723" s="116">
        <v>2356</v>
      </c>
      <c r="O1723" s="116">
        <v>2264.5500000000002</v>
      </c>
      <c r="P1723" s="116">
        <v>2268.9499999999998</v>
      </c>
      <c r="Q1723" s="116">
        <v>2307.6</v>
      </c>
      <c r="R1723">
        <v>264261</v>
      </c>
    </row>
    <row r="1724" spans="1:18" x14ac:dyDescent="0.25">
      <c r="A1724" s="170">
        <v>44544</v>
      </c>
      <c r="B1724" s="116">
        <v>2320</v>
      </c>
      <c r="C1724" s="116">
        <v>2270</v>
      </c>
      <c r="D1724" s="116">
        <v>2260.1</v>
      </c>
      <c r="E1724" s="116">
        <v>2310</v>
      </c>
      <c r="F1724" s="116">
        <v>2270</v>
      </c>
      <c r="G1724">
        <v>3604</v>
      </c>
      <c r="H1724" s="116"/>
      <c r="I1724" s="116"/>
      <c r="L1724" s="170">
        <v>44544</v>
      </c>
      <c r="M1724" s="116">
        <v>2272.5500000000002</v>
      </c>
      <c r="N1724" s="116">
        <v>2319.6999999999998</v>
      </c>
      <c r="O1724" s="116">
        <v>2260.0500000000002</v>
      </c>
      <c r="P1724" s="116">
        <v>2305</v>
      </c>
      <c r="Q1724" s="116">
        <v>2272.5500000000002</v>
      </c>
      <c r="R1724">
        <v>71628</v>
      </c>
    </row>
    <row r="1725" spans="1:18" x14ac:dyDescent="0.25">
      <c r="A1725" s="170">
        <v>44545</v>
      </c>
      <c r="B1725" s="116">
        <v>2292.15</v>
      </c>
      <c r="C1725" s="116">
        <v>2230.75</v>
      </c>
      <c r="D1725" s="116">
        <v>2220.75</v>
      </c>
      <c r="E1725" s="116">
        <v>2279</v>
      </c>
      <c r="F1725" s="116">
        <v>2230.75</v>
      </c>
      <c r="G1725">
        <v>3369</v>
      </c>
      <c r="H1725" s="116"/>
      <c r="I1725" s="116"/>
      <c r="L1725" s="170">
        <v>44545</v>
      </c>
      <c r="M1725" s="116">
        <v>2232.0500000000002</v>
      </c>
      <c r="N1725" s="116">
        <v>2293.6</v>
      </c>
      <c r="O1725" s="116">
        <v>2221.4499999999998</v>
      </c>
      <c r="P1725" s="116">
        <v>2283.9</v>
      </c>
      <c r="Q1725" s="116">
        <v>2232.0500000000002</v>
      </c>
      <c r="R1725">
        <v>63111</v>
      </c>
    </row>
    <row r="1726" spans="1:18" x14ac:dyDescent="0.25">
      <c r="A1726" s="170">
        <v>44546</v>
      </c>
      <c r="B1726" s="116">
        <v>2270</v>
      </c>
      <c r="C1726" s="116">
        <v>2240</v>
      </c>
      <c r="D1726" s="116">
        <v>2195.1</v>
      </c>
      <c r="E1726" s="116">
        <v>2245.5</v>
      </c>
      <c r="F1726" s="116">
        <v>2240</v>
      </c>
      <c r="G1726">
        <v>4473</v>
      </c>
      <c r="H1726" s="116"/>
      <c r="I1726" s="116"/>
      <c r="L1726" s="170">
        <v>44546</v>
      </c>
      <c r="M1726" s="116">
        <v>2234.9</v>
      </c>
      <c r="N1726" s="116">
        <v>2275</v>
      </c>
      <c r="O1726" s="116">
        <v>2194</v>
      </c>
      <c r="P1726" s="116">
        <v>2220.1</v>
      </c>
      <c r="Q1726" s="116">
        <v>2234.9</v>
      </c>
      <c r="R1726">
        <v>270580</v>
      </c>
    </row>
    <row r="1727" spans="1:18" x14ac:dyDescent="0.25">
      <c r="A1727" s="170">
        <v>44547</v>
      </c>
      <c r="B1727" s="116">
        <v>2255.65</v>
      </c>
      <c r="C1727" s="116">
        <v>2200.4</v>
      </c>
      <c r="D1727" s="116">
        <v>2171.8000000000002</v>
      </c>
      <c r="E1727" s="116">
        <v>2249.9</v>
      </c>
      <c r="F1727" s="116">
        <v>2200.4</v>
      </c>
      <c r="G1727">
        <v>5407</v>
      </c>
      <c r="H1727" s="116"/>
      <c r="I1727" s="116"/>
      <c r="L1727" s="170">
        <v>44547</v>
      </c>
      <c r="M1727" s="116">
        <v>2199.75</v>
      </c>
      <c r="N1727" s="116">
        <v>2262.65</v>
      </c>
      <c r="O1727" s="116">
        <v>2170</v>
      </c>
      <c r="P1727" s="116">
        <v>2230</v>
      </c>
      <c r="Q1727" s="116">
        <v>2199.75</v>
      </c>
      <c r="R1727">
        <v>169226</v>
      </c>
    </row>
    <row r="1728" spans="1:18" x14ac:dyDescent="0.25">
      <c r="A1728" s="170">
        <v>44550</v>
      </c>
      <c r="B1728" s="116">
        <v>2183.25</v>
      </c>
      <c r="C1728" s="116">
        <v>2123.65</v>
      </c>
      <c r="D1728" s="116">
        <v>2078.0500000000002</v>
      </c>
      <c r="E1728" s="116">
        <v>2181.25</v>
      </c>
      <c r="F1728" s="116">
        <v>2123.65</v>
      </c>
      <c r="G1728">
        <v>17493</v>
      </c>
      <c r="H1728" s="116"/>
      <c r="I1728" s="116"/>
      <c r="L1728" s="170">
        <v>44550</v>
      </c>
      <c r="M1728" s="116">
        <v>2121.65</v>
      </c>
      <c r="N1728" s="116">
        <v>2215</v>
      </c>
      <c r="O1728" s="116">
        <v>2076.6</v>
      </c>
      <c r="P1728" s="116">
        <v>2215</v>
      </c>
      <c r="Q1728" s="116">
        <v>2121.65</v>
      </c>
      <c r="R1728">
        <v>102709</v>
      </c>
    </row>
    <row r="1729" spans="1:18" x14ac:dyDescent="0.25">
      <c r="A1729" s="170">
        <v>44551</v>
      </c>
      <c r="B1729" s="116">
        <v>2215</v>
      </c>
      <c r="C1729" s="116">
        <v>2204.1</v>
      </c>
      <c r="D1729" s="116">
        <v>2091</v>
      </c>
      <c r="E1729" s="116">
        <v>2091</v>
      </c>
      <c r="F1729" s="116">
        <v>2204.1</v>
      </c>
      <c r="G1729">
        <v>118763</v>
      </c>
      <c r="H1729" s="116"/>
      <c r="I1729" s="116"/>
      <c r="L1729" s="170">
        <v>44551</v>
      </c>
      <c r="M1729" s="116">
        <v>2201</v>
      </c>
      <c r="N1729" s="116">
        <v>2220</v>
      </c>
      <c r="O1729" s="116">
        <v>2100.1</v>
      </c>
      <c r="P1729" s="116">
        <v>2127</v>
      </c>
      <c r="Q1729" s="116">
        <v>2201</v>
      </c>
      <c r="R1729">
        <v>240790</v>
      </c>
    </row>
    <row r="1730" spans="1:18" x14ac:dyDescent="0.25">
      <c r="A1730" s="170">
        <v>44552</v>
      </c>
      <c r="B1730" s="116">
        <v>2330.9499999999998</v>
      </c>
      <c r="C1730" s="116">
        <v>2283.5500000000002</v>
      </c>
      <c r="D1730" s="116">
        <v>2209.0500000000002</v>
      </c>
      <c r="E1730" s="116">
        <v>2214.3000000000002</v>
      </c>
      <c r="F1730" s="116">
        <v>2283.5500000000002</v>
      </c>
      <c r="G1730">
        <v>64086</v>
      </c>
      <c r="H1730" s="116"/>
      <c r="I1730" s="116"/>
      <c r="L1730" s="170">
        <v>44552</v>
      </c>
      <c r="M1730" s="116">
        <v>2284.4499999999998</v>
      </c>
      <c r="N1730" s="116">
        <v>2332</v>
      </c>
      <c r="O1730" s="116">
        <v>2203</v>
      </c>
      <c r="P1730" s="116">
        <v>2203</v>
      </c>
      <c r="Q1730" s="116">
        <v>2284.4499999999998</v>
      </c>
      <c r="R1730">
        <v>961653</v>
      </c>
    </row>
    <row r="1731" spans="1:18" x14ac:dyDescent="0.25">
      <c r="A1731" s="170">
        <v>44553</v>
      </c>
      <c r="B1731" s="116">
        <v>2304.9499999999998</v>
      </c>
      <c r="C1731" s="116">
        <v>2261.65</v>
      </c>
      <c r="D1731" s="116">
        <v>2254.6999999999998</v>
      </c>
      <c r="E1731" s="116">
        <v>2287.15</v>
      </c>
      <c r="F1731" s="116">
        <v>2261.65</v>
      </c>
      <c r="G1731">
        <v>7475</v>
      </c>
      <c r="H1731" s="116"/>
      <c r="I1731" s="116"/>
      <c r="L1731" s="170">
        <v>44553</v>
      </c>
      <c r="M1731" s="116">
        <v>2263.8000000000002</v>
      </c>
      <c r="N1731" s="116">
        <v>2306.9499999999998</v>
      </c>
      <c r="O1731" s="116">
        <v>2255</v>
      </c>
      <c r="P1731" s="116">
        <v>2276.9499999999998</v>
      </c>
      <c r="Q1731" s="116">
        <v>2263.8000000000002</v>
      </c>
      <c r="R1731">
        <v>93625</v>
      </c>
    </row>
    <row r="1732" spans="1:18" x14ac:dyDescent="0.25">
      <c r="A1732" s="170">
        <v>44554</v>
      </c>
      <c r="B1732" s="116">
        <v>2342.0500000000002</v>
      </c>
      <c r="C1732" s="116">
        <v>2241.6999999999998</v>
      </c>
      <c r="D1732" s="116">
        <v>2228.1</v>
      </c>
      <c r="E1732" s="116">
        <v>2275</v>
      </c>
      <c r="F1732" s="116">
        <v>2241.6999999999998</v>
      </c>
      <c r="G1732">
        <v>15668</v>
      </c>
      <c r="H1732" s="116"/>
      <c r="I1732" s="116"/>
      <c r="L1732" s="170">
        <v>44554</v>
      </c>
      <c r="M1732" s="116">
        <v>2244.5500000000002</v>
      </c>
      <c r="N1732" s="116">
        <v>2345.4</v>
      </c>
      <c r="O1732" s="116">
        <v>2232</v>
      </c>
      <c r="P1732" s="116">
        <v>2283.5</v>
      </c>
      <c r="Q1732" s="116">
        <v>2244.5500000000002</v>
      </c>
      <c r="R1732">
        <v>220693</v>
      </c>
    </row>
    <row r="1733" spans="1:18" x14ac:dyDescent="0.25">
      <c r="A1733" s="170">
        <v>44557</v>
      </c>
      <c r="B1733" s="116">
        <v>2266.25</v>
      </c>
      <c r="C1733" s="116">
        <v>2195.4499999999998</v>
      </c>
      <c r="D1733" s="116">
        <v>2175.3000000000002</v>
      </c>
      <c r="E1733" s="116">
        <v>2246.3000000000002</v>
      </c>
      <c r="F1733" s="116">
        <v>2195.4499999999998</v>
      </c>
      <c r="G1733">
        <v>8561</v>
      </c>
      <c r="H1733" s="116"/>
      <c r="I1733" s="116"/>
      <c r="L1733" s="170">
        <v>44557</v>
      </c>
      <c r="M1733" s="116">
        <v>2195.5</v>
      </c>
      <c r="N1733" s="116">
        <v>2267.75</v>
      </c>
      <c r="O1733" s="116">
        <v>2175.3000000000002</v>
      </c>
      <c r="P1733" s="116">
        <v>2249.4</v>
      </c>
      <c r="Q1733" s="116">
        <v>2195.5</v>
      </c>
      <c r="R1733">
        <v>134745</v>
      </c>
    </row>
    <row r="1734" spans="1:18" x14ac:dyDescent="0.25">
      <c r="A1734" s="170">
        <v>44558</v>
      </c>
      <c r="B1734" s="116">
        <v>2260</v>
      </c>
      <c r="C1734" s="116">
        <v>2204.4499999999998</v>
      </c>
      <c r="D1734" s="116">
        <v>2180</v>
      </c>
      <c r="E1734" s="116">
        <v>2260</v>
      </c>
      <c r="F1734" s="116">
        <v>2204.4499999999998</v>
      </c>
      <c r="G1734">
        <v>12074</v>
      </c>
      <c r="H1734" s="116"/>
      <c r="I1734" s="116"/>
      <c r="L1734" s="170">
        <v>44558</v>
      </c>
      <c r="M1734" s="116">
        <v>2207.1</v>
      </c>
      <c r="N1734" s="116">
        <v>2258.9</v>
      </c>
      <c r="O1734" s="116">
        <v>2185.5500000000002</v>
      </c>
      <c r="P1734" s="116">
        <v>2212.3000000000002</v>
      </c>
      <c r="Q1734" s="116">
        <v>2207.1</v>
      </c>
      <c r="R1734">
        <v>182668</v>
      </c>
    </row>
    <row r="1735" spans="1:18" x14ac:dyDescent="0.25">
      <c r="A1735" s="170">
        <v>44559</v>
      </c>
      <c r="B1735" s="116">
        <v>2250</v>
      </c>
      <c r="C1735" s="116">
        <v>2228.25</v>
      </c>
      <c r="D1735" s="116">
        <v>2195</v>
      </c>
      <c r="E1735" s="116">
        <v>2200</v>
      </c>
      <c r="F1735" s="116">
        <v>2228.25</v>
      </c>
      <c r="G1735">
        <v>15583</v>
      </c>
      <c r="H1735" s="116"/>
      <c r="I1735" s="116"/>
      <c r="L1735" s="170">
        <v>44559</v>
      </c>
      <c r="M1735" s="116">
        <v>2226.6</v>
      </c>
      <c r="N1735" s="116">
        <v>2250.5500000000002</v>
      </c>
      <c r="O1735" s="116">
        <v>2192.3000000000002</v>
      </c>
      <c r="P1735" s="116">
        <v>2192.3000000000002</v>
      </c>
      <c r="Q1735" s="116">
        <v>2226.6</v>
      </c>
      <c r="R1735">
        <v>182349</v>
      </c>
    </row>
    <row r="1736" spans="1:18" x14ac:dyDescent="0.25">
      <c r="A1736" s="170">
        <v>44560</v>
      </c>
      <c r="B1736" s="116">
        <v>2246.25</v>
      </c>
      <c r="C1736" s="116">
        <v>2235.15</v>
      </c>
      <c r="D1736" s="116">
        <v>2213.1999999999998</v>
      </c>
      <c r="E1736" s="116">
        <v>2237</v>
      </c>
      <c r="F1736" s="116">
        <v>2235.15</v>
      </c>
      <c r="G1736">
        <v>4456</v>
      </c>
      <c r="H1736" s="116"/>
      <c r="I1736" s="116"/>
      <c r="L1736" s="170">
        <v>44560</v>
      </c>
      <c r="M1736" s="116">
        <v>2235.4</v>
      </c>
      <c r="N1736" s="116">
        <v>2245.0500000000002</v>
      </c>
      <c r="O1736" s="116">
        <v>2212.6</v>
      </c>
      <c r="P1736" s="116">
        <v>2226.6</v>
      </c>
      <c r="Q1736" s="116">
        <v>2235.4</v>
      </c>
      <c r="R1736">
        <v>197252</v>
      </c>
    </row>
    <row r="1737" spans="1:18" x14ac:dyDescent="0.25">
      <c r="A1737" s="170">
        <v>44561</v>
      </c>
      <c r="B1737" s="116">
        <v>2280.9</v>
      </c>
      <c r="C1737" s="116">
        <v>2234.85</v>
      </c>
      <c r="D1737" s="116">
        <v>2224.1999999999998</v>
      </c>
      <c r="E1737" s="116">
        <v>2269</v>
      </c>
      <c r="F1737" s="116">
        <v>2234.85</v>
      </c>
      <c r="G1737">
        <v>7219</v>
      </c>
      <c r="H1737" s="116"/>
      <c r="I1737" s="116"/>
      <c r="L1737" s="170">
        <v>44561</v>
      </c>
      <c r="M1737" s="116">
        <v>2233.6</v>
      </c>
      <c r="N1737" s="116">
        <v>2283.75</v>
      </c>
      <c r="O1737" s="116">
        <v>2222</v>
      </c>
      <c r="P1737" s="116">
        <v>2245</v>
      </c>
      <c r="Q1737" s="116">
        <v>2233.6</v>
      </c>
      <c r="R1737">
        <v>198115</v>
      </c>
    </row>
    <row r="1738" spans="1:18" x14ac:dyDescent="0.25">
      <c r="A1738" s="170">
        <v>44564</v>
      </c>
      <c r="B1738" s="116">
        <v>2263.4499999999998</v>
      </c>
      <c r="C1738" s="116">
        <v>2202.6999999999998</v>
      </c>
      <c r="D1738" s="116">
        <v>2184.35</v>
      </c>
      <c r="E1738" s="116">
        <v>2234.9</v>
      </c>
      <c r="F1738" s="116">
        <v>2202.6999999999998</v>
      </c>
      <c r="G1738">
        <v>19023</v>
      </c>
      <c r="H1738" s="116"/>
      <c r="I1738" s="116"/>
      <c r="L1738" s="170">
        <v>44564</v>
      </c>
      <c r="M1738" s="116">
        <v>2205.4499999999998</v>
      </c>
      <c r="N1738" s="116">
        <v>2268.6</v>
      </c>
      <c r="O1738" s="116">
        <v>2185.6</v>
      </c>
      <c r="P1738" s="116">
        <v>2251.4499999999998</v>
      </c>
      <c r="Q1738" s="116">
        <v>2205.4499999999998</v>
      </c>
      <c r="R1738">
        <v>113948</v>
      </c>
    </row>
    <row r="1739" spans="1:18" x14ac:dyDescent="0.25">
      <c r="A1739" s="170">
        <v>44565</v>
      </c>
      <c r="B1739" s="116">
        <v>2236.75</v>
      </c>
      <c r="C1739" s="116">
        <v>2219.6999999999998</v>
      </c>
      <c r="D1739" s="116">
        <v>2190</v>
      </c>
      <c r="E1739" s="116">
        <v>2220.1</v>
      </c>
      <c r="F1739" s="116">
        <v>2219.6999999999998</v>
      </c>
      <c r="G1739">
        <v>12662</v>
      </c>
      <c r="H1739" s="116"/>
      <c r="I1739" s="116"/>
      <c r="L1739" s="170">
        <v>44565</v>
      </c>
      <c r="M1739" s="116">
        <v>2219.75</v>
      </c>
      <c r="N1739" s="116">
        <v>2237.65</v>
      </c>
      <c r="O1739" s="116">
        <v>2190</v>
      </c>
      <c r="P1739" s="116">
        <v>2223.9</v>
      </c>
      <c r="Q1739" s="116">
        <v>2219.75</v>
      </c>
      <c r="R1739">
        <v>353471</v>
      </c>
    </row>
    <row r="1740" spans="1:18" x14ac:dyDescent="0.25">
      <c r="A1740" s="170">
        <v>44566</v>
      </c>
      <c r="B1740" s="116">
        <v>2247.15</v>
      </c>
      <c r="C1740" s="116">
        <v>2227.5</v>
      </c>
      <c r="D1740" s="116">
        <v>2205</v>
      </c>
      <c r="E1740" s="116">
        <v>2228.15</v>
      </c>
      <c r="F1740" s="116">
        <v>2227.5</v>
      </c>
      <c r="G1740">
        <v>4698</v>
      </c>
      <c r="H1740" s="116"/>
      <c r="I1740" s="116"/>
      <c r="L1740" s="170">
        <v>44566</v>
      </c>
      <c r="M1740" s="116">
        <v>2226.1999999999998</v>
      </c>
      <c r="N1740" s="116">
        <v>2249.9</v>
      </c>
      <c r="O1740" s="116">
        <v>2200</v>
      </c>
      <c r="P1740" s="116">
        <v>2229.5500000000002</v>
      </c>
      <c r="Q1740" s="116">
        <v>2226.1999999999998</v>
      </c>
      <c r="R1740">
        <v>222632</v>
      </c>
    </row>
    <row r="1741" spans="1:18" x14ac:dyDescent="0.25">
      <c r="A1741" s="170">
        <v>44567</v>
      </c>
      <c r="B1741" s="116">
        <v>2283.9499999999998</v>
      </c>
      <c r="C1741" s="116">
        <v>2225.3000000000002</v>
      </c>
      <c r="D1741" s="116">
        <v>2200</v>
      </c>
      <c r="E1741" s="116">
        <v>2200</v>
      </c>
      <c r="F1741" s="116">
        <v>2225.3000000000002</v>
      </c>
      <c r="G1741">
        <v>183685</v>
      </c>
      <c r="H1741" s="116"/>
      <c r="I1741" s="116"/>
      <c r="L1741" s="170">
        <v>44567</v>
      </c>
      <c r="M1741" s="116">
        <v>2225.25</v>
      </c>
      <c r="N1741" s="116">
        <v>2287.75</v>
      </c>
      <c r="O1741" s="116">
        <v>2200.0500000000002</v>
      </c>
      <c r="P1741" s="116">
        <v>2214.8000000000002</v>
      </c>
      <c r="Q1741" s="116">
        <v>2225.25</v>
      </c>
      <c r="R1741">
        <v>423469</v>
      </c>
    </row>
    <row r="1742" spans="1:18" x14ac:dyDescent="0.25">
      <c r="A1742" s="170">
        <v>44568</v>
      </c>
      <c r="B1742" s="116">
        <v>2273.85</v>
      </c>
      <c r="C1742" s="116">
        <v>2225.5</v>
      </c>
      <c r="D1742" s="116">
        <v>2218.5500000000002</v>
      </c>
      <c r="E1742" s="116">
        <v>2273.85</v>
      </c>
      <c r="F1742" s="116">
        <v>2225.5</v>
      </c>
      <c r="G1742">
        <v>4177</v>
      </c>
      <c r="H1742" s="116"/>
      <c r="I1742" s="116"/>
      <c r="L1742" s="170">
        <v>44568</v>
      </c>
      <c r="M1742" s="116">
        <v>2227.1</v>
      </c>
      <c r="N1742" s="116">
        <v>2263.9499999999998</v>
      </c>
      <c r="O1742" s="116">
        <v>2216.5</v>
      </c>
      <c r="P1742" s="116">
        <v>2236.9499999999998</v>
      </c>
      <c r="Q1742" s="116">
        <v>2227.1</v>
      </c>
      <c r="R1742">
        <v>111305</v>
      </c>
    </row>
    <row r="1743" spans="1:18" x14ac:dyDescent="0.25">
      <c r="A1743" s="170">
        <v>44571</v>
      </c>
      <c r="B1743" s="116">
        <v>2294</v>
      </c>
      <c r="C1743" s="116">
        <v>2278.75</v>
      </c>
      <c r="D1743" s="116">
        <v>2224</v>
      </c>
      <c r="E1743" s="116">
        <v>2250</v>
      </c>
      <c r="F1743" s="116">
        <v>2278.75</v>
      </c>
      <c r="G1743">
        <v>5076</v>
      </c>
      <c r="H1743" s="116"/>
      <c r="I1743" s="116"/>
      <c r="L1743" s="170">
        <v>44571</v>
      </c>
      <c r="M1743" s="116">
        <v>2280.9</v>
      </c>
      <c r="N1743" s="116">
        <v>2296.6999999999998</v>
      </c>
      <c r="O1743" s="116">
        <v>2223</v>
      </c>
      <c r="P1743" s="116">
        <v>2242.9499999999998</v>
      </c>
      <c r="Q1743" s="116">
        <v>2280.9</v>
      </c>
      <c r="R1743">
        <v>289826</v>
      </c>
    </row>
    <row r="1744" spans="1:18" x14ac:dyDescent="0.25">
      <c r="A1744" s="170">
        <v>44572</v>
      </c>
      <c r="B1744" s="116">
        <v>2346.9</v>
      </c>
      <c r="C1744" s="116">
        <v>2339.6</v>
      </c>
      <c r="D1744" s="116">
        <v>2272.15</v>
      </c>
      <c r="E1744" s="116">
        <v>2279</v>
      </c>
      <c r="F1744" s="116">
        <v>2339.6</v>
      </c>
      <c r="G1744">
        <v>9837</v>
      </c>
      <c r="H1744" s="116"/>
      <c r="I1744" s="116"/>
      <c r="L1744" s="170">
        <v>44572</v>
      </c>
      <c r="M1744" s="116">
        <v>2339.4499999999998</v>
      </c>
      <c r="N1744" s="116">
        <v>2348</v>
      </c>
      <c r="O1744" s="116">
        <v>2270.3000000000002</v>
      </c>
      <c r="P1744" s="116">
        <v>2282</v>
      </c>
      <c r="Q1744" s="116">
        <v>2339.4499999999998</v>
      </c>
      <c r="R1744">
        <v>255404</v>
      </c>
    </row>
    <row r="1745" spans="1:18" x14ac:dyDescent="0.25">
      <c r="A1745" s="170">
        <v>44573</v>
      </c>
      <c r="B1745" s="116">
        <v>2363.0500000000002</v>
      </c>
      <c r="C1745" s="116">
        <v>2316.5</v>
      </c>
      <c r="D1745" s="116">
        <v>2293.8000000000002</v>
      </c>
      <c r="E1745" s="116">
        <v>2351</v>
      </c>
      <c r="F1745" s="116">
        <v>2316.5</v>
      </c>
      <c r="G1745">
        <v>11746</v>
      </c>
      <c r="H1745" s="116"/>
      <c r="I1745" s="116"/>
      <c r="L1745" s="170">
        <v>44573</v>
      </c>
      <c r="M1745" s="116">
        <v>2316.4499999999998</v>
      </c>
      <c r="N1745" s="116">
        <v>2360.5500000000002</v>
      </c>
      <c r="O1745" s="116">
        <v>2295.4499999999998</v>
      </c>
      <c r="P1745" s="116">
        <v>2354</v>
      </c>
      <c r="Q1745" s="116">
        <v>2316.4499999999998</v>
      </c>
      <c r="R1745">
        <v>231632</v>
      </c>
    </row>
    <row r="1746" spans="1:18" x14ac:dyDescent="0.25">
      <c r="A1746" s="170">
        <v>44574</v>
      </c>
      <c r="B1746" s="116">
        <v>2325.9499999999998</v>
      </c>
      <c r="C1746" s="116">
        <v>2304.3000000000002</v>
      </c>
      <c r="D1746" s="116">
        <v>2295.5500000000002</v>
      </c>
      <c r="E1746" s="116">
        <v>2300.35</v>
      </c>
      <c r="F1746" s="116">
        <v>2304.3000000000002</v>
      </c>
      <c r="G1746">
        <v>5763</v>
      </c>
      <c r="H1746" s="116"/>
      <c r="I1746" s="116"/>
      <c r="L1746" s="170">
        <v>44574</v>
      </c>
      <c r="M1746" s="116">
        <v>2306.5</v>
      </c>
      <c r="N1746" s="116">
        <v>2326.9</v>
      </c>
      <c r="O1746" s="116">
        <v>2296</v>
      </c>
      <c r="P1746" s="116">
        <v>2320</v>
      </c>
      <c r="Q1746" s="116">
        <v>2306.5</v>
      </c>
      <c r="R1746">
        <v>128523</v>
      </c>
    </row>
    <row r="1747" spans="1:18" x14ac:dyDescent="0.25">
      <c r="A1747" s="170">
        <v>44575</v>
      </c>
      <c r="B1747" s="116">
        <v>2354</v>
      </c>
      <c r="C1747" s="116">
        <v>2341.85</v>
      </c>
      <c r="D1747" s="116">
        <v>2297.75</v>
      </c>
      <c r="E1747" s="116">
        <v>2297.75</v>
      </c>
      <c r="F1747" s="116">
        <v>2341.85</v>
      </c>
      <c r="G1747">
        <v>5717</v>
      </c>
      <c r="H1747" s="116"/>
      <c r="I1747" s="116"/>
      <c r="L1747" s="170">
        <v>44575</v>
      </c>
      <c r="M1747" s="116">
        <v>2341.5500000000002</v>
      </c>
      <c r="N1747" s="116">
        <v>2354</v>
      </c>
      <c r="O1747" s="116">
        <v>2290</v>
      </c>
      <c r="P1747" s="116">
        <v>2290</v>
      </c>
      <c r="Q1747" s="116">
        <v>2341.5500000000002</v>
      </c>
      <c r="R1747">
        <v>190526</v>
      </c>
    </row>
    <row r="1748" spans="1:18" x14ac:dyDescent="0.25">
      <c r="A1748" s="170">
        <v>44578</v>
      </c>
      <c r="B1748" s="116">
        <v>2385.4</v>
      </c>
      <c r="C1748" s="116">
        <v>2319</v>
      </c>
      <c r="D1748" s="116">
        <v>2312.4</v>
      </c>
      <c r="E1748" s="116">
        <v>2348</v>
      </c>
      <c r="F1748" s="116">
        <v>2319</v>
      </c>
      <c r="G1748">
        <v>7177</v>
      </c>
      <c r="H1748" s="116"/>
      <c r="I1748" s="116"/>
      <c r="L1748" s="170">
        <v>44578</v>
      </c>
      <c r="M1748" s="116">
        <v>2320.4</v>
      </c>
      <c r="N1748" s="116">
        <v>2385.9</v>
      </c>
      <c r="O1748" s="116">
        <v>2314</v>
      </c>
      <c r="P1748" s="116">
        <v>2349.6999999999998</v>
      </c>
      <c r="Q1748" s="116">
        <v>2320.4</v>
      </c>
      <c r="R1748">
        <v>135524</v>
      </c>
    </row>
    <row r="1749" spans="1:18" x14ac:dyDescent="0.25">
      <c r="A1749" s="170">
        <v>44579</v>
      </c>
      <c r="B1749" s="116">
        <v>2410</v>
      </c>
      <c r="C1749" s="116">
        <v>2371.25</v>
      </c>
      <c r="D1749" s="116">
        <v>2302.85</v>
      </c>
      <c r="E1749" s="116">
        <v>2335.4499999999998</v>
      </c>
      <c r="F1749" s="116">
        <v>2371.25</v>
      </c>
      <c r="G1749">
        <v>22367</v>
      </c>
      <c r="H1749" s="116"/>
      <c r="I1749" s="116"/>
      <c r="L1749" s="170">
        <v>44579</v>
      </c>
      <c r="M1749" s="116">
        <v>2368.5500000000002</v>
      </c>
      <c r="N1749" s="116">
        <v>2403.6</v>
      </c>
      <c r="O1749" s="116">
        <v>2303</v>
      </c>
      <c r="P1749" s="116">
        <v>2333.9</v>
      </c>
      <c r="Q1749" s="116">
        <v>2368.5500000000002</v>
      </c>
      <c r="R1749">
        <v>320744</v>
      </c>
    </row>
    <row r="1750" spans="1:18" x14ac:dyDescent="0.25">
      <c r="A1750" s="170">
        <v>44580</v>
      </c>
      <c r="B1750" s="116">
        <v>2369.4499999999998</v>
      </c>
      <c r="C1750" s="116">
        <v>2341.9</v>
      </c>
      <c r="D1750" s="116">
        <v>2304.4</v>
      </c>
      <c r="E1750" s="116">
        <v>2368.6999999999998</v>
      </c>
      <c r="F1750" s="116">
        <v>2341.9</v>
      </c>
      <c r="G1750">
        <v>11036</v>
      </c>
      <c r="H1750" s="116"/>
      <c r="I1750" s="116"/>
      <c r="L1750" s="170">
        <v>44580</v>
      </c>
      <c r="M1750" s="116">
        <v>2344.1</v>
      </c>
      <c r="N1750" s="116">
        <v>2368.5500000000002</v>
      </c>
      <c r="O1750" s="116">
        <v>2304</v>
      </c>
      <c r="P1750" s="116">
        <v>2368.5500000000002</v>
      </c>
      <c r="Q1750" s="116">
        <v>2344.1</v>
      </c>
      <c r="R1750">
        <v>242338</v>
      </c>
    </row>
    <row r="1751" spans="1:18" x14ac:dyDescent="0.25">
      <c r="A1751" s="170">
        <v>44581</v>
      </c>
      <c r="B1751" s="116">
        <v>2415.75</v>
      </c>
      <c r="C1751" s="116">
        <v>2390.4</v>
      </c>
      <c r="D1751" s="116">
        <v>2344.65</v>
      </c>
      <c r="E1751" s="116">
        <v>2359</v>
      </c>
      <c r="F1751" s="116">
        <v>2390.4</v>
      </c>
      <c r="G1751">
        <v>9281</v>
      </c>
      <c r="H1751" s="116"/>
      <c r="I1751" s="116"/>
      <c r="L1751" s="170">
        <v>44581</v>
      </c>
      <c r="M1751" s="116">
        <v>2389.25</v>
      </c>
      <c r="N1751" s="116">
        <v>2415</v>
      </c>
      <c r="O1751" s="116">
        <v>2342.6999999999998</v>
      </c>
      <c r="P1751" s="116">
        <v>2348.8000000000002</v>
      </c>
      <c r="Q1751" s="116">
        <v>2389.25</v>
      </c>
      <c r="R1751">
        <v>209114</v>
      </c>
    </row>
    <row r="1752" spans="1:18" x14ac:dyDescent="0.25">
      <c r="A1752" s="170">
        <v>44582</v>
      </c>
      <c r="B1752" s="116">
        <v>2399</v>
      </c>
      <c r="C1752" s="116">
        <v>2352.5500000000002</v>
      </c>
      <c r="D1752" s="116">
        <v>2325.65</v>
      </c>
      <c r="E1752" s="116">
        <v>2399</v>
      </c>
      <c r="F1752" s="116">
        <v>2352.5500000000002</v>
      </c>
      <c r="G1752">
        <v>9623</v>
      </c>
      <c r="H1752" s="116"/>
      <c r="I1752" s="116"/>
      <c r="L1752" s="170">
        <v>44582</v>
      </c>
      <c r="M1752" s="116">
        <v>2356.75</v>
      </c>
      <c r="N1752" s="116">
        <v>2389.25</v>
      </c>
      <c r="O1752" s="116">
        <v>2325.6999999999998</v>
      </c>
      <c r="P1752" s="116">
        <v>2389.25</v>
      </c>
      <c r="Q1752" s="116">
        <v>2356.75</v>
      </c>
      <c r="R1752">
        <v>415539</v>
      </c>
    </row>
    <row r="1753" spans="1:18" x14ac:dyDescent="0.25">
      <c r="A1753" s="170">
        <v>44585</v>
      </c>
      <c r="B1753" s="116">
        <v>2439.8000000000002</v>
      </c>
      <c r="C1753" s="116">
        <v>2400.9499999999998</v>
      </c>
      <c r="D1753" s="116">
        <v>2286</v>
      </c>
      <c r="E1753" s="116">
        <v>2350</v>
      </c>
      <c r="F1753" s="116">
        <v>2400.9499999999998</v>
      </c>
      <c r="G1753">
        <v>11108</v>
      </c>
      <c r="H1753" s="116"/>
      <c r="I1753" s="116"/>
      <c r="L1753" s="170">
        <v>44585</v>
      </c>
      <c r="M1753" s="116">
        <v>2408.4</v>
      </c>
      <c r="N1753" s="116">
        <v>2434</v>
      </c>
      <c r="O1753" s="116">
        <v>2285</v>
      </c>
      <c r="P1753" s="116">
        <v>2348.6999999999998</v>
      </c>
      <c r="Q1753" s="116">
        <v>2408.4</v>
      </c>
      <c r="R1753">
        <v>276068</v>
      </c>
    </row>
    <row r="1754" spans="1:18" x14ac:dyDescent="0.25">
      <c r="A1754" s="170">
        <v>44586</v>
      </c>
      <c r="B1754" s="116">
        <v>2469.6</v>
      </c>
      <c r="C1754" s="116">
        <v>2399.9499999999998</v>
      </c>
      <c r="D1754" s="116">
        <v>2358.9499999999998</v>
      </c>
      <c r="E1754" s="116">
        <v>2459</v>
      </c>
      <c r="F1754" s="116">
        <v>2399.9499999999998</v>
      </c>
      <c r="G1754">
        <v>49335</v>
      </c>
      <c r="H1754" s="116"/>
      <c r="I1754" s="116"/>
      <c r="L1754" s="170">
        <v>44586</v>
      </c>
      <c r="M1754" s="116">
        <v>2400.15</v>
      </c>
      <c r="N1754" s="116">
        <v>2468.1</v>
      </c>
      <c r="O1754" s="116">
        <v>2360.1</v>
      </c>
      <c r="P1754" s="116">
        <v>2430.85</v>
      </c>
      <c r="Q1754" s="116">
        <v>2400.15</v>
      </c>
      <c r="R1754">
        <v>390068</v>
      </c>
    </row>
    <row r="1755" spans="1:18" x14ac:dyDescent="0.25">
      <c r="A1755" s="170">
        <v>44588</v>
      </c>
      <c r="B1755" s="116">
        <v>2435</v>
      </c>
      <c r="C1755" s="116">
        <v>2228.5500000000002</v>
      </c>
      <c r="D1755" s="116">
        <v>2138.4499999999998</v>
      </c>
      <c r="E1755" s="116">
        <v>2435</v>
      </c>
      <c r="F1755" s="116">
        <v>2228.5500000000002</v>
      </c>
      <c r="G1755">
        <v>37289</v>
      </c>
      <c r="H1755" s="116"/>
      <c r="I1755" s="116"/>
      <c r="L1755" s="170">
        <v>44588</v>
      </c>
      <c r="M1755" s="116">
        <v>2224.4499999999998</v>
      </c>
      <c r="N1755" s="116">
        <v>2405</v>
      </c>
      <c r="O1755" s="116">
        <v>2135.9</v>
      </c>
      <c r="P1755" s="116">
        <v>2405</v>
      </c>
      <c r="Q1755" s="116">
        <v>2224.4499999999998</v>
      </c>
      <c r="R1755">
        <v>794479</v>
      </c>
    </row>
    <row r="1756" spans="1:18" x14ac:dyDescent="0.25">
      <c r="A1756" s="170">
        <v>44589</v>
      </c>
      <c r="B1756" s="116">
        <v>2314.8000000000002</v>
      </c>
      <c r="C1756" s="116">
        <v>2278.75</v>
      </c>
      <c r="D1756" s="116">
        <v>2186.4499999999998</v>
      </c>
      <c r="E1756" s="116">
        <v>2235.15</v>
      </c>
      <c r="F1756" s="116">
        <v>2278.75</v>
      </c>
      <c r="G1756">
        <v>31831</v>
      </c>
      <c r="H1756" s="116"/>
      <c r="I1756" s="116"/>
      <c r="L1756" s="170">
        <v>44589</v>
      </c>
      <c r="M1756" s="116">
        <v>2270.5</v>
      </c>
      <c r="N1756" s="116">
        <v>2315.85</v>
      </c>
      <c r="O1756" s="116">
        <v>2190</v>
      </c>
      <c r="P1756" s="116">
        <v>2241</v>
      </c>
      <c r="Q1756" s="116">
        <v>2270.5</v>
      </c>
      <c r="R1756">
        <v>265768</v>
      </c>
    </row>
    <row r="1757" spans="1:18" x14ac:dyDescent="0.25">
      <c r="A1757" s="170">
        <v>44592</v>
      </c>
      <c r="B1757" s="116">
        <v>2333.9499999999998</v>
      </c>
      <c r="C1757" s="116">
        <v>2302</v>
      </c>
      <c r="D1757" s="116">
        <v>2195</v>
      </c>
      <c r="E1757" s="116">
        <v>2278</v>
      </c>
      <c r="F1757" s="116">
        <v>2302</v>
      </c>
      <c r="G1757">
        <v>19776</v>
      </c>
      <c r="H1757" s="116"/>
      <c r="I1757" s="116"/>
      <c r="L1757" s="170">
        <v>44592</v>
      </c>
      <c r="M1757" s="116">
        <v>2301.0500000000002</v>
      </c>
      <c r="N1757" s="116">
        <v>2333.5500000000002</v>
      </c>
      <c r="O1757" s="116">
        <v>2195.1</v>
      </c>
      <c r="P1757" s="116">
        <v>2276</v>
      </c>
      <c r="Q1757" s="116">
        <v>2301.0500000000002</v>
      </c>
      <c r="R1757">
        <v>415951</v>
      </c>
    </row>
    <row r="1758" spans="1:18" x14ac:dyDescent="0.25">
      <c r="A1758" s="170">
        <v>44593</v>
      </c>
      <c r="B1758" s="116">
        <v>2373</v>
      </c>
      <c r="C1758" s="116">
        <v>2286.65</v>
      </c>
      <c r="D1758" s="116">
        <v>2235.35</v>
      </c>
      <c r="E1758" s="116">
        <v>2329.9499999999998</v>
      </c>
      <c r="F1758" s="116">
        <v>2286.65</v>
      </c>
      <c r="G1758">
        <v>23026</v>
      </c>
      <c r="H1758" s="116"/>
      <c r="I1758" s="116"/>
      <c r="L1758" s="170">
        <v>44593</v>
      </c>
      <c r="M1758" s="116">
        <v>2287.1</v>
      </c>
      <c r="N1758" s="116">
        <v>2373.9499999999998</v>
      </c>
      <c r="O1758" s="116">
        <v>2232.5500000000002</v>
      </c>
      <c r="P1758" s="116">
        <v>2311.85</v>
      </c>
      <c r="Q1758" s="116">
        <v>2287.1</v>
      </c>
      <c r="R1758">
        <v>725023</v>
      </c>
    </row>
    <row r="1759" spans="1:18" x14ac:dyDescent="0.25">
      <c r="A1759" s="170">
        <v>44594</v>
      </c>
      <c r="B1759" s="116">
        <v>2377.6</v>
      </c>
      <c r="C1759" s="116">
        <v>2297</v>
      </c>
      <c r="D1759" s="116">
        <v>2264</v>
      </c>
      <c r="E1759" s="116">
        <v>2309.6999999999998</v>
      </c>
      <c r="F1759" s="116">
        <v>2297</v>
      </c>
      <c r="G1759">
        <v>15415</v>
      </c>
      <c r="H1759" s="116"/>
      <c r="I1759" s="116"/>
      <c r="L1759" s="170">
        <v>44594</v>
      </c>
      <c r="M1759" s="116">
        <v>2296.6999999999998</v>
      </c>
      <c r="N1759" s="116">
        <v>2377.1999999999998</v>
      </c>
      <c r="O1759" s="116">
        <v>2263.9</v>
      </c>
      <c r="P1759" s="116">
        <v>2287.1</v>
      </c>
      <c r="Q1759" s="116">
        <v>2296.6999999999998</v>
      </c>
      <c r="R1759">
        <v>324514</v>
      </c>
    </row>
    <row r="1760" spans="1:18" x14ac:dyDescent="0.25">
      <c r="A1760" s="170">
        <v>44595</v>
      </c>
      <c r="B1760" s="116">
        <v>2331</v>
      </c>
      <c r="C1760" s="116">
        <v>2304.35</v>
      </c>
      <c r="D1760" s="116">
        <v>2274</v>
      </c>
      <c r="E1760" s="116">
        <v>2305</v>
      </c>
      <c r="F1760" s="116">
        <v>2304.35</v>
      </c>
      <c r="G1760">
        <v>8291</v>
      </c>
      <c r="H1760" s="116"/>
      <c r="I1760" s="116"/>
      <c r="L1760" s="170">
        <v>44595</v>
      </c>
      <c r="M1760" s="116">
        <v>2305.8000000000002</v>
      </c>
      <c r="N1760" s="116">
        <v>2332.9499999999998</v>
      </c>
      <c r="O1760" s="116">
        <v>2272.65</v>
      </c>
      <c r="P1760" s="116">
        <v>2298</v>
      </c>
      <c r="Q1760" s="116">
        <v>2305.8000000000002</v>
      </c>
      <c r="R1760">
        <v>161075</v>
      </c>
    </row>
    <row r="1761" spans="1:18" x14ac:dyDescent="0.25">
      <c r="A1761" s="170">
        <v>44596</v>
      </c>
      <c r="B1761" s="116">
        <v>2364.9499999999998</v>
      </c>
      <c r="C1761" s="116">
        <v>2331.6999999999998</v>
      </c>
      <c r="D1761" s="116">
        <v>2283.3000000000002</v>
      </c>
      <c r="E1761" s="116">
        <v>2297.1999999999998</v>
      </c>
      <c r="F1761" s="116">
        <v>2331.6999999999998</v>
      </c>
      <c r="G1761">
        <v>14258</v>
      </c>
      <c r="H1761" s="116"/>
      <c r="I1761" s="116"/>
      <c r="L1761" s="170">
        <v>44596</v>
      </c>
      <c r="M1761" s="116">
        <v>2335.4</v>
      </c>
      <c r="N1761" s="116">
        <v>2365</v>
      </c>
      <c r="O1761" s="116">
        <v>2280</v>
      </c>
      <c r="P1761" s="116">
        <v>2305</v>
      </c>
      <c r="Q1761" s="116">
        <v>2335.4</v>
      </c>
      <c r="R1761">
        <v>203322</v>
      </c>
    </row>
    <row r="1762" spans="1:18" x14ac:dyDescent="0.25">
      <c r="A1762" s="170">
        <v>44599</v>
      </c>
      <c r="B1762" s="116">
        <v>2347.0500000000002</v>
      </c>
      <c r="C1762" s="116">
        <v>2258.4499999999998</v>
      </c>
      <c r="D1762" s="116">
        <v>2222.4499999999998</v>
      </c>
      <c r="E1762" s="116">
        <v>2341.4</v>
      </c>
      <c r="F1762" s="116">
        <v>2258.4499999999998</v>
      </c>
      <c r="G1762">
        <v>9702</v>
      </c>
      <c r="H1762" s="116"/>
      <c r="I1762" s="116"/>
      <c r="L1762" s="170">
        <v>44599</v>
      </c>
      <c r="M1762" s="116">
        <v>2258</v>
      </c>
      <c r="N1762" s="116">
        <v>2344.5</v>
      </c>
      <c r="O1762" s="116">
        <v>2223.8000000000002</v>
      </c>
      <c r="P1762" s="116">
        <v>2344</v>
      </c>
      <c r="Q1762" s="116">
        <v>2258</v>
      </c>
      <c r="R1762">
        <v>191104</v>
      </c>
    </row>
    <row r="1763" spans="1:18" x14ac:dyDescent="0.25">
      <c r="A1763" s="170">
        <v>44600</v>
      </c>
      <c r="B1763" s="116">
        <v>2281.0500000000002</v>
      </c>
      <c r="C1763" s="116">
        <v>2220.4499999999998</v>
      </c>
      <c r="D1763" s="116">
        <v>2196.35</v>
      </c>
      <c r="E1763" s="116">
        <v>2270.0500000000002</v>
      </c>
      <c r="F1763" s="116">
        <v>2220.4499999999998</v>
      </c>
      <c r="G1763">
        <v>14310</v>
      </c>
      <c r="H1763" s="116"/>
      <c r="I1763" s="116"/>
      <c r="L1763" s="170">
        <v>44600</v>
      </c>
      <c r="M1763" s="116">
        <v>2221.25</v>
      </c>
      <c r="N1763" s="116">
        <v>2284.9499999999998</v>
      </c>
      <c r="O1763" s="116">
        <v>2196</v>
      </c>
      <c r="P1763" s="116">
        <v>2270.6</v>
      </c>
      <c r="Q1763" s="116">
        <v>2221.25</v>
      </c>
      <c r="R1763">
        <v>122629</v>
      </c>
    </row>
    <row r="1764" spans="1:18" x14ac:dyDescent="0.25">
      <c r="A1764" s="170">
        <v>44601</v>
      </c>
      <c r="B1764" s="116">
        <v>2250</v>
      </c>
      <c r="C1764" s="116">
        <v>2241</v>
      </c>
      <c r="D1764" s="116">
        <v>2214.4499999999998</v>
      </c>
      <c r="E1764" s="116">
        <v>2234.3000000000002</v>
      </c>
      <c r="F1764" s="116">
        <v>2241</v>
      </c>
      <c r="G1764">
        <v>3974</v>
      </c>
      <c r="H1764" s="116"/>
      <c r="I1764" s="116"/>
      <c r="L1764" s="170">
        <v>44601</v>
      </c>
      <c r="M1764" s="116">
        <v>2241</v>
      </c>
      <c r="N1764" s="116">
        <v>2250</v>
      </c>
      <c r="O1764" s="116">
        <v>2211.6999999999998</v>
      </c>
      <c r="P1764" s="116">
        <v>2241</v>
      </c>
      <c r="Q1764" s="116">
        <v>2241</v>
      </c>
      <c r="R1764">
        <v>123789</v>
      </c>
    </row>
    <row r="1765" spans="1:18" x14ac:dyDescent="0.25">
      <c r="A1765" s="170">
        <v>44602</v>
      </c>
      <c r="B1765" s="116">
        <v>2315.9499999999998</v>
      </c>
      <c r="C1765" s="116">
        <v>2236.6999999999998</v>
      </c>
      <c r="D1765" s="116">
        <v>2218</v>
      </c>
      <c r="E1765" s="116">
        <v>2231.0500000000002</v>
      </c>
      <c r="F1765" s="116">
        <v>2236.6999999999998</v>
      </c>
      <c r="G1765">
        <v>24449</v>
      </c>
      <c r="H1765" s="116"/>
      <c r="I1765" s="116"/>
      <c r="L1765" s="170">
        <v>44602</v>
      </c>
      <c r="M1765" s="116">
        <v>2238</v>
      </c>
      <c r="N1765" s="116">
        <v>2319.9</v>
      </c>
      <c r="O1765" s="116">
        <v>2211</v>
      </c>
      <c r="P1765" s="116">
        <v>2211</v>
      </c>
      <c r="Q1765" s="116">
        <v>2238</v>
      </c>
      <c r="R1765">
        <v>369714</v>
      </c>
    </row>
    <row r="1766" spans="1:18" x14ac:dyDescent="0.25">
      <c r="A1766" s="170">
        <v>44603</v>
      </c>
      <c r="B1766" s="116">
        <v>2247.9</v>
      </c>
      <c r="C1766" s="116">
        <v>2179</v>
      </c>
      <c r="D1766" s="116">
        <v>2168.9499999999998</v>
      </c>
      <c r="E1766" s="116">
        <v>2230</v>
      </c>
      <c r="F1766" s="116">
        <v>2179</v>
      </c>
      <c r="G1766">
        <v>9230</v>
      </c>
      <c r="H1766" s="116"/>
      <c r="I1766" s="116"/>
      <c r="L1766" s="170">
        <v>44603</v>
      </c>
      <c r="M1766" s="116">
        <v>2179.25</v>
      </c>
      <c r="N1766" s="116">
        <v>2249.9</v>
      </c>
      <c r="O1766" s="116">
        <v>2170.0500000000002</v>
      </c>
      <c r="P1766" s="116">
        <v>2224</v>
      </c>
      <c r="Q1766" s="116">
        <v>2179.25</v>
      </c>
      <c r="R1766">
        <v>242245</v>
      </c>
    </row>
    <row r="1767" spans="1:18" x14ac:dyDescent="0.25">
      <c r="A1767" s="170">
        <v>44606</v>
      </c>
      <c r="B1767" s="116">
        <v>2137</v>
      </c>
      <c r="C1767" s="116">
        <v>2089.15</v>
      </c>
      <c r="D1767" s="116">
        <v>2044.55</v>
      </c>
      <c r="E1767" s="116">
        <v>2100</v>
      </c>
      <c r="F1767" s="116">
        <v>2089.15</v>
      </c>
      <c r="G1767">
        <v>11501</v>
      </c>
      <c r="H1767" s="116"/>
      <c r="I1767" s="116"/>
      <c r="L1767" s="170">
        <v>44606</v>
      </c>
      <c r="M1767" s="116">
        <v>2091</v>
      </c>
      <c r="N1767" s="116">
        <v>2136.4</v>
      </c>
      <c r="O1767" s="116">
        <v>2006.55</v>
      </c>
      <c r="P1767" s="116">
        <v>2095</v>
      </c>
      <c r="Q1767" s="116">
        <v>2091</v>
      </c>
      <c r="R1767">
        <v>289217</v>
      </c>
    </row>
    <row r="1768" spans="1:18" x14ac:dyDescent="0.25">
      <c r="A1768" s="170">
        <v>44607</v>
      </c>
      <c r="B1768" s="116">
        <v>2132.6999999999998</v>
      </c>
      <c r="C1768" s="116">
        <v>2042.9</v>
      </c>
      <c r="D1768" s="116">
        <v>2027</v>
      </c>
      <c r="E1768" s="116">
        <v>2098.15</v>
      </c>
      <c r="F1768" s="116">
        <v>2042.9</v>
      </c>
      <c r="G1768">
        <v>10792</v>
      </c>
      <c r="H1768" s="116"/>
      <c r="I1768" s="116"/>
      <c r="L1768" s="170">
        <v>44607</v>
      </c>
      <c r="M1768" s="116">
        <v>2045.85</v>
      </c>
      <c r="N1768" s="116">
        <v>2135.9499999999998</v>
      </c>
      <c r="O1768" s="116">
        <v>2025.55</v>
      </c>
      <c r="P1768" s="116">
        <v>2110</v>
      </c>
      <c r="Q1768" s="116">
        <v>2045.85</v>
      </c>
      <c r="R1768">
        <v>378170</v>
      </c>
    </row>
    <row r="1769" spans="1:18" x14ac:dyDescent="0.25">
      <c r="A1769" s="170">
        <v>44608</v>
      </c>
      <c r="B1769" s="116">
        <v>2090</v>
      </c>
      <c r="C1769" s="116">
        <v>2033.25</v>
      </c>
      <c r="D1769" s="116">
        <v>2013.5</v>
      </c>
      <c r="E1769" s="116">
        <v>2050.15</v>
      </c>
      <c r="F1769" s="116">
        <v>2033.25</v>
      </c>
      <c r="G1769">
        <v>10922</v>
      </c>
      <c r="H1769" s="116"/>
      <c r="I1769" s="116"/>
      <c r="L1769" s="170">
        <v>44608</v>
      </c>
      <c r="M1769" s="116">
        <v>2033.3</v>
      </c>
      <c r="N1769" s="116">
        <v>2084</v>
      </c>
      <c r="O1769" s="116">
        <v>2011.3</v>
      </c>
      <c r="P1769" s="116">
        <v>2059</v>
      </c>
      <c r="Q1769" s="116">
        <v>2033.3</v>
      </c>
      <c r="R1769">
        <v>565198</v>
      </c>
    </row>
    <row r="1770" spans="1:18" x14ac:dyDescent="0.25">
      <c r="A1770" s="170">
        <v>44609</v>
      </c>
      <c r="B1770" s="116">
        <v>2063.35</v>
      </c>
      <c r="C1770" s="116">
        <v>2056.1999999999998</v>
      </c>
      <c r="D1770" s="116">
        <v>2024.5</v>
      </c>
      <c r="E1770" s="116">
        <v>2030</v>
      </c>
      <c r="F1770" s="116">
        <v>2056.1999999999998</v>
      </c>
      <c r="G1770">
        <v>8280</v>
      </c>
      <c r="H1770" s="116"/>
      <c r="I1770" s="116"/>
      <c r="L1770" s="170">
        <v>44609</v>
      </c>
      <c r="M1770" s="116">
        <v>2055.9</v>
      </c>
      <c r="N1770" s="116">
        <v>2068</v>
      </c>
      <c r="O1770" s="116">
        <v>2023.3</v>
      </c>
      <c r="P1770" s="116">
        <v>2033.3</v>
      </c>
      <c r="Q1770" s="116">
        <v>2055.9</v>
      </c>
      <c r="R1770">
        <v>350822</v>
      </c>
    </row>
    <row r="1771" spans="1:18" x14ac:dyDescent="0.25">
      <c r="A1771" s="170">
        <v>44610</v>
      </c>
      <c r="B1771" s="116">
        <v>2078</v>
      </c>
      <c r="C1771" s="116">
        <v>2067.5</v>
      </c>
      <c r="D1771" s="116">
        <v>2039.25</v>
      </c>
      <c r="E1771" s="116">
        <v>2050</v>
      </c>
      <c r="F1771" s="116">
        <v>2067.5</v>
      </c>
      <c r="G1771">
        <v>5035</v>
      </c>
      <c r="H1771" s="116"/>
      <c r="I1771" s="116"/>
      <c r="L1771" s="170">
        <v>44610</v>
      </c>
      <c r="M1771" s="116">
        <v>2065.65</v>
      </c>
      <c r="N1771" s="116">
        <v>2079.0500000000002</v>
      </c>
      <c r="O1771" s="116">
        <v>2030</v>
      </c>
      <c r="P1771" s="116">
        <v>2030</v>
      </c>
      <c r="Q1771" s="116">
        <v>2065.65</v>
      </c>
      <c r="R1771">
        <v>177031</v>
      </c>
    </row>
    <row r="1772" spans="1:18" x14ac:dyDescent="0.25">
      <c r="A1772" s="170">
        <v>44613</v>
      </c>
      <c r="B1772" s="116">
        <v>2119.5</v>
      </c>
      <c r="C1772" s="116">
        <v>2100.35</v>
      </c>
      <c r="D1772" s="116">
        <v>2025.2</v>
      </c>
      <c r="E1772" s="116">
        <v>2030.15</v>
      </c>
      <c r="F1772" s="116">
        <v>2100.35</v>
      </c>
      <c r="G1772">
        <v>12170</v>
      </c>
      <c r="H1772" s="116"/>
      <c r="I1772" s="116"/>
      <c r="L1772" s="170">
        <v>44613</v>
      </c>
      <c r="M1772" s="116">
        <v>2101.1</v>
      </c>
      <c r="N1772" s="116">
        <v>2118.9</v>
      </c>
      <c r="O1772" s="116">
        <v>2025</v>
      </c>
      <c r="P1772" s="116">
        <v>2046</v>
      </c>
      <c r="Q1772" s="116">
        <v>2101.1</v>
      </c>
      <c r="R1772">
        <v>375444</v>
      </c>
    </row>
    <row r="1773" spans="1:18" x14ac:dyDescent="0.25">
      <c r="A1773" s="170">
        <v>44614</v>
      </c>
      <c r="B1773" s="116">
        <v>2119.25</v>
      </c>
      <c r="C1773" s="116">
        <v>2055.65</v>
      </c>
      <c r="D1773" s="116">
        <v>2042</v>
      </c>
      <c r="E1773" s="116">
        <v>2061.0500000000002</v>
      </c>
      <c r="F1773" s="116">
        <v>2055.65</v>
      </c>
      <c r="G1773">
        <v>9802</v>
      </c>
      <c r="H1773" s="116"/>
      <c r="I1773" s="116"/>
      <c r="L1773" s="170">
        <v>44614</v>
      </c>
      <c r="M1773" s="116">
        <v>2067.3000000000002</v>
      </c>
      <c r="N1773" s="116">
        <v>2123.25</v>
      </c>
      <c r="O1773" s="116">
        <v>2030</v>
      </c>
      <c r="P1773" s="116">
        <v>2030</v>
      </c>
      <c r="Q1773" s="116">
        <v>2067.3000000000002</v>
      </c>
      <c r="R1773">
        <v>306750</v>
      </c>
    </row>
    <row r="1774" spans="1:18" x14ac:dyDescent="0.25">
      <c r="A1774" s="170">
        <v>44615</v>
      </c>
      <c r="B1774" s="116">
        <v>2121.3000000000002</v>
      </c>
      <c r="C1774" s="116">
        <v>2100.0500000000002</v>
      </c>
      <c r="D1774" s="116">
        <v>2075</v>
      </c>
      <c r="E1774" s="116">
        <v>2082.5500000000002</v>
      </c>
      <c r="F1774" s="116">
        <v>2100.0500000000002</v>
      </c>
      <c r="G1774">
        <v>13290</v>
      </c>
      <c r="H1774" s="116"/>
      <c r="I1774" s="116"/>
      <c r="L1774" s="170">
        <v>44615</v>
      </c>
      <c r="M1774" s="116">
        <v>2097.1999999999998</v>
      </c>
      <c r="N1774" s="116">
        <v>2120</v>
      </c>
      <c r="O1774" s="116">
        <v>2076</v>
      </c>
      <c r="P1774" s="116">
        <v>2076</v>
      </c>
      <c r="Q1774" s="116">
        <v>2097.1999999999998</v>
      </c>
      <c r="R1774">
        <v>192678</v>
      </c>
    </row>
    <row r="1775" spans="1:18" x14ac:dyDescent="0.25">
      <c r="A1775" s="170">
        <v>44616</v>
      </c>
      <c r="B1775" s="116">
        <v>2098</v>
      </c>
      <c r="C1775" s="116">
        <v>2028.65</v>
      </c>
      <c r="D1775" s="116">
        <v>1979.5</v>
      </c>
      <c r="E1775" s="116">
        <v>2010.1</v>
      </c>
      <c r="F1775" s="116">
        <v>2028.65</v>
      </c>
      <c r="G1775">
        <v>22051</v>
      </c>
      <c r="H1775" s="116"/>
      <c r="I1775" s="116"/>
      <c r="L1775" s="170">
        <v>44616</v>
      </c>
      <c r="M1775" s="116">
        <v>2045.55</v>
      </c>
      <c r="N1775" s="116">
        <v>2098.9499999999998</v>
      </c>
      <c r="O1775" s="116">
        <v>2000</v>
      </c>
      <c r="P1775" s="116">
        <v>2040</v>
      </c>
      <c r="Q1775" s="116">
        <v>2045.55</v>
      </c>
      <c r="R1775">
        <v>360203</v>
      </c>
    </row>
    <row r="1776" spans="1:18" x14ac:dyDescent="0.25">
      <c r="A1776" s="170">
        <v>44617</v>
      </c>
      <c r="B1776" s="116">
        <v>2140</v>
      </c>
      <c r="C1776" s="116">
        <v>2133.0500000000002</v>
      </c>
      <c r="D1776" s="116">
        <v>2040.15</v>
      </c>
      <c r="E1776" s="116">
        <v>2040.15</v>
      </c>
      <c r="F1776" s="116">
        <v>2133.0500000000002</v>
      </c>
      <c r="G1776">
        <v>7967</v>
      </c>
      <c r="H1776" s="116"/>
      <c r="I1776" s="116"/>
      <c r="L1776" s="170">
        <v>44617</v>
      </c>
      <c r="M1776" s="116">
        <v>2131.9</v>
      </c>
      <c r="N1776" s="116">
        <v>2149.9499999999998</v>
      </c>
      <c r="O1776" s="116">
        <v>2065.35</v>
      </c>
      <c r="P1776" s="116">
        <v>2068.6</v>
      </c>
      <c r="Q1776" s="116">
        <v>2131.9</v>
      </c>
      <c r="R1776">
        <v>313838</v>
      </c>
    </row>
    <row r="1777" spans="1:18" x14ac:dyDescent="0.25">
      <c r="A1777" s="170">
        <v>44620</v>
      </c>
      <c r="B1777" s="116">
        <v>2170.75</v>
      </c>
      <c r="C1777" s="116">
        <v>2159.15</v>
      </c>
      <c r="D1777" s="116">
        <v>2092.0500000000002</v>
      </c>
      <c r="E1777" s="116">
        <v>2100</v>
      </c>
      <c r="F1777" s="116">
        <v>2159.15</v>
      </c>
      <c r="G1777">
        <v>6414</v>
      </c>
      <c r="H1777" s="116"/>
      <c r="I1777" s="116"/>
      <c r="L1777" s="170">
        <v>44620</v>
      </c>
      <c r="M1777" s="116">
        <v>2159.4499999999998</v>
      </c>
      <c r="N1777" s="116">
        <v>2171.6</v>
      </c>
      <c r="O1777" s="116">
        <v>2089.1999999999998</v>
      </c>
      <c r="P1777" s="116">
        <v>2096</v>
      </c>
      <c r="Q1777" s="116">
        <v>2159.4499999999998</v>
      </c>
      <c r="R1777">
        <v>180990</v>
      </c>
    </row>
    <row r="1778" spans="1:18" x14ac:dyDescent="0.25">
      <c r="A1778" s="170">
        <v>44622</v>
      </c>
      <c r="B1778" s="116">
        <v>2210.75</v>
      </c>
      <c r="C1778" s="116">
        <v>2179.0500000000002</v>
      </c>
      <c r="D1778" s="116">
        <v>2158.6999999999998</v>
      </c>
      <c r="E1778" s="116">
        <v>2164</v>
      </c>
      <c r="F1778" s="116">
        <v>2179.0500000000002</v>
      </c>
      <c r="G1778">
        <v>6004</v>
      </c>
      <c r="H1778" s="116"/>
      <c r="I1778" s="116"/>
      <c r="L1778" s="170">
        <v>44622</v>
      </c>
      <c r="M1778" s="116">
        <v>2179.1999999999998</v>
      </c>
      <c r="N1778" s="116">
        <v>2212.5</v>
      </c>
      <c r="O1778" s="116">
        <v>2153</v>
      </c>
      <c r="P1778" s="116">
        <v>2153</v>
      </c>
      <c r="Q1778" s="116">
        <v>2179.1999999999998</v>
      </c>
      <c r="R1778">
        <v>157039</v>
      </c>
    </row>
    <row r="1779" spans="1:18" x14ac:dyDescent="0.25">
      <c r="A1779" s="170">
        <v>44623</v>
      </c>
      <c r="B1779" s="116">
        <v>2237.5500000000002</v>
      </c>
      <c r="C1779" s="116">
        <v>2158.4</v>
      </c>
      <c r="D1779" s="116">
        <v>2146.5500000000002</v>
      </c>
      <c r="E1779" s="116">
        <v>2218.75</v>
      </c>
      <c r="F1779" s="116">
        <v>2158.4</v>
      </c>
      <c r="G1779">
        <v>6231</v>
      </c>
      <c r="H1779" s="116"/>
      <c r="I1779" s="116"/>
      <c r="L1779" s="170">
        <v>44623</v>
      </c>
      <c r="M1779" s="116">
        <v>2159.4499999999998</v>
      </c>
      <c r="N1779" s="116">
        <v>2239</v>
      </c>
      <c r="O1779" s="116">
        <v>2146</v>
      </c>
      <c r="P1779" s="116">
        <v>2200</v>
      </c>
      <c r="Q1779" s="116">
        <v>2159.4499999999998</v>
      </c>
      <c r="R1779">
        <v>217987</v>
      </c>
    </row>
    <row r="1780" spans="1:18" x14ac:dyDescent="0.25">
      <c r="A1780" s="170">
        <v>44624</v>
      </c>
      <c r="B1780" s="116">
        <v>2198.65</v>
      </c>
      <c r="C1780" s="116">
        <v>2155.1999999999998</v>
      </c>
      <c r="D1780" s="116">
        <v>2133.35</v>
      </c>
      <c r="E1780" s="116">
        <v>2140</v>
      </c>
      <c r="F1780" s="116">
        <v>2155.1999999999998</v>
      </c>
      <c r="G1780">
        <v>4547</v>
      </c>
      <c r="H1780" s="116"/>
      <c r="I1780" s="116"/>
      <c r="L1780" s="170">
        <v>44624</v>
      </c>
      <c r="M1780" s="116">
        <v>2155.4</v>
      </c>
      <c r="N1780" s="116">
        <v>2199</v>
      </c>
      <c r="O1780" s="116">
        <v>2125.1</v>
      </c>
      <c r="P1780" s="116">
        <v>2145</v>
      </c>
      <c r="Q1780" s="116">
        <v>2155.4</v>
      </c>
      <c r="R1780">
        <v>88675</v>
      </c>
    </row>
    <row r="1781" spans="1:18" x14ac:dyDescent="0.25">
      <c r="A1781" s="170">
        <v>44627</v>
      </c>
      <c r="B1781" s="116">
        <v>2147.5500000000002</v>
      </c>
      <c r="C1781" s="116">
        <v>2103.4</v>
      </c>
      <c r="D1781" s="116">
        <v>2081.3000000000002</v>
      </c>
      <c r="E1781" s="116">
        <v>2147.25</v>
      </c>
      <c r="F1781" s="116">
        <v>2103.4</v>
      </c>
      <c r="G1781">
        <v>7522</v>
      </c>
      <c r="H1781" s="116"/>
      <c r="I1781" s="116"/>
      <c r="L1781" s="170">
        <v>44627</v>
      </c>
      <c r="M1781" s="116">
        <v>2108.9499999999998</v>
      </c>
      <c r="N1781" s="116">
        <v>2148.8000000000002</v>
      </c>
      <c r="O1781" s="116">
        <v>2080.1999999999998</v>
      </c>
      <c r="P1781" s="116">
        <v>2138</v>
      </c>
      <c r="Q1781" s="116">
        <v>2108.9499999999998</v>
      </c>
      <c r="R1781">
        <v>139363</v>
      </c>
    </row>
    <row r="1782" spans="1:18" x14ac:dyDescent="0.25">
      <c r="A1782" s="170">
        <v>44628</v>
      </c>
      <c r="B1782" s="116">
        <v>2155.4499999999998</v>
      </c>
      <c r="C1782" s="116">
        <v>2131.85</v>
      </c>
      <c r="D1782" s="116">
        <v>2108.65</v>
      </c>
      <c r="E1782" s="116">
        <v>2120</v>
      </c>
      <c r="F1782" s="116">
        <v>2131.85</v>
      </c>
      <c r="G1782">
        <v>6957</v>
      </c>
      <c r="H1782" s="116"/>
      <c r="I1782" s="116"/>
      <c r="L1782" s="170">
        <v>44628</v>
      </c>
      <c r="M1782" s="116">
        <v>2135.0500000000002</v>
      </c>
      <c r="N1782" s="116">
        <v>2158</v>
      </c>
      <c r="O1782" s="116">
        <v>2104</v>
      </c>
      <c r="P1782" s="116">
        <v>2104</v>
      </c>
      <c r="Q1782" s="116">
        <v>2135.0500000000002</v>
      </c>
      <c r="R1782">
        <v>132359</v>
      </c>
    </row>
    <row r="1783" spans="1:18" x14ac:dyDescent="0.25">
      <c r="A1783" s="170">
        <v>44629</v>
      </c>
      <c r="B1783" s="116">
        <v>2160</v>
      </c>
      <c r="C1783" s="116">
        <v>2143.25</v>
      </c>
      <c r="D1783" s="116">
        <v>2103.3000000000002</v>
      </c>
      <c r="E1783" s="116">
        <v>2137.3000000000002</v>
      </c>
      <c r="F1783" s="116">
        <v>2143.25</v>
      </c>
      <c r="G1783">
        <v>3132</v>
      </c>
      <c r="H1783" s="116"/>
      <c r="I1783" s="116"/>
      <c r="L1783" s="170">
        <v>44629</v>
      </c>
      <c r="M1783" s="116">
        <v>2142.75</v>
      </c>
      <c r="N1783" s="116">
        <v>2163.75</v>
      </c>
      <c r="O1783" s="116">
        <v>2101</v>
      </c>
      <c r="P1783" s="116">
        <v>2150</v>
      </c>
      <c r="Q1783" s="116">
        <v>2142.75</v>
      </c>
      <c r="R1783">
        <v>310556</v>
      </c>
    </row>
    <row r="1784" spans="1:18" x14ac:dyDescent="0.25">
      <c r="A1784" s="170">
        <v>44630</v>
      </c>
      <c r="B1784" s="116">
        <v>2180</v>
      </c>
      <c r="C1784" s="116">
        <v>2155.9</v>
      </c>
      <c r="D1784" s="116">
        <v>2142.9499999999998</v>
      </c>
      <c r="E1784" s="116">
        <v>2180</v>
      </c>
      <c r="F1784" s="116">
        <v>2155.9</v>
      </c>
      <c r="G1784">
        <v>5921</v>
      </c>
      <c r="H1784" s="116"/>
      <c r="I1784" s="116"/>
      <c r="L1784" s="170">
        <v>44630</v>
      </c>
      <c r="M1784" s="116">
        <v>2157.9499999999998</v>
      </c>
      <c r="N1784" s="116">
        <v>2177.85</v>
      </c>
      <c r="O1784" s="116">
        <v>2142</v>
      </c>
      <c r="P1784" s="116">
        <v>2160</v>
      </c>
      <c r="Q1784" s="116">
        <v>2157.9499999999998</v>
      </c>
      <c r="R1784">
        <v>145468</v>
      </c>
    </row>
    <row r="1785" spans="1:18" x14ac:dyDescent="0.25">
      <c r="A1785" s="170">
        <v>44631</v>
      </c>
      <c r="B1785" s="116">
        <v>2173.25</v>
      </c>
      <c r="C1785" s="116">
        <v>2121.1999999999998</v>
      </c>
      <c r="D1785" s="116">
        <v>2112</v>
      </c>
      <c r="E1785" s="116">
        <v>2162</v>
      </c>
      <c r="F1785" s="116">
        <v>2121.1999999999998</v>
      </c>
      <c r="G1785">
        <v>5928</v>
      </c>
      <c r="H1785" s="116"/>
      <c r="I1785" s="116"/>
      <c r="L1785" s="170">
        <v>44631</v>
      </c>
      <c r="M1785" s="116">
        <v>2119.9499999999998</v>
      </c>
      <c r="N1785" s="116">
        <v>2174.9499999999998</v>
      </c>
      <c r="O1785" s="116">
        <v>2110</v>
      </c>
      <c r="P1785" s="116">
        <v>2155</v>
      </c>
      <c r="Q1785" s="116">
        <v>2119.9499999999998</v>
      </c>
      <c r="R1785">
        <v>78426</v>
      </c>
    </row>
    <row r="1786" spans="1:18" x14ac:dyDescent="0.25">
      <c r="A1786" s="170">
        <v>44634</v>
      </c>
      <c r="B1786" s="116">
        <v>2125</v>
      </c>
      <c r="C1786" s="116">
        <v>2075.8000000000002</v>
      </c>
      <c r="D1786" s="116">
        <v>2065</v>
      </c>
      <c r="E1786" s="116">
        <v>2125</v>
      </c>
      <c r="F1786" s="116">
        <v>2075.8000000000002</v>
      </c>
      <c r="G1786">
        <v>9804</v>
      </c>
      <c r="H1786" s="116"/>
      <c r="I1786" s="116"/>
      <c r="L1786" s="170">
        <v>44634</v>
      </c>
      <c r="M1786" s="116">
        <v>2078.5</v>
      </c>
      <c r="N1786" s="116">
        <v>2125.5500000000002</v>
      </c>
      <c r="O1786" s="116">
        <v>2063.4499999999998</v>
      </c>
      <c r="P1786" s="116">
        <v>2125.5500000000002</v>
      </c>
      <c r="Q1786" s="116">
        <v>2078.5</v>
      </c>
      <c r="R1786">
        <v>237058</v>
      </c>
    </row>
    <row r="1787" spans="1:18" x14ac:dyDescent="0.25">
      <c r="A1787" s="170">
        <v>44635</v>
      </c>
      <c r="B1787" s="116">
        <v>2095</v>
      </c>
      <c r="C1787" s="116">
        <v>2091</v>
      </c>
      <c r="D1787" s="116">
        <v>2043</v>
      </c>
      <c r="E1787" s="116">
        <v>2065.1999999999998</v>
      </c>
      <c r="F1787" s="116">
        <v>2091</v>
      </c>
      <c r="G1787">
        <v>5034</v>
      </c>
      <c r="H1787" s="116"/>
      <c r="I1787" s="116"/>
      <c r="L1787" s="170">
        <v>44635</v>
      </c>
      <c r="M1787" s="116">
        <v>2091.6999999999998</v>
      </c>
      <c r="N1787" s="116">
        <v>2095.1</v>
      </c>
      <c r="O1787" s="116">
        <v>2041.05</v>
      </c>
      <c r="P1787" s="116">
        <v>2078.5</v>
      </c>
      <c r="Q1787" s="116">
        <v>2091.6999999999998</v>
      </c>
      <c r="R1787">
        <v>178988</v>
      </c>
    </row>
    <row r="1788" spans="1:18" x14ac:dyDescent="0.25">
      <c r="A1788" s="170">
        <v>44636</v>
      </c>
      <c r="B1788" s="116">
        <v>2200</v>
      </c>
      <c r="C1788" s="116">
        <v>2190.1999999999998</v>
      </c>
      <c r="D1788" s="116">
        <v>2099</v>
      </c>
      <c r="E1788" s="116">
        <v>2099</v>
      </c>
      <c r="F1788" s="116">
        <v>2190.1999999999998</v>
      </c>
      <c r="G1788">
        <v>37131</v>
      </c>
      <c r="H1788" s="116"/>
      <c r="I1788" s="116"/>
      <c r="L1788" s="170">
        <v>44636</v>
      </c>
      <c r="M1788" s="116">
        <v>2190.9499999999998</v>
      </c>
      <c r="N1788" s="116">
        <v>2202.6</v>
      </c>
      <c r="O1788" s="116">
        <v>2102</v>
      </c>
      <c r="P1788" s="116">
        <v>2102</v>
      </c>
      <c r="Q1788" s="116">
        <v>2190.9499999999998</v>
      </c>
      <c r="R1788">
        <v>231640</v>
      </c>
    </row>
    <row r="1789" spans="1:18" x14ac:dyDescent="0.25">
      <c r="A1789" s="170">
        <v>44637</v>
      </c>
      <c r="B1789" s="116">
        <v>2208.15</v>
      </c>
      <c r="C1789" s="116">
        <v>2105.1</v>
      </c>
      <c r="D1789" s="116">
        <v>2091</v>
      </c>
      <c r="E1789" s="116">
        <v>2205</v>
      </c>
      <c r="F1789" s="116">
        <v>2105.1</v>
      </c>
      <c r="G1789">
        <v>15351</v>
      </c>
      <c r="H1789" s="116"/>
      <c r="I1789" s="116"/>
      <c r="L1789" s="170">
        <v>44637</v>
      </c>
      <c r="M1789" s="116">
        <v>2101.35</v>
      </c>
      <c r="N1789" s="116">
        <v>2208</v>
      </c>
      <c r="O1789" s="116">
        <v>2090</v>
      </c>
      <c r="P1789" s="116">
        <v>2205</v>
      </c>
      <c r="Q1789" s="116">
        <v>2101.35</v>
      </c>
      <c r="R1789">
        <v>603010</v>
      </c>
    </row>
    <row r="1790" spans="1:18" x14ac:dyDescent="0.25">
      <c r="A1790" s="170">
        <v>44641</v>
      </c>
      <c r="B1790" s="116">
        <v>2126.1</v>
      </c>
      <c r="C1790" s="116">
        <v>2095.65</v>
      </c>
      <c r="D1790" s="116">
        <v>2078</v>
      </c>
      <c r="E1790" s="116">
        <v>2120</v>
      </c>
      <c r="F1790" s="116">
        <v>2095.65</v>
      </c>
      <c r="G1790">
        <v>9325</v>
      </c>
      <c r="H1790" s="116"/>
      <c r="I1790" s="116"/>
      <c r="L1790" s="170">
        <v>44641</v>
      </c>
      <c r="M1790" s="116">
        <v>2091.4499999999998</v>
      </c>
      <c r="N1790" s="116">
        <v>2124.85</v>
      </c>
      <c r="O1790" s="116">
        <v>2079.4</v>
      </c>
      <c r="P1790" s="116">
        <v>2120.3000000000002</v>
      </c>
      <c r="Q1790" s="116">
        <v>2091.4499999999998</v>
      </c>
      <c r="R1790">
        <v>208149</v>
      </c>
    </row>
    <row r="1791" spans="1:18" x14ac:dyDescent="0.25">
      <c r="A1791" s="170">
        <v>44642</v>
      </c>
      <c r="B1791" s="116">
        <v>2095.65</v>
      </c>
      <c r="C1791" s="116">
        <v>2078.4499999999998</v>
      </c>
      <c r="D1791" s="116">
        <v>2059.4</v>
      </c>
      <c r="E1791" s="116">
        <v>2094</v>
      </c>
      <c r="F1791" s="116">
        <v>2078.4499999999998</v>
      </c>
      <c r="G1791">
        <v>7359</v>
      </c>
      <c r="H1791" s="116"/>
      <c r="I1791" s="116"/>
      <c r="L1791" s="170">
        <v>44642</v>
      </c>
      <c r="M1791" s="116">
        <v>2077.15</v>
      </c>
      <c r="N1791" s="116">
        <v>2101.15</v>
      </c>
      <c r="O1791" s="116">
        <v>2058</v>
      </c>
      <c r="P1791" s="116">
        <v>2100</v>
      </c>
      <c r="Q1791" s="116">
        <v>2077.15</v>
      </c>
      <c r="R1791">
        <v>96849</v>
      </c>
    </row>
    <row r="1792" spans="1:18" x14ac:dyDescent="0.25">
      <c r="A1792" s="170">
        <v>44643</v>
      </c>
      <c r="B1792" s="116">
        <v>2093.35</v>
      </c>
      <c r="C1792" s="116">
        <v>2047.7</v>
      </c>
      <c r="D1792" s="116">
        <v>2036.05</v>
      </c>
      <c r="E1792" s="116">
        <v>2078</v>
      </c>
      <c r="F1792" s="116">
        <v>2047.7</v>
      </c>
      <c r="G1792">
        <v>14257</v>
      </c>
      <c r="H1792" s="116"/>
      <c r="I1792" s="116"/>
      <c r="L1792" s="170">
        <v>44643</v>
      </c>
      <c r="M1792" s="116">
        <v>2050.8000000000002</v>
      </c>
      <c r="N1792" s="116">
        <v>2096.3000000000002</v>
      </c>
      <c r="O1792" s="116">
        <v>2029.35</v>
      </c>
      <c r="P1792" s="116">
        <v>2089.9499999999998</v>
      </c>
      <c r="Q1792" s="116">
        <v>2050.8000000000002</v>
      </c>
      <c r="R1792">
        <v>512732</v>
      </c>
    </row>
    <row r="1793" spans="1:18" x14ac:dyDescent="0.25">
      <c r="A1793" s="170">
        <v>44644</v>
      </c>
      <c r="B1793" s="116">
        <v>2052</v>
      </c>
      <c r="C1793" s="116">
        <v>2040.05</v>
      </c>
      <c r="D1793" s="116">
        <v>1982.3</v>
      </c>
      <c r="E1793" s="116">
        <v>2020</v>
      </c>
      <c r="F1793" s="116">
        <v>2040.05</v>
      </c>
      <c r="G1793">
        <v>12109</v>
      </c>
      <c r="H1793" s="116"/>
      <c r="I1793" s="116"/>
      <c r="L1793" s="170">
        <v>44644</v>
      </c>
      <c r="M1793" s="116">
        <v>2038.65</v>
      </c>
      <c r="N1793" s="116">
        <v>2054</v>
      </c>
      <c r="O1793" s="116">
        <v>1982</v>
      </c>
      <c r="P1793" s="116">
        <v>1991.25</v>
      </c>
      <c r="Q1793" s="116">
        <v>2038.65</v>
      </c>
      <c r="R1793">
        <v>251286</v>
      </c>
    </row>
    <row r="1794" spans="1:18" x14ac:dyDescent="0.25">
      <c r="A1794" s="170">
        <v>44645</v>
      </c>
      <c r="B1794" s="116">
        <v>2050.4</v>
      </c>
      <c r="C1794" s="116">
        <v>1989.7</v>
      </c>
      <c r="D1794" s="116">
        <v>1982.45</v>
      </c>
      <c r="E1794" s="116">
        <v>2039.45</v>
      </c>
      <c r="F1794" s="116">
        <v>1989.7</v>
      </c>
      <c r="G1794">
        <v>9024</v>
      </c>
      <c r="H1794" s="116"/>
      <c r="I1794" s="116"/>
      <c r="L1794" s="170">
        <v>44645</v>
      </c>
      <c r="M1794" s="116">
        <v>1989.3</v>
      </c>
      <c r="N1794" s="116">
        <v>2054.85</v>
      </c>
      <c r="O1794" s="116">
        <v>1983</v>
      </c>
      <c r="P1794" s="116">
        <v>2049.4</v>
      </c>
      <c r="Q1794" s="116">
        <v>1989.3</v>
      </c>
      <c r="R1794">
        <v>100470</v>
      </c>
    </row>
    <row r="1795" spans="1:18" x14ac:dyDescent="0.25">
      <c r="A1795" s="170">
        <v>44648</v>
      </c>
      <c r="B1795" s="116">
        <v>2019.3</v>
      </c>
      <c r="C1795" s="116">
        <v>2001.6</v>
      </c>
      <c r="D1795" s="116">
        <v>1944.6</v>
      </c>
      <c r="E1795" s="116">
        <v>1990</v>
      </c>
      <c r="F1795" s="116">
        <v>2001.6</v>
      </c>
      <c r="G1795">
        <v>10489</v>
      </c>
      <c r="H1795" s="116"/>
      <c r="I1795" s="116"/>
      <c r="L1795" s="170">
        <v>44648</v>
      </c>
      <c r="M1795" s="116">
        <v>2002.9</v>
      </c>
      <c r="N1795" s="116">
        <v>2019</v>
      </c>
      <c r="O1795" s="116">
        <v>1944.6</v>
      </c>
      <c r="P1795" s="116">
        <v>1985</v>
      </c>
      <c r="Q1795" s="116">
        <v>2002.9</v>
      </c>
      <c r="R1795">
        <v>184576</v>
      </c>
    </row>
    <row r="1796" spans="1:18" x14ac:dyDescent="0.25">
      <c r="A1796" s="170">
        <v>44649</v>
      </c>
      <c r="B1796" s="116">
        <v>2052</v>
      </c>
      <c r="C1796" s="116">
        <v>2040.45</v>
      </c>
      <c r="D1796" s="116">
        <v>2000.7</v>
      </c>
      <c r="E1796" s="116">
        <v>2001.6</v>
      </c>
      <c r="F1796" s="116">
        <v>2040.45</v>
      </c>
      <c r="G1796">
        <v>4899</v>
      </c>
      <c r="H1796" s="116"/>
      <c r="I1796" s="116"/>
      <c r="L1796" s="170">
        <v>44649</v>
      </c>
      <c r="M1796" s="116">
        <v>2038.8</v>
      </c>
      <c r="N1796" s="116">
        <v>2055</v>
      </c>
      <c r="O1796" s="116">
        <v>2000</v>
      </c>
      <c r="P1796" s="116">
        <v>2009.9</v>
      </c>
      <c r="Q1796" s="116">
        <v>2038.8</v>
      </c>
      <c r="R1796">
        <v>149014</v>
      </c>
    </row>
    <row r="1797" spans="1:18" x14ac:dyDescent="0.25">
      <c r="A1797" s="170">
        <v>44650</v>
      </c>
      <c r="B1797" s="116">
        <v>2094.85</v>
      </c>
      <c r="C1797" s="116">
        <v>2084</v>
      </c>
      <c r="D1797" s="116">
        <v>2034.95</v>
      </c>
      <c r="E1797" s="116">
        <v>2060</v>
      </c>
      <c r="F1797" s="116">
        <v>2084</v>
      </c>
      <c r="G1797">
        <v>8828</v>
      </c>
      <c r="H1797" s="116"/>
      <c r="I1797" s="116"/>
      <c r="L1797" s="170">
        <v>44650</v>
      </c>
      <c r="M1797" s="116">
        <v>2083.5</v>
      </c>
      <c r="N1797" s="116">
        <v>2095.4499999999998</v>
      </c>
      <c r="O1797" s="116">
        <v>2035.65</v>
      </c>
      <c r="P1797" s="116">
        <v>2051.9499999999998</v>
      </c>
      <c r="Q1797" s="116">
        <v>2083.5</v>
      </c>
      <c r="R1797">
        <v>149949</v>
      </c>
    </row>
    <row r="1798" spans="1:18" x14ac:dyDescent="0.25">
      <c r="A1798" s="170">
        <v>44651</v>
      </c>
      <c r="B1798" s="116">
        <v>2176.4</v>
      </c>
      <c r="C1798" s="116">
        <v>2154.3000000000002</v>
      </c>
      <c r="D1798" s="116">
        <v>2031.05</v>
      </c>
      <c r="E1798" s="116">
        <v>2070</v>
      </c>
      <c r="F1798" s="116">
        <v>2154.3000000000002</v>
      </c>
      <c r="G1798">
        <v>26270</v>
      </c>
      <c r="H1798" s="116"/>
      <c r="I1798" s="116"/>
      <c r="L1798" s="170">
        <v>44651</v>
      </c>
      <c r="M1798" s="116">
        <v>2157.9499999999998</v>
      </c>
      <c r="N1798" s="116">
        <v>2179</v>
      </c>
      <c r="O1798" s="116">
        <v>2032</v>
      </c>
      <c r="P1798" s="116">
        <v>2065</v>
      </c>
      <c r="Q1798" s="116">
        <v>2157.9499999999998</v>
      </c>
      <c r="R1798">
        <v>1052222</v>
      </c>
    </row>
    <row r="1799" spans="1:18" x14ac:dyDescent="0.25">
      <c r="A1799" s="170">
        <v>44652</v>
      </c>
      <c r="B1799" s="116">
        <v>2160</v>
      </c>
      <c r="C1799" s="116">
        <v>2114</v>
      </c>
      <c r="D1799" s="116">
        <v>2100.1999999999998</v>
      </c>
      <c r="E1799" s="116">
        <v>2160</v>
      </c>
      <c r="F1799" s="116">
        <v>2114</v>
      </c>
      <c r="G1799">
        <v>7561</v>
      </c>
      <c r="H1799" s="116"/>
      <c r="I1799" s="116"/>
      <c r="L1799" s="170">
        <v>44652</v>
      </c>
      <c r="M1799" s="116">
        <v>2114.3000000000002</v>
      </c>
      <c r="N1799" s="116">
        <v>2155</v>
      </c>
      <c r="O1799" s="116">
        <v>2101</v>
      </c>
      <c r="P1799" s="116">
        <v>2155</v>
      </c>
      <c r="Q1799" s="116">
        <v>2114.3000000000002</v>
      </c>
      <c r="R1799">
        <v>180591</v>
      </c>
    </row>
    <row r="1800" spans="1:18" x14ac:dyDescent="0.25">
      <c r="A1800" s="170">
        <v>44655</v>
      </c>
      <c r="B1800" s="116">
        <v>2142.1</v>
      </c>
      <c r="C1800" s="116">
        <v>2131.9499999999998</v>
      </c>
      <c r="D1800" s="116">
        <v>2101.4</v>
      </c>
      <c r="E1800" s="116">
        <v>2101.4</v>
      </c>
      <c r="F1800" s="116">
        <v>2131.9499999999998</v>
      </c>
      <c r="G1800">
        <v>4467</v>
      </c>
      <c r="H1800" s="116"/>
      <c r="I1800" s="116"/>
      <c r="L1800" s="170">
        <v>44655</v>
      </c>
      <c r="M1800" s="116">
        <v>2130.5500000000002</v>
      </c>
      <c r="N1800" s="116">
        <v>2143.9</v>
      </c>
      <c r="O1800" s="116">
        <v>2096</v>
      </c>
      <c r="P1800" s="116">
        <v>2096</v>
      </c>
      <c r="Q1800" s="116">
        <v>2130.5500000000002</v>
      </c>
      <c r="R1800">
        <v>105731</v>
      </c>
    </row>
    <row r="1801" spans="1:18" x14ac:dyDescent="0.25">
      <c r="A1801" s="170">
        <v>44656</v>
      </c>
      <c r="B1801" s="116">
        <v>2262</v>
      </c>
      <c r="C1801" s="116">
        <v>2210.5</v>
      </c>
      <c r="D1801" s="116">
        <v>2129</v>
      </c>
      <c r="E1801" s="116">
        <v>2131.1</v>
      </c>
      <c r="F1801" s="116">
        <v>2210.5</v>
      </c>
      <c r="G1801">
        <v>23766</v>
      </c>
      <c r="H1801" s="116"/>
      <c r="I1801" s="116"/>
      <c r="L1801" s="170">
        <v>44656</v>
      </c>
      <c r="M1801" s="116">
        <v>2207.5500000000002</v>
      </c>
      <c r="N1801" s="116">
        <v>2264.9499999999998</v>
      </c>
      <c r="O1801" s="116">
        <v>2127.9499999999998</v>
      </c>
      <c r="P1801" s="116">
        <v>2140</v>
      </c>
      <c r="Q1801" s="116">
        <v>2207.5500000000002</v>
      </c>
      <c r="R1801">
        <v>350006</v>
      </c>
    </row>
    <row r="1802" spans="1:18" x14ac:dyDescent="0.25">
      <c r="A1802" s="170">
        <v>44657</v>
      </c>
      <c r="B1802" s="116">
        <v>2243.4499999999998</v>
      </c>
      <c r="C1802" s="116">
        <v>2208.4499999999998</v>
      </c>
      <c r="D1802" s="116">
        <v>2173.65</v>
      </c>
      <c r="E1802" s="116">
        <v>2211</v>
      </c>
      <c r="F1802" s="116">
        <v>2208.4499999999998</v>
      </c>
      <c r="G1802">
        <v>11724</v>
      </c>
      <c r="H1802" s="116"/>
      <c r="I1802" s="116"/>
      <c r="L1802" s="170">
        <v>44657</v>
      </c>
      <c r="M1802" s="116">
        <v>2209.4499999999998</v>
      </c>
      <c r="N1802" s="116">
        <v>2243.9499999999998</v>
      </c>
      <c r="O1802" s="116">
        <v>2173.85</v>
      </c>
      <c r="P1802" s="116">
        <v>2219</v>
      </c>
      <c r="Q1802" s="116">
        <v>2209.4499999999998</v>
      </c>
      <c r="R1802">
        <v>202906</v>
      </c>
    </row>
    <row r="1803" spans="1:18" x14ac:dyDescent="0.25">
      <c r="A1803" s="170">
        <v>44658</v>
      </c>
      <c r="B1803" s="116">
        <v>2237</v>
      </c>
      <c r="C1803" s="116">
        <v>2188.65</v>
      </c>
      <c r="D1803" s="116">
        <v>2183.1</v>
      </c>
      <c r="E1803" s="116">
        <v>2222.8000000000002</v>
      </c>
      <c r="F1803" s="116">
        <v>2188.65</v>
      </c>
      <c r="G1803">
        <v>6334</v>
      </c>
      <c r="H1803" s="116"/>
      <c r="I1803" s="116"/>
      <c r="L1803" s="170">
        <v>44658</v>
      </c>
      <c r="M1803" s="116">
        <v>2192.15</v>
      </c>
      <c r="N1803" s="116">
        <v>2237.85</v>
      </c>
      <c r="O1803" s="116">
        <v>2181.65</v>
      </c>
      <c r="P1803" s="116">
        <v>2210</v>
      </c>
      <c r="Q1803" s="116">
        <v>2192.15</v>
      </c>
      <c r="R1803">
        <v>98294</v>
      </c>
    </row>
    <row r="1804" spans="1:18" x14ac:dyDescent="0.25">
      <c r="A1804" s="170">
        <v>44659</v>
      </c>
      <c r="B1804" s="116">
        <v>2245.5</v>
      </c>
      <c r="C1804" s="116">
        <v>2240.6</v>
      </c>
      <c r="D1804" s="116">
        <v>2190</v>
      </c>
      <c r="E1804" s="116">
        <v>2195</v>
      </c>
      <c r="F1804" s="116">
        <v>2240.6</v>
      </c>
      <c r="G1804">
        <v>6058</v>
      </c>
      <c r="H1804" s="116"/>
      <c r="I1804" s="116"/>
      <c r="L1804" s="170">
        <v>44659</v>
      </c>
      <c r="M1804" s="116">
        <v>2238.9499999999998</v>
      </c>
      <c r="N1804" s="116">
        <v>2246.65</v>
      </c>
      <c r="O1804" s="116">
        <v>2187.9499999999998</v>
      </c>
      <c r="P1804" s="116">
        <v>2208.75</v>
      </c>
      <c r="Q1804" s="116">
        <v>2238.9499999999998</v>
      </c>
      <c r="R1804">
        <v>161106</v>
      </c>
    </row>
    <row r="1805" spans="1:18" x14ac:dyDescent="0.25">
      <c r="A1805" s="170">
        <v>44662</v>
      </c>
      <c r="B1805" s="116">
        <v>2256.25</v>
      </c>
      <c r="C1805" s="116">
        <v>2218.4</v>
      </c>
      <c r="D1805" s="116">
        <v>2200</v>
      </c>
      <c r="E1805" s="116">
        <v>2250.4</v>
      </c>
      <c r="F1805" s="116">
        <v>2218.4</v>
      </c>
      <c r="G1805">
        <v>7388</v>
      </c>
      <c r="H1805" s="116"/>
      <c r="I1805" s="116"/>
      <c r="L1805" s="170">
        <v>44662</v>
      </c>
      <c r="M1805" s="116">
        <v>2214.8000000000002</v>
      </c>
      <c r="N1805" s="116">
        <v>2257.9</v>
      </c>
      <c r="O1805" s="116">
        <v>2202.6</v>
      </c>
      <c r="P1805" s="116">
        <v>2240</v>
      </c>
      <c r="Q1805" s="116">
        <v>2214.8000000000002</v>
      </c>
      <c r="R1805">
        <v>178038</v>
      </c>
    </row>
    <row r="1806" spans="1:18" x14ac:dyDescent="0.25">
      <c r="A1806" s="170">
        <v>44663</v>
      </c>
      <c r="B1806" s="116">
        <v>2213.1999999999998</v>
      </c>
      <c r="C1806" s="116">
        <v>2206.9</v>
      </c>
      <c r="D1806" s="116">
        <v>2150.0500000000002</v>
      </c>
      <c r="E1806" s="116">
        <v>2209.9</v>
      </c>
      <c r="F1806" s="116">
        <v>2206.9</v>
      </c>
      <c r="G1806">
        <v>8587</v>
      </c>
      <c r="H1806" s="116"/>
      <c r="I1806" s="116"/>
      <c r="L1806" s="170">
        <v>44663</v>
      </c>
      <c r="M1806" s="116">
        <v>2206.5</v>
      </c>
      <c r="N1806" s="116">
        <v>2231.75</v>
      </c>
      <c r="O1806" s="116">
        <v>2150</v>
      </c>
      <c r="P1806" s="116">
        <v>2213.8000000000002</v>
      </c>
      <c r="Q1806" s="116">
        <v>2206.5</v>
      </c>
      <c r="R1806">
        <v>103405</v>
      </c>
    </row>
    <row r="1807" spans="1:18" x14ac:dyDescent="0.25">
      <c r="A1807" s="170">
        <v>44664</v>
      </c>
      <c r="B1807" s="116">
        <v>2233.3000000000002</v>
      </c>
      <c r="C1807" s="116">
        <v>2228.5500000000002</v>
      </c>
      <c r="D1807" s="116">
        <v>2205.0500000000002</v>
      </c>
      <c r="E1807" s="116">
        <v>2209.15</v>
      </c>
      <c r="F1807" s="116">
        <v>2228.5500000000002</v>
      </c>
      <c r="G1807">
        <v>7112</v>
      </c>
      <c r="H1807" s="116"/>
      <c r="I1807" s="116"/>
      <c r="L1807" s="170">
        <v>44664</v>
      </c>
      <c r="M1807" s="116">
        <v>2226.6999999999998</v>
      </c>
      <c r="N1807" s="116">
        <v>2231.9499999999998</v>
      </c>
      <c r="O1807" s="116">
        <v>2200</v>
      </c>
      <c r="P1807" s="116">
        <v>2201</v>
      </c>
      <c r="Q1807" s="116">
        <v>2226.6999999999998</v>
      </c>
      <c r="R1807">
        <v>65098</v>
      </c>
    </row>
    <row r="1808" spans="1:18" x14ac:dyDescent="0.25">
      <c r="A1808" s="170">
        <v>44669</v>
      </c>
      <c r="B1808" s="116">
        <v>2222.25</v>
      </c>
      <c r="C1808" s="116">
        <v>2184.15</v>
      </c>
      <c r="D1808" s="116">
        <v>2144.75</v>
      </c>
      <c r="E1808" s="116">
        <v>2222.25</v>
      </c>
      <c r="F1808" s="116">
        <v>2184.15</v>
      </c>
      <c r="G1808">
        <v>7427</v>
      </c>
      <c r="H1808" s="116"/>
      <c r="I1808" s="116"/>
      <c r="L1808" s="170">
        <v>44669</v>
      </c>
      <c r="M1808" s="116">
        <v>2183.5</v>
      </c>
      <c r="N1808" s="116">
        <v>2224</v>
      </c>
      <c r="O1808" s="116">
        <v>2141.6</v>
      </c>
      <c r="P1808" s="116">
        <v>2224</v>
      </c>
      <c r="Q1808" s="116">
        <v>2183.5</v>
      </c>
      <c r="R1808">
        <v>127137</v>
      </c>
    </row>
    <row r="1809" spans="1:18" x14ac:dyDescent="0.25">
      <c r="A1809" s="170">
        <v>44670</v>
      </c>
      <c r="B1809" s="116">
        <v>2220</v>
      </c>
      <c r="C1809" s="116">
        <v>2146.9499999999998</v>
      </c>
      <c r="D1809" s="116">
        <v>2131.0500000000002</v>
      </c>
      <c r="E1809" s="116">
        <v>2170</v>
      </c>
      <c r="F1809" s="116">
        <v>2146.9499999999998</v>
      </c>
      <c r="G1809">
        <v>5662</v>
      </c>
      <c r="H1809" s="116"/>
      <c r="I1809" s="116"/>
      <c r="L1809" s="170">
        <v>44670</v>
      </c>
      <c r="M1809" s="116">
        <v>2152.1999999999998</v>
      </c>
      <c r="N1809" s="116">
        <v>2250</v>
      </c>
      <c r="O1809" s="116">
        <v>2125</v>
      </c>
      <c r="P1809" s="116">
        <v>2200.1</v>
      </c>
      <c r="Q1809" s="116">
        <v>2152.1999999999998</v>
      </c>
      <c r="R1809">
        <v>76918</v>
      </c>
    </row>
    <row r="1810" spans="1:18" x14ac:dyDescent="0.25">
      <c r="A1810" s="170">
        <v>44671</v>
      </c>
      <c r="B1810" s="116">
        <v>2177.5</v>
      </c>
      <c r="C1810" s="116">
        <v>2137.6999999999998</v>
      </c>
      <c r="D1810" s="116">
        <v>2127.25</v>
      </c>
      <c r="E1810" s="116">
        <v>2166.15</v>
      </c>
      <c r="F1810" s="116">
        <v>2137.6999999999998</v>
      </c>
      <c r="G1810">
        <v>3870</v>
      </c>
      <c r="H1810" s="116"/>
      <c r="I1810" s="116"/>
      <c r="L1810" s="170">
        <v>44671</v>
      </c>
      <c r="M1810" s="116">
        <v>2137.4499999999998</v>
      </c>
      <c r="N1810" s="116">
        <v>2177.85</v>
      </c>
      <c r="O1810" s="116">
        <v>2127.6999999999998</v>
      </c>
      <c r="P1810" s="116">
        <v>2165</v>
      </c>
      <c r="Q1810" s="116">
        <v>2137.4499999999998</v>
      </c>
      <c r="R1810">
        <v>55650</v>
      </c>
    </row>
    <row r="1811" spans="1:18" x14ac:dyDescent="0.25">
      <c r="A1811" s="170">
        <v>44672</v>
      </c>
      <c r="B1811" s="116">
        <v>2168.9499999999998</v>
      </c>
      <c r="C1811" s="116">
        <v>2139.6999999999998</v>
      </c>
      <c r="D1811" s="116">
        <v>2123.75</v>
      </c>
      <c r="E1811" s="116">
        <v>2149.6999999999998</v>
      </c>
      <c r="F1811" s="116">
        <v>2139.6999999999998</v>
      </c>
      <c r="G1811">
        <v>4652</v>
      </c>
      <c r="H1811" s="116"/>
      <c r="I1811" s="116"/>
      <c r="L1811" s="170">
        <v>44672</v>
      </c>
      <c r="M1811" s="116">
        <v>2143.5</v>
      </c>
      <c r="N1811" s="116">
        <v>2169.6999999999998</v>
      </c>
      <c r="O1811" s="116">
        <v>2123.1999999999998</v>
      </c>
      <c r="P1811" s="116">
        <v>2145.1</v>
      </c>
      <c r="Q1811" s="116">
        <v>2143.5</v>
      </c>
      <c r="R1811">
        <v>122239</v>
      </c>
    </row>
    <row r="1812" spans="1:18" x14ac:dyDescent="0.25">
      <c r="A1812" s="170">
        <v>44673</v>
      </c>
      <c r="B1812" s="116">
        <v>2203</v>
      </c>
      <c r="C1812" s="116">
        <v>2162.3000000000002</v>
      </c>
      <c r="D1812" s="116">
        <v>2139.75</v>
      </c>
      <c r="E1812" s="116">
        <v>2160</v>
      </c>
      <c r="F1812" s="116">
        <v>2162.3000000000002</v>
      </c>
      <c r="G1812">
        <v>7060</v>
      </c>
      <c r="H1812" s="116"/>
      <c r="I1812" s="116"/>
      <c r="L1812" s="170">
        <v>44673</v>
      </c>
      <c r="M1812" s="116">
        <v>2161.1</v>
      </c>
      <c r="N1812" s="116">
        <v>2203.85</v>
      </c>
      <c r="O1812" s="116">
        <v>2135.0500000000002</v>
      </c>
      <c r="P1812" s="116">
        <v>2140.1999999999998</v>
      </c>
      <c r="Q1812" s="116">
        <v>2161.1</v>
      </c>
      <c r="R1812">
        <v>163274</v>
      </c>
    </row>
    <row r="1813" spans="1:18" x14ac:dyDescent="0.25">
      <c r="A1813" s="170">
        <v>44676</v>
      </c>
      <c r="B1813" s="116">
        <v>2154.15</v>
      </c>
      <c r="C1813" s="116">
        <v>2101.5</v>
      </c>
      <c r="D1813" s="116">
        <v>2095</v>
      </c>
      <c r="E1813" s="116">
        <v>2130.0500000000002</v>
      </c>
      <c r="F1813" s="116">
        <v>2101.5</v>
      </c>
      <c r="G1813">
        <v>4579</v>
      </c>
      <c r="H1813" s="116"/>
      <c r="I1813" s="116"/>
      <c r="L1813" s="170">
        <v>44676</v>
      </c>
      <c r="M1813" s="116">
        <v>2100</v>
      </c>
      <c r="N1813" s="116">
        <v>2158.9499999999998</v>
      </c>
      <c r="O1813" s="116">
        <v>2095.0500000000002</v>
      </c>
      <c r="P1813" s="116">
        <v>2150</v>
      </c>
      <c r="Q1813" s="116">
        <v>2100</v>
      </c>
      <c r="R1813">
        <v>171418</v>
      </c>
    </row>
    <row r="1814" spans="1:18" x14ac:dyDescent="0.25">
      <c r="A1814" s="170">
        <v>44677</v>
      </c>
      <c r="B1814" s="116">
        <v>2119.0500000000002</v>
      </c>
      <c r="C1814" s="116">
        <v>2088.75</v>
      </c>
      <c r="D1814" s="116">
        <v>2064.3000000000002</v>
      </c>
      <c r="E1814" s="116">
        <v>2103.3000000000002</v>
      </c>
      <c r="F1814" s="116">
        <v>2088.75</v>
      </c>
      <c r="G1814">
        <v>3953</v>
      </c>
      <c r="H1814" s="116"/>
      <c r="I1814" s="116"/>
      <c r="L1814" s="170">
        <v>44677</v>
      </c>
      <c r="M1814" s="116">
        <v>2087.85</v>
      </c>
      <c r="N1814" s="116">
        <v>2128.9499999999998</v>
      </c>
      <c r="O1814" s="116">
        <v>2062.5</v>
      </c>
      <c r="P1814" s="116">
        <v>2111.1</v>
      </c>
      <c r="Q1814" s="116">
        <v>2087.85</v>
      </c>
      <c r="R1814">
        <v>132818</v>
      </c>
    </row>
    <row r="1815" spans="1:18" x14ac:dyDescent="0.25">
      <c r="A1815" s="170">
        <v>44678</v>
      </c>
      <c r="B1815" s="116">
        <v>2096.25</v>
      </c>
      <c r="C1815" s="116">
        <v>2084.35</v>
      </c>
      <c r="D1815" s="116">
        <v>2025</v>
      </c>
      <c r="E1815" s="116">
        <v>2080</v>
      </c>
      <c r="F1815" s="116">
        <v>2084.35</v>
      </c>
      <c r="G1815">
        <v>6941</v>
      </c>
      <c r="H1815" s="116"/>
      <c r="I1815" s="116"/>
      <c r="L1815" s="170">
        <v>44678</v>
      </c>
      <c r="M1815" s="116">
        <v>2084.65</v>
      </c>
      <c r="N1815" s="116">
        <v>2094.9</v>
      </c>
      <c r="O1815" s="116">
        <v>2038</v>
      </c>
      <c r="P1815" s="116">
        <v>2082</v>
      </c>
      <c r="Q1815" s="116">
        <v>2084.65</v>
      </c>
      <c r="R1815">
        <v>111258</v>
      </c>
    </row>
    <row r="1816" spans="1:18" x14ac:dyDescent="0.25">
      <c r="A1816" s="170">
        <v>44679</v>
      </c>
      <c r="B1816" s="116">
        <v>2106.9499999999998</v>
      </c>
      <c r="C1816" s="116">
        <v>2097.9</v>
      </c>
      <c r="D1816" s="116">
        <v>2054.25</v>
      </c>
      <c r="E1816" s="116">
        <v>2099.9499999999998</v>
      </c>
      <c r="F1816" s="116">
        <v>2097.9</v>
      </c>
      <c r="G1816">
        <v>2650</v>
      </c>
      <c r="H1816" s="116"/>
      <c r="I1816" s="116"/>
      <c r="L1816" s="170">
        <v>44679</v>
      </c>
      <c r="M1816" s="116">
        <v>2097.85</v>
      </c>
      <c r="N1816" s="116">
        <v>2110</v>
      </c>
      <c r="O1816" s="116">
        <v>2053.1999999999998</v>
      </c>
      <c r="P1816" s="116">
        <v>2100</v>
      </c>
      <c r="Q1816" s="116">
        <v>2097.85</v>
      </c>
      <c r="R1816">
        <v>115355</v>
      </c>
    </row>
    <row r="1817" spans="1:18" x14ac:dyDescent="0.25">
      <c r="A1817" s="170">
        <v>44680</v>
      </c>
      <c r="B1817" s="116">
        <v>2124.9499999999998</v>
      </c>
      <c r="C1817" s="116">
        <v>2100.1</v>
      </c>
      <c r="D1817" s="116">
        <v>2060</v>
      </c>
      <c r="E1817" s="116">
        <v>2099</v>
      </c>
      <c r="F1817" s="116">
        <v>2100.1</v>
      </c>
      <c r="G1817">
        <v>3122</v>
      </c>
      <c r="H1817" s="116"/>
      <c r="I1817" s="116"/>
      <c r="L1817" s="170">
        <v>44680</v>
      </c>
      <c r="M1817" s="116">
        <v>2096.5500000000002</v>
      </c>
      <c r="N1817" s="116">
        <v>2128.65</v>
      </c>
      <c r="O1817" s="116">
        <v>2060</v>
      </c>
      <c r="P1817" s="116">
        <v>2092</v>
      </c>
      <c r="Q1817" s="116">
        <v>2096.5500000000002</v>
      </c>
      <c r="R1817">
        <v>101104</v>
      </c>
    </row>
    <row r="1818" spans="1:18" x14ac:dyDescent="0.25">
      <c r="A1818" s="170">
        <v>44683</v>
      </c>
      <c r="B1818" s="116">
        <v>2095.9499999999998</v>
      </c>
      <c r="C1818" s="116">
        <v>2053.9</v>
      </c>
      <c r="D1818" s="116">
        <v>2046</v>
      </c>
      <c r="E1818" s="116">
        <v>2075.35</v>
      </c>
      <c r="F1818" s="116">
        <v>2053.9</v>
      </c>
      <c r="G1818">
        <v>5713</v>
      </c>
      <c r="H1818" s="116"/>
      <c r="I1818" s="116"/>
      <c r="L1818" s="170">
        <v>44683</v>
      </c>
      <c r="M1818" s="116">
        <v>2051.35</v>
      </c>
      <c r="N1818" s="116">
        <v>2096.5</v>
      </c>
      <c r="O1818" s="116">
        <v>2041.45</v>
      </c>
      <c r="P1818" s="116">
        <v>2090</v>
      </c>
      <c r="Q1818" s="116">
        <v>2051.35</v>
      </c>
      <c r="R1818">
        <v>48561</v>
      </c>
    </row>
    <row r="1819" spans="1:18" x14ac:dyDescent="0.25">
      <c r="A1819" s="170">
        <v>44685</v>
      </c>
      <c r="B1819" s="116">
        <v>2071.8000000000002</v>
      </c>
      <c r="C1819" s="116">
        <v>2013.8</v>
      </c>
      <c r="D1819" s="116">
        <v>2001</v>
      </c>
      <c r="E1819" s="116">
        <v>2056.1</v>
      </c>
      <c r="F1819" s="116">
        <v>2013.8</v>
      </c>
      <c r="G1819">
        <v>5224</v>
      </c>
      <c r="H1819" s="116"/>
      <c r="I1819" s="116"/>
      <c r="L1819" s="170">
        <v>44685</v>
      </c>
      <c r="M1819" s="116">
        <v>2014.45</v>
      </c>
      <c r="N1819" s="116">
        <v>2072.9</v>
      </c>
      <c r="O1819" s="116">
        <v>2000</v>
      </c>
      <c r="P1819" s="116">
        <v>2066.6999999999998</v>
      </c>
      <c r="Q1819" s="116">
        <v>2014.45</v>
      </c>
      <c r="R1819">
        <v>70125</v>
      </c>
    </row>
    <row r="1820" spans="1:18" x14ac:dyDescent="0.25">
      <c r="A1820" s="170">
        <v>44686</v>
      </c>
      <c r="B1820" s="116">
        <v>2251.5</v>
      </c>
      <c r="C1820" s="116">
        <v>2224.6999999999998</v>
      </c>
      <c r="D1820" s="116">
        <v>2089</v>
      </c>
      <c r="E1820" s="116">
        <v>2089</v>
      </c>
      <c r="F1820" s="116">
        <v>2224.6999999999998</v>
      </c>
      <c r="G1820">
        <v>80093</v>
      </c>
      <c r="H1820" s="116"/>
      <c r="I1820" s="116"/>
      <c r="L1820" s="170">
        <v>44686</v>
      </c>
      <c r="M1820" s="116">
        <v>2221.1</v>
      </c>
      <c r="N1820" s="116">
        <v>2294</v>
      </c>
      <c r="O1820" s="116">
        <v>2088.0500000000002</v>
      </c>
      <c r="P1820" s="116">
        <v>2098.9499999999998</v>
      </c>
      <c r="Q1820" s="116">
        <v>2221.1</v>
      </c>
      <c r="R1820">
        <v>2654230</v>
      </c>
    </row>
    <row r="1821" spans="1:18" x14ac:dyDescent="0.25">
      <c r="A1821" s="170">
        <v>44687</v>
      </c>
      <c r="B1821" s="116">
        <v>2273.9</v>
      </c>
      <c r="C1821" s="116">
        <v>2253.9</v>
      </c>
      <c r="D1821" s="116">
        <v>2160</v>
      </c>
      <c r="E1821" s="116">
        <v>2165</v>
      </c>
      <c r="F1821" s="116">
        <v>2253.9</v>
      </c>
      <c r="G1821">
        <v>33316</v>
      </c>
      <c r="H1821" s="116"/>
      <c r="I1821" s="116"/>
      <c r="L1821" s="170">
        <v>44687</v>
      </c>
      <c r="M1821" s="116">
        <v>2254.1999999999998</v>
      </c>
      <c r="N1821" s="116">
        <v>2275</v>
      </c>
      <c r="O1821" s="116">
        <v>2178</v>
      </c>
      <c r="P1821" s="116">
        <v>2187</v>
      </c>
      <c r="Q1821" s="116">
        <v>2254.1999999999998</v>
      </c>
      <c r="R1821">
        <v>1542537</v>
      </c>
    </row>
    <row r="1822" spans="1:18" x14ac:dyDescent="0.25">
      <c r="A1822" s="170">
        <v>44690</v>
      </c>
      <c r="B1822" s="116">
        <v>2358</v>
      </c>
      <c r="C1822" s="116">
        <v>2302.5500000000002</v>
      </c>
      <c r="D1822" s="116">
        <v>2229.25</v>
      </c>
      <c r="E1822" s="116">
        <v>2253.9</v>
      </c>
      <c r="F1822" s="116">
        <v>2302.5500000000002</v>
      </c>
      <c r="G1822">
        <v>36892</v>
      </c>
      <c r="H1822" s="116"/>
      <c r="I1822" s="116"/>
      <c r="L1822" s="170">
        <v>44690</v>
      </c>
      <c r="M1822" s="116">
        <v>2305.6999999999998</v>
      </c>
      <c r="N1822" s="116">
        <v>2359.6999999999998</v>
      </c>
      <c r="O1822" s="116">
        <v>2226.3000000000002</v>
      </c>
      <c r="P1822" s="116">
        <v>2253.9</v>
      </c>
      <c r="Q1822" s="116">
        <v>2305.6999999999998</v>
      </c>
      <c r="R1822">
        <v>1109904</v>
      </c>
    </row>
    <row r="1823" spans="1:18" x14ac:dyDescent="0.25">
      <c r="A1823" s="170">
        <v>44691</v>
      </c>
      <c r="B1823" s="116">
        <v>2305</v>
      </c>
      <c r="C1823" s="116">
        <v>2230.0500000000002</v>
      </c>
      <c r="D1823" s="116">
        <v>2084.15</v>
      </c>
      <c r="E1823" s="116">
        <v>2305</v>
      </c>
      <c r="F1823" s="116">
        <v>2230.0500000000002</v>
      </c>
      <c r="G1823">
        <v>47545</v>
      </c>
      <c r="H1823" s="116"/>
      <c r="I1823" s="116"/>
      <c r="L1823" s="170">
        <v>44691</v>
      </c>
      <c r="M1823" s="116">
        <v>2230.5500000000002</v>
      </c>
      <c r="N1823" s="116">
        <v>2306</v>
      </c>
      <c r="O1823" s="116">
        <v>2077.4</v>
      </c>
      <c r="P1823" s="116">
        <v>2295</v>
      </c>
      <c r="Q1823" s="116">
        <v>2230.5500000000002</v>
      </c>
      <c r="R1823">
        <v>495998</v>
      </c>
    </row>
    <row r="1824" spans="1:18" x14ac:dyDescent="0.25">
      <c r="A1824" s="170">
        <v>44692</v>
      </c>
      <c r="B1824" s="116">
        <v>2287.15</v>
      </c>
      <c r="C1824" s="116">
        <v>2269.1</v>
      </c>
      <c r="D1824" s="116">
        <v>2184.5</v>
      </c>
      <c r="E1824" s="116">
        <v>2269</v>
      </c>
      <c r="F1824" s="116">
        <v>2269.1</v>
      </c>
      <c r="G1824">
        <v>12858</v>
      </c>
      <c r="H1824" s="116"/>
      <c r="I1824" s="116"/>
      <c r="L1824" s="170">
        <v>44692</v>
      </c>
      <c r="M1824" s="116">
        <v>2270</v>
      </c>
      <c r="N1824" s="116">
        <v>2290</v>
      </c>
      <c r="O1824" s="116">
        <v>2185</v>
      </c>
      <c r="P1824" s="116">
        <v>2235</v>
      </c>
      <c r="Q1824" s="116">
        <v>2270</v>
      </c>
      <c r="R1824">
        <v>425040</v>
      </c>
    </row>
    <row r="1825" spans="1:18" x14ac:dyDescent="0.25">
      <c r="A1825" s="170">
        <v>44693</v>
      </c>
      <c r="B1825" s="116">
        <v>2271.6999999999998</v>
      </c>
      <c r="C1825" s="116">
        <v>2237.0500000000002</v>
      </c>
      <c r="D1825" s="116">
        <v>2222</v>
      </c>
      <c r="E1825" s="116">
        <v>2260</v>
      </c>
      <c r="F1825" s="116">
        <v>2237.0500000000002</v>
      </c>
      <c r="G1825">
        <v>5914</v>
      </c>
      <c r="H1825" s="116"/>
      <c r="I1825" s="116"/>
      <c r="L1825" s="170">
        <v>44693</v>
      </c>
      <c r="M1825" s="116">
        <v>2233.4499999999998</v>
      </c>
      <c r="N1825" s="116">
        <v>2273.0500000000002</v>
      </c>
      <c r="O1825" s="116">
        <v>2220.0500000000002</v>
      </c>
      <c r="P1825" s="116">
        <v>2255</v>
      </c>
      <c r="Q1825" s="116">
        <v>2233.4499999999998</v>
      </c>
      <c r="R1825">
        <v>185292</v>
      </c>
    </row>
    <row r="1826" spans="1:18" x14ac:dyDescent="0.25">
      <c r="A1826" s="170">
        <v>44694</v>
      </c>
      <c r="B1826" s="116">
        <v>2307.25</v>
      </c>
      <c r="C1826" s="116">
        <v>2288.65</v>
      </c>
      <c r="D1826" s="116">
        <v>2248</v>
      </c>
      <c r="E1826" s="116">
        <v>2288</v>
      </c>
      <c r="F1826" s="116">
        <v>2288.65</v>
      </c>
      <c r="G1826">
        <v>11875</v>
      </c>
      <c r="H1826" s="116"/>
      <c r="I1826" s="116"/>
      <c r="L1826" s="170">
        <v>44694</v>
      </c>
      <c r="M1826" s="116">
        <v>2290.6</v>
      </c>
      <c r="N1826" s="116">
        <v>2307.5500000000002</v>
      </c>
      <c r="O1826" s="116">
        <v>2245.1999999999998</v>
      </c>
      <c r="P1826" s="116">
        <v>2249</v>
      </c>
      <c r="Q1826" s="116">
        <v>2290.6</v>
      </c>
      <c r="R1826">
        <v>234536</v>
      </c>
    </row>
    <row r="1827" spans="1:18" x14ac:dyDescent="0.25">
      <c r="A1827" s="170">
        <v>44697</v>
      </c>
      <c r="B1827" s="116">
        <v>2345</v>
      </c>
      <c r="C1827" s="116">
        <v>2250.0500000000002</v>
      </c>
      <c r="D1827" s="116">
        <v>2225</v>
      </c>
      <c r="E1827" s="116">
        <v>2290</v>
      </c>
      <c r="F1827" s="116">
        <v>2250.0500000000002</v>
      </c>
      <c r="G1827">
        <v>6682</v>
      </c>
      <c r="H1827" s="116"/>
      <c r="I1827" s="116"/>
      <c r="L1827" s="170">
        <v>44697</v>
      </c>
      <c r="M1827" s="116">
        <v>2251.8000000000002</v>
      </c>
      <c r="N1827" s="116">
        <v>2349</v>
      </c>
      <c r="O1827" s="116">
        <v>2224.6</v>
      </c>
      <c r="P1827" s="116">
        <v>2308</v>
      </c>
      <c r="Q1827" s="116">
        <v>2251.8000000000002</v>
      </c>
      <c r="R1827">
        <v>154711</v>
      </c>
    </row>
    <row r="1828" spans="1:18" x14ac:dyDescent="0.25">
      <c r="A1828" s="170">
        <v>44698</v>
      </c>
      <c r="B1828" s="116">
        <v>2318.75</v>
      </c>
      <c r="C1828" s="116">
        <v>2294.8000000000002</v>
      </c>
      <c r="D1828" s="116">
        <v>2266.85</v>
      </c>
      <c r="E1828" s="116">
        <v>2268.75</v>
      </c>
      <c r="F1828" s="116">
        <v>2294.8000000000002</v>
      </c>
      <c r="G1828">
        <v>6216</v>
      </c>
      <c r="H1828" s="116"/>
      <c r="I1828" s="116"/>
      <c r="L1828" s="170">
        <v>44698</v>
      </c>
      <c r="M1828" s="116">
        <v>2294.35</v>
      </c>
      <c r="N1828" s="116">
        <v>2319.25</v>
      </c>
      <c r="O1828" s="116">
        <v>2260</v>
      </c>
      <c r="P1828" s="116">
        <v>2275.6999999999998</v>
      </c>
      <c r="Q1828" s="116">
        <v>2294.35</v>
      </c>
      <c r="R1828">
        <v>139859</v>
      </c>
    </row>
    <row r="1829" spans="1:18" x14ac:dyDescent="0.25">
      <c r="A1829" s="170">
        <v>44699</v>
      </c>
      <c r="B1829" s="116">
        <v>2344.8000000000002</v>
      </c>
      <c r="C1829" s="116">
        <v>2277.6999999999998</v>
      </c>
      <c r="D1829" s="116">
        <v>2257.1999999999998</v>
      </c>
      <c r="E1829" s="116">
        <v>2276.4</v>
      </c>
      <c r="F1829" s="116">
        <v>2277.6999999999998</v>
      </c>
      <c r="G1829">
        <v>19547</v>
      </c>
      <c r="H1829" s="116"/>
      <c r="I1829" s="116"/>
      <c r="L1829" s="170">
        <v>44699</v>
      </c>
      <c r="M1829" s="116">
        <v>2279</v>
      </c>
      <c r="N1829" s="116">
        <v>2345</v>
      </c>
      <c r="O1829" s="116">
        <v>2256.4499999999998</v>
      </c>
      <c r="P1829" s="116">
        <v>2312.65</v>
      </c>
      <c r="Q1829" s="116">
        <v>2279</v>
      </c>
      <c r="R1829">
        <v>270494</v>
      </c>
    </row>
    <row r="1830" spans="1:18" x14ac:dyDescent="0.25">
      <c r="A1830" s="170">
        <v>44700</v>
      </c>
      <c r="B1830" s="116">
        <v>2298</v>
      </c>
      <c r="C1830" s="116">
        <v>2271.6999999999998</v>
      </c>
      <c r="D1830" s="116">
        <v>2229.4</v>
      </c>
      <c r="E1830" s="116">
        <v>2260</v>
      </c>
      <c r="F1830" s="116">
        <v>2271.6999999999998</v>
      </c>
      <c r="G1830">
        <v>5250</v>
      </c>
      <c r="H1830" s="116"/>
      <c r="I1830" s="116"/>
      <c r="L1830" s="170">
        <v>44700</v>
      </c>
      <c r="M1830" s="116">
        <v>2275.0500000000002</v>
      </c>
      <c r="N1830" s="116">
        <v>2298</v>
      </c>
      <c r="O1830" s="116">
        <v>2228.1</v>
      </c>
      <c r="P1830" s="116">
        <v>2249</v>
      </c>
      <c r="Q1830" s="116">
        <v>2275.0500000000002</v>
      </c>
      <c r="R1830">
        <v>147689</v>
      </c>
    </row>
    <row r="1831" spans="1:18" x14ac:dyDescent="0.25">
      <c r="A1831" s="170">
        <v>44701</v>
      </c>
      <c r="B1831" s="116">
        <v>2323.9499999999998</v>
      </c>
      <c r="C1831" s="116">
        <v>2288.4499999999998</v>
      </c>
      <c r="D1831" s="116">
        <v>2275.1999999999998</v>
      </c>
      <c r="E1831" s="116">
        <v>2286</v>
      </c>
      <c r="F1831" s="116">
        <v>2288.4499999999998</v>
      </c>
      <c r="G1831">
        <v>4555</v>
      </c>
      <c r="H1831" s="116"/>
      <c r="I1831" s="116"/>
      <c r="L1831" s="170">
        <v>44701</v>
      </c>
      <c r="M1831" s="116">
        <v>2289.15</v>
      </c>
      <c r="N1831" s="116">
        <v>2323</v>
      </c>
      <c r="O1831" s="116">
        <v>2275</v>
      </c>
      <c r="P1831" s="116">
        <v>2292.3000000000002</v>
      </c>
      <c r="Q1831" s="116">
        <v>2289.15</v>
      </c>
      <c r="R1831">
        <v>142509</v>
      </c>
    </row>
    <row r="1832" spans="1:18" x14ac:dyDescent="0.25">
      <c r="A1832" s="170">
        <v>44704</v>
      </c>
      <c r="B1832" s="116">
        <v>2336.35</v>
      </c>
      <c r="C1832" s="116">
        <v>2295.75</v>
      </c>
      <c r="D1832" s="116">
        <v>2268.0500000000002</v>
      </c>
      <c r="E1832" s="116">
        <v>2299.75</v>
      </c>
      <c r="F1832" s="116">
        <v>2295.75</v>
      </c>
      <c r="G1832">
        <v>4927</v>
      </c>
      <c r="H1832" s="116"/>
      <c r="I1832" s="116"/>
      <c r="L1832" s="170">
        <v>44704</v>
      </c>
      <c r="M1832" s="116">
        <v>2297.0500000000002</v>
      </c>
      <c r="N1832" s="116">
        <v>2338</v>
      </c>
      <c r="O1832" s="116">
        <v>2268</v>
      </c>
      <c r="P1832" s="116">
        <v>2301.1999999999998</v>
      </c>
      <c r="Q1832" s="116">
        <v>2297.0500000000002</v>
      </c>
      <c r="R1832">
        <v>131873</v>
      </c>
    </row>
    <row r="1833" spans="1:18" x14ac:dyDescent="0.25">
      <c r="A1833" s="170">
        <v>44705</v>
      </c>
      <c r="B1833" s="116">
        <v>2313.9</v>
      </c>
      <c r="C1833" s="116">
        <v>2281.4499999999998</v>
      </c>
      <c r="D1833" s="116">
        <v>2237.65</v>
      </c>
      <c r="E1833" s="116">
        <v>2293.35</v>
      </c>
      <c r="F1833" s="116">
        <v>2281.4499999999998</v>
      </c>
      <c r="G1833">
        <v>5902</v>
      </c>
      <c r="H1833" s="116"/>
      <c r="I1833" s="116"/>
      <c r="L1833" s="170">
        <v>44705</v>
      </c>
      <c r="M1833" s="116">
        <v>2283.1</v>
      </c>
      <c r="N1833" s="116">
        <v>2314.35</v>
      </c>
      <c r="O1833" s="116">
        <v>2237.0500000000002</v>
      </c>
      <c r="P1833" s="116">
        <v>2290.0500000000002</v>
      </c>
      <c r="Q1833" s="116">
        <v>2283.1</v>
      </c>
      <c r="R1833">
        <v>113498</v>
      </c>
    </row>
    <row r="1834" spans="1:18" x14ac:dyDescent="0.25">
      <c r="A1834" s="170">
        <v>44706</v>
      </c>
      <c r="B1834" s="116">
        <v>2298.4</v>
      </c>
      <c r="C1834" s="116">
        <v>2221.15</v>
      </c>
      <c r="D1834" s="116">
        <v>2197.35</v>
      </c>
      <c r="E1834" s="116">
        <v>2292</v>
      </c>
      <c r="F1834" s="116">
        <v>2221.15</v>
      </c>
      <c r="G1834">
        <v>5294</v>
      </c>
      <c r="H1834" s="116"/>
      <c r="I1834" s="116"/>
      <c r="L1834" s="170">
        <v>44706</v>
      </c>
      <c r="M1834" s="116">
        <v>2214.5</v>
      </c>
      <c r="N1834" s="116">
        <v>2299</v>
      </c>
      <c r="O1834" s="116">
        <v>2199.0500000000002</v>
      </c>
      <c r="P1834" s="116">
        <v>2283.9</v>
      </c>
      <c r="Q1834" s="116">
        <v>2214.5</v>
      </c>
      <c r="R1834">
        <v>144343</v>
      </c>
    </row>
    <row r="1835" spans="1:18" x14ac:dyDescent="0.25">
      <c r="A1835" s="170">
        <v>44707</v>
      </c>
      <c r="B1835" s="116">
        <v>2210.1999999999998</v>
      </c>
      <c r="C1835" s="116">
        <v>2189.75</v>
      </c>
      <c r="D1835" s="116">
        <v>2171.25</v>
      </c>
      <c r="E1835" s="116">
        <v>2200</v>
      </c>
      <c r="F1835" s="116">
        <v>2189.75</v>
      </c>
      <c r="G1835">
        <v>5352</v>
      </c>
      <c r="H1835" s="116"/>
      <c r="I1835" s="116"/>
      <c r="L1835" s="170">
        <v>44707</v>
      </c>
      <c r="M1835" s="116">
        <v>2191.1999999999998</v>
      </c>
      <c r="N1835" s="116">
        <v>2210.6</v>
      </c>
      <c r="O1835" s="116">
        <v>2172.1999999999998</v>
      </c>
      <c r="P1835" s="116">
        <v>2205.9499999999998</v>
      </c>
      <c r="Q1835" s="116">
        <v>2191.1999999999998</v>
      </c>
      <c r="R1835">
        <v>105221</v>
      </c>
    </row>
    <row r="1836" spans="1:18" x14ac:dyDescent="0.25">
      <c r="A1836" s="170">
        <v>44708</v>
      </c>
      <c r="B1836" s="116">
        <v>2305.15</v>
      </c>
      <c r="C1836" s="116">
        <v>2281.15</v>
      </c>
      <c r="D1836" s="116">
        <v>2184</v>
      </c>
      <c r="E1836" s="116">
        <v>2208.3000000000002</v>
      </c>
      <c r="F1836" s="116">
        <v>2281.15</v>
      </c>
      <c r="G1836">
        <v>6715</v>
      </c>
      <c r="H1836" s="116"/>
      <c r="I1836" s="116"/>
      <c r="L1836" s="170">
        <v>44708</v>
      </c>
      <c r="M1836" s="116">
        <v>2284.15</v>
      </c>
      <c r="N1836" s="116">
        <v>2306.3000000000002</v>
      </c>
      <c r="O1836" s="116">
        <v>2183.9</v>
      </c>
      <c r="P1836" s="116">
        <v>2198</v>
      </c>
      <c r="Q1836" s="116">
        <v>2284.15</v>
      </c>
      <c r="R1836">
        <v>171237</v>
      </c>
    </row>
    <row r="1837" spans="1:18" x14ac:dyDescent="0.25">
      <c r="A1837" s="170">
        <v>44711</v>
      </c>
      <c r="B1837" s="116">
        <v>2390</v>
      </c>
      <c r="C1837" s="116">
        <v>2385</v>
      </c>
      <c r="D1837" s="116">
        <v>2296.6999999999998</v>
      </c>
      <c r="E1837" s="116">
        <v>2298.8000000000002</v>
      </c>
      <c r="F1837" s="116">
        <v>2385</v>
      </c>
      <c r="G1837">
        <v>24676</v>
      </c>
      <c r="H1837" s="116"/>
      <c r="I1837" s="116"/>
      <c r="L1837" s="170">
        <v>44711</v>
      </c>
      <c r="M1837" s="116">
        <v>2385.75</v>
      </c>
      <c r="N1837" s="116">
        <v>2392</v>
      </c>
      <c r="O1837" s="116">
        <v>2294</v>
      </c>
      <c r="P1837" s="116">
        <v>2306.9499999999998</v>
      </c>
      <c r="Q1837" s="116">
        <v>2385.75</v>
      </c>
      <c r="R1837">
        <v>411157</v>
      </c>
    </row>
    <row r="1838" spans="1:18" x14ac:dyDescent="0.25">
      <c r="A1838" s="170">
        <v>44712</v>
      </c>
      <c r="B1838" s="116">
        <v>2467</v>
      </c>
      <c r="C1838" s="116">
        <v>2428.6</v>
      </c>
      <c r="D1838" s="116">
        <v>2344.85</v>
      </c>
      <c r="E1838" s="116">
        <v>2385.75</v>
      </c>
      <c r="F1838" s="116">
        <v>2428.6</v>
      </c>
      <c r="G1838">
        <v>16855</v>
      </c>
      <c r="H1838" s="116"/>
      <c r="I1838" s="116"/>
      <c r="L1838" s="170">
        <v>44712</v>
      </c>
      <c r="M1838" s="116">
        <v>2427.25</v>
      </c>
      <c r="N1838" s="116">
        <v>2468</v>
      </c>
      <c r="O1838" s="116">
        <v>2345</v>
      </c>
      <c r="P1838" s="116">
        <v>2392</v>
      </c>
      <c r="Q1838" s="116">
        <v>2427.25</v>
      </c>
      <c r="R1838">
        <v>474302</v>
      </c>
    </row>
    <row r="1839" spans="1:18" x14ac:dyDescent="0.25">
      <c r="A1839" s="170">
        <v>44713</v>
      </c>
      <c r="B1839" s="116">
        <v>2488.4499999999998</v>
      </c>
      <c r="C1839" s="116">
        <v>2456.9</v>
      </c>
      <c r="D1839" s="116">
        <v>2414</v>
      </c>
      <c r="E1839" s="116">
        <v>2414</v>
      </c>
      <c r="F1839" s="116">
        <v>2456.9</v>
      </c>
      <c r="G1839">
        <v>18759</v>
      </c>
      <c r="H1839" s="116"/>
      <c r="I1839" s="116"/>
      <c r="L1839" s="170">
        <v>44713</v>
      </c>
      <c r="M1839" s="116">
        <v>2456.35</v>
      </c>
      <c r="N1839" s="116">
        <v>2487.85</v>
      </c>
      <c r="O1839" s="116">
        <v>2400</v>
      </c>
      <c r="P1839" s="116">
        <v>2427.25</v>
      </c>
      <c r="Q1839" s="116">
        <v>2456.35</v>
      </c>
      <c r="R1839">
        <v>351443</v>
      </c>
    </row>
    <row r="1840" spans="1:18" x14ac:dyDescent="0.25">
      <c r="A1840" s="170">
        <v>44714</v>
      </c>
      <c r="B1840" s="116">
        <v>2459</v>
      </c>
      <c r="C1840" s="116">
        <v>2417</v>
      </c>
      <c r="D1840" s="116">
        <v>2391.6</v>
      </c>
      <c r="E1840" s="116">
        <v>2441</v>
      </c>
      <c r="F1840" s="116">
        <v>2417</v>
      </c>
      <c r="G1840">
        <v>18114</v>
      </c>
      <c r="H1840" s="116"/>
      <c r="I1840" s="116"/>
      <c r="L1840" s="170">
        <v>44714</v>
      </c>
      <c r="M1840" s="116">
        <v>2418.4</v>
      </c>
      <c r="N1840" s="116">
        <v>2465</v>
      </c>
      <c r="O1840" s="116">
        <v>2392.1</v>
      </c>
      <c r="P1840" s="116">
        <v>2460</v>
      </c>
      <c r="Q1840" s="116">
        <v>2418.4</v>
      </c>
      <c r="R1840">
        <v>164924</v>
      </c>
    </row>
    <row r="1841" spans="1:18" x14ac:dyDescent="0.25">
      <c r="A1841" s="170">
        <v>44715</v>
      </c>
      <c r="B1841" s="116">
        <v>2447.4499999999998</v>
      </c>
      <c r="C1841" s="116">
        <v>2319</v>
      </c>
      <c r="D1841" s="116">
        <v>2307</v>
      </c>
      <c r="E1841" s="116">
        <v>2414.3000000000002</v>
      </c>
      <c r="F1841" s="116">
        <v>2319</v>
      </c>
      <c r="G1841">
        <v>12614</v>
      </c>
      <c r="H1841" s="116"/>
      <c r="I1841" s="116"/>
      <c r="L1841" s="170">
        <v>44715</v>
      </c>
      <c r="M1841" s="116">
        <v>2315.75</v>
      </c>
      <c r="N1841" s="116">
        <v>2449.9499999999998</v>
      </c>
      <c r="O1841" s="116">
        <v>2307.85</v>
      </c>
      <c r="P1841" s="116">
        <v>2427</v>
      </c>
      <c r="Q1841" s="116">
        <v>2315.75</v>
      </c>
      <c r="R1841">
        <v>195149</v>
      </c>
    </row>
    <row r="1842" spans="1:18" x14ac:dyDescent="0.25">
      <c r="A1842" s="170">
        <v>44718</v>
      </c>
      <c r="B1842" s="116">
        <v>2375.9499999999998</v>
      </c>
      <c r="C1842" s="116">
        <v>2364.5</v>
      </c>
      <c r="D1842" s="116">
        <v>2293.4</v>
      </c>
      <c r="E1842" s="116">
        <v>2305.15</v>
      </c>
      <c r="F1842" s="116">
        <v>2364.5</v>
      </c>
      <c r="G1842">
        <v>11508</v>
      </c>
      <c r="H1842" s="116"/>
      <c r="I1842" s="116"/>
      <c r="L1842" s="170">
        <v>44718</v>
      </c>
      <c r="M1842" s="116">
        <v>2363.4499999999998</v>
      </c>
      <c r="N1842" s="116">
        <v>2376.9499999999998</v>
      </c>
      <c r="O1842" s="116">
        <v>2291.0500000000002</v>
      </c>
      <c r="P1842" s="116">
        <v>2315.75</v>
      </c>
      <c r="Q1842" s="116">
        <v>2363.4499999999998</v>
      </c>
      <c r="R1842">
        <v>193033</v>
      </c>
    </row>
    <row r="1843" spans="1:18" x14ac:dyDescent="0.25">
      <c r="A1843" s="170">
        <v>44719</v>
      </c>
      <c r="B1843" s="116">
        <v>2364.4</v>
      </c>
      <c r="C1843" s="116">
        <v>2350.35</v>
      </c>
      <c r="D1843" s="116">
        <v>2313</v>
      </c>
      <c r="E1843" s="116">
        <v>2362</v>
      </c>
      <c r="F1843" s="116">
        <v>2350.35</v>
      </c>
      <c r="G1843">
        <v>3739</v>
      </c>
      <c r="H1843" s="116"/>
      <c r="I1843" s="116"/>
      <c r="L1843" s="170">
        <v>44719</v>
      </c>
      <c r="M1843" s="116">
        <v>2351.6</v>
      </c>
      <c r="N1843" s="116">
        <v>2372.9499999999998</v>
      </c>
      <c r="O1843" s="116">
        <v>2311.0500000000002</v>
      </c>
      <c r="P1843" s="116">
        <v>2346</v>
      </c>
      <c r="Q1843" s="116">
        <v>2351.6</v>
      </c>
      <c r="R1843">
        <v>54080</v>
      </c>
    </row>
    <row r="1844" spans="1:18" x14ac:dyDescent="0.25">
      <c r="A1844" s="170">
        <v>44720</v>
      </c>
      <c r="B1844" s="116">
        <v>2368.65</v>
      </c>
      <c r="C1844" s="116">
        <v>2302.25</v>
      </c>
      <c r="D1844" s="116">
        <v>2271</v>
      </c>
      <c r="E1844" s="116">
        <v>2368.65</v>
      </c>
      <c r="F1844" s="116">
        <v>2302.25</v>
      </c>
      <c r="G1844">
        <v>9179</v>
      </c>
      <c r="H1844" s="116"/>
      <c r="I1844" s="116"/>
      <c r="L1844" s="170">
        <v>44720</v>
      </c>
      <c r="M1844" s="116">
        <v>2305.3000000000002</v>
      </c>
      <c r="N1844" s="116">
        <v>2369.25</v>
      </c>
      <c r="O1844" s="116">
        <v>2270.5</v>
      </c>
      <c r="P1844" s="116">
        <v>2369.25</v>
      </c>
      <c r="Q1844" s="116">
        <v>2305.3000000000002</v>
      </c>
      <c r="R1844">
        <v>113410</v>
      </c>
    </row>
    <row r="1845" spans="1:18" x14ac:dyDescent="0.25">
      <c r="A1845" s="170">
        <v>44721</v>
      </c>
      <c r="B1845" s="116">
        <v>2357.5</v>
      </c>
      <c r="C1845" s="116">
        <v>2349.6999999999998</v>
      </c>
      <c r="D1845" s="116">
        <v>2290.85</v>
      </c>
      <c r="E1845" s="116">
        <v>2290.85</v>
      </c>
      <c r="F1845" s="116">
        <v>2349.6999999999998</v>
      </c>
      <c r="G1845">
        <v>3185</v>
      </c>
      <c r="H1845" s="116"/>
      <c r="I1845" s="116"/>
      <c r="L1845" s="170">
        <v>44721</v>
      </c>
      <c r="M1845" s="116">
        <v>2352.4</v>
      </c>
      <c r="N1845" s="116">
        <v>2355.9</v>
      </c>
      <c r="O1845" s="116">
        <v>2289.8000000000002</v>
      </c>
      <c r="P1845" s="116">
        <v>2306.75</v>
      </c>
      <c r="Q1845" s="116">
        <v>2352.4</v>
      </c>
      <c r="R1845">
        <v>101910</v>
      </c>
    </row>
    <row r="1846" spans="1:18" x14ac:dyDescent="0.25">
      <c r="A1846" s="170">
        <v>44722</v>
      </c>
      <c r="B1846" s="116">
        <v>2360</v>
      </c>
      <c r="C1846" s="116">
        <v>2338.9</v>
      </c>
      <c r="D1846" s="116">
        <v>2298.3000000000002</v>
      </c>
      <c r="E1846" s="116">
        <v>2315.65</v>
      </c>
      <c r="F1846" s="116">
        <v>2338.9</v>
      </c>
      <c r="G1846">
        <v>4161</v>
      </c>
      <c r="H1846" s="116"/>
      <c r="I1846" s="116"/>
      <c r="L1846" s="170">
        <v>44722</v>
      </c>
      <c r="M1846" s="116">
        <v>2333.35</v>
      </c>
      <c r="N1846" s="116">
        <v>2362.9</v>
      </c>
      <c r="O1846" s="116">
        <v>2297.1999999999998</v>
      </c>
      <c r="P1846" s="116">
        <v>2320</v>
      </c>
      <c r="Q1846" s="116">
        <v>2333.35</v>
      </c>
      <c r="R1846">
        <v>175206</v>
      </c>
    </row>
    <row r="1847" spans="1:18" x14ac:dyDescent="0.25">
      <c r="A1847" s="170">
        <v>44725</v>
      </c>
      <c r="B1847" s="116">
        <v>2354.9499999999998</v>
      </c>
      <c r="C1847" s="116">
        <v>2336.4499999999998</v>
      </c>
      <c r="D1847" s="116">
        <v>2253.5500000000002</v>
      </c>
      <c r="E1847" s="116">
        <v>2276.6999999999998</v>
      </c>
      <c r="F1847" s="116">
        <v>2336.4499999999998</v>
      </c>
      <c r="G1847">
        <v>9685</v>
      </c>
      <c r="H1847" s="116"/>
      <c r="I1847" s="116"/>
      <c r="L1847" s="170">
        <v>44725</v>
      </c>
      <c r="M1847" s="116">
        <v>2337.4499999999998</v>
      </c>
      <c r="N1847" s="116">
        <v>2354.3000000000002</v>
      </c>
      <c r="O1847" s="116">
        <v>2252</v>
      </c>
      <c r="P1847" s="116">
        <v>2295</v>
      </c>
      <c r="Q1847" s="116">
        <v>2337.4499999999998</v>
      </c>
      <c r="R1847">
        <v>157963</v>
      </c>
    </row>
    <row r="1848" spans="1:18" x14ac:dyDescent="0.25">
      <c r="A1848" s="170">
        <v>44726</v>
      </c>
      <c r="B1848" s="116">
        <v>2363.8000000000002</v>
      </c>
      <c r="C1848" s="116">
        <v>2320.35</v>
      </c>
      <c r="D1848" s="116">
        <v>2304.6</v>
      </c>
      <c r="E1848" s="116">
        <v>2315.1999999999998</v>
      </c>
      <c r="F1848" s="116">
        <v>2320.35</v>
      </c>
      <c r="G1848">
        <v>5687</v>
      </c>
      <c r="H1848" s="116"/>
      <c r="I1848" s="116"/>
      <c r="L1848" s="170">
        <v>44726</v>
      </c>
      <c r="M1848" s="116">
        <v>2321.35</v>
      </c>
      <c r="N1848" s="116">
        <v>2364</v>
      </c>
      <c r="O1848" s="116">
        <v>2303.3000000000002</v>
      </c>
      <c r="P1848" s="116">
        <v>2330</v>
      </c>
      <c r="Q1848" s="116">
        <v>2321.35</v>
      </c>
      <c r="R1848">
        <v>151551</v>
      </c>
    </row>
    <row r="1849" spans="1:18" x14ac:dyDescent="0.25">
      <c r="A1849" s="170">
        <v>44727</v>
      </c>
      <c r="B1849" s="116">
        <v>2339.75</v>
      </c>
      <c r="C1849" s="116">
        <v>2304.5500000000002</v>
      </c>
      <c r="D1849" s="116">
        <v>2293</v>
      </c>
      <c r="E1849" s="116">
        <v>2320.15</v>
      </c>
      <c r="F1849" s="116">
        <v>2304.5500000000002</v>
      </c>
      <c r="G1849">
        <v>45249</v>
      </c>
      <c r="H1849" s="116"/>
      <c r="I1849" s="116"/>
      <c r="L1849" s="170">
        <v>44727</v>
      </c>
      <c r="M1849" s="116">
        <v>2304.6999999999998</v>
      </c>
      <c r="N1849" s="116">
        <v>2339.75</v>
      </c>
      <c r="O1849" s="116">
        <v>2295</v>
      </c>
      <c r="P1849" s="116">
        <v>2339.75</v>
      </c>
      <c r="Q1849" s="116">
        <v>2304.6999999999998</v>
      </c>
      <c r="R1849">
        <v>283896</v>
      </c>
    </row>
    <row r="1850" spans="1:18" x14ac:dyDescent="0.25">
      <c r="A1850" s="170">
        <v>44728</v>
      </c>
      <c r="B1850" s="116">
        <v>2358</v>
      </c>
      <c r="C1850" s="116">
        <v>2245</v>
      </c>
      <c r="D1850" s="116">
        <v>2186</v>
      </c>
      <c r="E1850" s="116">
        <v>2329.5</v>
      </c>
      <c r="F1850" s="116">
        <v>2245</v>
      </c>
      <c r="G1850">
        <v>27354</v>
      </c>
      <c r="H1850" s="116"/>
      <c r="I1850" s="116"/>
      <c r="L1850" s="170">
        <v>44728</v>
      </c>
      <c r="M1850" s="116">
        <v>2243.9499999999998</v>
      </c>
      <c r="N1850" s="116">
        <v>2358</v>
      </c>
      <c r="O1850" s="116">
        <v>2185.5500000000002</v>
      </c>
      <c r="P1850" s="116">
        <v>2322.15</v>
      </c>
      <c r="Q1850" s="116">
        <v>2243.9499999999998</v>
      </c>
      <c r="R1850">
        <v>359448</v>
      </c>
    </row>
    <row r="1851" spans="1:18" x14ac:dyDescent="0.25">
      <c r="A1851" s="170">
        <v>44729</v>
      </c>
      <c r="B1851" s="116">
        <v>2276.5500000000002</v>
      </c>
      <c r="C1851" s="116">
        <v>2168.75</v>
      </c>
      <c r="D1851" s="116">
        <v>2134.4</v>
      </c>
      <c r="E1851" s="116">
        <v>2213.35</v>
      </c>
      <c r="F1851" s="116">
        <v>2168.75</v>
      </c>
      <c r="G1851">
        <v>11893</v>
      </c>
      <c r="H1851" s="116"/>
      <c r="I1851" s="116"/>
      <c r="L1851" s="170">
        <v>44729</v>
      </c>
      <c r="M1851" s="116">
        <v>2173.15</v>
      </c>
      <c r="N1851" s="116">
        <v>2279.0500000000002</v>
      </c>
      <c r="O1851" s="116">
        <v>2132</v>
      </c>
      <c r="P1851" s="116">
        <v>2230.1</v>
      </c>
      <c r="Q1851" s="116">
        <v>2173.15</v>
      </c>
      <c r="R1851">
        <v>188864</v>
      </c>
    </row>
    <row r="1852" spans="1:18" x14ac:dyDescent="0.25">
      <c r="A1852" s="170">
        <v>44732</v>
      </c>
      <c r="B1852" s="116">
        <v>2203.5</v>
      </c>
      <c r="C1852" s="116">
        <v>2192.1</v>
      </c>
      <c r="D1852" s="116">
        <v>2121</v>
      </c>
      <c r="E1852" s="116">
        <v>2136</v>
      </c>
      <c r="F1852" s="116">
        <v>2192.1</v>
      </c>
      <c r="G1852">
        <v>7724</v>
      </c>
      <c r="H1852" s="116"/>
      <c r="I1852" s="116"/>
      <c r="L1852" s="170">
        <v>44732</v>
      </c>
      <c r="M1852" s="116">
        <v>2187.9499999999998</v>
      </c>
      <c r="N1852" s="116">
        <v>2204.1</v>
      </c>
      <c r="O1852" s="116">
        <v>2120</v>
      </c>
      <c r="P1852" s="116">
        <v>2148</v>
      </c>
      <c r="Q1852" s="116">
        <v>2187.9499999999998</v>
      </c>
      <c r="R1852">
        <v>184960</v>
      </c>
    </row>
    <row r="1853" spans="1:18" x14ac:dyDescent="0.25">
      <c r="A1853" s="170">
        <v>44733</v>
      </c>
      <c r="B1853" s="116">
        <v>2262.1</v>
      </c>
      <c r="C1853" s="116">
        <v>2229.5</v>
      </c>
      <c r="D1853" s="116">
        <v>2161.0500000000002</v>
      </c>
      <c r="E1853" s="116">
        <v>2161.0500000000002</v>
      </c>
      <c r="F1853" s="116">
        <v>2229.5</v>
      </c>
      <c r="G1853">
        <v>7835</v>
      </c>
      <c r="H1853" s="116"/>
      <c r="I1853" s="116"/>
      <c r="L1853" s="170">
        <v>44733</v>
      </c>
      <c r="M1853" s="116">
        <v>2227.85</v>
      </c>
      <c r="N1853" s="116">
        <v>2264.4</v>
      </c>
      <c r="O1853" s="116">
        <v>2178.0500000000002</v>
      </c>
      <c r="P1853" s="116">
        <v>2190</v>
      </c>
      <c r="Q1853" s="116">
        <v>2227.85</v>
      </c>
      <c r="R1853">
        <v>160680</v>
      </c>
    </row>
    <row r="1854" spans="1:18" x14ac:dyDescent="0.25">
      <c r="A1854" s="170">
        <v>44734</v>
      </c>
      <c r="B1854" s="116">
        <v>2243.4499999999998</v>
      </c>
      <c r="C1854" s="116">
        <v>2215.1</v>
      </c>
      <c r="D1854" s="116">
        <v>2187.8000000000002</v>
      </c>
      <c r="E1854" s="116">
        <v>2230.15</v>
      </c>
      <c r="F1854" s="116">
        <v>2215.1</v>
      </c>
      <c r="G1854">
        <v>5820</v>
      </c>
      <c r="H1854" s="116"/>
      <c r="I1854" s="116"/>
      <c r="L1854" s="170">
        <v>44734</v>
      </c>
      <c r="M1854" s="116">
        <v>2215.9499999999998</v>
      </c>
      <c r="N1854" s="116">
        <v>2245.5</v>
      </c>
      <c r="O1854" s="116">
        <v>2188</v>
      </c>
      <c r="P1854" s="116">
        <v>2231.0500000000002</v>
      </c>
      <c r="Q1854" s="116">
        <v>2215.9499999999998</v>
      </c>
      <c r="R1854">
        <v>95802</v>
      </c>
    </row>
    <row r="1855" spans="1:18" x14ac:dyDescent="0.25">
      <c r="A1855" s="170">
        <v>44735</v>
      </c>
      <c r="B1855" s="116">
        <v>2310.65</v>
      </c>
      <c r="C1855" s="116">
        <v>2285.3000000000002</v>
      </c>
      <c r="D1855" s="116">
        <v>2224.15</v>
      </c>
      <c r="E1855" s="116">
        <v>2228.4</v>
      </c>
      <c r="F1855" s="116">
        <v>2285.3000000000002</v>
      </c>
      <c r="G1855">
        <v>6377</v>
      </c>
      <c r="H1855" s="116"/>
      <c r="I1855" s="116"/>
      <c r="L1855" s="170">
        <v>44735</v>
      </c>
      <c r="M1855" s="116">
        <v>2290.75</v>
      </c>
      <c r="N1855" s="116">
        <v>2310</v>
      </c>
      <c r="O1855" s="116">
        <v>2213.65</v>
      </c>
      <c r="P1855" s="116">
        <v>2233</v>
      </c>
      <c r="Q1855" s="116">
        <v>2290.75</v>
      </c>
      <c r="R1855">
        <v>292754</v>
      </c>
    </row>
    <row r="1856" spans="1:18" x14ac:dyDescent="0.25">
      <c r="A1856" s="170">
        <v>44736</v>
      </c>
      <c r="B1856" s="116">
        <v>2316.15</v>
      </c>
      <c r="C1856" s="116">
        <v>2293.6</v>
      </c>
      <c r="D1856" s="116">
        <v>2250.15</v>
      </c>
      <c r="E1856" s="116">
        <v>2297.15</v>
      </c>
      <c r="F1856" s="116">
        <v>2293.6</v>
      </c>
      <c r="G1856">
        <v>24837</v>
      </c>
      <c r="H1856" s="116"/>
      <c r="I1856" s="116"/>
      <c r="L1856" s="170">
        <v>44736</v>
      </c>
      <c r="M1856" s="116">
        <v>2290.35</v>
      </c>
      <c r="N1856" s="116">
        <v>2310</v>
      </c>
      <c r="O1856" s="116">
        <v>2250.0500000000002</v>
      </c>
      <c r="P1856" s="116">
        <v>2292.9499999999998</v>
      </c>
      <c r="Q1856" s="116">
        <v>2290.35</v>
      </c>
      <c r="R1856">
        <v>190440</v>
      </c>
    </row>
    <row r="1857" spans="1:18" x14ac:dyDescent="0.25">
      <c r="A1857" s="170">
        <v>44739</v>
      </c>
      <c r="B1857" s="116">
        <v>2355.9</v>
      </c>
      <c r="C1857" s="116">
        <v>2294.1</v>
      </c>
      <c r="D1857" s="116">
        <v>2271</v>
      </c>
      <c r="E1857" s="116">
        <v>2297</v>
      </c>
      <c r="F1857" s="116">
        <v>2294.1</v>
      </c>
      <c r="G1857">
        <v>20505</v>
      </c>
      <c r="H1857" s="116"/>
      <c r="I1857" s="116"/>
      <c r="L1857" s="170">
        <v>44739</v>
      </c>
      <c r="M1857" s="116">
        <v>2292.5500000000002</v>
      </c>
      <c r="N1857" s="116">
        <v>2360</v>
      </c>
      <c r="O1857" s="116">
        <v>2273.0500000000002</v>
      </c>
      <c r="P1857" s="116">
        <v>2304</v>
      </c>
      <c r="Q1857" s="116">
        <v>2292.5500000000002</v>
      </c>
      <c r="R1857">
        <v>289818</v>
      </c>
    </row>
    <row r="1858" spans="1:18" x14ac:dyDescent="0.25">
      <c r="A1858" s="170">
        <v>44740</v>
      </c>
      <c r="B1858" s="116">
        <v>2306.3000000000002</v>
      </c>
      <c r="C1858" s="116">
        <v>2285.1999999999998</v>
      </c>
      <c r="D1858" s="116">
        <v>2260</v>
      </c>
      <c r="E1858" s="116">
        <v>2277</v>
      </c>
      <c r="F1858" s="116">
        <v>2285.1999999999998</v>
      </c>
      <c r="G1858">
        <v>5033</v>
      </c>
      <c r="H1858" s="116"/>
      <c r="I1858" s="116"/>
      <c r="L1858" s="170">
        <v>44740</v>
      </c>
      <c r="M1858" s="116">
        <v>2284.8000000000002</v>
      </c>
      <c r="N1858" s="116">
        <v>2302.25</v>
      </c>
      <c r="O1858" s="116">
        <v>2272.9</v>
      </c>
      <c r="P1858" s="116">
        <v>2291.9499999999998</v>
      </c>
      <c r="Q1858" s="116">
        <v>2284.8000000000002</v>
      </c>
      <c r="R1858">
        <v>72430</v>
      </c>
    </row>
    <row r="1859" spans="1:18" x14ac:dyDescent="0.25">
      <c r="A1859" s="170">
        <v>44741</v>
      </c>
      <c r="B1859" s="116">
        <v>2323.25</v>
      </c>
      <c r="C1859" s="116">
        <v>2313.15</v>
      </c>
      <c r="D1859" s="116">
        <v>2235.25</v>
      </c>
      <c r="E1859" s="116">
        <v>2270</v>
      </c>
      <c r="F1859" s="116">
        <v>2313.15</v>
      </c>
      <c r="G1859">
        <v>6707</v>
      </c>
      <c r="H1859" s="116"/>
      <c r="I1859" s="116"/>
      <c r="L1859" s="170">
        <v>44741</v>
      </c>
      <c r="M1859" s="116">
        <v>2310.1999999999998</v>
      </c>
      <c r="N1859" s="116">
        <v>2325</v>
      </c>
      <c r="O1859" s="116">
        <v>2230</v>
      </c>
      <c r="P1859" s="116">
        <v>2279.9499999999998</v>
      </c>
      <c r="Q1859" s="116">
        <v>2310.1999999999998</v>
      </c>
      <c r="R1859">
        <v>248063</v>
      </c>
    </row>
    <row r="1860" spans="1:18" x14ac:dyDescent="0.25">
      <c r="A1860" s="170">
        <v>44742</v>
      </c>
      <c r="B1860" s="116">
        <v>2329.6999999999998</v>
      </c>
      <c r="C1860" s="116">
        <v>2296.25</v>
      </c>
      <c r="D1860" s="116">
        <v>2278</v>
      </c>
      <c r="E1860" s="116">
        <v>2329.6999999999998</v>
      </c>
      <c r="F1860" s="116">
        <v>2296.25</v>
      </c>
      <c r="G1860">
        <v>6778</v>
      </c>
      <c r="H1860" s="116"/>
      <c r="I1860" s="116"/>
      <c r="L1860" s="170">
        <v>44742</v>
      </c>
      <c r="M1860" s="116">
        <v>2300.9</v>
      </c>
      <c r="N1860" s="116">
        <v>2328.9499999999998</v>
      </c>
      <c r="O1860" s="116">
        <v>2276.75</v>
      </c>
      <c r="P1860" s="116">
        <v>2314</v>
      </c>
      <c r="Q1860" s="116">
        <v>2300.9</v>
      </c>
      <c r="R1860">
        <v>122566</v>
      </c>
    </row>
    <row r="1861" spans="1:18" x14ac:dyDescent="0.25">
      <c r="A1861" s="170">
        <v>44743</v>
      </c>
      <c r="B1861" s="116">
        <v>2311.1999999999998</v>
      </c>
      <c r="C1861" s="116">
        <v>2275.9</v>
      </c>
      <c r="D1861" s="116">
        <v>2261.0500000000002</v>
      </c>
      <c r="E1861" s="116">
        <v>2300</v>
      </c>
      <c r="F1861" s="116">
        <v>2275.9</v>
      </c>
      <c r="G1861">
        <v>3825</v>
      </c>
      <c r="H1861" s="116"/>
      <c r="I1861" s="116"/>
      <c r="L1861" s="170">
        <v>44743</v>
      </c>
      <c r="M1861" s="116">
        <v>2275.4499999999998</v>
      </c>
      <c r="N1861" s="116">
        <v>2311.5</v>
      </c>
      <c r="O1861" s="116">
        <v>2260.35</v>
      </c>
      <c r="P1861" s="116">
        <v>2260.35</v>
      </c>
      <c r="Q1861" s="116">
        <v>2275.4499999999998</v>
      </c>
      <c r="R1861">
        <v>97053</v>
      </c>
    </row>
    <row r="1862" spans="1:18" x14ac:dyDescent="0.25">
      <c r="A1862" s="170">
        <v>44746</v>
      </c>
      <c r="B1862" s="116">
        <v>2371.5</v>
      </c>
      <c r="C1862" s="116">
        <v>2360.6</v>
      </c>
      <c r="D1862" s="116">
        <v>2278</v>
      </c>
      <c r="E1862" s="116">
        <v>2278</v>
      </c>
      <c r="F1862" s="116">
        <v>2360.6</v>
      </c>
      <c r="G1862">
        <v>10992</v>
      </c>
      <c r="H1862" s="116"/>
      <c r="I1862" s="116"/>
      <c r="L1862" s="170">
        <v>44746</v>
      </c>
      <c r="M1862" s="116">
        <v>2361.5</v>
      </c>
      <c r="N1862" s="116">
        <v>2372.6999999999998</v>
      </c>
      <c r="O1862" s="116">
        <v>2266.1</v>
      </c>
      <c r="P1862" s="116">
        <v>2278.4</v>
      </c>
      <c r="Q1862" s="116">
        <v>2361.5</v>
      </c>
      <c r="R1862">
        <v>192539</v>
      </c>
    </row>
    <row r="1863" spans="1:18" x14ac:dyDescent="0.25">
      <c r="A1863" s="170">
        <v>44747</v>
      </c>
      <c r="B1863" s="116">
        <v>2404.1999999999998</v>
      </c>
      <c r="C1863" s="116">
        <v>2362</v>
      </c>
      <c r="D1863" s="116">
        <v>2345</v>
      </c>
      <c r="E1863" s="116">
        <v>2385</v>
      </c>
      <c r="F1863" s="116">
        <v>2362</v>
      </c>
      <c r="G1863">
        <v>18984</v>
      </c>
      <c r="H1863" s="116"/>
      <c r="I1863" s="116"/>
      <c r="L1863" s="170">
        <v>44747</v>
      </c>
      <c r="M1863" s="116">
        <v>2364.75</v>
      </c>
      <c r="N1863" s="116">
        <v>2405</v>
      </c>
      <c r="O1863" s="116">
        <v>2344.25</v>
      </c>
      <c r="P1863" s="116">
        <v>2381</v>
      </c>
      <c r="Q1863" s="116">
        <v>2364.75</v>
      </c>
      <c r="R1863">
        <v>376434</v>
      </c>
    </row>
    <row r="1864" spans="1:18" x14ac:dyDescent="0.25">
      <c r="A1864" s="170">
        <v>44748</v>
      </c>
      <c r="B1864" s="116">
        <v>2532.5500000000002</v>
      </c>
      <c r="C1864" s="116">
        <v>2518.85</v>
      </c>
      <c r="D1864" s="116">
        <v>2368.8000000000002</v>
      </c>
      <c r="E1864" s="116">
        <v>2369</v>
      </c>
      <c r="F1864" s="116">
        <v>2518.85</v>
      </c>
      <c r="G1864">
        <v>32634</v>
      </c>
      <c r="H1864" s="116"/>
      <c r="I1864" s="116"/>
      <c r="L1864" s="170">
        <v>44748</v>
      </c>
      <c r="M1864" s="116">
        <v>2517</v>
      </c>
      <c r="N1864" s="116">
        <v>2530</v>
      </c>
      <c r="O1864" s="116">
        <v>2370</v>
      </c>
      <c r="P1864" s="116">
        <v>2374.8000000000002</v>
      </c>
      <c r="Q1864" s="116">
        <v>2517</v>
      </c>
      <c r="R1864">
        <v>1037060</v>
      </c>
    </row>
    <row r="1865" spans="1:18" x14ac:dyDescent="0.25">
      <c r="A1865" s="170">
        <v>44749</v>
      </c>
      <c r="B1865" s="116">
        <v>2588.25</v>
      </c>
      <c r="C1865" s="116">
        <v>2563.3000000000002</v>
      </c>
      <c r="D1865" s="116">
        <v>2525</v>
      </c>
      <c r="E1865" s="116">
        <v>2535</v>
      </c>
      <c r="F1865" s="116">
        <v>2563.3000000000002</v>
      </c>
      <c r="G1865">
        <v>33748</v>
      </c>
      <c r="H1865" s="116"/>
      <c r="I1865" s="116"/>
      <c r="L1865" s="170">
        <v>44749</v>
      </c>
      <c r="M1865" s="116">
        <v>2562.4499999999998</v>
      </c>
      <c r="N1865" s="116">
        <v>2589.4499999999998</v>
      </c>
      <c r="O1865" s="116">
        <v>2526.5500000000002</v>
      </c>
      <c r="P1865" s="116">
        <v>2540</v>
      </c>
      <c r="Q1865" s="116">
        <v>2562.4499999999998</v>
      </c>
      <c r="R1865">
        <v>667857</v>
      </c>
    </row>
    <row r="1866" spans="1:18" x14ac:dyDescent="0.25">
      <c r="A1866" s="170">
        <v>44750</v>
      </c>
      <c r="B1866" s="116">
        <v>2611.1999999999998</v>
      </c>
      <c r="C1866" s="116">
        <v>2590.0500000000002</v>
      </c>
      <c r="D1866" s="116">
        <v>2553.75</v>
      </c>
      <c r="E1866" s="116">
        <v>2563.3000000000002</v>
      </c>
      <c r="F1866" s="116">
        <v>2590.0500000000002</v>
      </c>
      <c r="G1866">
        <v>25227</v>
      </c>
      <c r="H1866" s="116"/>
      <c r="I1866" s="116"/>
      <c r="L1866" s="170">
        <v>44750</v>
      </c>
      <c r="M1866" s="116">
        <v>2589.1</v>
      </c>
      <c r="N1866" s="116">
        <v>2612.3000000000002</v>
      </c>
      <c r="O1866" s="116">
        <v>2554</v>
      </c>
      <c r="P1866" s="116">
        <v>2569.9499999999998</v>
      </c>
      <c r="Q1866" s="116">
        <v>2589.1</v>
      </c>
      <c r="R1866">
        <v>534204</v>
      </c>
    </row>
    <row r="1867" spans="1:18" x14ac:dyDescent="0.25">
      <c r="A1867" s="170">
        <v>44753</v>
      </c>
      <c r="B1867" s="116">
        <v>2628.95</v>
      </c>
      <c r="C1867" s="116">
        <v>2609.15</v>
      </c>
      <c r="D1867" s="116">
        <v>2583</v>
      </c>
      <c r="E1867" s="116">
        <v>2591.25</v>
      </c>
      <c r="F1867" s="116">
        <v>2609.15</v>
      </c>
      <c r="G1867">
        <v>11234</v>
      </c>
      <c r="H1867" s="116"/>
      <c r="I1867" s="116"/>
      <c r="L1867" s="170">
        <v>44753</v>
      </c>
      <c r="M1867" s="116">
        <v>2610.85</v>
      </c>
      <c r="N1867" s="116">
        <v>2630</v>
      </c>
      <c r="O1867" s="116">
        <v>2576.1</v>
      </c>
      <c r="P1867" s="116">
        <v>2600</v>
      </c>
      <c r="Q1867" s="116">
        <v>2610.85</v>
      </c>
      <c r="R1867">
        <v>187883</v>
      </c>
    </row>
    <row r="1868" spans="1:18" x14ac:dyDescent="0.25">
      <c r="A1868" s="170">
        <v>44754</v>
      </c>
      <c r="B1868" s="116">
        <v>2609</v>
      </c>
      <c r="C1868" s="116">
        <v>2546.1</v>
      </c>
      <c r="D1868" s="116">
        <v>2530</v>
      </c>
      <c r="E1868" s="116">
        <v>2609</v>
      </c>
      <c r="F1868" s="116">
        <v>2546.1</v>
      </c>
      <c r="G1868">
        <v>21456</v>
      </c>
      <c r="H1868" s="116"/>
      <c r="I1868" s="116"/>
      <c r="L1868" s="170">
        <v>44754</v>
      </c>
      <c r="M1868" s="116">
        <v>2540.8000000000002</v>
      </c>
      <c r="N1868" s="116">
        <v>2609</v>
      </c>
      <c r="O1868" s="116">
        <v>2529.1</v>
      </c>
      <c r="P1868" s="116">
        <v>2607</v>
      </c>
      <c r="Q1868" s="116">
        <v>2540.8000000000002</v>
      </c>
      <c r="R1868">
        <v>204632</v>
      </c>
    </row>
    <row r="1869" spans="1:18" x14ac:dyDescent="0.25">
      <c r="A1869" s="170">
        <v>44755</v>
      </c>
      <c r="B1869" s="116">
        <v>2571.0500000000002</v>
      </c>
      <c r="C1869" s="116">
        <v>2547.15</v>
      </c>
      <c r="D1869" s="116">
        <v>2514.5500000000002</v>
      </c>
      <c r="E1869" s="116">
        <v>2540</v>
      </c>
      <c r="F1869" s="116">
        <v>2547.15</v>
      </c>
      <c r="G1869">
        <v>8133</v>
      </c>
      <c r="H1869" s="116"/>
      <c r="I1869" s="116"/>
      <c r="L1869" s="170">
        <v>44755</v>
      </c>
      <c r="M1869" s="116">
        <v>2544.6999999999998</v>
      </c>
      <c r="N1869" s="116">
        <v>2572.25</v>
      </c>
      <c r="O1869" s="116">
        <v>2515</v>
      </c>
      <c r="P1869" s="116">
        <v>2542</v>
      </c>
      <c r="Q1869" s="116">
        <v>2544.6999999999998</v>
      </c>
      <c r="R1869">
        <v>187311</v>
      </c>
    </row>
    <row r="1870" spans="1:18" x14ac:dyDescent="0.25">
      <c r="A1870" s="170">
        <v>44756</v>
      </c>
      <c r="B1870" s="116">
        <v>2572.4</v>
      </c>
      <c r="C1870" s="116">
        <v>2548.5</v>
      </c>
      <c r="D1870" s="116">
        <v>2504.9</v>
      </c>
      <c r="E1870" s="116">
        <v>2540.0500000000002</v>
      </c>
      <c r="F1870" s="116">
        <v>2548.5</v>
      </c>
      <c r="G1870">
        <v>6569</v>
      </c>
      <c r="H1870" s="116"/>
      <c r="I1870" s="116"/>
      <c r="L1870" s="170">
        <v>44756</v>
      </c>
      <c r="M1870" s="116">
        <v>2548.35</v>
      </c>
      <c r="N1870" s="116">
        <v>2571</v>
      </c>
      <c r="O1870" s="116">
        <v>2502.6999999999998</v>
      </c>
      <c r="P1870" s="116">
        <v>2544</v>
      </c>
      <c r="Q1870" s="116">
        <v>2548.35</v>
      </c>
      <c r="R1870">
        <v>204252</v>
      </c>
    </row>
    <row r="1871" spans="1:18" x14ac:dyDescent="0.25">
      <c r="A1871" s="170">
        <v>44757</v>
      </c>
      <c r="B1871" s="116">
        <v>2574.9</v>
      </c>
      <c r="C1871" s="116">
        <v>2558.4499999999998</v>
      </c>
      <c r="D1871" s="116">
        <v>2521.9</v>
      </c>
      <c r="E1871" s="116">
        <v>2542.6</v>
      </c>
      <c r="F1871" s="116">
        <v>2558.4499999999998</v>
      </c>
      <c r="G1871">
        <v>4616</v>
      </c>
      <c r="H1871" s="116"/>
      <c r="I1871" s="116"/>
      <c r="L1871" s="170">
        <v>44757</v>
      </c>
      <c r="M1871" s="116">
        <v>2559.4499999999998</v>
      </c>
      <c r="N1871" s="116">
        <v>2575.15</v>
      </c>
      <c r="O1871" s="116">
        <v>2521</v>
      </c>
      <c r="P1871" s="116">
        <v>2530.1</v>
      </c>
      <c r="Q1871" s="116">
        <v>2559.4499999999998</v>
      </c>
      <c r="R1871">
        <v>389496</v>
      </c>
    </row>
    <row r="1872" spans="1:18" x14ac:dyDescent="0.25">
      <c r="A1872" s="170">
        <v>44760</v>
      </c>
      <c r="B1872" s="116">
        <v>2598.4499999999998</v>
      </c>
      <c r="C1872" s="116">
        <v>2588</v>
      </c>
      <c r="D1872" s="116">
        <v>2557.1</v>
      </c>
      <c r="E1872" s="116">
        <v>2596.85</v>
      </c>
      <c r="F1872" s="116">
        <v>2588</v>
      </c>
      <c r="G1872">
        <v>7744</v>
      </c>
      <c r="H1872" s="116"/>
      <c r="I1872" s="116"/>
      <c r="L1872" s="170">
        <v>44760</v>
      </c>
      <c r="M1872" s="116">
        <v>2586.5500000000002</v>
      </c>
      <c r="N1872" s="116">
        <v>2597.5</v>
      </c>
      <c r="O1872" s="116">
        <v>2554.1</v>
      </c>
      <c r="P1872" s="116">
        <v>2579</v>
      </c>
      <c r="Q1872" s="116">
        <v>2586.5500000000002</v>
      </c>
      <c r="R1872">
        <v>205877</v>
      </c>
    </row>
    <row r="1873" spans="1:18" x14ac:dyDescent="0.25">
      <c r="A1873" s="170">
        <v>44761</v>
      </c>
      <c r="B1873" s="116">
        <v>2637.95</v>
      </c>
      <c r="C1873" s="116">
        <v>2591.1</v>
      </c>
      <c r="D1873" s="116">
        <v>2559.5</v>
      </c>
      <c r="E1873" s="116">
        <v>2567.5500000000002</v>
      </c>
      <c r="F1873" s="116">
        <v>2591.1</v>
      </c>
      <c r="G1873">
        <v>10046</v>
      </c>
      <c r="H1873" s="116"/>
      <c r="I1873" s="116"/>
      <c r="L1873" s="170">
        <v>44761</v>
      </c>
      <c r="M1873" s="116">
        <v>2590.9</v>
      </c>
      <c r="N1873" s="116">
        <v>2638.7</v>
      </c>
      <c r="O1873" s="116">
        <v>2556</v>
      </c>
      <c r="P1873" s="116">
        <v>2570</v>
      </c>
      <c r="Q1873" s="116">
        <v>2590.9</v>
      </c>
      <c r="R1873">
        <v>210716</v>
      </c>
    </row>
    <row r="1874" spans="1:18" x14ac:dyDescent="0.25">
      <c r="A1874" s="170">
        <v>44762</v>
      </c>
      <c r="B1874" s="116">
        <v>2626.6</v>
      </c>
      <c r="C1874" s="116">
        <v>2599.15</v>
      </c>
      <c r="D1874" s="116">
        <v>2578.1999999999998</v>
      </c>
      <c r="E1874" s="116">
        <v>2607.75</v>
      </c>
      <c r="F1874" s="116">
        <v>2599.15</v>
      </c>
      <c r="G1874">
        <v>8585</v>
      </c>
      <c r="H1874" s="116"/>
      <c r="I1874" s="116"/>
      <c r="L1874" s="170">
        <v>44762</v>
      </c>
      <c r="M1874" s="116">
        <v>2598.5500000000002</v>
      </c>
      <c r="N1874" s="116">
        <v>2626.8</v>
      </c>
      <c r="O1874" s="116">
        <v>2575.15</v>
      </c>
      <c r="P1874" s="116">
        <v>2586.1</v>
      </c>
      <c r="Q1874" s="116">
        <v>2598.5500000000002</v>
      </c>
      <c r="R1874">
        <v>258551</v>
      </c>
    </row>
    <row r="1875" spans="1:18" x14ac:dyDescent="0.25">
      <c r="A1875" s="170">
        <v>44763</v>
      </c>
      <c r="B1875" s="116">
        <v>2834.1</v>
      </c>
      <c r="C1875" s="116">
        <v>2772.15</v>
      </c>
      <c r="D1875" s="116">
        <v>2595</v>
      </c>
      <c r="E1875" s="116">
        <v>2610</v>
      </c>
      <c r="F1875" s="116">
        <v>2772.15</v>
      </c>
      <c r="G1875">
        <v>81944</v>
      </c>
      <c r="H1875" s="116"/>
      <c r="I1875" s="116"/>
      <c r="L1875" s="170">
        <v>44763</v>
      </c>
      <c r="M1875" s="116">
        <v>2772.75</v>
      </c>
      <c r="N1875" s="116">
        <v>2835</v>
      </c>
      <c r="O1875" s="116">
        <v>2594</v>
      </c>
      <c r="P1875" s="116">
        <v>2600</v>
      </c>
      <c r="Q1875" s="116">
        <v>2772.75</v>
      </c>
      <c r="R1875">
        <v>1136196</v>
      </c>
    </row>
    <row r="1876" spans="1:18" x14ac:dyDescent="0.25">
      <c r="A1876" s="170">
        <v>44764</v>
      </c>
      <c r="B1876" s="116">
        <v>2800</v>
      </c>
      <c r="C1876" s="116">
        <v>2695.75</v>
      </c>
      <c r="D1876" s="116">
        <v>2689</v>
      </c>
      <c r="E1876" s="116">
        <v>2800</v>
      </c>
      <c r="F1876" s="116">
        <v>2695.75</v>
      </c>
      <c r="G1876">
        <v>13931</v>
      </c>
      <c r="H1876" s="116"/>
      <c r="I1876" s="116"/>
      <c r="L1876" s="170">
        <v>44764</v>
      </c>
      <c r="M1876" s="116">
        <v>2696.4</v>
      </c>
      <c r="N1876" s="116">
        <v>2800.4</v>
      </c>
      <c r="O1876" s="116">
        <v>2686.85</v>
      </c>
      <c r="P1876" s="116">
        <v>2800.4</v>
      </c>
      <c r="Q1876" s="116">
        <v>2696.4</v>
      </c>
      <c r="R1876">
        <v>355041</v>
      </c>
    </row>
    <row r="1877" spans="1:18" x14ac:dyDescent="0.25">
      <c r="A1877" s="170">
        <v>44767</v>
      </c>
      <c r="B1877" s="116">
        <v>2705.95</v>
      </c>
      <c r="C1877" s="116">
        <v>2651.15</v>
      </c>
      <c r="D1877" s="116">
        <v>2639.95</v>
      </c>
      <c r="E1877" s="116">
        <v>2698</v>
      </c>
      <c r="F1877" s="116">
        <v>2651.15</v>
      </c>
      <c r="G1877">
        <v>18237</v>
      </c>
      <c r="H1877" s="116"/>
      <c r="I1877" s="116"/>
      <c r="L1877" s="170">
        <v>44767</v>
      </c>
      <c r="M1877" s="116">
        <v>2662.9</v>
      </c>
      <c r="N1877" s="116">
        <v>2713</v>
      </c>
      <c r="O1877" s="116">
        <v>2636.5</v>
      </c>
      <c r="P1877" s="116">
        <v>2713</v>
      </c>
      <c r="Q1877" s="116">
        <v>2662.9</v>
      </c>
      <c r="R1877">
        <v>292148</v>
      </c>
    </row>
    <row r="1878" spans="1:18" x14ac:dyDescent="0.25">
      <c r="A1878" s="170">
        <v>44768</v>
      </c>
      <c r="B1878" s="116">
        <v>2757.7</v>
      </c>
      <c r="C1878" s="116">
        <v>2712.2</v>
      </c>
      <c r="D1878" s="116">
        <v>2636</v>
      </c>
      <c r="E1878" s="116">
        <v>2669.05</v>
      </c>
      <c r="F1878" s="116">
        <v>2712.2</v>
      </c>
      <c r="G1878">
        <v>15137</v>
      </c>
      <c r="H1878" s="116"/>
      <c r="I1878" s="116"/>
      <c r="L1878" s="170">
        <v>44768</v>
      </c>
      <c r="M1878" s="116">
        <v>2713.4</v>
      </c>
      <c r="N1878" s="116">
        <v>2762.95</v>
      </c>
      <c r="O1878" s="116">
        <v>2635.4</v>
      </c>
      <c r="P1878" s="116">
        <v>2676.55</v>
      </c>
      <c r="Q1878" s="116">
        <v>2713.4</v>
      </c>
      <c r="R1878">
        <v>544688</v>
      </c>
    </row>
    <row r="1879" spans="1:18" x14ac:dyDescent="0.25">
      <c r="A1879" s="170">
        <v>44769</v>
      </c>
      <c r="B1879" s="116">
        <v>2749.95</v>
      </c>
      <c r="C1879" s="116">
        <v>2731.4</v>
      </c>
      <c r="D1879" s="116">
        <v>2700.05</v>
      </c>
      <c r="E1879" s="116">
        <v>2729.95</v>
      </c>
      <c r="F1879" s="116">
        <v>2731.4</v>
      </c>
      <c r="G1879">
        <v>7407</v>
      </c>
      <c r="H1879" s="116"/>
      <c r="I1879" s="116"/>
      <c r="L1879" s="170">
        <v>44769</v>
      </c>
      <c r="M1879" s="116">
        <v>2728.15</v>
      </c>
      <c r="N1879" s="116">
        <v>2750</v>
      </c>
      <c r="O1879" s="116">
        <v>2690.4</v>
      </c>
      <c r="P1879" s="116">
        <v>2713.4</v>
      </c>
      <c r="Q1879" s="116">
        <v>2728.15</v>
      </c>
      <c r="R1879">
        <v>250057</v>
      </c>
    </row>
    <row r="1880" spans="1:18" x14ac:dyDescent="0.25">
      <c r="A1880" s="170">
        <v>44770</v>
      </c>
      <c r="B1880" s="116">
        <v>2746.75</v>
      </c>
      <c r="C1880" s="116">
        <v>2714.5</v>
      </c>
      <c r="D1880" s="116">
        <v>2688.4</v>
      </c>
      <c r="E1880" s="116">
        <v>2745</v>
      </c>
      <c r="F1880" s="116">
        <v>2714.5</v>
      </c>
      <c r="G1880">
        <v>7723</v>
      </c>
      <c r="H1880" s="116"/>
      <c r="I1880" s="116"/>
      <c r="L1880" s="170">
        <v>44770</v>
      </c>
      <c r="M1880" s="116">
        <v>2722.25</v>
      </c>
      <c r="N1880" s="116">
        <v>2748</v>
      </c>
      <c r="O1880" s="116">
        <v>2685.95</v>
      </c>
      <c r="P1880" s="116">
        <v>2744.95</v>
      </c>
      <c r="Q1880" s="116">
        <v>2722.25</v>
      </c>
      <c r="R1880">
        <v>335265</v>
      </c>
    </row>
    <row r="1881" spans="1:18" x14ac:dyDescent="0.25">
      <c r="A1881" s="170">
        <v>44771</v>
      </c>
      <c r="B1881" s="116">
        <v>2809.6</v>
      </c>
      <c r="C1881" s="116">
        <v>2735.15</v>
      </c>
      <c r="D1881" s="116">
        <v>2721.3</v>
      </c>
      <c r="E1881" s="116">
        <v>2777</v>
      </c>
      <c r="F1881" s="116">
        <v>2735.15</v>
      </c>
      <c r="G1881">
        <v>32199</v>
      </c>
      <c r="H1881" s="116"/>
      <c r="I1881" s="116"/>
      <c r="L1881" s="170">
        <v>44771</v>
      </c>
      <c r="M1881" s="116">
        <v>2736.15</v>
      </c>
      <c r="N1881" s="116">
        <v>2811</v>
      </c>
      <c r="O1881" s="116">
        <v>2701.35</v>
      </c>
      <c r="P1881" s="116">
        <v>2758.55</v>
      </c>
      <c r="Q1881" s="116">
        <v>2736.15</v>
      </c>
      <c r="R1881">
        <v>248397</v>
      </c>
    </row>
    <row r="1882" spans="1:18" x14ac:dyDescent="0.25">
      <c r="A1882" s="170">
        <v>44774</v>
      </c>
      <c r="B1882" s="116">
        <v>2807.45</v>
      </c>
      <c r="C1882" s="116">
        <v>2746.2</v>
      </c>
      <c r="D1882" s="116">
        <v>2727.2</v>
      </c>
      <c r="E1882" s="116">
        <v>2740</v>
      </c>
      <c r="F1882" s="116">
        <v>2746.2</v>
      </c>
      <c r="G1882">
        <v>39206</v>
      </c>
      <c r="H1882" s="116"/>
      <c r="I1882" s="116"/>
      <c r="L1882" s="170">
        <v>44774</v>
      </c>
      <c r="M1882" s="116">
        <v>2745.65</v>
      </c>
      <c r="N1882" s="116">
        <v>2808.2</v>
      </c>
      <c r="O1882" s="116">
        <v>2724</v>
      </c>
      <c r="P1882" s="116">
        <v>2744</v>
      </c>
      <c r="Q1882" s="116">
        <v>2745.65</v>
      </c>
      <c r="R1882">
        <v>363460</v>
      </c>
    </row>
    <row r="1883" spans="1:18" x14ac:dyDescent="0.25">
      <c r="A1883" s="170">
        <v>44775</v>
      </c>
      <c r="B1883" s="116">
        <v>2824.95</v>
      </c>
      <c r="C1883" s="116">
        <v>2756.65</v>
      </c>
      <c r="D1883" s="116">
        <v>2730.2</v>
      </c>
      <c r="E1883" s="116">
        <v>2738.25</v>
      </c>
      <c r="F1883" s="116">
        <v>2756.65</v>
      </c>
      <c r="G1883">
        <v>37059</v>
      </c>
      <c r="H1883" s="116"/>
      <c r="I1883" s="116"/>
      <c r="L1883" s="170">
        <v>44775</v>
      </c>
      <c r="M1883" s="116">
        <v>2759.55</v>
      </c>
      <c r="N1883" s="116">
        <v>2824.35</v>
      </c>
      <c r="O1883" s="116">
        <v>2729.35</v>
      </c>
      <c r="P1883" s="116">
        <v>2744.9</v>
      </c>
      <c r="Q1883" s="116">
        <v>2759.55</v>
      </c>
      <c r="R1883">
        <v>366158</v>
      </c>
    </row>
    <row r="1884" spans="1:18" x14ac:dyDescent="0.25">
      <c r="A1884" s="170">
        <v>44776</v>
      </c>
      <c r="B1884" s="116">
        <v>2773.2</v>
      </c>
      <c r="C1884" s="116">
        <v>2670.3</v>
      </c>
      <c r="D1884" s="116">
        <v>2667</v>
      </c>
      <c r="E1884" s="116">
        <v>2773.2</v>
      </c>
      <c r="F1884" s="116">
        <v>2670.3</v>
      </c>
      <c r="G1884">
        <v>16929</v>
      </c>
      <c r="H1884" s="116"/>
      <c r="I1884" s="116"/>
      <c r="L1884" s="170">
        <v>44776</v>
      </c>
      <c r="M1884" s="116">
        <v>2671.6</v>
      </c>
      <c r="N1884" s="116">
        <v>2768</v>
      </c>
      <c r="O1884" s="116">
        <v>2666.75</v>
      </c>
      <c r="P1884" s="116">
        <v>2759.9</v>
      </c>
      <c r="Q1884" s="116">
        <v>2671.6</v>
      </c>
      <c r="R1884">
        <v>461656</v>
      </c>
    </row>
    <row r="1885" spans="1:18" x14ac:dyDescent="0.25">
      <c r="A1885" s="170">
        <v>44777</v>
      </c>
      <c r="B1885" s="116">
        <v>2717</v>
      </c>
      <c r="C1885" s="116">
        <v>2667.9</v>
      </c>
      <c r="D1885" s="116">
        <v>2643.95</v>
      </c>
      <c r="E1885" s="116">
        <v>2690</v>
      </c>
      <c r="F1885" s="116">
        <v>2667.9</v>
      </c>
      <c r="G1885">
        <v>6450</v>
      </c>
      <c r="H1885" s="116"/>
      <c r="I1885" s="116"/>
      <c r="L1885" s="170">
        <v>44777</v>
      </c>
      <c r="M1885" s="116">
        <v>2668.35</v>
      </c>
      <c r="N1885" s="116">
        <v>2716</v>
      </c>
      <c r="O1885" s="116">
        <v>2642</v>
      </c>
      <c r="P1885" s="116">
        <v>2689</v>
      </c>
      <c r="Q1885" s="116">
        <v>2668.35</v>
      </c>
      <c r="R1885">
        <v>303228</v>
      </c>
    </row>
    <row r="1886" spans="1:18" x14ac:dyDescent="0.25">
      <c r="A1886" s="170">
        <v>44778</v>
      </c>
      <c r="B1886" s="116">
        <v>2740.5</v>
      </c>
      <c r="C1886" s="116">
        <v>2686.95</v>
      </c>
      <c r="D1886" s="116">
        <v>2679.25</v>
      </c>
      <c r="E1886" s="116">
        <v>2694</v>
      </c>
      <c r="F1886" s="116">
        <v>2686.95</v>
      </c>
      <c r="G1886">
        <v>5601</v>
      </c>
      <c r="H1886" s="116"/>
      <c r="I1886" s="116"/>
      <c r="L1886" s="170">
        <v>44778</v>
      </c>
      <c r="M1886" s="116">
        <v>2688.2</v>
      </c>
      <c r="N1886" s="116">
        <v>2742</v>
      </c>
      <c r="O1886" s="116">
        <v>2675.35</v>
      </c>
      <c r="P1886" s="116">
        <v>2683.6</v>
      </c>
      <c r="Q1886" s="116">
        <v>2688.2</v>
      </c>
      <c r="R1886">
        <v>272399</v>
      </c>
    </row>
    <row r="1887" spans="1:18" x14ac:dyDescent="0.25">
      <c r="A1887" s="170">
        <v>44781</v>
      </c>
      <c r="B1887" s="116">
        <v>2796.8</v>
      </c>
      <c r="C1887" s="116">
        <v>2718.15</v>
      </c>
      <c r="D1887" s="116">
        <v>2689</v>
      </c>
      <c r="E1887" s="116">
        <v>2690</v>
      </c>
      <c r="F1887" s="116">
        <v>2718.15</v>
      </c>
      <c r="G1887">
        <v>45840</v>
      </c>
      <c r="H1887" s="116"/>
      <c r="I1887" s="116"/>
      <c r="L1887" s="170">
        <v>44781</v>
      </c>
      <c r="M1887" s="116">
        <v>2721.1</v>
      </c>
      <c r="N1887" s="116">
        <v>2797</v>
      </c>
      <c r="O1887" s="116">
        <v>2676.1</v>
      </c>
      <c r="P1887" s="116">
        <v>2694.95</v>
      </c>
      <c r="Q1887" s="116">
        <v>2721.1</v>
      </c>
      <c r="R1887">
        <v>382934</v>
      </c>
    </row>
    <row r="1888" spans="1:18" x14ac:dyDescent="0.25">
      <c r="A1888" s="170">
        <v>44783</v>
      </c>
      <c r="B1888" s="116">
        <v>2851.35</v>
      </c>
      <c r="C1888" s="116">
        <v>2771.25</v>
      </c>
      <c r="D1888" s="116">
        <v>2746</v>
      </c>
      <c r="E1888" s="116">
        <v>2820</v>
      </c>
      <c r="F1888" s="116">
        <v>2771.25</v>
      </c>
      <c r="G1888">
        <v>45051</v>
      </c>
      <c r="H1888" s="116"/>
      <c r="I1888" s="116"/>
      <c r="L1888" s="170">
        <v>44783</v>
      </c>
      <c r="M1888" s="116">
        <v>2770.4</v>
      </c>
      <c r="N1888" s="116">
        <v>2850</v>
      </c>
      <c r="O1888" s="116">
        <v>2745</v>
      </c>
      <c r="P1888" s="116">
        <v>2850</v>
      </c>
      <c r="Q1888" s="116">
        <v>2770.4</v>
      </c>
      <c r="R1888">
        <v>1043450</v>
      </c>
    </row>
    <row r="1889" spans="1:18" x14ac:dyDescent="0.25">
      <c r="A1889" s="170">
        <v>44784</v>
      </c>
      <c r="B1889" s="116">
        <v>2835.5</v>
      </c>
      <c r="C1889" s="116">
        <v>2798.4</v>
      </c>
      <c r="D1889" s="116">
        <v>2763</v>
      </c>
      <c r="E1889" s="116">
        <v>2819.75</v>
      </c>
      <c r="F1889" s="116">
        <v>2798.4</v>
      </c>
      <c r="G1889">
        <v>10452</v>
      </c>
      <c r="H1889" s="116"/>
      <c r="I1889" s="116"/>
      <c r="L1889" s="170">
        <v>44784</v>
      </c>
      <c r="M1889" s="116">
        <v>2798.3</v>
      </c>
      <c r="N1889" s="116">
        <v>2836.95</v>
      </c>
      <c r="O1889" s="116">
        <v>2780</v>
      </c>
      <c r="P1889" s="116">
        <v>2794.95</v>
      </c>
      <c r="Q1889" s="116">
        <v>2798.3</v>
      </c>
      <c r="R1889">
        <v>326247</v>
      </c>
    </row>
    <row r="1890" spans="1:18" x14ac:dyDescent="0.25">
      <c r="A1890" s="170">
        <v>44785</v>
      </c>
      <c r="B1890" s="116">
        <v>2835.05</v>
      </c>
      <c r="C1890" s="116">
        <v>2795.25</v>
      </c>
      <c r="D1890" s="116">
        <v>2787.6</v>
      </c>
      <c r="E1890" s="116">
        <v>2828.95</v>
      </c>
      <c r="F1890" s="116">
        <v>2795.25</v>
      </c>
      <c r="G1890">
        <v>13200</v>
      </c>
      <c r="H1890" s="116"/>
      <c r="I1890" s="116"/>
      <c r="L1890" s="170">
        <v>44785</v>
      </c>
      <c r="M1890" s="116">
        <v>2797.25</v>
      </c>
      <c r="N1890" s="116">
        <v>2837.7</v>
      </c>
      <c r="O1890" s="116">
        <v>2786.1</v>
      </c>
      <c r="P1890" s="116">
        <v>2811.8</v>
      </c>
      <c r="Q1890" s="116">
        <v>2797.25</v>
      </c>
      <c r="R1890">
        <v>386571</v>
      </c>
    </row>
    <row r="1891" spans="1:18" x14ac:dyDescent="0.25">
      <c r="A1891" s="170">
        <v>44789</v>
      </c>
      <c r="B1891" s="116">
        <v>2910</v>
      </c>
      <c r="C1891" s="116">
        <v>2900.7</v>
      </c>
      <c r="D1891" s="116">
        <v>2810</v>
      </c>
      <c r="E1891" s="116">
        <v>2810</v>
      </c>
      <c r="F1891" s="116">
        <v>2900.7</v>
      </c>
      <c r="G1891">
        <v>14781</v>
      </c>
      <c r="H1891" s="116"/>
      <c r="I1891" s="116"/>
      <c r="L1891" s="170">
        <v>44789</v>
      </c>
      <c r="M1891" s="116">
        <v>2898</v>
      </c>
      <c r="N1891" s="116">
        <v>2905</v>
      </c>
      <c r="O1891" s="116">
        <v>2807</v>
      </c>
      <c r="P1891" s="116">
        <v>2819.95</v>
      </c>
      <c r="Q1891" s="116">
        <v>2898</v>
      </c>
      <c r="R1891">
        <v>833499</v>
      </c>
    </row>
    <row r="1892" spans="1:18" x14ac:dyDescent="0.25">
      <c r="A1892" s="170">
        <v>44790</v>
      </c>
      <c r="B1892" s="116">
        <v>2923</v>
      </c>
      <c r="C1892" s="116">
        <v>2891.1</v>
      </c>
      <c r="D1892" s="116">
        <v>2872</v>
      </c>
      <c r="E1892" s="116">
        <v>2900.1</v>
      </c>
      <c r="F1892" s="116">
        <v>2891.1</v>
      </c>
      <c r="G1892">
        <v>11561</v>
      </c>
      <c r="H1892" s="116"/>
      <c r="I1892" s="116"/>
      <c r="L1892" s="170">
        <v>44790</v>
      </c>
      <c r="M1892" s="116">
        <v>2891.75</v>
      </c>
      <c r="N1892" s="116">
        <v>2924.1</v>
      </c>
      <c r="O1892" s="116">
        <v>2870</v>
      </c>
      <c r="P1892" s="116">
        <v>2909.1</v>
      </c>
      <c r="Q1892" s="116">
        <v>2891.75</v>
      </c>
      <c r="R1892">
        <v>481683</v>
      </c>
    </row>
    <row r="1893" spans="1:18" x14ac:dyDescent="0.25">
      <c r="A1893" s="170">
        <v>44791</v>
      </c>
      <c r="B1893" s="116">
        <v>2934.2</v>
      </c>
      <c r="C1893" s="116">
        <v>2890.1</v>
      </c>
      <c r="D1893" s="116">
        <v>2877</v>
      </c>
      <c r="E1893" s="116">
        <v>2880</v>
      </c>
      <c r="F1893" s="116">
        <v>2890.1</v>
      </c>
      <c r="G1893">
        <v>6746</v>
      </c>
      <c r="H1893" s="116"/>
      <c r="I1893" s="116"/>
      <c r="L1893" s="170">
        <v>44791</v>
      </c>
      <c r="M1893" s="116">
        <v>2890.5</v>
      </c>
      <c r="N1893" s="116">
        <v>2935</v>
      </c>
      <c r="O1893" s="116">
        <v>2874</v>
      </c>
      <c r="P1893" s="116">
        <v>2878.95</v>
      </c>
      <c r="Q1893" s="116">
        <v>2890.5</v>
      </c>
      <c r="R1893">
        <v>459776</v>
      </c>
    </row>
    <row r="1894" spans="1:18" x14ac:dyDescent="0.25">
      <c r="A1894" s="170">
        <v>44792</v>
      </c>
      <c r="B1894" s="116">
        <v>2923.2</v>
      </c>
      <c r="C1894" s="116">
        <v>2889.4</v>
      </c>
      <c r="D1894" s="116">
        <v>2815.05</v>
      </c>
      <c r="E1894" s="116">
        <v>2896.7</v>
      </c>
      <c r="F1894" s="116">
        <v>2889.4</v>
      </c>
      <c r="G1894">
        <v>6111</v>
      </c>
      <c r="H1894" s="116"/>
      <c r="I1894" s="116"/>
      <c r="L1894" s="170">
        <v>44792</v>
      </c>
      <c r="M1894" s="116">
        <v>2888.35</v>
      </c>
      <c r="N1894" s="116">
        <v>2924.75</v>
      </c>
      <c r="O1894" s="116">
        <v>2813.5</v>
      </c>
      <c r="P1894" s="116">
        <v>2903.95</v>
      </c>
      <c r="Q1894" s="116">
        <v>2888.35</v>
      </c>
      <c r="R1894">
        <v>335377</v>
      </c>
    </row>
    <row r="1895" spans="1:18" x14ac:dyDescent="0.25">
      <c r="A1895" s="170">
        <v>44795</v>
      </c>
      <c r="B1895" s="116">
        <v>2917.35</v>
      </c>
      <c r="C1895" s="116">
        <v>2867.85</v>
      </c>
      <c r="D1895" s="116">
        <v>2850</v>
      </c>
      <c r="E1895" s="116">
        <v>2898.95</v>
      </c>
      <c r="F1895" s="116">
        <v>2867.85</v>
      </c>
      <c r="G1895">
        <v>9373</v>
      </c>
      <c r="H1895" s="116"/>
      <c r="I1895" s="116"/>
      <c r="L1895" s="170">
        <v>44795</v>
      </c>
      <c r="M1895" s="116">
        <v>2869.55</v>
      </c>
      <c r="N1895" s="116">
        <v>2917.1</v>
      </c>
      <c r="O1895" s="116">
        <v>2852.1</v>
      </c>
      <c r="P1895" s="116">
        <v>2875</v>
      </c>
      <c r="Q1895" s="116">
        <v>2869.55</v>
      </c>
      <c r="R1895">
        <v>232574</v>
      </c>
    </row>
    <row r="1896" spans="1:18" x14ac:dyDescent="0.25">
      <c r="A1896" s="170">
        <v>44796</v>
      </c>
      <c r="B1896" s="116">
        <v>2911.1</v>
      </c>
      <c r="C1896" s="116">
        <v>2868.65</v>
      </c>
      <c r="D1896" s="116">
        <v>2846.95</v>
      </c>
      <c r="E1896" s="116">
        <v>2847</v>
      </c>
      <c r="F1896" s="116">
        <v>2868.65</v>
      </c>
      <c r="G1896">
        <v>19677</v>
      </c>
      <c r="H1896" s="116"/>
      <c r="I1896" s="116"/>
      <c r="L1896" s="170">
        <v>44796</v>
      </c>
      <c r="M1896" s="116">
        <v>2868.1</v>
      </c>
      <c r="N1896" s="116">
        <v>2910.9</v>
      </c>
      <c r="O1896" s="116">
        <v>2845</v>
      </c>
      <c r="P1896" s="116">
        <v>2845</v>
      </c>
      <c r="Q1896" s="116">
        <v>2868.1</v>
      </c>
      <c r="R1896">
        <v>574029</v>
      </c>
    </row>
    <row r="1897" spans="1:18" x14ac:dyDescent="0.25">
      <c r="A1897" s="170">
        <v>44797</v>
      </c>
      <c r="B1897" s="116">
        <v>3088</v>
      </c>
      <c r="C1897" s="116">
        <v>3063.65</v>
      </c>
      <c r="D1897" s="116">
        <v>2872.55</v>
      </c>
      <c r="E1897" s="116">
        <v>2874.95</v>
      </c>
      <c r="F1897" s="116">
        <v>3063.65</v>
      </c>
      <c r="G1897">
        <v>23837</v>
      </c>
      <c r="H1897" s="116"/>
      <c r="I1897" s="116"/>
      <c r="L1897" s="170">
        <v>44797</v>
      </c>
      <c r="M1897" s="116">
        <v>3060.45</v>
      </c>
      <c r="N1897" s="116">
        <v>3089.9</v>
      </c>
      <c r="O1897" s="116">
        <v>2868.1</v>
      </c>
      <c r="P1897" s="116">
        <v>2870</v>
      </c>
      <c r="Q1897" s="116">
        <v>3060.45</v>
      </c>
      <c r="R1897">
        <v>843342</v>
      </c>
    </row>
    <row r="1898" spans="1:18" x14ac:dyDescent="0.25">
      <c r="A1898" s="170">
        <v>44798</v>
      </c>
      <c r="B1898" s="116">
        <v>3174.7</v>
      </c>
      <c r="C1898" s="116">
        <v>3142.85</v>
      </c>
      <c r="D1898" s="116">
        <v>3042.7</v>
      </c>
      <c r="E1898" s="116">
        <v>3060</v>
      </c>
      <c r="F1898" s="116">
        <v>3142.85</v>
      </c>
      <c r="G1898">
        <v>26420</v>
      </c>
      <c r="H1898" s="116"/>
      <c r="I1898" s="116"/>
      <c r="L1898" s="170">
        <v>44798</v>
      </c>
      <c r="M1898" s="116">
        <v>3144.4</v>
      </c>
      <c r="N1898" s="116">
        <v>3174</v>
      </c>
      <c r="O1898" s="116">
        <v>3041</v>
      </c>
      <c r="P1898" s="116">
        <v>3050</v>
      </c>
      <c r="Q1898" s="116">
        <v>3144.4</v>
      </c>
      <c r="R1898">
        <v>810380</v>
      </c>
    </row>
    <row r="1899" spans="1:18" x14ac:dyDescent="0.25">
      <c r="A1899" s="170">
        <v>44799</v>
      </c>
      <c r="B1899" s="116">
        <v>3208.85</v>
      </c>
      <c r="C1899" s="116">
        <v>3170.75</v>
      </c>
      <c r="D1899" s="116">
        <v>3106.5</v>
      </c>
      <c r="E1899" s="116">
        <v>3155</v>
      </c>
      <c r="F1899" s="116">
        <v>3170.75</v>
      </c>
      <c r="G1899">
        <v>10748</v>
      </c>
      <c r="H1899" s="116"/>
      <c r="I1899" s="116"/>
      <c r="L1899" s="170">
        <v>44799</v>
      </c>
      <c r="M1899" s="116">
        <v>3170.65</v>
      </c>
      <c r="N1899" s="116">
        <v>3209.7</v>
      </c>
      <c r="O1899" s="116">
        <v>3106</v>
      </c>
      <c r="P1899" s="116">
        <v>3151</v>
      </c>
      <c r="Q1899" s="116">
        <v>3170.65</v>
      </c>
      <c r="R1899">
        <v>519283</v>
      </c>
    </row>
    <row r="1900" spans="1:18" x14ac:dyDescent="0.25">
      <c r="A1900" s="170">
        <v>44802</v>
      </c>
      <c r="B1900" s="116">
        <v>3220.7</v>
      </c>
      <c r="C1900" s="116">
        <v>3195.65</v>
      </c>
      <c r="D1900" s="116">
        <v>3045.6</v>
      </c>
      <c r="E1900" s="116">
        <v>3111.05</v>
      </c>
      <c r="F1900" s="116">
        <v>3195.65</v>
      </c>
      <c r="G1900">
        <v>15162</v>
      </c>
      <c r="H1900" s="116"/>
      <c r="I1900" s="116"/>
      <c r="L1900" s="170">
        <v>44802</v>
      </c>
      <c r="M1900" s="116">
        <v>3196.45</v>
      </c>
      <c r="N1900" s="116">
        <v>3221.95</v>
      </c>
      <c r="O1900" s="116">
        <v>3085.55</v>
      </c>
      <c r="P1900" s="116">
        <v>3140</v>
      </c>
      <c r="Q1900" s="116">
        <v>3196.45</v>
      </c>
      <c r="R1900">
        <v>501630</v>
      </c>
    </row>
    <row r="1901" spans="1:18" x14ac:dyDescent="0.25">
      <c r="A1901" s="170">
        <v>44803</v>
      </c>
      <c r="B1901" s="116">
        <v>3272.85</v>
      </c>
      <c r="C1901" s="116">
        <v>3264.3</v>
      </c>
      <c r="D1901" s="116">
        <v>3158</v>
      </c>
      <c r="E1901" s="116">
        <v>3200</v>
      </c>
      <c r="F1901" s="116">
        <v>3264.3</v>
      </c>
      <c r="G1901">
        <v>9660</v>
      </c>
      <c r="H1901" s="116"/>
      <c r="I1901" s="116"/>
      <c r="L1901" s="170">
        <v>44803</v>
      </c>
      <c r="M1901" s="116">
        <v>3262.75</v>
      </c>
      <c r="N1901" s="116">
        <v>3273.25</v>
      </c>
      <c r="O1901" s="116">
        <v>3155.9</v>
      </c>
      <c r="P1901" s="116">
        <v>3200.95</v>
      </c>
      <c r="Q1901" s="116">
        <v>3262.75</v>
      </c>
      <c r="R1901">
        <v>574816</v>
      </c>
    </row>
    <row r="1902" spans="1:18" x14ac:dyDescent="0.25">
      <c r="A1902" s="170">
        <v>44805</v>
      </c>
      <c r="B1902" s="116">
        <v>3428.95</v>
      </c>
      <c r="C1902" s="116">
        <v>3407.05</v>
      </c>
      <c r="D1902" s="116">
        <v>3246.05</v>
      </c>
      <c r="E1902" s="116">
        <v>3268</v>
      </c>
      <c r="F1902" s="116">
        <v>3407.05</v>
      </c>
      <c r="G1902">
        <v>28260</v>
      </c>
      <c r="H1902" s="116"/>
      <c r="I1902" s="116"/>
      <c r="L1902" s="170">
        <v>44805</v>
      </c>
      <c r="M1902" s="116">
        <v>3403.7</v>
      </c>
      <c r="N1902" s="116">
        <v>3429.35</v>
      </c>
      <c r="O1902" s="116">
        <v>3244.8</v>
      </c>
      <c r="P1902" s="116">
        <v>3254.9</v>
      </c>
      <c r="Q1902" s="116">
        <v>3403.7</v>
      </c>
      <c r="R1902">
        <v>1034069</v>
      </c>
    </row>
    <row r="1903" spans="1:18" x14ac:dyDescent="0.25">
      <c r="A1903" s="170">
        <v>44806</v>
      </c>
      <c r="B1903" s="116">
        <v>3445.65</v>
      </c>
      <c r="C1903" s="116">
        <v>3366.8</v>
      </c>
      <c r="D1903" s="116">
        <v>3350</v>
      </c>
      <c r="E1903" s="116">
        <v>3392</v>
      </c>
      <c r="F1903" s="116">
        <v>3366.8</v>
      </c>
      <c r="G1903">
        <v>19440</v>
      </c>
      <c r="H1903" s="116"/>
      <c r="I1903" s="116"/>
      <c r="L1903" s="170">
        <v>44806</v>
      </c>
      <c r="M1903" s="116">
        <v>3368.9</v>
      </c>
      <c r="N1903" s="116">
        <v>3446.3</v>
      </c>
      <c r="O1903" s="116">
        <v>3360</v>
      </c>
      <c r="P1903" s="116">
        <v>3390</v>
      </c>
      <c r="Q1903" s="116">
        <v>3368.9</v>
      </c>
      <c r="R1903">
        <v>560330</v>
      </c>
    </row>
    <row r="1904" spans="1:18" x14ac:dyDescent="0.25">
      <c r="A1904" s="170">
        <v>44809</v>
      </c>
      <c r="B1904" s="116">
        <v>3387.2</v>
      </c>
      <c r="C1904" s="116">
        <v>3289.9</v>
      </c>
      <c r="D1904" s="116">
        <v>3255</v>
      </c>
      <c r="E1904" s="116">
        <v>3366.8</v>
      </c>
      <c r="F1904" s="116">
        <v>3289.9</v>
      </c>
      <c r="G1904">
        <v>18772</v>
      </c>
      <c r="H1904" s="116"/>
      <c r="I1904" s="116"/>
      <c r="L1904" s="170">
        <v>44809</v>
      </c>
      <c r="M1904" s="116">
        <v>3289.2</v>
      </c>
      <c r="N1904" s="116">
        <v>3388</v>
      </c>
      <c r="O1904" s="116">
        <v>3253.65</v>
      </c>
      <c r="P1904" s="116">
        <v>3350</v>
      </c>
      <c r="Q1904" s="116">
        <v>3289.2</v>
      </c>
      <c r="R1904">
        <v>587410</v>
      </c>
    </row>
    <row r="1905" spans="1:18" x14ac:dyDescent="0.25">
      <c r="A1905" s="170">
        <v>44810</v>
      </c>
      <c r="B1905" s="116">
        <v>3374.8</v>
      </c>
      <c r="C1905" s="116">
        <v>3363.9</v>
      </c>
      <c r="D1905" s="116">
        <v>3302.5</v>
      </c>
      <c r="E1905" s="116">
        <v>3309.95</v>
      </c>
      <c r="F1905" s="116">
        <v>3363.9</v>
      </c>
      <c r="G1905">
        <v>21386</v>
      </c>
      <c r="H1905" s="116"/>
      <c r="I1905" s="116"/>
      <c r="L1905" s="170">
        <v>44810</v>
      </c>
      <c r="M1905" s="116">
        <v>3362.05</v>
      </c>
      <c r="N1905" s="116">
        <v>3376</v>
      </c>
      <c r="O1905" s="116">
        <v>3306.55</v>
      </c>
      <c r="P1905" s="116">
        <v>3317.9</v>
      </c>
      <c r="Q1905" s="116">
        <v>3362.05</v>
      </c>
      <c r="R1905">
        <v>407055</v>
      </c>
    </row>
    <row r="1906" spans="1:18" x14ac:dyDescent="0.25">
      <c r="A1906" s="170">
        <v>44811</v>
      </c>
      <c r="B1906" s="116">
        <v>3379.1</v>
      </c>
      <c r="C1906" s="116">
        <v>3309</v>
      </c>
      <c r="D1906" s="116">
        <v>3265.45</v>
      </c>
      <c r="E1906" s="116">
        <v>3361</v>
      </c>
      <c r="F1906" s="116">
        <v>3309</v>
      </c>
      <c r="G1906">
        <v>16025</v>
      </c>
      <c r="H1906" s="116"/>
      <c r="I1906" s="116"/>
      <c r="L1906" s="170">
        <v>44811</v>
      </c>
      <c r="M1906" s="116">
        <v>3310.3</v>
      </c>
      <c r="N1906" s="116">
        <v>3380</v>
      </c>
      <c r="O1906" s="116">
        <v>3265</v>
      </c>
      <c r="P1906" s="116">
        <v>3351</v>
      </c>
      <c r="Q1906" s="116">
        <v>3310.3</v>
      </c>
      <c r="R1906">
        <v>382798</v>
      </c>
    </row>
    <row r="1907" spans="1:18" x14ac:dyDescent="0.25">
      <c r="A1907" s="170">
        <v>44812</v>
      </c>
      <c r="B1907" s="116">
        <v>3379</v>
      </c>
      <c r="C1907" s="116">
        <v>3316.15</v>
      </c>
      <c r="D1907" s="116">
        <v>3310.05</v>
      </c>
      <c r="E1907" s="116">
        <v>3310.05</v>
      </c>
      <c r="F1907" s="116">
        <v>3316.15</v>
      </c>
      <c r="G1907">
        <v>8799</v>
      </c>
      <c r="H1907" s="116"/>
      <c r="I1907" s="116"/>
      <c r="L1907" s="170">
        <v>44812</v>
      </c>
      <c r="M1907" s="116">
        <v>3318.25</v>
      </c>
      <c r="N1907" s="116">
        <v>3379</v>
      </c>
      <c r="O1907" s="116">
        <v>3312</v>
      </c>
      <c r="P1907" s="116">
        <v>3336.65</v>
      </c>
      <c r="Q1907" s="116">
        <v>3318.25</v>
      </c>
      <c r="R1907">
        <v>363161</v>
      </c>
    </row>
    <row r="1908" spans="1:18" x14ac:dyDescent="0.25">
      <c r="A1908" s="170">
        <v>44813</v>
      </c>
      <c r="B1908" s="116">
        <v>3357.5</v>
      </c>
      <c r="C1908" s="116">
        <v>3314.9</v>
      </c>
      <c r="D1908" s="116">
        <v>3307</v>
      </c>
      <c r="E1908" s="116">
        <v>3349.65</v>
      </c>
      <c r="F1908" s="116">
        <v>3314.9</v>
      </c>
      <c r="G1908">
        <v>6479</v>
      </c>
      <c r="H1908" s="116"/>
      <c r="I1908" s="116"/>
      <c r="L1908" s="170">
        <v>44813</v>
      </c>
      <c r="M1908" s="116">
        <v>3314.65</v>
      </c>
      <c r="N1908" s="116">
        <v>3356.95</v>
      </c>
      <c r="O1908" s="116">
        <v>3305</v>
      </c>
      <c r="P1908" s="116">
        <v>3333</v>
      </c>
      <c r="Q1908" s="116">
        <v>3314.65</v>
      </c>
      <c r="R1908">
        <v>215708</v>
      </c>
    </row>
    <row r="1909" spans="1:18" x14ac:dyDescent="0.25">
      <c r="A1909" s="170">
        <v>44816</v>
      </c>
      <c r="B1909" s="116">
        <v>3349.45</v>
      </c>
      <c r="C1909" s="116">
        <v>3328.55</v>
      </c>
      <c r="D1909" s="116">
        <v>3300.65</v>
      </c>
      <c r="E1909" s="116">
        <v>3300.65</v>
      </c>
      <c r="F1909" s="116">
        <v>3328.55</v>
      </c>
      <c r="G1909">
        <v>12748</v>
      </c>
      <c r="H1909" s="116"/>
      <c r="I1909" s="116"/>
      <c r="L1909" s="170">
        <v>44816</v>
      </c>
      <c r="M1909" s="116">
        <v>3329.6</v>
      </c>
      <c r="N1909" s="116">
        <v>3350</v>
      </c>
      <c r="O1909" s="116">
        <v>3310.25</v>
      </c>
      <c r="P1909" s="116">
        <v>3330</v>
      </c>
      <c r="Q1909" s="116">
        <v>3329.6</v>
      </c>
      <c r="R1909">
        <v>179592</v>
      </c>
    </row>
    <row r="1910" spans="1:18" x14ac:dyDescent="0.25">
      <c r="A1910" s="170">
        <v>44817</v>
      </c>
      <c r="B1910" s="116">
        <v>3429.85</v>
      </c>
      <c r="C1910" s="116">
        <v>3362.2</v>
      </c>
      <c r="D1910" s="116">
        <v>3345.05</v>
      </c>
      <c r="E1910" s="116">
        <v>3352.8</v>
      </c>
      <c r="F1910" s="116">
        <v>3362.2</v>
      </c>
      <c r="G1910">
        <v>26729</v>
      </c>
      <c r="H1910" s="116"/>
      <c r="I1910" s="116"/>
      <c r="L1910" s="170">
        <v>44817</v>
      </c>
      <c r="M1910" s="116">
        <v>3358.85</v>
      </c>
      <c r="N1910" s="116">
        <v>3433.65</v>
      </c>
      <c r="O1910" s="116">
        <v>3341.25</v>
      </c>
      <c r="P1910" s="116">
        <v>3360</v>
      </c>
      <c r="Q1910" s="116">
        <v>3358.85</v>
      </c>
      <c r="R1910">
        <v>435755</v>
      </c>
    </row>
    <row r="1911" spans="1:18" x14ac:dyDescent="0.25">
      <c r="A1911" s="170">
        <v>44818</v>
      </c>
      <c r="B1911" s="116">
        <v>3355</v>
      </c>
      <c r="C1911" s="116">
        <v>3288.4</v>
      </c>
      <c r="D1911" s="116">
        <v>3271.5</v>
      </c>
      <c r="E1911" s="116">
        <v>3324.5</v>
      </c>
      <c r="F1911" s="116">
        <v>3288.4</v>
      </c>
      <c r="G1911">
        <v>15155</v>
      </c>
      <c r="H1911" s="116"/>
      <c r="I1911" s="116"/>
      <c r="L1911" s="170">
        <v>44818</v>
      </c>
      <c r="M1911" s="116">
        <v>3288.65</v>
      </c>
      <c r="N1911" s="116">
        <v>3355.95</v>
      </c>
      <c r="O1911" s="116">
        <v>3271</v>
      </c>
      <c r="P1911" s="116">
        <v>3309.9</v>
      </c>
      <c r="Q1911" s="116">
        <v>3288.65</v>
      </c>
      <c r="R1911">
        <v>299457</v>
      </c>
    </row>
    <row r="1912" spans="1:18" x14ac:dyDescent="0.25">
      <c r="A1912" s="170">
        <v>44819</v>
      </c>
      <c r="B1912" s="116">
        <v>3345.15</v>
      </c>
      <c r="C1912" s="116">
        <v>3299.3</v>
      </c>
      <c r="D1912" s="116">
        <v>3266.5</v>
      </c>
      <c r="E1912" s="116">
        <v>3330</v>
      </c>
      <c r="F1912" s="116">
        <v>3299.3</v>
      </c>
      <c r="G1912">
        <v>12113</v>
      </c>
      <c r="H1912" s="116"/>
      <c r="I1912" s="116"/>
      <c r="L1912" s="170">
        <v>44819</v>
      </c>
      <c r="M1912" s="116">
        <v>3296.95</v>
      </c>
      <c r="N1912" s="116">
        <v>3346.95</v>
      </c>
      <c r="O1912" s="116">
        <v>3267.05</v>
      </c>
      <c r="P1912" s="116">
        <v>3316.7</v>
      </c>
      <c r="Q1912" s="116">
        <v>3296.95</v>
      </c>
      <c r="R1912">
        <v>288585</v>
      </c>
    </row>
    <row r="1913" spans="1:18" x14ac:dyDescent="0.25">
      <c r="A1913" s="170">
        <v>44820</v>
      </c>
      <c r="B1913" s="116">
        <v>3324.65</v>
      </c>
      <c r="C1913" s="116">
        <v>3178.35</v>
      </c>
      <c r="D1913" s="116">
        <v>3100</v>
      </c>
      <c r="E1913" s="116">
        <v>3324.65</v>
      </c>
      <c r="F1913" s="116">
        <v>3178.35</v>
      </c>
      <c r="G1913">
        <v>21067</v>
      </c>
      <c r="H1913" s="116"/>
      <c r="I1913" s="116"/>
      <c r="L1913" s="170">
        <v>44820</v>
      </c>
      <c r="M1913" s="116">
        <v>3180.15</v>
      </c>
      <c r="N1913" s="116">
        <v>3315.8</v>
      </c>
      <c r="O1913" s="116">
        <v>3100</v>
      </c>
      <c r="P1913" s="116">
        <v>3304</v>
      </c>
      <c r="Q1913" s="116">
        <v>3180.15</v>
      </c>
      <c r="R1913">
        <v>482246</v>
      </c>
    </row>
    <row r="1914" spans="1:18" x14ac:dyDescent="0.25">
      <c r="A1914" s="170">
        <v>44823</v>
      </c>
      <c r="B1914" s="116">
        <v>3222.8</v>
      </c>
      <c r="C1914" s="116">
        <v>3157.85</v>
      </c>
      <c r="D1914" s="116">
        <v>3107.15</v>
      </c>
      <c r="E1914" s="116">
        <v>3178.2</v>
      </c>
      <c r="F1914" s="116">
        <v>3157.85</v>
      </c>
      <c r="G1914">
        <v>13628</v>
      </c>
      <c r="H1914" s="116"/>
      <c r="I1914" s="116"/>
      <c r="L1914" s="170">
        <v>44823</v>
      </c>
      <c r="M1914" s="116">
        <v>3157.8</v>
      </c>
      <c r="N1914" s="116">
        <v>3223.3</v>
      </c>
      <c r="O1914" s="116">
        <v>3106.05</v>
      </c>
      <c r="P1914" s="116">
        <v>3188</v>
      </c>
      <c r="Q1914" s="116">
        <v>3157.8</v>
      </c>
      <c r="R1914">
        <v>342412</v>
      </c>
    </row>
    <row r="1915" spans="1:18" x14ac:dyDescent="0.25">
      <c r="A1915" s="170">
        <v>44824</v>
      </c>
      <c r="B1915" s="116">
        <v>3215.15</v>
      </c>
      <c r="C1915" s="116">
        <v>3147.95</v>
      </c>
      <c r="D1915" s="116">
        <v>3132.35</v>
      </c>
      <c r="E1915" s="116">
        <v>3180</v>
      </c>
      <c r="F1915" s="116">
        <v>3147.95</v>
      </c>
      <c r="G1915">
        <v>13602</v>
      </c>
      <c r="H1915" s="116"/>
      <c r="I1915" s="116"/>
      <c r="L1915" s="170">
        <v>44824</v>
      </c>
      <c r="M1915" s="116">
        <v>3150.55</v>
      </c>
      <c r="N1915" s="116">
        <v>3218.8</v>
      </c>
      <c r="O1915" s="116">
        <v>3131.1</v>
      </c>
      <c r="P1915" s="116">
        <v>3184.2</v>
      </c>
      <c r="Q1915" s="116">
        <v>3150.55</v>
      </c>
      <c r="R1915">
        <v>252096</v>
      </c>
    </row>
    <row r="1916" spans="1:18" x14ac:dyDescent="0.25">
      <c r="A1916" s="170">
        <v>44825</v>
      </c>
      <c r="B1916" s="116">
        <v>3199</v>
      </c>
      <c r="C1916" s="116">
        <v>3131.3</v>
      </c>
      <c r="D1916" s="116">
        <v>3123.45</v>
      </c>
      <c r="E1916" s="116">
        <v>3174.95</v>
      </c>
      <c r="F1916" s="116">
        <v>3131.3</v>
      </c>
      <c r="G1916">
        <v>7757</v>
      </c>
      <c r="H1916" s="116"/>
      <c r="I1916" s="116"/>
      <c r="L1916" s="170">
        <v>44825</v>
      </c>
      <c r="M1916" s="116">
        <v>3129.65</v>
      </c>
      <c r="N1916" s="116">
        <v>3200</v>
      </c>
      <c r="O1916" s="116">
        <v>3125</v>
      </c>
      <c r="P1916" s="116">
        <v>3162.65</v>
      </c>
      <c r="Q1916" s="116">
        <v>3129.65</v>
      </c>
      <c r="R1916">
        <v>199589</v>
      </c>
    </row>
    <row r="1917" spans="1:18" x14ac:dyDescent="0.25">
      <c r="A1917" s="170">
        <v>44826</v>
      </c>
      <c r="B1917" s="116">
        <v>3219</v>
      </c>
      <c r="C1917" s="116">
        <v>3145.9</v>
      </c>
      <c r="D1917" s="116">
        <v>3100</v>
      </c>
      <c r="E1917" s="116">
        <v>3115.15</v>
      </c>
      <c r="F1917" s="116">
        <v>3145.9</v>
      </c>
      <c r="G1917">
        <v>15627</v>
      </c>
      <c r="H1917" s="116"/>
      <c r="I1917" s="116"/>
      <c r="L1917" s="170">
        <v>44826</v>
      </c>
      <c r="M1917" s="116">
        <v>3144.1</v>
      </c>
      <c r="N1917" s="116">
        <v>3219.95</v>
      </c>
      <c r="O1917" s="116">
        <v>3100</v>
      </c>
      <c r="P1917" s="116">
        <v>3136.3</v>
      </c>
      <c r="Q1917" s="116">
        <v>3144.1</v>
      </c>
      <c r="R1917">
        <v>334012</v>
      </c>
    </row>
    <row r="1918" spans="1:18" x14ac:dyDescent="0.25">
      <c r="A1918" s="170">
        <v>44827</v>
      </c>
      <c r="B1918" s="116">
        <v>3162.55</v>
      </c>
      <c r="C1918" s="116">
        <v>3131.6</v>
      </c>
      <c r="D1918" s="116">
        <v>3112.05</v>
      </c>
      <c r="E1918" s="116">
        <v>3159</v>
      </c>
      <c r="F1918" s="116">
        <v>3131.6</v>
      </c>
      <c r="G1918">
        <v>15784</v>
      </c>
      <c r="H1918" s="116"/>
      <c r="I1918" s="116"/>
      <c r="L1918" s="170">
        <v>44827</v>
      </c>
      <c r="M1918" s="116">
        <v>3124.65</v>
      </c>
      <c r="N1918" s="116">
        <v>3172.4</v>
      </c>
      <c r="O1918" s="116">
        <v>3110.45</v>
      </c>
      <c r="P1918" s="116">
        <v>3172.4</v>
      </c>
      <c r="Q1918" s="116">
        <v>3124.65</v>
      </c>
      <c r="R1918">
        <v>162047</v>
      </c>
    </row>
    <row r="1919" spans="1:18" x14ac:dyDescent="0.25">
      <c r="A1919" s="170">
        <v>44830</v>
      </c>
      <c r="B1919" s="116">
        <v>3118</v>
      </c>
      <c r="C1919" s="116">
        <v>3003.65</v>
      </c>
      <c r="D1919" s="116">
        <v>2968</v>
      </c>
      <c r="E1919" s="116">
        <v>3100.65</v>
      </c>
      <c r="F1919" s="116">
        <v>3003.65</v>
      </c>
      <c r="G1919">
        <v>16591</v>
      </c>
      <c r="H1919" s="116"/>
      <c r="I1919" s="116"/>
      <c r="L1919" s="170">
        <v>44830</v>
      </c>
      <c r="M1919" s="116">
        <v>3002.2</v>
      </c>
      <c r="N1919" s="116">
        <v>3125.45</v>
      </c>
      <c r="O1919" s="116">
        <v>2966.05</v>
      </c>
      <c r="P1919" s="116">
        <v>3124</v>
      </c>
      <c r="Q1919" s="116">
        <v>3002.2</v>
      </c>
      <c r="R1919">
        <v>295539</v>
      </c>
    </row>
    <row r="1920" spans="1:18" x14ac:dyDescent="0.25">
      <c r="A1920" s="170">
        <v>44831</v>
      </c>
      <c r="B1920" s="116">
        <v>3048.55</v>
      </c>
      <c r="C1920" s="116">
        <v>3037.35</v>
      </c>
      <c r="D1920" s="116">
        <v>2967.75</v>
      </c>
      <c r="E1920" s="116">
        <v>3003.65</v>
      </c>
      <c r="F1920" s="116">
        <v>3037.35</v>
      </c>
      <c r="G1920">
        <v>13558</v>
      </c>
      <c r="H1920" s="116"/>
      <c r="I1920" s="116"/>
      <c r="L1920" s="170">
        <v>44831</v>
      </c>
      <c r="M1920" s="116">
        <v>3032.75</v>
      </c>
      <c r="N1920" s="116">
        <v>3050</v>
      </c>
      <c r="O1920" s="116">
        <v>2968</v>
      </c>
      <c r="P1920" s="116">
        <v>3001</v>
      </c>
      <c r="Q1920" s="116">
        <v>3032.75</v>
      </c>
      <c r="R1920">
        <v>398174</v>
      </c>
    </row>
    <row r="1921" spans="1:18" x14ac:dyDescent="0.25">
      <c r="A1921" s="170">
        <v>44832</v>
      </c>
      <c r="B1921" s="116">
        <v>3068.3</v>
      </c>
      <c r="C1921" s="116">
        <v>3008.5</v>
      </c>
      <c r="D1921" s="116">
        <v>2991</v>
      </c>
      <c r="E1921" s="116">
        <v>3006.05</v>
      </c>
      <c r="F1921" s="116">
        <v>3008.5</v>
      </c>
      <c r="G1921">
        <v>15691</v>
      </c>
      <c r="H1921" s="116"/>
      <c r="I1921" s="116"/>
      <c r="L1921" s="170">
        <v>44832</v>
      </c>
      <c r="M1921" s="116">
        <v>3009.7</v>
      </c>
      <c r="N1921" s="116">
        <v>3069.5</v>
      </c>
      <c r="O1921" s="116">
        <v>2991.6</v>
      </c>
      <c r="P1921" s="116">
        <v>3027</v>
      </c>
      <c r="Q1921" s="116">
        <v>3009.7</v>
      </c>
      <c r="R1921">
        <v>344491</v>
      </c>
    </row>
    <row r="1922" spans="1:18" x14ac:dyDescent="0.25">
      <c r="A1922" s="170">
        <v>44833</v>
      </c>
      <c r="B1922" s="116">
        <v>3041.95</v>
      </c>
      <c r="C1922" s="116">
        <v>2999</v>
      </c>
      <c r="D1922" s="116">
        <v>2974.2</v>
      </c>
      <c r="E1922" s="116">
        <v>3030.05</v>
      </c>
      <c r="F1922" s="116">
        <v>2999</v>
      </c>
      <c r="G1922">
        <v>7802</v>
      </c>
      <c r="H1922" s="116"/>
      <c r="I1922" s="116"/>
      <c r="L1922" s="170">
        <v>44833</v>
      </c>
      <c r="M1922" s="116">
        <v>2996.2</v>
      </c>
      <c r="N1922" s="116">
        <v>3050</v>
      </c>
      <c r="O1922" s="116">
        <v>2973</v>
      </c>
      <c r="P1922" s="116">
        <v>3050</v>
      </c>
      <c r="Q1922" s="116">
        <v>2996.2</v>
      </c>
      <c r="R1922">
        <v>291653</v>
      </c>
    </row>
    <row r="1923" spans="1:18" x14ac:dyDescent="0.25">
      <c r="A1923" s="170">
        <v>44834</v>
      </c>
      <c r="B1923" s="116">
        <v>3154.35</v>
      </c>
      <c r="C1923" s="116">
        <v>3090.4</v>
      </c>
      <c r="D1923" s="116">
        <v>2992.8</v>
      </c>
      <c r="E1923" s="116">
        <v>2999.05</v>
      </c>
      <c r="F1923" s="116">
        <v>3090.4</v>
      </c>
      <c r="G1923">
        <v>24071</v>
      </c>
      <c r="H1923" s="116"/>
      <c r="I1923" s="116"/>
      <c r="L1923" s="170">
        <v>44834</v>
      </c>
      <c r="M1923" s="116">
        <v>3088.4</v>
      </c>
      <c r="N1923" s="116">
        <v>3155</v>
      </c>
      <c r="O1923" s="116">
        <v>2992</v>
      </c>
      <c r="P1923" s="116">
        <v>3014.85</v>
      </c>
      <c r="Q1923" s="116">
        <v>3088.4</v>
      </c>
      <c r="R1923">
        <v>310742</v>
      </c>
    </row>
    <row r="1924" spans="1:18" x14ac:dyDescent="0.25">
      <c r="A1924" s="170">
        <v>44837</v>
      </c>
      <c r="B1924" s="116">
        <v>3125</v>
      </c>
      <c r="C1924" s="116">
        <v>2995.8</v>
      </c>
      <c r="D1924" s="116">
        <v>2983.3</v>
      </c>
      <c r="E1924" s="116">
        <v>3050.05</v>
      </c>
      <c r="F1924" s="116">
        <v>2995.8</v>
      </c>
      <c r="G1924">
        <v>16929</v>
      </c>
      <c r="H1924" s="116"/>
      <c r="I1924" s="116"/>
      <c r="L1924" s="170">
        <v>44837</v>
      </c>
      <c r="M1924" s="116">
        <v>2994.8</v>
      </c>
      <c r="N1924" s="116">
        <v>3125.1</v>
      </c>
      <c r="O1924" s="116">
        <v>2983.45</v>
      </c>
      <c r="P1924" s="116">
        <v>3074.75</v>
      </c>
      <c r="Q1924" s="116">
        <v>2994.8</v>
      </c>
      <c r="R1924">
        <v>388862</v>
      </c>
    </row>
    <row r="1925" spans="1:18" x14ac:dyDescent="0.25">
      <c r="A1925" s="170">
        <v>44838</v>
      </c>
      <c r="B1925" s="116">
        <v>3115.5</v>
      </c>
      <c r="C1925" s="116">
        <v>3082.5</v>
      </c>
      <c r="D1925" s="116">
        <v>3035</v>
      </c>
      <c r="E1925" s="116">
        <v>3039.85</v>
      </c>
      <c r="F1925" s="116">
        <v>3082.5</v>
      </c>
      <c r="G1925">
        <v>17266</v>
      </c>
      <c r="H1925" s="116"/>
      <c r="I1925" s="116"/>
      <c r="L1925" s="170">
        <v>44838</v>
      </c>
      <c r="M1925" s="116">
        <v>3080.8</v>
      </c>
      <c r="N1925" s="116">
        <v>3115</v>
      </c>
      <c r="O1925" s="116">
        <v>3040</v>
      </c>
      <c r="P1925" s="116">
        <v>3059.45</v>
      </c>
      <c r="Q1925" s="116">
        <v>3080.8</v>
      </c>
      <c r="R1925">
        <v>313948</v>
      </c>
    </row>
    <row r="1926" spans="1:18" x14ac:dyDescent="0.25">
      <c r="A1926" s="170">
        <v>44840</v>
      </c>
      <c r="B1926" s="116">
        <v>3235</v>
      </c>
      <c r="C1926" s="116">
        <v>3191.35</v>
      </c>
      <c r="D1926" s="116">
        <v>3088.35</v>
      </c>
      <c r="E1926" s="116">
        <v>3088.35</v>
      </c>
      <c r="F1926" s="116">
        <v>3191.35</v>
      </c>
      <c r="G1926">
        <v>22270</v>
      </c>
      <c r="H1926" s="116"/>
      <c r="I1926" s="116"/>
      <c r="L1926" s="170">
        <v>44840</v>
      </c>
      <c r="M1926" s="116">
        <v>3188.85</v>
      </c>
      <c r="N1926" s="116">
        <v>3237.3</v>
      </c>
      <c r="O1926" s="116">
        <v>3080.8</v>
      </c>
      <c r="P1926" s="116">
        <v>3108.75</v>
      </c>
      <c r="Q1926" s="116">
        <v>3188.85</v>
      </c>
      <c r="R1926">
        <v>507339</v>
      </c>
    </row>
    <row r="1927" spans="1:18" x14ac:dyDescent="0.25">
      <c r="A1927" s="170">
        <v>44841</v>
      </c>
      <c r="B1927" s="116">
        <v>3309</v>
      </c>
      <c r="C1927" s="116">
        <v>3295.25</v>
      </c>
      <c r="D1927" s="116">
        <v>3178.5</v>
      </c>
      <c r="E1927" s="116">
        <v>3186.5</v>
      </c>
      <c r="F1927" s="116">
        <v>3295.25</v>
      </c>
      <c r="G1927">
        <v>29084</v>
      </c>
      <c r="H1927" s="116"/>
      <c r="I1927" s="116"/>
      <c r="L1927" s="170">
        <v>44841</v>
      </c>
      <c r="M1927" s="116">
        <v>3296.1</v>
      </c>
      <c r="N1927" s="116">
        <v>3309.9</v>
      </c>
      <c r="O1927" s="116">
        <v>3177.7</v>
      </c>
      <c r="P1927" s="116">
        <v>3204</v>
      </c>
      <c r="Q1927" s="116">
        <v>3296.1</v>
      </c>
      <c r="R1927">
        <v>601549</v>
      </c>
    </row>
    <row r="1928" spans="1:18" x14ac:dyDescent="0.25">
      <c r="A1928" s="170">
        <v>44844</v>
      </c>
      <c r="B1928" s="116">
        <v>3275</v>
      </c>
      <c r="C1928" s="116">
        <v>3232.1</v>
      </c>
      <c r="D1928" s="116">
        <v>3209.5</v>
      </c>
      <c r="E1928" s="116">
        <v>3275</v>
      </c>
      <c r="F1928" s="116">
        <v>3232.1</v>
      </c>
      <c r="G1928">
        <v>4965</v>
      </c>
      <c r="H1928" s="116"/>
      <c r="I1928" s="116"/>
      <c r="L1928" s="170">
        <v>44844</v>
      </c>
      <c r="M1928" s="116">
        <v>3230.55</v>
      </c>
      <c r="N1928" s="116">
        <v>3281.95</v>
      </c>
      <c r="O1928" s="116">
        <v>3209.05</v>
      </c>
      <c r="P1928" s="116">
        <v>3281.95</v>
      </c>
      <c r="Q1928" s="116">
        <v>3230.55</v>
      </c>
      <c r="R1928">
        <v>204689</v>
      </c>
    </row>
    <row r="1929" spans="1:18" x14ac:dyDescent="0.25">
      <c r="A1929" s="170">
        <v>44845</v>
      </c>
      <c r="B1929" s="116">
        <v>3290</v>
      </c>
      <c r="C1929" s="116">
        <v>3193.45</v>
      </c>
      <c r="D1929" s="116">
        <v>3184.3</v>
      </c>
      <c r="E1929" s="116">
        <v>3239.8</v>
      </c>
      <c r="F1929" s="116">
        <v>3193.45</v>
      </c>
      <c r="G1929">
        <v>12307</v>
      </c>
      <c r="H1929" s="116"/>
      <c r="I1929" s="116"/>
      <c r="L1929" s="170">
        <v>44845</v>
      </c>
      <c r="M1929" s="116">
        <v>3197.05</v>
      </c>
      <c r="N1929" s="116">
        <v>3291</v>
      </c>
      <c r="O1929" s="116">
        <v>3185</v>
      </c>
      <c r="P1929" s="116">
        <v>3239</v>
      </c>
      <c r="Q1929" s="116">
        <v>3197.05</v>
      </c>
      <c r="R1929">
        <v>294944</v>
      </c>
    </row>
    <row r="1930" spans="1:18" x14ac:dyDescent="0.25">
      <c r="A1930" s="170">
        <v>44846</v>
      </c>
      <c r="B1930" s="116">
        <v>3257.8</v>
      </c>
      <c r="C1930" s="116">
        <v>3247.4</v>
      </c>
      <c r="D1930" s="116">
        <v>3175.15</v>
      </c>
      <c r="E1930" s="116">
        <v>3200.05</v>
      </c>
      <c r="F1930" s="116">
        <v>3247.4</v>
      </c>
      <c r="G1930">
        <v>8787</v>
      </c>
      <c r="H1930" s="116"/>
      <c r="I1930" s="116"/>
      <c r="L1930" s="170">
        <v>44846</v>
      </c>
      <c r="M1930" s="116">
        <v>3247.5</v>
      </c>
      <c r="N1930" s="116">
        <v>3259.85</v>
      </c>
      <c r="O1930" s="116">
        <v>3173</v>
      </c>
      <c r="P1930" s="116">
        <v>3217</v>
      </c>
      <c r="Q1930" s="116">
        <v>3247.5</v>
      </c>
      <c r="R1930">
        <v>223256</v>
      </c>
    </row>
    <row r="1931" spans="1:18" x14ac:dyDescent="0.25">
      <c r="A1931" s="170">
        <v>44847</v>
      </c>
      <c r="B1931" s="116">
        <v>3304</v>
      </c>
      <c r="C1931" s="116">
        <v>3265.9</v>
      </c>
      <c r="D1931" s="116">
        <v>3240.45</v>
      </c>
      <c r="E1931" s="116">
        <v>3259.95</v>
      </c>
      <c r="F1931" s="116">
        <v>3265.9</v>
      </c>
      <c r="G1931">
        <v>12457</v>
      </c>
      <c r="H1931" s="116"/>
      <c r="I1931" s="116"/>
      <c r="L1931" s="170">
        <v>44847</v>
      </c>
      <c r="M1931" s="116">
        <v>3265.85</v>
      </c>
      <c r="N1931" s="116">
        <v>3306.7</v>
      </c>
      <c r="O1931" s="116">
        <v>3238.2</v>
      </c>
      <c r="P1931" s="116">
        <v>3259</v>
      </c>
      <c r="Q1931" s="116">
        <v>3265.85</v>
      </c>
      <c r="R1931">
        <v>393950</v>
      </c>
    </row>
    <row r="1932" spans="1:18" x14ac:dyDescent="0.25">
      <c r="A1932" s="170">
        <v>44848</v>
      </c>
      <c r="B1932" s="116">
        <v>3328</v>
      </c>
      <c r="C1932" s="116">
        <v>3196.9</v>
      </c>
      <c r="D1932" s="116">
        <v>3175.3</v>
      </c>
      <c r="E1932" s="116">
        <v>3303</v>
      </c>
      <c r="F1932" s="116">
        <v>3196.9</v>
      </c>
      <c r="G1932">
        <v>14179</v>
      </c>
      <c r="H1932" s="116"/>
      <c r="I1932" s="116"/>
      <c r="L1932" s="170">
        <v>44848</v>
      </c>
      <c r="M1932" s="116">
        <v>3194.3</v>
      </c>
      <c r="N1932" s="116">
        <v>3335</v>
      </c>
      <c r="O1932" s="116">
        <v>3175</v>
      </c>
      <c r="P1932" s="116">
        <v>3312</v>
      </c>
      <c r="Q1932" s="116">
        <v>3194.3</v>
      </c>
      <c r="R1932">
        <v>307787</v>
      </c>
    </row>
    <row r="1933" spans="1:18" x14ac:dyDescent="0.25">
      <c r="A1933" s="170">
        <v>44851</v>
      </c>
      <c r="B1933" s="116">
        <v>3229.1</v>
      </c>
      <c r="C1933" s="116">
        <v>3196.95</v>
      </c>
      <c r="D1933" s="116">
        <v>3153.15</v>
      </c>
      <c r="E1933" s="116">
        <v>3191.05</v>
      </c>
      <c r="F1933" s="116">
        <v>3196.95</v>
      </c>
      <c r="G1933">
        <v>7303</v>
      </c>
      <c r="H1933" s="116"/>
      <c r="I1933" s="116"/>
      <c r="L1933" s="170">
        <v>44851</v>
      </c>
      <c r="M1933" s="116">
        <v>3196.55</v>
      </c>
      <c r="N1933" s="116">
        <v>3231.75</v>
      </c>
      <c r="O1933" s="116">
        <v>3153.3</v>
      </c>
      <c r="P1933" s="116">
        <v>3190.05</v>
      </c>
      <c r="Q1933" s="116">
        <v>3196.55</v>
      </c>
      <c r="R1933">
        <v>303859</v>
      </c>
    </row>
    <row r="1934" spans="1:18" x14ac:dyDescent="0.25">
      <c r="A1934" s="170">
        <v>44852</v>
      </c>
      <c r="B1934" s="116">
        <v>3273.05</v>
      </c>
      <c r="C1934" s="116">
        <v>3210</v>
      </c>
      <c r="D1934" s="116">
        <v>3186.8</v>
      </c>
      <c r="E1934" s="116">
        <v>3242.95</v>
      </c>
      <c r="F1934" s="116">
        <v>3210</v>
      </c>
      <c r="G1934">
        <v>8266</v>
      </c>
      <c r="H1934" s="116"/>
      <c r="I1934" s="116"/>
      <c r="L1934" s="170">
        <v>44852</v>
      </c>
      <c r="M1934" s="116">
        <v>3211.6</v>
      </c>
      <c r="N1934" s="116">
        <v>3273.9</v>
      </c>
      <c r="O1934" s="116">
        <v>3185.6</v>
      </c>
      <c r="P1934" s="116">
        <v>3230</v>
      </c>
      <c r="Q1934" s="116">
        <v>3211.6</v>
      </c>
      <c r="R1934">
        <v>210090</v>
      </c>
    </row>
    <row r="1935" spans="1:18" x14ac:dyDescent="0.25">
      <c r="A1935" s="170">
        <v>44853</v>
      </c>
      <c r="B1935" s="116">
        <v>3246.9</v>
      </c>
      <c r="C1935" s="116">
        <v>3238.1</v>
      </c>
      <c r="D1935" s="116">
        <v>3203</v>
      </c>
      <c r="E1935" s="116">
        <v>3232</v>
      </c>
      <c r="F1935" s="116">
        <v>3238.1</v>
      </c>
      <c r="G1935">
        <v>4174</v>
      </c>
      <c r="H1935" s="116"/>
      <c r="I1935" s="116"/>
      <c r="L1935" s="170">
        <v>44853</v>
      </c>
      <c r="M1935" s="116">
        <v>3238.3</v>
      </c>
      <c r="N1935" s="116">
        <v>3248.7</v>
      </c>
      <c r="O1935" s="116">
        <v>3203.15</v>
      </c>
      <c r="P1935" s="116">
        <v>3227</v>
      </c>
      <c r="Q1935" s="116">
        <v>3238.3</v>
      </c>
      <c r="R1935">
        <v>263584</v>
      </c>
    </row>
    <row r="1936" spans="1:18" x14ac:dyDescent="0.25">
      <c r="A1936" s="170">
        <v>44854</v>
      </c>
      <c r="B1936" s="116">
        <v>3233.3</v>
      </c>
      <c r="C1936" s="116">
        <v>3133.45</v>
      </c>
      <c r="D1936" s="116">
        <v>3074.85</v>
      </c>
      <c r="E1936" s="116">
        <v>3228.1</v>
      </c>
      <c r="F1936" s="116">
        <v>3133.45</v>
      </c>
      <c r="G1936">
        <v>13385</v>
      </c>
      <c r="H1936" s="116"/>
      <c r="I1936" s="116"/>
      <c r="L1936" s="170">
        <v>44854</v>
      </c>
      <c r="M1936" s="116">
        <v>3132.8</v>
      </c>
      <c r="N1936" s="116">
        <v>3235</v>
      </c>
      <c r="O1936" s="116">
        <v>3070.5</v>
      </c>
      <c r="P1936" s="116">
        <v>3235</v>
      </c>
      <c r="Q1936" s="116">
        <v>3132.8</v>
      </c>
      <c r="R1936">
        <v>438628</v>
      </c>
    </row>
    <row r="1937" spans="1:18" x14ac:dyDescent="0.25">
      <c r="A1937" s="170">
        <v>44855</v>
      </c>
      <c r="B1937" s="116">
        <v>3173.95</v>
      </c>
      <c r="C1937" s="116">
        <v>3037.55</v>
      </c>
      <c r="D1937" s="116">
        <v>3019.1</v>
      </c>
      <c r="E1937" s="116">
        <v>3152.5</v>
      </c>
      <c r="F1937" s="116">
        <v>3037.55</v>
      </c>
      <c r="G1937">
        <v>18055</v>
      </c>
      <c r="H1937" s="116"/>
      <c r="I1937" s="116"/>
      <c r="L1937" s="170">
        <v>44855</v>
      </c>
      <c r="M1937" s="116">
        <v>3041.25</v>
      </c>
      <c r="N1937" s="116">
        <v>3175.35</v>
      </c>
      <c r="O1937" s="116">
        <v>3020</v>
      </c>
      <c r="P1937" s="116">
        <v>3145.55</v>
      </c>
      <c r="Q1937" s="116">
        <v>3041.25</v>
      </c>
      <c r="R1937">
        <v>364038</v>
      </c>
    </row>
    <row r="1938" spans="1:18" x14ac:dyDescent="0.25">
      <c r="A1938" s="170">
        <v>44858</v>
      </c>
      <c r="B1938" s="116">
        <v>3084.9</v>
      </c>
      <c r="C1938" s="116">
        <v>3052.9</v>
      </c>
      <c r="D1938" s="116">
        <v>3044.8</v>
      </c>
      <c r="E1938" s="116">
        <v>3084.9</v>
      </c>
      <c r="F1938" s="116">
        <v>3052.9</v>
      </c>
      <c r="G1938">
        <v>706</v>
      </c>
      <c r="H1938" s="116"/>
      <c r="I1938" s="116"/>
      <c r="L1938" s="170">
        <v>44858</v>
      </c>
      <c r="M1938" s="116">
        <v>3052.8</v>
      </c>
      <c r="N1938" s="116">
        <v>3076.9</v>
      </c>
      <c r="O1938" s="116">
        <v>3046.8</v>
      </c>
      <c r="P1938" s="116">
        <v>3060</v>
      </c>
      <c r="Q1938" s="116">
        <v>3052.8</v>
      </c>
      <c r="R1938">
        <v>16594</v>
      </c>
    </row>
    <row r="1939" spans="1:18" x14ac:dyDescent="0.25">
      <c r="A1939" s="170">
        <v>44859</v>
      </c>
      <c r="B1939" s="116">
        <v>3084.95</v>
      </c>
      <c r="C1939" s="116">
        <v>3054.9</v>
      </c>
      <c r="D1939" s="116">
        <v>3020.35</v>
      </c>
      <c r="E1939" s="116">
        <v>3067.9</v>
      </c>
      <c r="F1939" s="116">
        <v>3054.9</v>
      </c>
      <c r="G1939">
        <v>7996</v>
      </c>
      <c r="H1939" s="116"/>
      <c r="I1939" s="116"/>
      <c r="L1939" s="170">
        <v>44859</v>
      </c>
      <c r="M1939" s="116">
        <v>3055.25</v>
      </c>
      <c r="N1939" s="116">
        <v>3086.25</v>
      </c>
      <c r="O1939" s="116">
        <v>3020.6</v>
      </c>
      <c r="P1939" s="116">
        <v>3074.95</v>
      </c>
      <c r="Q1939" s="116">
        <v>3055.25</v>
      </c>
      <c r="R1939">
        <v>263091</v>
      </c>
    </row>
    <row r="1940" spans="1:18" x14ac:dyDescent="0.25">
      <c r="A1940" s="170">
        <v>44861</v>
      </c>
      <c r="B1940" s="116">
        <v>3080</v>
      </c>
      <c r="C1940" s="116">
        <v>3039.05</v>
      </c>
      <c r="D1940" s="116">
        <v>3006.65</v>
      </c>
      <c r="E1940" s="116">
        <v>3060.45</v>
      </c>
      <c r="F1940" s="116">
        <v>3039.05</v>
      </c>
      <c r="G1940">
        <v>4184</v>
      </c>
      <c r="H1940" s="116"/>
      <c r="I1940" s="116"/>
      <c r="L1940" s="170">
        <v>44861</v>
      </c>
      <c r="M1940" s="116">
        <v>3039.4</v>
      </c>
      <c r="N1940" s="116">
        <v>3078</v>
      </c>
      <c r="O1940" s="116">
        <v>3006.15</v>
      </c>
      <c r="P1940" s="116">
        <v>3074</v>
      </c>
      <c r="Q1940" s="116">
        <v>3039.4</v>
      </c>
      <c r="R1940">
        <v>250705</v>
      </c>
    </row>
    <row r="1941" spans="1:18" x14ac:dyDescent="0.25">
      <c r="A1941" s="170">
        <v>44862</v>
      </c>
      <c r="B1941" s="116">
        <v>3027.7</v>
      </c>
      <c r="C1941" s="116">
        <v>2961.55</v>
      </c>
      <c r="D1941" s="116">
        <v>2945.3</v>
      </c>
      <c r="E1941" s="116">
        <v>3027.7</v>
      </c>
      <c r="F1941" s="116">
        <v>2961.55</v>
      </c>
      <c r="G1941">
        <v>9887</v>
      </c>
      <c r="H1941" s="116"/>
      <c r="I1941" s="116"/>
      <c r="L1941" s="170">
        <v>44862</v>
      </c>
      <c r="M1941" s="116">
        <v>2962.1</v>
      </c>
      <c r="N1941" s="116">
        <v>3035</v>
      </c>
      <c r="O1941" s="116">
        <v>2945</v>
      </c>
      <c r="P1941" s="116">
        <v>3035</v>
      </c>
      <c r="Q1941" s="116">
        <v>2962.1</v>
      </c>
      <c r="R1941">
        <v>336034</v>
      </c>
    </row>
    <row r="1942" spans="1:18" x14ac:dyDescent="0.25">
      <c r="A1942" s="170">
        <v>44865</v>
      </c>
      <c r="B1942" s="116">
        <v>3060.3</v>
      </c>
      <c r="C1942" s="116">
        <v>3047.5</v>
      </c>
      <c r="D1942" s="116">
        <v>2961.1</v>
      </c>
      <c r="E1942" s="116">
        <v>2969</v>
      </c>
      <c r="F1942" s="116">
        <v>3047.5</v>
      </c>
      <c r="G1942">
        <v>10740</v>
      </c>
      <c r="H1942" s="116"/>
      <c r="I1942" s="116"/>
      <c r="L1942" s="170">
        <v>44865</v>
      </c>
      <c r="M1942" s="116">
        <v>3049.75</v>
      </c>
      <c r="N1942" s="116">
        <v>3061.85</v>
      </c>
      <c r="O1942" s="116">
        <v>2961.6</v>
      </c>
      <c r="P1942" s="116">
        <v>2962</v>
      </c>
      <c r="Q1942" s="116">
        <v>3049.75</v>
      </c>
      <c r="R1942">
        <v>319759</v>
      </c>
    </row>
    <row r="1943" spans="1:18" x14ac:dyDescent="0.25">
      <c r="A1943" s="170">
        <v>44866</v>
      </c>
      <c r="B1943" s="116">
        <v>3192.75</v>
      </c>
      <c r="C1943" s="116">
        <v>3153.55</v>
      </c>
      <c r="D1943" s="116">
        <v>3056.15</v>
      </c>
      <c r="E1943" s="116">
        <v>3056.15</v>
      </c>
      <c r="F1943" s="116">
        <v>3153.55</v>
      </c>
      <c r="G1943">
        <v>12599</v>
      </c>
      <c r="H1943" s="116"/>
      <c r="I1943" s="116"/>
      <c r="L1943" s="170">
        <v>44866</v>
      </c>
      <c r="M1943" s="116">
        <v>3152.15</v>
      </c>
      <c r="N1943" s="116">
        <v>3194.2</v>
      </c>
      <c r="O1943" s="116">
        <v>3060</v>
      </c>
      <c r="P1943" s="116">
        <v>3072.45</v>
      </c>
      <c r="Q1943" s="116">
        <v>3152.15</v>
      </c>
      <c r="R1943">
        <v>504156</v>
      </c>
    </row>
    <row r="1944" spans="1:18" x14ac:dyDescent="0.25">
      <c r="A1944" s="170">
        <v>44867</v>
      </c>
      <c r="B1944" s="116">
        <v>3186</v>
      </c>
      <c r="C1944" s="116">
        <v>3170.8</v>
      </c>
      <c r="D1944" s="116">
        <v>3136.55</v>
      </c>
      <c r="E1944" s="116">
        <v>3140</v>
      </c>
      <c r="F1944" s="116">
        <v>3170.8</v>
      </c>
      <c r="G1944">
        <v>9613</v>
      </c>
      <c r="H1944" s="116"/>
      <c r="I1944" s="116"/>
      <c r="L1944" s="170">
        <v>44867</v>
      </c>
      <c r="M1944" s="116">
        <v>3170.85</v>
      </c>
      <c r="N1944" s="116">
        <v>3185</v>
      </c>
      <c r="O1944" s="116">
        <v>3136.95</v>
      </c>
      <c r="P1944" s="116">
        <v>3161</v>
      </c>
      <c r="Q1944" s="116">
        <v>3170.85</v>
      </c>
      <c r="R1944">
        <v>199216</v>
      </c>
    </row>
    <row r="1945" spans="1:18" x14ac:dyDescent="0.25">
      <c r="A1945" s="170">
        <v>44868</v>
      </c>
      <c r="B1945" s="116">
        <v>3288.5</v>
      </c>
      <c r="C1945" s="116">
        <v>3224.25</v>
      </c>
      <c r="D1945" s="116">
        <v>3145</v>
      </c>
      <c r="E1945" s="116">
        <v>3160</v>
      </c>
      <c r="F1945" s="116">
        <v>3224.25</v>
      </c>
      <c r="G1945">
        <v>6885</v>
      </c>
      <c r="H1945" s="116"/>
      <c r="I1945" s="116"/>
      <c r="L1945" s="170">
        <v>44868</v>
      </c>
      <c r="M1945" s="116">
        <v>3225.25</v>
      </c>
      <c r="N1945" s="116">
        <v>3288.2</v>
      </c>
      <c r="O1945" s="116">
        <v>3135.1</v>
      </c>
      <c r="P1945" s="116">
        <v>3159.15</v>
      </c>
      <c r="Q1945" s="116">
        <v>3225.25</v>
      </c>
      <c r="R1945">
        <v>362379</v>
      </c>
    </row>
    <row r="1946" spans="1:18" x14ac:dyDescent="0.25">
      <c r="A1946" s="170">
        <v>44869</v>
      </c>
      <c r="B1946" s="116">
        <v>3265.3</v>
      </c>
      <c r="C1946" s="116">
        <v>3218.65</v>
      </c>
      <c r="D1946" s="116">
        <v>3203</v>
      </c>
      <c r="E1946" s="116">
        <v>3238</v>
      </c>
      <c r="F1946" s="116">
        <v>3218.65</v>
      </c>
      <c r="G1946">
        <v>7555</v>
      </c>
      <c r="H1946" s="116"/>
      <c r="I1946" s="116"/>
      <c r="L1946" s="170">
        <v>44869</v>
      </c>
      <c r="M1946" s="116">
        <v>3219.9</v>
      </c>
      <c r="N1946" s="116">
        <v>3267.5</v>
      </c>
      <c r="O1946" s="116">
        <v>3201</v>
      </c>
      <c r="P1946" s="116">
        <v>3235</v>
      </c>
      <c r="Q1946" s="116">
        <v>3219.9</v>
      </c>
      <c r="R1946">
        <v>226208</v>
      </c>
    </row>
    <row r="1947" spans="1:18" x14ac:dyDescent="0.25">
      <c r="A1947" s="170">
        <v>44872</v>
      </c>
      <c r="B1947" s="116">
        <v>3281.65</v>
      </c>
      <c r="C1947" s="116">
        <v>3263.8</v>
      </c>
      <c r="D1947" s="116">
        <v>3210.05</v>
      </c>
      <c r="E1947" s="116">
        <v>3269.5</v>
      </c>
      <c r="F1947" s="116">
        <v>3263.8</v>
      </c>
      <c r="G1947">
        <v>7615</v>
      </c>
      <c r="H1947" s="116"/>
      <c r="I1947" s="116"/>
      <c r="L1947" s="170">
        <v>44872</v>
      </c>
      <c r="M1947" s="116">
        <v>3262.35</v>
      </c>
      <c r="N1947" s="116">
        <v>3283</v>
      </c>
      <c r="O1947" s="116">
        <v>3208</v>
      </c>
      <c r="P1947" s="116">
        <v>3240</v>
      </c>
      <c r="Q1947" s="116">
        <v>3262.35</v>
      </c>
      <c r="R1947">
        <v>289197</v>
      </c>
    </row>
    <row r="1948" spans="1:18" x14ac:dyDescent="0.25">
      <c r="A1948" s="170">
        <v>44874</v>
      </c>
      <c r="B1948" s="116">
        <v>3288.3</v>
      </c>
      <c r="C1948" s="116">
        <v>3106.45</v>
      </c>
      <c r="D1948" s="116">
        <v>3090</v>
      </c>
      <c r="E1948" s="116">
        <v>3265.2</v>
      </c>
      <c r="F1948" s="116">
        <v>3106.45</v>
      </c>
      <c r="G1948">
        <v>13625</v>
      </c>
      <c r="H1948" s="116"/>
      <c r="I1948" s="116"/>
      <c r="L1948" s="170">
        <v>44874</v>
      </c>
      <c r="M1948" s="116">
        <v>3103.9</v>
      </c>
      <c r="N1948" s="116">
        <v>3292</v>
      </c>
      <c r="O1948" s="116">
        <v>3090</v>
      </c>
      <c r="P1948" s="116">
        <v>3292</v>
      </c>
      <c r="Q1948" s="116">
        <v>3103.9</v>
      </c>
      <c r="R1948">
        <v>251189</v>
      </c>
    </row>
    <row r="1949" spans="1:18" x14ac:dyDescent="0.25">
      <c r="A1949" s="170">
        <v>44875</v>
      </c>
      <c r="B1949" s="116">
        <v>3239</v>
      </c>
      <c r="C1949" s="116">
        <v>3166.2</v>
      </c>
      <c r="D1949" s="116">
        <v>3049.25</v>
      </c>
      <c r="E1949" s="116">
        <v>3100</v>
      </c>
      <c r="F1949" s="116">
        <v>3166.2</v>
      </c>
      <c r="G1949">
        <v>26000</v>
      </c>
      <c r="H1949" s="116"/>
      <c r="I1949" s="116"/>
      <c r="L1949" s="170">
        <v>44875</v>
      </c>
      <c r="M1949" s="116">
        <v>3166.9</v>
      </c>
      <c r="N1949" s="116">
        <v>3240</v>
      </c>
      <c r="O1949" s="116">
        <v>3054.5</v>
      </c>
      <c r="P1949" s="116">
        <v>3103.9</v>
      </c>
      <c r="Q1949" s="116">
        <v>3166.9</v>
      </c>
      <c r="R1949">
        <v>507653</v>
      </c>
    </row>
    <row r="1950" spans="1:18" x14ac:dyDescent="0.25">
      <c r="A1950" s="170">
        <v>44876</v>
      </c>
      <c r="B1950" s="116">
        <v>3220</v>
      </c>
      <c r="C1950" s="116">
        <v>3155.4</v>
      </c>
      <c r="D1950" s="116">
        <v>3105.3</v>
      </c>
      <c r="E1950" s="116">
        <v>3200</v>
      </c>
      <c r="F1950" s="116">
        <v>3155.4</v>
      </c>
      <c r="G1950">
        <v>13652</v>
      </c>
      <c r="H1950" s="116"/>
      <c r="I1950" s="116"/>
      <c r="L1950" s="170">
        <v>44876</v>
      </c>
      <c r="M1950" s="116">
        <v>3155.85</v>
      </c>
      <c r="N1950" s="116">
        <v>3222</v>
      </c>
      <c r="O1950" s="116">
        <v>3105.1</v>
      </c>
      <c r="P1950" s="116">
        <v>3200</v>
      </c>
      <c r="Q1950" s="116">
        <v>3155.85</v>
      </c>
      <c r="R1950">
        <v>692497</v>
      </c>
    </row>
    <row r="1951" spans="1:18" x14ac:dyDescent="0.25">
      <c r="A1951" s="170">
        <v>44879</v>
      </c>
      <c r="B1951" s="116">
        <v>3212.1</v>
      </c>
      <c r="C1951" s="116">
        <v>3022.55</v>
      </c>
      <c r="D1951" s="116">
        <v>3011</v>
      </c>
      <c r="E1951" s="116">
        <v>3155.4</v>
      </c>
      <c r="F1951" s="116">
        <v>3022.55</v>
      </c>
      <c r="G1951">
        <v>15938</v>
      </c>
      <c r="H1951" s="116"/>
      <c r="I1951" s="116"/>
      <c r="L1951" s="170">
        <v>44879</v>
      </c>
      <c r="M1951" s="116">
        <v>3025.2</v>
      </c>
      <c r="N1951" s="116">
        <v>3213.55</v>
      </c>
      <c r="O1951" s="116">
        <v>3011.1</v>
      </c>
      <c r="P1951" s="116">
        <v>3156</v>
      </c>
      <c r="Q1951" s="116">
        <v>3025.2</v>
      </c>
      <c r="R1951">
        <v>560133</v>
      </c>
    </row>
    <row r="1952" spans="1:18" x14ac:dyDescent="0.25">
      <c r="A1952" s="170">
        <v>44880</v>
      </c>
      <c r="B1952" s="116">
        <v>3075.15</v>
      </c>
      <c r="C1952" s="116">
        <v>3026.15</v>
      </c>
      <c r="D1952" s="116">
        <v>3014.9</v>
      </c>
      <c r="E1952" s="116">
        <v>3033.65</v>
      </c>
      <c r="F1952" s="116">
        <v>3026.15</v>
      </c>
      <c r="G1952">
        <v>8297</v>
      </c>
      <c r="H1952" s="116"/>
      <c r="I1952" s="116"/>
      <c r="L1952" s="170">
        <v>44880</v>
      </c>
      <c r="M1952" s="116">
        <v>3027.85</v>
      </c>
      <c r="N1952" s="116">
        <v>3080</v>
      </c>
      <c r="O1952" s="116">
        <v>3014.4</v>
      </c>
      <c r="P1952" s="116">
        <v>3027</v>
      </c>
      <c r="Q1952" s="116">
        <v>3027.85</v>
      </c>
      <c r="R1952">
        <v>383627</v>
      </c>
    </row>
    <row r="1953" spans="1:18" x14ac:dyDescent="0.25">
      <c r="A1953" s="170">
        <v>44881</v>
      </c>
      <c r="B1953" s="116">
        <v>3089.75</v>
      </c>
      <c r="C1953" s="116">
        <v>3033.1</v>
      </c>
      <c r="D1953" s="116">
        <v>3012.3</v>
      </c>
      <c r="E1953" s="116">
        <v>3039.85</v>
      </c>
      <c r="F1953" s="116">
        <v>3033.1</v>
      </c>
      <c r="G1953">
        <v>15589</v>
      </c>
      <c r="H1953" s="116"/>
      <c r="I1953" s="116"/>
      <c r="L1953" s="170">
        <v>44881</v>
      </c>
      <c r="M1953" s="116">
        <v>3035.65</v>
      </c>
      <c r="N1953" s="116">
        <v>3090</v>
      </c>
      <c r="O1953" s="116">
        <v>3012</v>
      </c>
      <c r="P1953" s="116">
        <v>3043.95</v>
      </c>
      <c r="Q1953" s="116">
        <v>3035.65</v>
      </c>
      <c r="R1953">
        <v>468068</v>
      </c>
    </row>
    <row r="1954" spans="1:18" x14ac:dyDescent="0.25">
      <c r="A1954" s="170">
        <v>44882</v>
      </c>
      <c r="B1954" s="116">
        <v>3134.1</v>
      </c>
      <c r="C1954" s="116">
        <v>3125.35</v>
      </c>
      <c r="D1954" s="116">
        <v>3016.6</v>
      </c>
      <c r="E1954" s="116">
        <v>3033.1</v>
      </c>
      <c r="F1954" s="116">
        <v>3125.35</v>
      </c>
      <c r="G1954">
        <v>12908</v>
      </c>
      <c r="H1954" s="116"/>
      <c r="I1954" s="116"/>
      <c r="L1954" s="170">
        <v>44882</v>
      </c>
      <c r="M1954" s="116">
        <v>3122.2</v>
      </c>
      <c r="N1954" s="116">
        <v>3135</v>
      </c>
      <c r="O1954" s="116">
        <v>3013.9</v>
      </c>
      <c r="P1954" s="116">
        <v>3030</v>
      </c>
      <c r="Q1954" s="116">
        <v>3122.2</v>
      </c>
      <c r="R1954">
        <v>632485</v>
      </c>
    </row>
    <row r="1955" spans="1:18" x14ac:dyDescent="0.25">
      <c r="A1955" s="170">
        <v>44883</v>
      </c>
      <c r="B1955" s="116">
        <v>3158.05</v>
      </c>
      <c r="C1955" s="116">
        <v>3091.05</v>
      </c>
      <c r="D1955" s="116">
        <v>3064.3</v>
      </c>
      <c r="E1955" s="116">
        <v>3106.1</v>
      </c>
      <c r="F1955" s="116">
        <v>3091.05</v>
      </c>
      <c r="G1955">
        <v>10317</v>
      </c>
      <c r="H1955" s="116"/>
      <c r="I1955" s="116"/>
      <c r="L1955" s="170">
        <v>44883</v>
      </c>
      <c r="M1955" s="116">
        <v>3092.65</v>
      </c>
      <c r="N1955" s="116">
        <v>3158.25</v>
      </c>
      <c r="O1955" s="116">
        <v>3062.75</v>
      </c>
      <c r="P1955" s="116">
        <v>3125</v>
      </c>
      <c r="Q1955" s="116">
        <v>3092.65</v>
      </c>
      <c r="R1955">
        <v>485570</v>
      </c>
    </row>
    <row r="1956" spans="1:18" x14ac:dyDescent="0.25">
      <c r="A1956" s="170">
        <v>44886</v>
      </c>
      <c r="B1956" s="116">
        <v>3119.8</v>
      </c>
      <c r="C1956" s="116">
        <v>3084.1</v>
      </c>
      <c r="D1956" s="116">
        <v>3056.05</v>
      </c>
      <c r="E1956" s="116">
        <v>3100</v>
      </c>
      <c r="F1956" s="116">
        <v>3084.1</v>
      </c>
      <c r="G1956">
        <v>6364</v>
      </c>
      <c r="H1956" s="116"/>
      <c r="I1956" s="116"/>
      <c r="L1956" s="170">
        <v>44886</v>
      </c>
      <c r="M1956" s="116">
        <v>3082.95</v>
      </c>
      <c r="N1956" s="116">
        <v>3120</v>
      </c>
      <c r="O1956" s="116">
        <v>3055</v>
      </c>
      <c r="P1956" s="116">
        <v>3098</v>
      </c>
      <c r="Q1956" s="116">
        <v>3082.95</v>
      </c>
      <c r="R1956">
        <v>374330</v>
      </c>
    </row>
    <row r="1957" spans="1:18" x14ac:dyDescent="0.25">
      <c r="A1957" s="170">
        <v>44887</v>
      </c>
      <c r="B1957" s="116">
        <v>3112</v>
      </c>
      <c r="C1957" s="116">
        <v>3058.65</v>
      </c>
      <c r="D1957" s="116">
        <v>3045</v>
      </c>
      <c r="E1957" s="116">
        <v>3095</v>
      </c>
      <c r="F1957" s="116">
        <v>3058.65</v>
      </c>
      <c r="G1957">
        <v>8836</v>
      </c>
      <c r="H1957" s="116"/>
      <c r="I1957" s="116"/>
      <c r="L1957" s="170">
        <v>44887</v>
      </c>
      <c r="M1957" s="116">
        <v>3059.45</v>
      </c>
      <c r="N1957" s="116">
        <v>3115.5</v>
      </c>
      <c r="O1957" s="116">
        <v>3043.05</v>
      </c>
      <c r="P1957" s="116">
        <v>3089</v>
      </c>
      <c r="Q1957" s="116">
        <v>3059.45</v>
      </c>
      <c r="R1957">
        <v>318799</v>
      </c>
    </row>
    <row r="1958" spans="1:18" x14ac:dyDescent="0.25">
      <c r="A1958" s="170">
        <v>44888</v>
      </c>
      <c r="B1958" s="116">
        <v>3108</v>
      </c>
      <c r="C1958" s="116">
        <v>3098.25</v>
      </c>
      <c r="D1958" s="116">
        <v>3057</v>
      </c>
      <c r="E1958" s="116">
        <v>3068</v>
      </c>
      <c r="F1958" s="116">
        <v>3098.25</v>
      </c>
      <c r="G1958">
        <v>4865</v>
      </c>
      <c r="H1958" s="116"/>
      <c r="I1958" s="116"/>
      <c r="L1958" s="170">
        <v>44888</v>
      </c>
      <c r="M1958" s="116">
        <v>3099.3</v>
      </c>
      <c r="N1958" s="116">
        <v>3108.85</v>
      </c>
      <c r="O1958" s="116">
        <v>3056.4</v>
      </c>
      <c r="P1958" s="116">
        <v>3071</v>
      </c>
      <c r="Q1958" s="116">
        <v>3099.3</v>
      </c>
      <c r="R1958">
        <v>331230</v>
      </c>
    </row>
    <row r="1959" spans="1:18" x14ac:dyDescent="0.25">
      <c r="A1959" s="170">
        <v>44889</v>
      </c>
      <c r="B1959" s="116">
        <v>3170</v>
      </c>
      <c r="C1959" s="116">
        <v>3123.7</v>
      </c>
      <c r="D1959" s="116">
        <v>3102</v>
      </c>
      <c r="E1959" s="116">
        <v>3106</v>
      </c>
      <c r="F1959" s="116">
        <v>3123.7</v>
      </c>
      <c r="G1959">
        <v>6973</v>
      </c>
      <c r="H1959" s="116"/>
      <c r="I1959" s="116"/>
      <c r="L1959" s="170">
        <v>44889</v>
      </c>
      <c r="M1959" s="116">
        <v>3124.95</v>
      </c>
      <c r="N1959" s="116">
        <v>3170</v>
      </c>
      <c r="O1959" s="116">
        <v>3101.05</v>
      </c>
      <c r="P1959" s="116">
        <v>3114</v>
      </c>
      <c r="Q1959" s="116">
        <v>3124.95</v>
      </c>
      <c r="R1959">
        <v>549566</v>
      </c>
    </row>
    <row r="1960" spans="1:18" x14ac:dyDescent="0.25">
      <c r="A1960" s="170">
        <v>44890</v>
      </c>
      <c r="B1960" s="116">
        <v>3156</v>
      </c>
      <c r="C1960" s="116">
        <v>3089.7</v>
      </c>
      <c r="D1960" s="116">
        <v>3082.2</v>
      </c>
      <c r="E1960" s="116">
        <v>3122.5</v>
      </c>
      <c r="F1960" s="116">
        <v>3089.7</v>
      </c>
      <c r="G1960">
        <v>6873</v>
      </c>
      <c r="H1960" s="116"/>
      <c r="I1960" s="116"/>
      <c r="L1960" s="170">
        <v>44890</v>
      </c>
      <c r="M1960" s="116">
        <v>3090.85</v>
      </c>
      <c r="N1960" s="116">
        <v>3159</v>
      </c>
      <c r="O1960" s="116">
        <v>3080</v>
      </c>
      <c r="P1960" s="116">
        <v>3140.1</v>
      </c>
      <c r="Q1960" s="116">
        <v>3090.85</v>
      </c>
      <c r="R1960">
        <v>340177</v>
      </c>
    </row>
    <row r="1961" spans="1:18" x14ac:dyDescent="0.25">
      <c r="A1961" s="170">
        <v>44893</v>
      </c>
      <c r="B1961" s="116">
        <v>3130</v>
      </c>
      <c r="C1961" s="116">
        <v>3104.45</v>
      </c>
      <c r="D1961" s="116">
        <v>3087.45</v>
      </c>
      <c r="E1961" s="116">
        <v>3090</v>
      </c>
      <c r="F1961" s="116">
        <v>3104.45</v>
      </c>
      <c r="G1961">
        <v>14832</v>
      </c>
      <c r="H1961" s="116"/>
      <c r="I1961" s="116"/>
      <c r="L1961" s="170">
        <v>44893</v>
      </c>
      <c r="M1961" s="116">
        <v>3103.35</v>
      </c>
      <c r="N1961" s="116">
        <v>3131.9</v>
      </c>
      <c r="O1961" s="116">
        <v>3087.15</v>
      </c>
      <c r="P1961" s="116">
        <v>3100</v>
      </c>
      <c r="Q1961" s="116">
        <v>3103.35</v>
      </c>
      <c r="R1961">
        <v>321071</v>
      </c>
    </row>
    <row r="1962" spans="1:18" x14ac:dyDescent="0.25">
      <c r="A1962" s="170">
        <v>44894</v>
      </c>
      <c r="B1962" s="116">
        <v>3105</v>
      </c>
      <c r="C1962" s="116">
        <v>3014.25</v>
      </c>
      <c r="D1962" s="116">
        <v>3010</v>
      </c>
      <c r="E1962" s="116">
        <v>3104.3</v>
      </c>
      <c r="F1962" s="116">
        <v>3014.25</v>
      </c>
      <c r="G1962">
        <v>12521</v>
      </c>
      <c r="H1962" s="116"/>
      <c r="I1962" s="116"/>
      <c r="L1962" s="170">
        <v>44894</v>
      </c>
      <c r="M1962" s="116">
        <v>3015.2</v>
      </c>
      <c r="N1962" s="116">
        <v>3113.5</v>
      </c>
      <c r="O1962" s="116">
        <v>3010</v>
      </c>
      <c r="P1962" s="116">
        <v>3105</v>
      </c>
      <c r="Q1962" s="116">
        <v>3015.2</v>
      </c>
      <c r="R1962">
        <v>383945</v>
      </c>
    </row>
    <row r="1963" spans="1:18" x14ac:dyDescent="0.25">
      <c r="A1963" s="170">
        <v>44895</v>
      </c>
      <c r="B1963" s="116">
        <v>3075.75</v>
      </c>
      <c r="C1963" s="116">
        <v>2996.75</v>
      </c>
      <c r="D1963" s="116">
        <v>2978.6</v>
      </c>
      <c r="E1963" s="116">
        <v>3020</v>
      </c>
      <c r="F1963" s="116">
        <v>2996.75</v>
      </c>
      <c r="G1963">
        <v>35679</v>
      </c>
      <c r="H1963" s="116"/>
      <c r="I1963" s="116"/>
      <c r="L1963" s="170">
        <v>44895</v>
      </c>
      <c r="M1963" s="116">
        <v>3000.7</v>
      </c>
      <c r="N1963" s="116">
        <v>3074</v>
      </c>
      <c r="O1963" s="116">
        <v>2979</v>
      </c>
      <c r="P1963" s="116">
        <v>3021.9</v>
      </c>
      <c r="Q1963" s="116">
        <v>3000.7</v>
      </c>
      <c r="R1963">
        <v>6409415</v>
      </c>
    </row>
    <row r="1964" spans="1:18" x14ac:dyDescent="0.25">
      <c r="A1964" s="170">
        <v>44896</v>
      </c>
      <c r="B1964" s="116">
        <v>3028.2</v>
      </c>
      <c r="C1964" s="116">
        <v>2990.65</v>
      </c>
      <c r="D1964" s="116">
        <v>2980</v>
      </c>
      <c r="E1964" s="116">
        <v>3019.65</v>
      </c>
      <c r="F1964" s="116">
        <v>2990.65</v>
      </c>
      <c r="G1964">
        <v>8702</v>
      </c>
      <c r="H1964" s="116"/>
      <c r="I1964" s="116"/>
      <c r="L1964" s="170">
        <v>44896</v>
      </c>
      <c r="M1964" s="116">
        <v>2993.85</v>
      </c>
      <c r="N1964" s="116">
        <v>3030</v>
      </c>
      <c r="O1964" s="116">
        <v>2964.45</v>
      </c>
      <c r="P1964" s="116">
        <v>3009.95</v>
      </c>
      <c r="Q1964" s="116">
        <v>2993.85</v>
      </c>
      <c r="R1964">
        <v>499243</v>
      </c>
    </row>
    <row r="1965" spans="1:18" x14ac:dyDescent="0.25">
      <c r="A1965" s="170">
        <v>44897</v>
      </c>
      <c r="B1965" s="116">
        <v>3016.05</v>
      </c>
      <c r="C1965" s="116">
        <v>2977.3</v>
      </c>
      <c r="D1965" s="116">
        <v>2922.65</v>
      </c>
      <c r="E1965" s="116">
        <v>3016.05</v>
      </c>
      <c r="F1965" s="116">
        <v>2977.3</v>
      </c>
      <c r="G1965">
        <v>7137</v>
      </c>
      <c r="H1965" s="116"/>
      <c r="I1965" s="116"/>
      <c r="L1965" s="170">
        <v>44897</v>
      </c>
      <c r="M1965" s="116">
        <v>2978.1</v>
      </c>
      <c r="N1965" s="116">
        <v>3009</v>
      </c>
      <c r="O1965" s="116">
        <v>2922.2</v>
      </c>
      <c r="P1965" s="116">
        <v>2995.35</v>
      </c>
      <c r="Q1965" s="116">
        <v>2978.1</v>
      </c>
      <c r="R1965">
        <v>440688</v>
      </c>
    </row>
    <row r="1966" spans="1:18" x14ac:dyDescent="0.25">
      <c r="A1966" s="170">
        <v>44900</v>
      </c>
      <c r="B1966" s="116">
        <v>3000.4</v>
      </c>
      <c r="C1966" s="116">
        <v>2976.45</v>
      </c>
      <c r="D1966" s="116">
        <v>2947.15</v>
      </c>
      <c r="E1966" s="116">
        <v>2977.3</v>
      </c>
      <c r="F1966" s="116">
        <v>2976.45</v>
      </c>
      <c r="G1966">
        <v>5153</v>
      </c>
      <c r="H1966" s="116"/>
      <c r="I1966" s="116"/>
      <c r="L1966" s="170">
        <v>44900</v>
      </c>
      <c r="M1966" s="116">
        <v>2975.6</v>
      </c>
      <c r="N1966" s="116">
        <v>3001.95</v>
      </c>
      <c r="O1966" s="116">
        <v>2947</v>
      </c>
      <c r="P1966" s="116">
        <v>2975</v>
      </c>
      <c r="Q1966" s="116">
        <v>2975.6</v>
      </c>
      <c r="R1966">
        <v>216805</v>
      </c>
    </row>
    <row r="1967" spans="1:18" x14ac:dyDescent="0.25">
      <c r="A1967" s="170">
        <v>44901</v>
      </c>
      <c r="B1967" s="116">
        <v>2993.35</v>
      </c>
      <c r="C1967" s="116">
        <v>2944.35</v>
      </c>
      <c r="D1967" s="116">
        <v>2937.75</v>
      </c>
      <c r="E1967" s="116">
        <v>2974</v>
      </c>
      <c r="F1967" s="116">
        <v>2944.35</v>
      </c>
      <c r="G1967">
        <v>8373</v>
      </c>
      <c r="H1967" s="116"/>
      <c r="I1967" s="116"/>
      <c r="L1967" s="170">
        <v>44901</v>
      </c>
      <c r="M1967" s="116">
        <v>2944.1</v>
      </c>
      <c r="N1967" s="116">
        <v>2994.9</v>
      </c>
      <c r="O1967" s="116">
        <v>2936.7</v>
      </c>
      <c r="P1967" s="116">
        <v>2974.95</v>
      </c>
      <c r="Q1967" s="116">
        <v>2944.1</v>
      </c>
      <c r="R1967">
        <v>238124</v>
      </c>
    </row>
    <row r="1968" spans="1:18" x14ac:dyDescent="0.25">
      <c r="A1968" s="170">
        <v>44902</v>
      </c>
      <c r="B1968" s="116">
        <v>2995</v>
      </c>
      <c r="C1968" s="116">
        <v>2968.7</v>
      </c>
      <c r="D1968" s="116">
        <v>2915.65</v>
      </c>
      <c r="E1968" s="116">
        <v>2915.65</v>
      </c>
      <c r="F1968" s="116">
        <v>2968.7</v>
      </c>
      <c r="G1968">
        <v>18273</v>
      </c>
      <c r="H1968" s="116"/>
      <c r="I1968" s="116"/>
      <c r="L1968" s="170">
        <v>44902</v>
      </c>
      <c r="M1968" s="116">
        <v>2969.05</v>
      </c>
      <c r="N1968" s="116">
        <v>2995</v>
      </c>
      <c r="O1968" s="116">
        <v>2921</v>
      </c>
      <c r="P1968" s="116">
        <v>2925</v>
      </c>
      <c r="Q1968" s="116">
        <v>2969.05</v>
      </c>
      <c r="R1968">
        <v>428075</v>
      </c>
    </row>
    <row r="1969" spans="1:18" x14ac:dyDescent="0.25">
      <c r="A1969" s="170">
        <v>44903</v>
      </c>
      <c r="B1969" s="116">
        <v>2996.7</v>
      </c>
      <c r="C1969" s="116">
        <v>2989.75</v>
      </c>
      <c r="D1969" s="116">
        <v>2960.05</v>
      </c>
      <c r="E1969" s="116">
        <v>2996.7</v>
      </c>
      <c r="F1969" s="116">
        <v>2989.75</v>
      </c>
      <c r="G1969">
        <v>5530</v>
      </c>
      <c r="H1969" s="116"/>
      <c r="I1969" s="116"/>
      <c r="L1969" s="170">
        <v>44903</v>
      </c>
      <c r="M1969" s="116">
        <v>2988.35</v>
      </c>
      <c r="N1969" s="116">
        <v>2994.45</v>
      </c>
      <c r="O1969" s="116">
        <v>2960.3</v>
      </c>
      <c r="P1969" s="116">
        <v>2989.9</v>
      </c>
      <c r="Q1969" s="116">
        <v>2988.35</v>
      </c>
      <c r="R1969">
        <v>224644</v>
      </c>
    </row>
    <row r="1970" spans="1:18" x14ac:dyDescent="0.25">
      <c r="A1970" s="170">
        <v>44904</v>
      </c>
      <c r="B1970" s="116">
        <v>3036</v>
      </c>
      <c r="C1970" s="116">
        <v>2976.9</v>
      </c>
      <c r="D1970" s="116">
        <v>2940.05</v>
      </c>
      <c r="E1970" s="116">
        <v>3005.1</v>
      </c>
      <c r="F1970" s="116">
        <v>2976.9</v>
      </c>
      <c r="G1970">
        <v>33135</v>
      </c>
      <c r="H1970" s="116"/>
      <c r="I1970" s="116"/>
      <c r="L1970" s="170">
        <v>44904</v>
      </c>
      <c r="M1970" s="116">
        <v>2976.65</v>
      </c>
      <c r="N1970" s="116">
        <v>3035.8</v>
      </c>
      <c r="O1970" s="116">
        <v>2940</v>
      </c>
      <c r="P1970" s="116">
        <v>3010</v>
      </c>
      <c r="Q1970" s="116">
        <v>2976.65</v>
      </c>
      <c r="R1970">
        <v>329565</v>
      </c>
    </row>
    <row r="1971" spans="1:18" x14ac:dyDescent="0.25">
      <c r="A1971" s="170">
        <v>44907</v>
      </c>
      <c r="B1971" s="116">
        <v>2998.3</v>
      </c>
      <c r="C1971" s="116">
        <v>2988.6</v>
      </c>
      <c r="D1971" s="116">
        <v>2944.05</v>
      </c>
      <c r="E1971" s="116">
        <v>2972.95</v>
      </c>
      <c r="F1971" s="116">
        <v>2988.6</v>
      </c>
      <c r="G1971">
        <v>8216</v>
      </c>
      <c r="H1971" s="116"/>
      <c r="I1971" s="116"/>
      <c r="L1971" s="170">
        <v>44907</v>
      </c>
      <c r="M1971" s="116">
        <v>2991.4</v>
      </c>
      <c r="N1971" s="116">
        <v>2999.55</v>
      </c>
      <c r="O1971" s="116">
        <v>2945</v>
      </c>
      <c r="P1971" s="116">
        <v>2978.95</v>
      </c>
      <c r="Q1971" s="116">
        <v>2991.4</v>
      </c>
      <c r="R1971">
        <v>197711</v>
      </c>
    </row>
    <row r="1972" spans="1:18" x14ac:dyDescent="0.25">
      <c r="A1972" s="170">
        <v>44908</v>
      </c>
      <c r="B1972" s="116">
        <v>3015.5</v>
      </c>
      <c r="C1972" s="116">
        <v>2994</v>
      </c>
      <c r="D1972" s="116">
        <v>2980</v>
      </c>
      <c r="E1972" s="116">
        <v>2988.6</v>
      </c>
      <c r="F1972" s="116">
        <v>2994</v>
      </c>
      <c r="G1972">
        <v>2714</v>
      </c>
      <c r="H1972" s="116"/>
      <c r="I1972" s="116"/>
      <c r="L1972" s="170">
        <v>44908</v>
      </c>
      <c r="M1972" s="116">
        <v>2993.15</v>
      </c>
      <c r="N1972" s="116">
        <v>3015.6</v>
      </c>
      <c r="O1972" s="116">
        <v>2979</v>
      </c>
      <c r="P1972" s="116">
        <v>2982.05</v>
      </c>
      <c r="Q1972" s="116">
        <v>2993.15</v>
      </c>
      <c r="R1972">
        <v>120072</v>
      </c>
    </row>
    <row r="1973" spans="1:18" x14ac:dyDescent="0.25">
      <c r="A1973" s="170">
        <v>44909</v>
      </c>
      <c r="B1973" s="116">
        <v>3029</v>
      </c>
      <c r="C1973" s="116">
        <v>3006</v>
      </c>
      <c r="D1973" s="116">
        <v>2996.8</v>
      </c>
      <c r="E1973" s="116">
        <v>3005</v>
      </c>
      <c r="F1973" s="116">
        <v>3006</v>
      </c>
      <c r="G1973">
        <v>11079</v>
      </c>
      <c r="H1973" s="116"/>
      <c r="I1973" s="116"/>
      <c r="L1973" s="170">
        <v>44909</v>
      </c>
      <c r="M1973" s="116">
        <v>3006.7</v>
      </c>
      <c r="N1973" s="116">
        <v>3029</v>
      </c>
      <c r="O1973" s="116">
        <v>2998.4</v>
      </c>
      <c r="P1973" s="116">
        <v>3005</v>
      </c>
      <c r="Q1973" s="116">
        <v>3006.7</v>
      </c>
      <c r="R1973">
        <v>307596</v>
      </c>
    </row>
    <row r="1974" spans="1:18" x14ac:dyDescent="0.25">
      <c r="A1974" s="170">
        <v>44910</v>
      </c>
      <c r="B1974" s="116">
        <v>3008.6</v>
      </c>
      <c r="C1974" s="116">
        <v>2937</v>
      </c>
      <c r="D1974" s="116">
        <v>2919</v>
      </c>
      <c r="E1974" s="116">
        <v>3008.6</v>
      </c>
      <c r="F1974" s="116">
        <v>2937</v>
      </c>
      <c r="G1974">
        <v>6391</v>
      </c>
      <c r="H1974" s="116"/>
      <c r="I1974" s="116"/>
      <c r="L1974" s="170">
        <v>44910</v>
      </c>
      <c r="M1974" s="116">
        <v>2930.2</v>
      </c>
      <c r="N1974" s="116">
        <v>3013.95</v>
      </c>
      <c r="O1974" s="116">
        <v>2916</v>
      </c>
      <c r="P1974" s="116">
        <v>3004.95</v>
      </c>
      <c r="Q1974" s="116">
        <v>2930.2</v>
      </c>
      <c r="R1974">
        <v>258936</v>
      </c>
    </row>
    <row r="1975" spans="1:18" x14ac:dyDescent="0.25">
      <c r="A1975" s="170">
        <v>44911</v>
      </c>
      <c r="B1975" s="116">
        <v>2929.2</v>
      </c>
      <c r="C1975" s="116">
        <v>2836.8</v>
      </c>
      <c r="D1975" s="116">
        <v>2828.25</v>
      </c>
      <c r="E1975" s="116">
        <v>2913.05</v>
      </c>
      <c r="F1975" s="116">
        <v>2836.8</v>
      </c>
      <c r="G1975">
        <v>14360</v>
      </c>
      <c r="H1975" s="116"/>
      <c r="I1975" s="116"/>
      <c r="L1975" s="170">
        <v>44911</v>
      </c>
      <c r="M1975" s="116">
        <v>2838.5</v>
      </c>
      <c r="N1975" s="116">
        <v>2927.95</v>
      </c>
      <c r="O1975" s="116">
        <v>2825</v>
      </c>
      <c r="P1975" s="116">
        <v>2920</v>
      </c>
      <c r="Q1975" s="116">
        <v>2838.5</v>
      </c>
      <c r="R1975">
        <v>425206</v>
      </c>
    </row>
    <row r="1976" spans="1:18" x14ac:dyDescent="0.25">
      <c r="A1976" s="170">
        <v>44914</v>
      </c>
      <c r="B1976" s="116">
        <v>2909.25</v>
      </c>
      <c r="C1976" s="116">
        <v>2898.45</v>
      </c>
      <c r="D1976" s="116">
        <v>2831.7</v>
      </c>
      <c r="E1976" s="116">
        <v>2848.25</v>
      </c>
      <c r="F1976" s="116">
        <v>2898.45</v>
      </c>
      <c r="G1976">
        <v>8145</v>
      </c>
      <c r="H1976" s="116"/>
      <c r="I1976" s="116"/>
      <c r="L1976" s="170">
        <v>44914</v>
      </c>
      <c r="M1976" s="116">
        <v>2897.25</v>
      </c>
      <c r="N1976" s="116">
        <v>2903.5</v>
      </c>
      <c r="O1976" s="116">
        <v>2831.3</v>
      </c>
      <c r="P1976" s="116">
        <v>2836</v>
      </c>
      <c r="Q1976" s="116">
        <v>2897.25</v>
      </c>
      <c r="R1976">
        <v>397439</v>
      </c>
    </row>
    <row r="1977" spans="1:18" x14ac:dyDescent="0.25">
      <c r="A1977" s="170">
        <v>44915</v>
      </c>
      <c r="B1977" s="116">
        <v>2938.15</v>
      </c>
      <c r="C1977" s="116">
        <v>2924.6</v>
      </c>
      <c r="D1977" s="116">
        <v>2872.25</v>
      </c>
      <c r="E1977" s="116">
        <v>2872.25</v>
      </c>
      <c r="F1977" s="116">
        <v>2924.6</v>
      </c>
      <c r="G1977">
        <v>8910</v>
      </c>
      <c r="H1977" s="116"/>
      <c r="I1977" s="116"/>
      <c r="L1977" s="170">
        <v>44915</v>
      </c>
      <c r="M1977" s="116">
        <v>2924.85</v>
      </c>
      <c r="N1977" s="116">
        <v>2936</v>
      </c>
      <c r="O1977" s="116">
        <v>2880.3</v>
      </c>
      <c r="P1977" s="116">
        <v>2893.1</v>
      </c>
      <c r="Q1977" s="116">
        <v>2924.85</v>
      </c>
      <c r="R1977">
        <v>380570</v>
      </c>
    </row>
    <row r="1978" spans="1:18" x14ac:dyDescent="0.25">
      <c r="A1978" s="170">
        <v>44916</v>
      </c>
      <c r="B1978" s="116">
        <v>2950</v>
      </c>
      <c r="C1978" s="116">
        <v>2842.65</v>
      </c>
      <c r="D1978" s="116">
        <v>2832.25</v>
      </c>
      <c r="E1978" s="116">
        <v>2920.05</v>
      </c>
      <c r="F1978" s="116">
        <v>2842.65</v>
      </c>
      <c r="G1978">
        <v>5051</v>
      </c>
      <c r="H1978" s="116"/>
      <c r="I1978" s="116"/>
      <c r="L1978" s="170">
        <v>44916</v>
      </c>
      <c r="M1978" s="116">
        <v>2841</v>
      </c>
      <c r="N1978" s="116">
        <v>2951.2</v>
      </c>
      <c r="O1978" s="116">
        <v>2831.2</v>
      </c>
      <c r="P1978" s="116">
        <v>2930</v>
      </c>
      <c r="Q1978" s="116">
        <v>2841</v>
      </c>
      <c r="R1978">
        <v>195307</v>
      </c>
    </row>
    <row r="1979" spans="1:18" x14ac:dyDescent="0.25">
      <c r="A1979" s="170">
        <v>44917</v>
      </c>
      <c r="B1979" s="116">
        <v>2848.8</v>
      </c>
      <c r="C1979" s="116">
        <v>2803.65</v>
      </c>
      <c r="D1979" s="116">
        <v>2778.25</v>
      </c>
      <c r="E1979" s="116">
        <v>2842</v>
      </c>
      <c r="F1979" s="116">
        <v>2803.65</v>
      </c>
      <c r="G1979">
        <v>9787</v>
      </c>
      <c r="H1979" s="116"/>
      <c r="I1979" s="116"/>
      <c r="L1979" s="170">
        <v>44917</v>
      </c>
      <c r="M1979" s="116">
        <v>2802.8</v>
      </c>
      <c r="N1979" s="116">
        <v>2852.4</v>
      </c>
      <c r="O1979" s="116">
        <v>2778.2</v>
      </c>
      <c r="P1979" s="116">
        <v>2852.4</v>
      </c>
      <c r="Q1979" s="116">
        <v>2802.8</v>
      </c>
      <c r="R1979">
        <v>234442</v>
      </c>
    </row>
    <row r="1980" spans="1:18" x14ac:dyDescent="0.25">
      <c r="A1980" s="170">
        <v>44918</v>
      </c>
      <c r="B1980" s="116">
        <v>2780</v>
      </c>
      <c r="C1980" s="116">
        <v>2682</v>
      </c>
      <c r="D1980" s="116">
        <v>2667.05</v>
      </c>
      <c r="E1980" s="116">
        <v>2775.05</v>
      </c>
      <c r="F1980" s="116">
        <v>2682</v>
      </c>
      <c r="G1980">
        <v>10411</v>
      </c>
      <c r="H1980" s="116"/>
      <c r="I1980" s="116"/>
      <c r="L1980" s="170">
        <v>44918</v>
      </c>
      <c r="M1980" s="116">
        <v>2680.75</v>
      </c>
      <c r="N1980" s="116">
        <v>2783.95</v>
      </c>
      <c r="O1980" s="116">
        <v>2666.25</v>
      </c>
      <c r="P1980" s="116">
        <v>2780</v>
      </c>
      <c r="Q1980" s="116">
        <v>2680.75</v>
      </c>
      <c r="R1980">
        <v>209507</v>
      </c>
    </row>
    <row r="1981" spans="1:18" x14ac:dyDescent="0.25">
      <c r="A1981" s="170">
        <v>44921</v>
      </c>
      <c r="B1981" s="116">
        <v>2743.85</v>
      </c>
      <c r="C1981" s="116">
        <v>2728.85</v>
      </c>
      <c r="D1981" s="116">
        <v>2640.45</v>
      </c>
      <c r="E1981" s="116">
        <v>2659.05</v>
      </c>
      <c r="F1981" s="116">
        <v>2728.85</v>
      </c>
      <c r="G1981">
        <v>12403</v>
      </c>
      <c r="H1981" s="116"/>
      <c r="I1981" s="116"/>
      <c r="L1981" s="170">
        <v>44921</v>
      </c>
      <c r="M1981" s="116">
        <v>2724.65</v>
      </c>
      <c r="N1981" s="116">
        <v>2744.65</v>
      </c>
      <c r="O1981" s="116">
        <v>2640</v>
      </c>
      <c r="P1981" s="116">
        <v>2685</v>
      </c>
      <c r="Q1981" s="116">
        <v>2724.65</v>
      </c>
      <c r="R1981">
        <v>171579</v>
      </c>
    </row>
    <row r="1982" spans="1:18" x14ac:dyDescent="0.25">
      <c r="A1982" s="170">
        <v>44922</v>
      </c>
      <c r="B1982" s="116">
        <v>2759.3</v>
      </c>
      <c r="C1982" s="116">
        <v>2743.65</v>
      </c>
      <c r="D1982" s="116">
        <v>2709</v>
      </c>
      <c r="E1982" s="116">
        <v>2758.95</v>
      </c>
      <c r="F1982" s="116">
        <v>2743.65</v>
      </c>
      <c r="G1982">
        <v>9008</v>
      </c>
      <c r="H1982" s="116"/>
      <c r="I1982" s="116"/>
      <c r="L1982" s="170">
        <v>44922</v>
      </c>
      <c r="M1982" s="116">
        <v>2742.65</v>
      </c>
      <c r="N1982" s="116">
        <v>2757.55</v>
      </c>
      <c r="O1982" s="116">
        <v>2708.6</v>
      </c>
      <c r="P1982" s="116">
        <v>2750.15</v>
      </c>
      <c r="Q1982" s="116">
        <v>2742.65</v>
      </c>
      <c r="R1982">
        <v>117811</v>
      </c>
    </row>
    <row r="1983" spans="1:18" x14ac:dyDescent="0.25">
      <c r="A1983" s="170">
        <v>44923</v>
      </c>
      <c r="B1983" s="116">
        <v>2760.4</v>
      </c>
      <c r="C1983" s="116">
        <v>2722.4</v>
      </c>
      <c r="D1983" s="116">
        <v>2711.05</v>
      </c>
      <c r="E1983" s="116">
        <v>2743.55</v>
      </c>
      <c r="F1983" s="116">
        <v>2722.4</v>
      </c>
      <c r="G1983">
        <v>6105</v>
      </c>
      <c r="H1983" s="116"/>
      <c r="I1983" s="116"/>
      <c r="L1983" s="170">
        <v>44923</v>
      </c>
      <c r="M1983" s="116">
        <v>2724.35</v>
      </c>
      <c r="N1983" s="116">
        <v>2762.75</v>
      </c>
      <c r="O1983" s="116">
        <v>2708</v>
      </c>
      <c r="P1983" s="116">
        <v>2735.05</v>
      </c>
      <c r="Q1983" s="116">
        <v>2724.35</v>
      </c>
      <c r="R1983">
        <v>127712</v>
      </c>
    </row>
    <row r="1984" spans="1:18" x14ac:dyDescent="0.25">
      <c r="A1984" s="170">
        <v>44924</v>
      </c>
      <c r="B1984" s="116">
        <v>2735.75</v>
      </c>
      <c r="C1984" s="116">
        <v>2684.8</v>
      </c>
      <c r="D1984" s="116">
        <v>2680.5</v>
      </c>
      <c r="E1984" s="116">
        <v>2730</v>
      </c>
      <c r="F1984" s="116">
        <v>2684.8</v>
      </c>
      <c r="G1984">
        <v>2694</v>
      </c>
      <c r="H1984" s="116"/>
      <c r="I1984" s="116"/>
      <c r="L1984" s="170">
        <v>44924</v>
      </c>
      <c r="M1984" s="116">
        <v>2684.2</v>
      </c>
      <c r="N1984" s="116">
        <v>2737</v>
      </c>
      <c r="O1984" s="116">
        <v>2678.95</v>
      </c>
      <c r="P1984" s="116">
        <v>2725</v>
      </c>
      <c r="Q1984" s="116">
        <v>2684.2</v>
      </c>
      <c r="R1984">
        <v>225208</v>
      </c>
    </row>
    <row r="1985" spans="1:18" x14ac:dyDescent="0.25">
      <c r="A1985" s="170">
        <v>44925</v>
      </c>
      <c r="B1985" s="116">
        <v>2727</v>
      </c>
      <c r="C1985" s="116">
        <v>2683.15</v>
      </c>
      <c r="D1985" s="116">
        <v>2675</v>
      </c>
      <c r="E1985" s="116">
        <v>2687.2</v>
      </c>
      <c r="F1985" s="116">
        <v>2683.15</v>
      </c>
      <c r="G1985">
        <v>7063</v>
      </c>
      <c r="H1985" s="116"/>
      <c r="I1985" s="116"/>
      <c r="L1985" s="170">
        <v>44925</v>
      </c>
      <c r="M1985" s="116">
        <v>2683</v>
      </c>
      <c r="N1985" s="116">
        <v>2727.95</v>
      </c>
      <c r="O1985" s="116">
        <v>2676.8</v>
      </c>
      <c r="P1985" s="116">
        <v>2694.5</v>
      </c>
      <c r="Q1985" s="116">
        <v>2683</v>
      </c>
      <c r="R1985">
        <v>155615</v>
      </c>
    </row>
    <row r="1986" spans="1:18" x14ac:dyDescent="0.25">
      <c r="A1986" s="170">
        <v>44928</v>
      </c>
      <c r="B1986" s="116">
        <v>2712.9</v>
      </c>
      <c r="C1986" s="116">
        <v>2681</v>
      </c>
      <c r="D1986" s="116">
        <v>2662.95</v>
      </c>
      <c r="E1986" s="116">
        <v>2675.2</v>
      </c>
      <c r="F1986" s="116">
        <v>2681</v>
      </c>
      <c r="G1986">
        <v>6022</v>
      </c>
      <c r="H1986" s="116"/>
      <c r="I1986" s="116"/>
      <c r="L1986" s="170">
        <v>44928</v>
      </c>
      <c r="M1986" s="116">
        <v>2679.95</v>
      </c>
      <c r="N1986" s="116">
        <v>2713</v>
      </c>
      <c r="O1986" s="116">
        <v>2662.5</v>
      </c>
      <c r="P1986" s="116">
        <v>2685</v>
      </c>
      <c r="Q1986" s="116">
        <v>2679.95</v>
      </c>
      <c r="R1986">
        <v>135840</v>
      </c>
    </row>
    <row r="1987" spans="1:18" x14ac:dyDescent="0.25">
      <c r="A1987" s="170">
        <v>44929</v>
      </c>
      <c r="B1987" s="116">
        <v>2700</v>
      </c>
      <c r="C1987" s="116">
        <v>2688.3</v>
      </c>
      <c r="D1987" s="116">
        <v>2673.25</v>
      </c>
      <c r="E1987" s="116">
        <v>2700</v>
      </c>
      <c r="F1987" s="116">
        <v>2688.3</v>
      </c>
      <c r="G1987">
        <v>4344</v>
      </c>
      <c r="H1987" s="116"/>
      <c r="I1987" s="116"/>
      <c r="L1987" s="170">
        <v>44929</v>
      </c>
      <c r="M1987" s="116">
        <v>2689.4</v>
      </c>
      <c r="N1987" s="116">
        <v>2694.1</v>
      </c>
      <c r="O1987" s="116">
        <v>2676</v>
      </c>
      <c r="P1987" s="116">
        <v>2693.35</v>
      </c>
      <c r="Q1987" s="116">
        <v>2689.4</v>
      </c>
      <c r="R1987">
        <v>155374</v>
      </c>
    </row>
    <row r="1988" spans="1:18" x14ac:dyDescent="0.25">
      <c r="A1988" s="170">
        <v>44930</v>
      </c>
      <c r="B1988" s="116">
        <v>2735.8</v>
      </c>
      <c r="C1988" s="116">
        <v>2705.2</v>
      </c>
      <c r="D1988" s="116">
        <v>2693.85</v>
      </c>
      <c r="E1988" s="116">
        <v>2699.75</v>
      </c>
      <c r="F1988" s="116">
        <v>2705.2</v>
      </c>
      <c r="G1988">
        <v>4634</v>
      </c>
      <c r="H1988" s="116"/>
      <c r="I1988" s="116"/>
      <c r="L1988" s="170">
        <v>44930</v>
      </c>
      <c r="M1988" s="116">
        <v>2705.2</v>
      </c>
      <c r="N1988" s="116">
        <v>2736</v>
      </c>
      <c r="O1988" s="116">
        <v>2690</v>
      </c>
      <c r="P1988" s="116">
        <v>2690</v>
      </c>
      <c r="Q1988" s="116">
        <v>2705.2</v>
      </c>
      <c r="R1988">
        <v>313367</v>
      </c>
    </row>
    <row r="1989" spans="1:18" x14ac:dyDescent="0.25">
      <c r="A1989" s="170">
        <v>44931</v>
      </c>
      <c r="B1989" s="116">
        <v>2821.45</v>
      </c>
      <c r="C1989" s="116">
        <v>2806.2</v>
      </c>
      <c r="D1989" s="116">
        <v>2720</v>
      </c>
      <c r="E1989" s="116">
        <v>2720</v>
      </c>
      <c r="F1989" s="116">
        <v>2806.2</v>
      </c>
      <c r="G1989">
        <v>326103</v>
      </c>
      <c r="H1989" s="116"/>
      <c r="I1989" s="116"/>
      <c r="L1989" s="170">
        <v>44931</v>
      </c>
      <c r="M1989" s="116">
        <v>2806</v>
      </c>
      <c r="N1989" s="116">
        <v>2814.1</v>
      </c>
      <c r="O1989" s="116">
        <v>2720.15</v>
      </c>
      <c r="P1989" s="116">
        <v>2725.55</v>
      </c>
      <c r="Q1989" s="116">
        <v>2806</v>
      </c>
      <c r="R1989">
        <v>361324</v>
      </c>
    </row>
    <row r="1990" spans="1:18" x14ac:dyDescent="0.25">
      <c r="A1990" s="170">
        <v>44932</v>
      </c>
      <c r="B1990" s="116">
        <v>2858.35</v>
      </c>
      <c r="C1990" s="116">
        <v>2843.3</v>
      </c>
      <c r="D1990" s="116">
        <v>2809.85</v>
      </c>
      <c r="E1990" s="116">
        <v>2810</v>
      </c>
      <c r="F1990" s="116">
        <v>2843.3</v>
      </c>
      <c r="G1990">
        <v>77454</v>
      </c>
      <c r="H1990" s="116"/>
      <c r="I1990" s="116"/>
      <c r="L1990" s="170">
        <v>44932</v>
      </c>
      <c r="M1990" s="116">
        <v>2843.6</v>
      </c>
      <c r="N1990" s="116">
        <v>2858</v>
      </c>
      <c r="O1990" s="116">
        <v>2810.3</v>
      </c>
      <c r="P1990" s="116">
        <v>2821</v>
      </c>
      <c r="Q1990" s="116">
        <v>2843.6</v>
      </c>
      <c r="R1990">
        <v>630345</v>
      </c>
    </row>
    <row r="1991" spans="1:18" x14ac:dyDescent="0.25">
      <c r="A1991" s="170">
        <v>44935</v>
      </c>
      <c r="B1991" s="116">
        <v>2881</v>
      </c>
      <c r="C1991" s="116">
        <v>2861.7</v>
      </c>
      <c r="D1991" s="116">
        <v>2830</v>
      </c>
      <c r="E1991" s="116">
        <v>2860</v>
      </c>
      <c r="F1991" s="116">
        <v>2861.7</v>
      </c>
      <c r="G1991">
        <v>6116</v>
      </c>
      <c r="H1991" s="116"/>
      <c r="I1991" s="116"/>
      <c r="L1991" s="170">
        <v>44935</v>
      </c>
      <c r="M1991" s="116">
        <v>2862.1</v>
      </c>
      <c r="N1991" s="116">
        <v>2882.35</v>
      </c>
      <c r="O1991" s="116">
        <v>2830.65</v>
      </c>
      <c r="P1991" s="116">
        <v>2861.05</v>
      </c>
      <c r="Q1991" s="116">
        <v>2862.1</v>
      </c>
      <c r="R1991">
        <v>179843</v>
      </c>
    </row>
    <row r="1992" spans="1:18" x14ac:dyDescent="0.25">
      <c r="A1992" s="170">
        <v>44936</v>
      </c>
      <c r="B1992" s="116">
        <v>2864.3</v>
      </c>
      <c r="C1992" s="116">
        <v>2844.4</v>
      </c>
      <c r="D1992" s="116">
        <v>2801.9</v>
      </c>
      <c r="E1992" s="116">
        <v>2850.1</v>
      </c>
      <c r="F1992" s="116">
        <v>2844.4</v>
      </c>
      <c r="G1992">
        <v>5458</v>
      </c>
      <c r="H1992" s="116"/>
      <c r="I1992" s="116"/>
      <c r="L1992" s="170">
        <v>44936</v>
      </c>
      <c r="M1992" s="116">
        <v>2841.65</v>
      </c>
      <c r="N1992" s="116">
        <v>2865</v>
      </c>
      <c r="O1992" s="116">
        <v>2801.55</v>
      </c>
      <c r="P1992" s="116">
        <v>2860</v>
      </c>
      <c r="Q1992" s="116">
        <v>2841.65</v>
      </c>
      <c r="R1992">
        <v>140490</v>
      </c>
    </row>
    <row r="1993" spans="1:18" x14ac:dyDescent="0.25">
      <c r="A1993" s="170">
        <v>44937</v>
      </c>
      <c r="B1993" s="116">
        <v>2905.7</v>
      </c>
      <c r="C1993" s="116">
        <v>2900.3</v>
      </c>
      <c r="D1993" s="116">
        <v>2823.6</v>
      </c>
      <c r="E1993" s="116">
        <v>2850.15</v>
      </c>
      <c r="F1993" s="116">
        <v>2900.3</v>
      </c>
      <c r="G1993">
        <v>8917</v>
      </c>
      <c r="H1993" s="116"/>
      <c r="I1993" s="116"/>
      <c r="L1993" s="170">
        <v>44937</v>
      </c>
      <c r="M1993" s="116">
        <v>2900.2</v>
      </c>
      <c r="N1993" s="116">
        <v>2909</v>
      </c>
      <c r="O1993" s="116">
        <v>2825</v>
      </c>
      <c r="P1993" s="116">
        <v>2848</v>
      </c>
      <c r="Q1993" s="116">
        <v>2900.2</v>
      </c>
      <c r="R1993">
        <v>457133</v>
      </c>
    </row>
    <row r="1994" spans="1:18" x14ac:dyDescent="0.25">
      <c r="A1994" s="170">
        <v>44938</v>
      </c>
      <c r="B1994" s="116">
        <v>2933.45</v>
      </c>
      <c r="C1994" s="116">
        <v>2914.95</v>
      </c>
      <c r="D1994" s="116">
        <v>2880.65</v>
      </c>
      <c r="E1994" s="116">
        <v>2914.95</v>
      </c>
      <c r="F1994" s="116">
        <v>2914.95</v>
      </c>
      <c r="G1994">
        <v>10707</v>
      </c>
      <c r="H1994" s="116"/>
      <c r="I1994" s="116"/>
      <c r="L1994" s="170">
        <v>44938</v>
      </c>
      <c r="M1994" s="116">
        <v>2914.15</v>
      </c>
      <c r="N1994" s="116">
        <v>2935</v>
      </c>
      <c r="O1994" s="116">
        <v>2881.9</v>
      </c>
      <c r="P1994" s="116">
        <v>2908</v>
      </c>
      <c r="Q1994" s="116">
        <v>2914.15</v>
      </c>
      <c r="R1994">
        <v>212709</v>
      </c>
    </row>
    <row r="1995" spans="1:18" x14ac:dyDescent="0.25">
      <c r="A1995" s="170">
        <v>44939</v>
      </c>
      <c r="B1995" s="116">
        <v>2922.4</v>
      </c>
      <c r="C1995" s="116">
        <v>2900.95</v>
      </c>
      <c r="D1995" s="116">
        <v>2885.2</v>
      </c>
      <c r="E1995" s="116">
        <v>2915</v>
      </c>
      <c r="F1995" s="116">
        <v>2900.95</v>
      </c>
      <c r="G1995">
        <v>4957</v>
      </c>
      <c r="H1995" s="116"/>
      <c r="I1995" s="116"/>
      <c r="L1995" s="170">
        <v>44939</v>
      </c>
      <c r="M1995" s="116">
        <v>2899.95</v>
      </c>
      <c r="N1995" s="116">
        <v>2923.1</v>
      </c>
      <c r="O1995" s="116">
        <v>2883.95</v>
      </c>
      <c r="P1995" s="116">
        <v>2921.6</v>
      </c>
      <c r="Q1995" s="116">
        <v>2899.95</v>
      </c>
      <c r="R1995">
        <v>103382</v>
      </c>
    </row>
    <row r="1996" spans="1:18" x14ac:dyDescent="0.25">
      <c r="A1996" s="170">
        <v>44942</v>
      </c>
      <c r="B1996" s="116">
        <v>2914.85</v>
      </c>
      <c r="C1996" s="116">
        <v>2871.7</v>
      </c>
      <c r="D1996" s="116">
        <v>2864.7</v>
      </c>
      <c r="E1996" s="116">
        <v>2896.35</v>
      </c>
      <c r="F1996" s="116">
        <v>2871.7</v>
      </c>
      <c r="G1996">
        <v>4309</v>
      </c>
      <c r="H1996" s="116"/>
      <c r="I1996" s="116"/>
      <c r="L1996" s="170">
        <v>44942</v>
      </c>
      <c r="M1996" s="116">
        <v>2872.4</v>
      </c>
      <c r="N1996" s="116">
        <v>2916.75</v>
      </c>
      <c r="O1996" s="116">
        <v>2861.2</v>
      </c>
      <c r="P1996" s="116">
        <v>2900.95</v>
      </c>
      <c r="Q1996" s="116">
        <v>2872.4</v>
      </c>
      <c r="R1996">
        <v>97665</v>
      </c>
    </row>
    <row r="1997" spans="1:18" x14ac:dyDescent="0.25">
      <c r="A1997" s="170">
        <v>44943</v>
      </c>
      <c r="B1997" s="116">
        <v>2895.8</v>
      </c>
      <c r="C1997" s="116">
        <v>2875.7</v>
      </c>
      <c r="D1997" s="116">
        <v>2835.1</v>
      </c>
      <c r="E1997" s="116">
        <v>2859.7</v>
      </c>
      <c r="F1997" s="116">
        <v>2875.7</v>
      </c>
      <c r="G1997">
        <v>5322</v>
      </c>
      <c r="H1997" s="116"/>
      <c r="I1997" s="116"/>
      <c r="L1997" s="170">
        <v>44943</v>
      </c>
      <c r="M1997" s="116">
        <v>2874.95</v>
      </c>
      <c r="N1997" s="116">
        <v>2896.85</v>
      </c>
      <c r="O1997" s="116">
        <v>2835</v>
      </c>
      <c r="P1997" s="116">
        <v>2878.7</v>
      </c>
      <c r="Q1997" s="116">
        <v>2874.95</v>
      </c>
      <c r="R1997">
        <v>88725</v>
      </c>
    </row>
    <row r="1998" spans="1:18" x14ac:dyDescent="0.25">
      <c r="A1998" s="170">
        <v>44944</v>
      </c>
      <c r="B1998" s="116">
        <v>2926.8</v>
      </c>
      <c r="C1998" s="116">
        <v>2920</v>
      </c>
      <c r="D1998" s="116">
        <v>2876.4</v>
      </c>
      <c r="E1998" s="116">
        <v>2894.95</v>
      </c>
      <c r="F1998" s="116">
        <v>2920</v>
      </c>
      <c r="G1998">
        <v>11171</v>
      </c>
      <c r="H1998" s="116"/>
      <c r="I1998" s="116"/>
      <c r="L1998" s="170">
        <v>44944</v>
      </c>
      <c r="M1998" s="116">
        <v>2920.35</v>
      </c>
      <c r="N1998" s="116">
        <v>2925</v>
      </c>
      <c r="O1998" s="116">
        <v>2877</v>
      </c>
      <c r="P1998" s="116">
        <v>2888</v>
      </c>
      <c r="Q1998" s="116">
        <v>2920.35</v>
      </c>
      <c r="R1998">
        <v>152461</v>
      </c>
    </row>
    <row r="1999" spans="1:18" x14ac:dyDescent="0.25">
      <c r="A1999" s="170">
        <v>44945</v>
      </c>
      <c r="B1999" s="116">
        <v>2979.25</v>
      </c>
      <c r="C1999" s="116">
        <v>2918.75</v>
      </c>
      <c r="D1999" s="116">
        <v>2911.6</v>
      </c>
      <c r="E1999" s="116">
        <v>2927.95</v>
      </c>
      <c r="F1999" s="116">
        <v>2918.75</v>
      </c>
      <c r="G1999">
        <v>6018</v>
      </c>
      <c r="H1999" s="116"/>
      <c r="I1999" s="116"/>
      <c r="L1999" s="170">
        <v>44945</v>
      </c>
      <c r="M1999" s="116">
        <v>2918.65</v>
      </c>
      <c r="N1999" s="116">
        <v>2979</v>
      </c>
      <c r="O1999" s="116">
        <v>2910.5</v>
      </c>
      <c r="P1999" s="116">
        <v>2920.7</v>
      </c>
      <c r="Q1999" s="116">
        <v>2918.65</v>
      </c>
      <c r="R1999">
        <v>258856</v>
      </c>
    </row>
    <row r="2000" spans="1:18" x14ac:dyDescent="0.25">
      <c r="A2000" s="170">
        <v>44946</v>
      </c>
      <c r="B2000" s="116">
        <v>2945.05</v>
      </c>
      <c r="C2000" s="116">
        <v>2933.1</v>
      </c>
      <c r="D2000" s="116">
        <v>2890.8</v>
      </c>
      <c r="E2000" s="116">
        <v>2921</v>
      </c>
      <c r="F2000" s="116">
        <v>2933.1</v>
      </c>
      <c r="G2000">
        <v>4921</v>
      </c>
      <c r="H2000" s="116"/>
      <c r="I2000" s="116"/>
      <c r="L2000" s="170">
        <v>44946</v>
      </c>
      <c r="M2000" s="116">
        <v>2933.75</v>
      </c>
      <c r="N2000" s="116">
        <v>2945.85</v>
      </c>
      <c r="O2000" s="116">
        <v>2911.1</v>
      </c>
      <c r="P2000" s="116">
        <v>2934.9</v>
      </c>
      <c r="Q2000" s="116">
        <v>2933.75</v>
      </c>
      <c r="R2000">
        <v>131815</v>
      </c>
    </row>
    <row r="2001" spans="1:18" x14ac:dyDescent="0.25">
      <c r="A2001" s="170">
        <v>44949</v>
      </c>
      <c r="B2001" s="116">
        <v>2951</v>
      </c>
      <c r="C2001" s="116">
        <v>2943.85</v>
      </c>
      <c r="D2001" s="116">
        <v>2919.65</v>
      </c>
      <c r="E2001" s="116">
        <v>2944.3</v>
      </c>
      <c r="F2001" s="116">
        <v>2943.85</v>
      </c>
      <c r="G2001">
        <v>3774</v>
      </c>
      <c r="H2001" s="116"/>
      <c r="I2001" s="116"/>
      <c r="L2001" s="170">
        <v>44949</v>
      </c>
      <c r="M2001" s="116">
        <v>2947.7</v>
      </c>
      <c r="N2001" s="116">
        <v>2952.05</v>
      </c>
      <c r="O2001" s="116">
        <v>2917.65</v>
      </c>
      <c r="P2001" s="116">
        <v>2940</v>
      </c>
      <c r="Q2001" s="116">
        <v>2947.7</v>
      </c>
      <c r="R2001">
        <v>260669</v>
      </c>
    </row>
    <row r="2002" spans="1:18" x14ac:dyDescent="0.25">
      <c r="A2002" s="170">
        <v>44950</v>
      </c>
      <c r="B2002" s="116">
        <v>2955</v>
      </c>
      <c r="C2002" s="116">
        <v>2943</v>
      </c>
      <c r="D2002" s="116">
        <v>2919.45</v>
      </c>
      <c r="E2002" s="116">
        <v>2954.85</v>
      </c>
      <c r="F2002" s="116">
        <v>2943</v>
      </c>
      <c r="G2002">
        <v>2875</v>
      </c>
      <c r="H2002" s="116"/>
      <c r="I2002" s="116"/>
      <c r="L2002" s="170">
        <v>44950</v>
      </c>
      <c r="M2002" s="116">
        <v>2945.05</v>
      </c>
      <c r="N2002" s="116">
        <v>2957.45</v>
      </c>
      <c r="O2002" s="116">
        <v>2920</v>
      </c>
      <c r="P2002" s="116">
        <v>2957.45</v>
      </c>
      <c r="Q2002" s="116">
        <v>2945.05</v>
      </c>
      <c r="R2002">
        <v>147969</v>
      </c>
    </row>
    <row r="2003" spans="1:18" x14ac:dyDescent="0.25">
      <c r="A2003" s="170">
        <v>44951</v>
      </c>
      <c r="B2003" s="116">
        <v>2944.8</v>
      </c>
      <c r="C2003" s="116">
        <v>2874.75</v>
      </c>
      <c r="D2003" s="116">
        <v>2865</v>
      </c>
      <c r="E2003" s="116">
        <v>2943</v>
      </c>
      <c r="F2003" s="116">
        <v>2874.75</v>
      </c>
      <c r="G2003">
        <v>2852</v>
      </c>
      <c r="H2003" s="116"/>
      <c r="I2003" s="116"/>
      <c r="L2003" s="170">
        <v>44951</v>
      </c>
      <c r="M2003" s="116">
        <v>2873.35</v>
      </c>
      <c r="N2003" s="116">
        <v>2947</v>
      </c>
      <c r="O2003" s="116">
        <v>2862.4</v>
      </c>
      <c r="P2003" s="116">
        <v>2943</v>
      </c>
      <c r="Q2003" s="116">
        <v>2873.35</v>
      </c>
      <c r="R2003">
        <v>191195</v>
      </c>
    </row>
    <row r="2004" spans="1:18" x14ac:dyDescent="0.25">
      <c r="A2004" s="170">
        <v>44953</v>
      </c>
      <c r="B2004" s="116">
        <v>2893.15</v>
      </c>
      <c r="C2004" s="116">
        <v>2802.85</v>
      </c>
      <c r="D2004" s="116">
        <v>2760</v>
      </c>
      <c r="E2004" s="116">
        <v>2874.05</v>
      </c>
      <c r="F2004" s="116">
        <v>2802.85</v>
      </c>
      <c r="G2004">
        <v>8192</v>
      </c>
      <c r="H2004" s="116"/>
      <c r="I2004" s="116"/>
      <c r="L2004" s="170">
        <v>44953</v>
      </c>
      <c r="M2004" s="116">
        <v>2803.2</v>
      </c>
      <c r="N2004" s="116">
        <v>2897.85</v>
      </c>
      <c r="O2004" s="116">
        <v>2760</v>
      </c>
      <c r="P2004" s="116">
        <v>2887.95</v>
      </c>
      <c r="Q2004" s="116">
        <v>2803.2</v>
      </c>
      <c r="R2004">
        <v>149121</v>
      </c>
    </row>
    <row r="2005" spans="1:18" x14ac:dyDescent="0.25">
      <c r="A2005" s="170">
        <v>44956</v>
      </c>
      <c r="B2005" s="116">
        <v>2868.75</v>
      </c>
      <c r="C2005" s="116">
        <v>2812.95</v>
      </c>
      <c r="D2005" s="116">
        <v>2802.4</v>
      </c>
      <c r="E2005" s="116">
        <v>2802.85</v>
      </c>
      <c r="F2005" s="116">
        <v>2812.95</v>
      </c>
      <c r="G2005">
        <v>4459</v>
      </c>
      <c r="H2005" s="116"/>
      <c r="I2005" s="116"/>
      <c r="L2005" s="170">
        <v>44956</v>
      </c>
      <c r="M2005" s="116">
        <v>2814.85</v>
      </c>
      <c r="N2005" s="116">
        <v>2868</v>
      </c>
      <c r="O2005" s="116">
        <v>2786.15</v>
      </c>
      <c r="P2005" s="116">
        <v>2813</v>
      </c>
      <c r="Q2005" s="116">
        <v>2814.85</v>
      </c>
      <c r="R2005">
        <v>176771</v>
      </c>
    </row>
    <row r="2006" spans="1:18" x14ac:dyDescent="0.25">
      <c r="A2006" s="170">
        <v>44957</v>
      </c>
      <c r="B2006" s="116">
        <v>2865.35</v>
      </c>
      <c r="C2006" s="116">
        <v>2826.55</v>
      </c>
      <c r="D2006" s="116">
        <v>2812</v>
      </c>
      <c r="E2006" s="116">
        <v>2828</v>
      </c>
      <c r="F2006" s="116">
        <v>2826.55</v>
      </c>
      <c r="G2006">
        <v>6574</v>
      </c>
      <c r="H2006" s="116"/>
      <c r="I2006" s="116"/>
      <c r="L2006" s="170">
        <v>44957</v>
      </c>
      <c r="M2006" s="116">
        <v>2839.5</v>
      </c>
      <c r="N2006" s="116">
        <v>2865</v>
      </c>
      <c r="O2006" s="116">
        <v>2802.5</v>
      </c>
      <c r="P2006" s="116">
        <v>2815</v>
      </c>
      <c r="Q2006" s="116">
        <v>2839.5</v>
      </c>
      <c r="R2006">
        <v>236077</v>
      </c>
    </row>
    <row r="2007" spans="1:18" x14ac:dyDescent="0.25">
      <c r="A2007" s="170">
        <v>44958</v>
      </c>
      <c r="B2007" s="116">
        <v>2960.65</v>
      </c>
      <c r="C2007" s="116">
        <v>2793.5</v>
      </c>
      <c r="D2007" s="116">
        <v>2755.9</v>
      </c>
      <c r="E2007" s="116">
        <v>2902.55</v>
      </c>
      <c r="F2007" s="116">
        <v>2793.5</v>
      </c>
      <c r="G2007">
        <v>14434</v>
      </c>
      <c r="H2007" s="116"/>
      <c r="I2007" s="116"/>
      <c r="L2007" s="170">
        <v>44958</v>
      </c>
      <c r="M2007" s="116">
        <v>2789.1</v>
      </c>
      <c r="N2007" s="116">
        <v>2962.55</v>
      </c>
      <c r="O2007" s="116">
        <v>2753.85</v>
      </c>
      <c r="P2007" s="116">
        <v>2860</v>
      </c>
      <c r="Q2007" s="116">
        <v>2789.1</v>
      </c>
      <c r="R2007">
        <v>623110</v>
      </c>
    </row>
    <row r="2008" spans="1:18" x14ac:dyDescent="0.25">
      <c r="A2008" s="170">
        <v>44959</v>
      </c>
      <c r="B2008" s="116">
        <v>2850.8</v>
      </c>
      <c r="C2008" s="116">
        <v>2831.25</v>
      </c>
      <c r="D2008" s="116">
        <v>2754.85</v>
      </c>
      <c r="E2008" s="116">
        <v>2794.9</v>
      </c>
      <c r="F2008" s="116">
        <v>2831.25</v>
      </c>
      <c r="G2008">
        <v>8084</v>
      </c>
      <c r="H2008" s="116"/>
      <c r="I2008" s="116"/>
      <c r="L2008" s="170">
        <v>44959</v>
      </c>
      <c r="M2008" s="116">
        <v>2831.6</v>
      </c>
      <c r="N2008" s="116">
        <v>2852.95</v>
      </c>
      <c r="O2008" s="116">
        <v>2752.05</v>
      </c>
      <c r="P2008" s="116">
        <v>2775.45</v>
      </c>
      <c r="Q2008" s="116">
        <v>2831.6</v>
      </c>
      <c r="R2008">
        <v>236358</v>
      </c>
    </row>
    <row r="2009" spans="1:18" x14ac:dyDescent="0.25">
      <c r="A2009" s="170">
        <v>44960</v>
      </c>
      <c r="B2009" s="116">
        <v>2844.9</v>
      </c>
      <c r="C2009" s="116">
        <v>2801.65</v>
      </c>
      <c r="D2009" s="116">
        <v>2776.05</v>
      </c>
      <c r="E2009" s="116">
        <v>2835.6</v>
      </c>
      <c r="F2009" s="116">
        <v>2801.65</v>
      </c>
      <c r="G2009">
        <v>7482</v>
      </c>
      <c r="H2009" s="116"/>
      <c r="I2009" s="116"/>
      <c r="L2009" s="170">
        <v>44960</v>
      </c>
      <c r="M2009" s="116">
        <v>2805.85</v>
      </c>
      <c r="N2009" s="116">
        <v>2849</v>
      </c>
      <c r="O2009" s="116">
        <v>2776</v>
      </c>
      <c r="P2009" s="116">
        <v>2845</v>
      </c>
      <c r="Q2009" s="116">
        <v>2805.85</v>
      </c>
      <c r="R2009">
        <v>194330</v>
      </c>
    </row>
    <row r="2010" spans="1:18" x14ac:dyDescent="0.25">
      <c r="A2010" s="170">
        <v>44963</v>
      </c>
      <c r="B2010" s="116">
        <v>2939.85</v>
      </c>
      <c r="C2010" s="116">
        <v>2932.85</v>
      </c>
      <c r="D2010" s="116">
        <v>2783</v>
      </c>
      <c r="E2010" s="116">
        <v>2828.95</v>
      </c>
      <c r="F2010" s="116">
        <v>2932.85</v>
      </c>
      <c r="G2010">
        <v>10742</v>
      </c>
      <c r="H2010" s="116"/>
      <c r="I2010" s="116"/>
      <c r="L2010" s="170">
        <v>44963</v>
      </c>
      <c r="M2010" s="116">
        <v>2932</v>
      </c>
      <c r="N2010" s="116">
        <v>2940</v>
      </c>
      <c r="O2010" s="116">
        <v>2782.1</v>
      </c>
      <c r="P2010" s="116">
        <v>2804</v>
      </c>
      <c r="Q2010" s="116">
        <v>2932</v>
      </c>
      <c r="R2010">
        <v>197958</v>
      </c>
    </row>
    <row r="2011" spans="1:18" x14ac:dyDescent="0.25">
      <c r="A2011" s="170">
        <v>44964</v>
      </c>
      <c r="B2011" s="116">
        <v>3034.95</v>
      </c>
      <c r="C2011" s="116">
        <v>3023.35</v>
      </c>
      <c r="D2011" s="116">
        <v>2903.3</v>
      </c>
      <c r="E2011" s="116">
        <v>2954.9</v>
      </c>
      <c r="F2011" s="116">
        <v>3023.35</v>
      </c>
      <c r="G2011">
        <v>21637</v>
      </c>
      <c r="H2011" s="116"/>
      <c r="I2011" s="116"/>
      <c r="L2011" s="170">
        <v>44964</v>
      </c>
      <c r="M2011" s="116">
        <v>3023.5</v>
      </c>
      <c r="N2011" s="116">
        <v>3035</v>
      </c>
      <c r="O2011" s="116">
        <v>2901</v>
      </c>
      <c r="P2011" s="116">
        <v>2949.95</v>
      </c>
      <c r="Q2011" s="116">
        <v>3023.5</v>
      </c>
      <c r="R2011">
        <v>370039</v>
      </c>
    </row>
    <row r="2012" spans="1:18" x14ac:dyDescent="0.25">
      <c r="A2012" s="170">
        <v>44965</v>
      </c>
      <c r="B2012" s="116">
        <v>3090</v>
      </c>
      <c r="C2012" s="116">
        <v>3083.3</v>
      </c>
      <c r="D2012" s="116">
        <v>3010.7</v>
      </c>
      <c r="E2012" s="116">
        <v>3025</v>
      </c>
      <c r="F2012" s="116">
        <v>3083.3</v>
      </c>
      <c r="G2012">
        <v>16093</v>
      </c>
      <c r="H2012" s="116"/>
      <c r="I2012" s="116"/>
      <c r="L2012" s="170">
        <v>44965</v>
      </c>
      <c r="M2012" s="116">
        <v>3079.45</v>
      </c>
      <c r="N2012" s="116">
        <v>3090</v>
      </c>
      <c r="O2012" s="116">
        <v>3009.05</v>
      </c>
      <c r="P2012" s="116">
        <v>3031.95</v>
      </c>
      <c r="Q2012" s="116">
        <v>3079.45</v>
      </c>
      <c r="R2012">
        <v>408409</v>
      </c>
    </row>
    <row r="2013" spans="1:18" x14ac:dyDescent="0.25">
      <c r="A2013" s="170">
        <v>44966</v>
      </c>
      <c r="B2013" s="116">
        <v>3138</v>
      </c>
      <c r="C2013" s="116">
        <v>3128.75</v>
      </c>
      <c r="D2013" s="116">
        <v>3068.6</v>
      </c>
      <c r="E2013" s="116">
        <v>3084</v>
      </c>
      <c r="F2013" s="116">
        <v>3128.75</v>
      </c>
      <c r="G2013">
        <v>18031</v>
      </c>
      <c r="H2013" s="116"/>
      <c r="I2013" s="116"/>
      <c r="L2013" s="170">
        <v>44966</v>
      </c>
      <c r="M2013" s="116">
        <v>3128.05</v>
      </c>
      <c r="N2013" s="116">
        <v>3140</v>
      </c>
      <c r="O2013" s="116">
        <v>3068.8</v>
      </c>
      <c r="P2013" s="116">
        <v>3083</v>
      </c>
      <c r="Q2013" s="116">
        <v>3128.05</v>
      </c>
      <c r="R2013">
        <v>262690</v>
      </c>
    </row>
    <row r="2014" spans="1:18" x14ac:dyDescent="0.25">
      <c r="A2014" s="170">
        <v>44967</v>
      </c>
      <c r="B2014" s="116">
        <v>3171</v>
      </c>
      <c r="C2014" s="116">
        <v>3164.6</v>
      </c>
      <c r="D2014" s="116">
        <v>3095.3</v>
      </c>
      <c r="E2014" s="116">
        <v>3128</v>
      </c>
      <c r="F2014" s="116">
        <v>3164.6</v>
      </c>
      <c r="G2014">
        <v>21452</v>
      </c>
      <c r="H2014" s="116"/>
      <c r="I2014" s="116"/>
      <c r="L2014" s="170">
        <v>44967</v>
      </c>
      <c r="M2014" s="116">
        <v>3166.3</v>
      </c>
      <c r="N2014" s="116">
        <v>3171</v>
      </c>
      <c r="O2014" s="116">
        <v>3097.05</v>
      </c>
      <c r="P2014" s="116">
        <v>3134.95</v>
      </c>
      <c r="Q2014" s="116">
        <v>3166.3</v>
      </c>
      <c r="R2014">
        <v>300374</v>
      </c>
    </row>
    <row r="2015" spans="1:18" x14ac:dyDescent="0.25">
      <c r="A2015" s="170">
        <v>44970</v>
      </c>
      <c r="B2015" s="116">
        <v>3211.6</v>
      </c>
      <c r="C2015" s="116">
        <v>3074.1</v>
      </c>
      <c r="D2015" s="116">
        <v>3006.35</v>
      </c>
      <c r="E2015" s="116">
        <v>3200</v>
      </c>
      <c r="F2015" s="116">
        <v>3074.1</v>
      </c>
      <c r="G2015">
        <v>38854</v>
      </c>
      <c r="H2015" s="116"/>
      <c r="I2015" s="116"/>
      <c r="L2015" s="170">
        <v>44970</v>
      </c>
      <c r="M2015" s="116">
        <v>3079.65</v>
      </c>
      <c r="N2015" s="116">
        <v>3210</v>
      </c>
      <c r="O2015" s="116">
        <v>3005.55</v>
      </c>
      <c r="P2015" s="116">
        <v>3195</v>
      </c>
      <c r="Q2015" s="116">
        <v>3079.65</v>
      </c>
      <c r="R2015">
        <v>1255147</v>
      </c>
    </row>
    <row r="2016" spans="1:18" x14ac:dyDescent="0.25">
      <c r="A2016" s="170">
        <v>44971</v>
      </c>
      <c r="B2016" s="116">
        <v>3170.95</v>
      </c>
      <c r="C2016" s="116">
        <v>3078.2</v>
      </c>
      <c r="D2016" s="116">
        <v>3025.05</v>
      </c>
      <c r="E2016" s="116">
        <v>3109.95</v>
      </c>
      <c r="F2016" s="116">
        <v>3078.2</v>
      </c>
      <c r="G2016">
        <v>15471</v>
      </c>
      <c r="H2016" s="116"/>
      <c r="I2016" s="116"/>
      <c r="L2016" s="170">
        <v>44971</v>
      </c>
      <c r="M2016" s="116">
        <v>3077.3</v>
      </c>
      <c r="N2016" s="116">
        <v>3171</v>
      </c>
      <c r="O2016" s="116">
        <v>3022.65</v>
      </c>
      <c r="P2016" s="116">
        <v>3094</v>
      </c>
      <c r="Q2016" s="116">
        <v>3077.3</v>
      </c>
      <c r="R2016">
        <v>613928</v>
      </c>
    </row>
    <row r="2017" spans="1:18" x14ac:dyDescent="0.25">
      <c r="A2017" s="170">
        <v>44972</v>
      </c>
      <c r="B2017" s="116">
        <v>3189.3</v>
      </c>
      <c r="C2017" s="116">
        <v>3148.5</v>
      </c>
      <c r="D2017" s="116">
        <v>3076</v>
      </c>
      <c r="E2017" s="116">
        <v>3094.9</v>
      </c>
      <c r="F2017" s="116">
        <v>3148.5</v>
      </c>
      <c r="G2017">
        <v>27384</v>
      </c>
      <c r="H2017" s="116"/>
      <c r="I2017" s="116"/>
      <c r="L2017" s="170">
        <v>44972</v>
      </c>
      <c r="M2017" s="116">
        <v>3149.6</v>
      </c>
      <c r="N2017" s="116">
        <v>3190</v>
      </c>
      <c r="O2017" s="116">
        <v>3074.45</v>
      </c>
      <c r="P2017" s="116">
        <v>3079.9</v>
      </c>
      <c r="Q2017" s="116">
        <v>3149.6</v>
      </c>
      <c r="R2017">
        <v>619722</v>
      </c>
    </row>
    <row r="2018" spans="1:18" x14ac:dyDescent="0.25">
      <c r="A2018" s="170">
        <v>44973</v>
      </c>
      <c r="B2018" s="116">
        <v>3205</v>
      </c>
      <c r="C2018" s="116">
        <v>3188.9</v>
      </c>
      <c r="D2018" s="116">
        <v>3137.05</v>
      </c>
      <c r="E2018" s="116">
        <v>3164.85</v>
      </c>
      <c r="F2018" s="116">
        <v>3188.9</v>
      </c>
      <c r="G2018">
        <v>7934</v>
      </c>
      <c r="H2018" s="116"/>
      <c r="I2018" s="116"/>
      <c r="L2018" s="170">
        <v>44973</v>
      </c>
      <c r="M2018" s="116">
        <v>3188.4</v>
      </c>
      <c r="N2018" s="116">
        <v>3205</v>
      </c>
      <c r="O2018" s="116">
        <v>3135</v>
      </c>
      <c r="P2018" s="116">
        <v>3165.35</v>
      </c>
      <c r="Q2018" s="116">
        <v>3188.4</v>
      </c>
      <c r="R2018">
        <v>252897</v>
      </c>
    </row>
    <row r="2019" spans="1:18" x14ac:dyDescent="0.25">
      <c r="A2019" s="170">
        <v>44974</v>
      </c>
      <c r="B2019" s="116">
        <v>3237.65</v>
      </c>
      <c r="C2019" s="116">
        <v>3135.25</v>
      </c>
      <c r="D2019" s="116">
        <v>3124.5</v>
      </c>
      <c r="E2019" s="116">
        <v>3199.95</v>
      </c>
      <c r="F2019" s="116">
        <v>3135.25</v>
      </c>
      <c r="G2019">
        <v>13666</v>
      </c>
      <c r="H2019" s="116"/>
      <c r="I2019" s="116"/>
      <c r="L2019" s="170">
        <v>44974</v>
      </c>
      <c r="M2019" s="116">
        <v>3136.15</v>
      </c>
      <c r="N2019" s="116">
        <v>3238</v>
      </c>
      <c r="O2019" s="116">
        <v>3121.2</v>
      </c>
      <c r="P2019" s="116">
        <v>3192</v>
      </c>
      <c r="Q2019" s="116">
        <v>3136.15</v>
      </c>
      <c r="R2019">
        <v>353966</v>
      </c>
    </row>
    <row r="2020" spans="1:18" x14ac:dyDescent="0.25">
      <c r="A2020" s="170">
        <v>44977</v>
      </c>
      <c r="B2020" s="116">
        <v>3225.85</v>
      </c>
      <c r="C2020" s="116">
        <v>3178</v>
      </c>
      <c r="D2020" s="116">
        <v>3140.9</v>
      </c>
      <c r="E2020" s="116">
        <v>3160</v>
      </c>
      <c r="F2020" s="116">
        <v>3178</v>
      </c>
      <c r="G2020">
        <v>8911</v>
      </c>
      <c r="H2020" s="116"/>
      <c r="I2020" s="116"/>
      <c r="L2020" s="170">
        <v>44977</v>
      </c>
      <c r="M2020" s="116">
        <v>3174.15</v>
      </c>
      <c r="N2020" s="116">
        <v>3224.9</v>
      </c>
      <c r="O2020" s="116">
        <v>3139</v>
      </c>
      <c r="P2020" s="116">
        <v>3154.05</v>
      </c>
      <c r="Q2020" s="116">
        <v>3174.15</v>
      </c>
      <c r="R2020">
        <v>305386</v>
      </c>
    </row>
    <row r="2021" spans="1:18" x14ac:dyDescent="0.25">
      <c r="A2021" s="170">
        <v>44978</v>
      </c>
      <c r="B2021" s="116">
        <v>3205.7</v>
      </c>
      <c r="C2021" s="116">
        <v>3169.45</v>
      </c>
      <c r="D2021" s="116">
        <v>3145.3</v>
      </c>
      <c r="E2021" s="116">
        <v>3189.95</v>
      </c>
      <c r="F2021" s="116">
        <v>3169.45</v>
      </c>
      <c r="G2021">
        <v>10074</v>
      </c>
      <c r="H2021" s="116"/>
      <c r="I2021" s="116"/>
      <c r="L2021" s="170">
        <v>44978</v>
      </c>
      <c r="M2021" s="116">
        <v>3169.4</v>
      </c>
      <c r="N2021" s="116">
        <v>3207.25</v>
      </c>
      <c r="O2021" s="116">
        <v>3145</v>
      </c>
      <c r="P2021" s="116">
        <v>3195.65</v>
      </c>
      <c r="Q2021" s="116">
        <v>3169.4</v>
      </c>
      <c r="R2021">
        <v>314522</v>
      </c>
    </row>
    <row r="2022" spans="1:18" x14ac:dyDescent="0.25">
      <c r="A2022" s="170">
        <v>44979</v>
      </c>
      <c r="B2022" s="116">
        <v>3187.55</v>
      </c>
      <c r="C2022" s="116">
        <v>3172.15</v>
      </c>
      <c r="D2022" s="116">
        <v>3130.05</v>
      </c>
      <c r="E2022" s="116">
        <v>3174.95</v>
      </c>
      <c r="F2022" s="116">
        <v>3172.15</v>
      </c>
      <c r="G2022">
        <v>19690</v>
      </c>
      <c r="H2022" s="116"/>
      <c r="I2022" s="116"/>
      <c r="L2022" s="170">
        <v>44979</v>
      </c>
      <c r="M2022" s="116">
        <v>3172.8</v>
      </c>
      <c r="N2022" s="116">
        <v>3188.9</v>
      </c>
      <c r="O2022" s="116">
        <v>3129.3</v>
      </c>
      <c r="P2022" s="116">
        <v>3169.95</v>
      </c>
      <c r="Q2022" s="116">
        <v>3172.8</v>
      </c>
      <c r="R2022">
        <v>218407</v>
      </c>
    </row>
    <row r="2023" spans="1:18" x14ac:dyDescent="0.25">
      <c r="A2023" s="170">
        <v>44980</v>
      </c>
      <c r="B2023" s="116">
        <v>3177.45</v>
      </c>
      <c r="C2023" s="116">
        <v>3139.9</v>
      </c>
      <c r="D2023" s="116">
        <v>3123.9</v>
      </c>
      <c r="E2023" s="116">
        <v>3173.05</v>
      </c>
      <c r="F2023" s="116">
        <v>3139.9</v>
      </c>
      <c r="G2023">
        <v>3627</v>
      </c>
      <c r="H2023" s="116"/>
      <c r="I2023" s="116"/>
      <c r="L2023" s="170">
        <v>44980</v>
      </c>
      <c r="M2023" s="116">
        <v>3138.35</v>
      </c>
      <c r="N2023" s="116">
        <v>3180</v>
      </c>
      <c r="O2023" s="116">
        <v>3122.1</v>
      </c>
      <c r="P2023" s="116">
        <v>3178</v>
      </c>
      <c r="Q2023" s="116">
        <v>3138.35</v>
      </c>
      <c r="R2023">
        <v>155736</v>
      </c>
    </row>
    <row r="2024" spans="1:18" x14ac:dyDescent="0.25">
      <c r="A2024" s="170">
        <v>44981</v>
      </c>
      <c r="B2024" s="116">
        <v>3170.8</v>
      </c>
      <c r="C2024" s="116">
        <v>3141.55</v>
      </c>
      <c r="D2024" s="116">
        <v>3131.25</v>
      </c>
      <c r="E2024" s="116">
        <v>3141.05</v>
      </c>
      <c r="F2024" s="116">
        <v>3141.55</v>
      </c>
      <c r="G2024">
        <v>4606</v>
      </c>
      <c r="H2024" s="116"/>
      <c r="I2024" s="116"/>
      <c r="L2024" s="170">
        <v>44981</v>
      </c>
      <c r="M2024" s="116">
        <v>3142</v>
      </c>
      <c r="N2024" s="116">
        <v>3174</v>
      </c>
      <c r="O2024" s="116">
        <v>3132.1</v>
      </c>
      <c r="P2024" s="116">
        <v>3154</v>
      </c>
      <c r="Q2024" s="116">
        <v>3142</v>
      </c>
      <c r="R2024">
        <v>141718</v>
      </c>
    </row>
    <row r="2025" spans="1:18" x14ac:dyDescent="0.25">
      <c r="A2025" s="170">
        <v>44984</v>
      </c>
      <c r="B2025" s="116">
        <v>3178.45</v>
      </c>
      <c r="C2025" s="116">
        <v>3107.3</v>
      </c>
      <c r="D2025" s="116">
        <v>3056</v>
      </c>
      <c r="E2025" s="116">
        <v>3142.5</v>
      </c>
      <c r="F2025" s="116">
        <v>3107.3</v>
      </c>
      <c r="G2025">
        <v>5570</v>
      </c>
      <c r="H2025" s="116"/>
      <c r="I2025" s="116"/>
      <c r="L2025" s="170">
        <v>44984</v>
      </c>
      <c r="M2025" s="116">
        <v>3108.05</v>
      </c>
      <c r="N2025" s="116">
        <v>3179</v>
      </c>
      <c r="O2025" s="116">
        <v>3053.1</v>
      </c>
      <c r="P2025" s="116">
        <v>3149.7</v>
      </c>
      <c r="Q2025" s="116">
        <v>3108.05</v>
      </c>
      <c r="R2025">
        <v>220001</v>
      </c>
    </row>
    <row r="2026" spans="1:18" x14ac:dyDescent="0.25">
      <c r="A2026" s="170">
        <v>44985</v>
      </c>
      <c r="B2026" s="116">
        <v>3245</v>
      </c>
      <c r="C2026" s="116">
        <v>3213.5</v>
      </c>
      <c r="D2026" s="116">
        <v>3106.55</v>
      </c>
      <c r="E2026" s="116">
        <v>3146.95</v>
      </c>
      <c r="F2026" s="116">
        <v>3213.5</v>
      </c>
      <c r="G2026">
        <v>9955</v>
      </c>
      <c r="H2026" s="116"/>
      <c r="I2026" s="116"/>
      <c r="L2026" s="170">
        <v>44985</v>
      </c>
      <c r="M2026" s="116">
        <v>3217.35</v>
      </c>
      <c r="N2026" s="116">
        <v>3247</v>
      </c>
      <c r="O2026" s="116">
        <v>3104.8</v>
      </c>
      <c r="P2026" s="116">
        <v>3123.6</v>
      </c>
      <c r="Q2026" s="116">
        <v>3217.35</v>
      </c>
      <c r="R2026">
        <v>923123</v>
      </c>
    </row>
    <row r="2027" spans="1:18" x14ac:dyDescent="0.25">
      <c r="A2027" s="170">
        <v>44986</v>
      </c>
      <c r="B2027" s="116">
        <v>3320</v>
      </c>
      <c r="C2027" s="116">
        <v>3312.3</v>
      </c>
      <c r="D2027" s="116">
        <v>3209.45</v>
      </c>
      <c r="E2027" s="116">
        <v>3230</v>
      </c>
      <c r="F2027" s="116">
        <v>3312.3</v>
      </c>
      <c r="G2027">
        <v>9770</v>
      </c>
      <c r="H2027" s="116"/>
      <c r="I2027" s="116"/>
      <c r="L2027" s="170">
        <v>44986</v>
      </c>
      <c r="M2027" s="116">
        <v>3311.45</v>
      </c>
      <c r="N2027" s="116">
        <v>3319.7</v>
      </c>
      <c r="O2027" s="116">
        <v>3206.7</v>
      </c>
      <c r="P2027" s="116">
        <v>3232</v>
      </c>
      <c r="Q2027" s="116">
        <v>3311.45</v>
      </c>
      <c r="R2027">
        <v>556560</v>
      </c>
    </row>
    <row r="2028" spans="1:18" x14ac:dyDescent="0.25">
      <c r="A2028" s="170">
        <v>44987</v>
      </c>
      <c r="B2028" s="116">
        <v>3334.25</v>
      </c>
      <c r="C2028" s="116">
        <v>3321.8</v>
      </c>
      <c r="D2028" s="116">
        <v>3288.75</v>
      </c>
      <c r="E2028" s="116">
        <v>3324.95</v>
      </c>
      <c r="F2028" s="116">
        <v>3321.8</v>
      </c>
      <c r="G2028">
        <v>10138</v>
      </c>
      <c r="H2028" s="116"/>
      <c r="I2028" s="116"/>
      <c r="L2028" s="170">
        <v>44987</v>
      </c>
      <c r="M2028" s="116">
        <v>3323.4</v>
      </c>
      <c r="N2028" s="116">
        <v>3339.85</v>
      </c>
      <c r="O2028" s="116">
        <v>3286</v>
      </c>
      <c r="P2028" s="116">
        <v>3318</v>
      </c>
      <c r="Q2028" s="116">
        <v>3323.4</v>
      </c>
      <c r="R2028">
        <v>351509</v>
      </c>
    </row>
    <row r="2029" spans="1:18" x14ac:dyDescent="0.25">
      <c r="A2029" s="170">
        <v>44988</v>
      </c>
      <c r="B2029" s="116">
        <v>3361.45</v>
      </c>
      <c r="C2029" s="116">
        <v>3329.15</v>
      </c>
      <c r="D2029" s="116">
        <v>3311.9</v>
      </c>
      <c r="E2029" s="116">
        <v>3325</v>
      </c>
      <c r="F2029" s="116">
        <v>3329.15</v>
      </c>
      <c r="G2029">
        <v>4855</v>
      </c>
      <c r="H2029" s="116"/>
      <c r="I2029" s="116"/>
      <c r="L2029" s="170">
        <v>44988</v>
      </c>
      <c r="M2029" s="116">
        <v>3328.75</v>
      </c>
      <c r="N2029" s="116">
        <v>3364</v>
      </c>
      <c r="O2029" s="116">
        <v>3311.05</v>
      </c>
      <c r="P2029" s="116">
        <v>3335.95</v>
      </c>
      <c r="Q2029" s="116">
        <v>3328.75</v>
      </c>
      <c r="R2029">
        <v>446442</v>
      </c>
    </row>
    <row r="2030" spans="1:18" x14ac:dyDescent="0.25">
      <c r="A2030" s="170">
        <v>44991</v>
      </c>
      <c r="B2030" s="116">
        <v>3365</v>
      </c>
      <c r="C2030" s="116">
        <v>3318.8</v>
      </c>
      <c r="D2030" s="116">
        <v>3305</v>
      </c>
      <c r="E2030" s="116">
        <v>3329</v>
      </c>
      <c r="F2030" s="116">
        <v>3318.8</v>
      </c>
      <c r="G2030">
        <v>9793</v>
      </c>
      <c r="H2030" s="116"/>
      <c r="I2030" s="116"/>
      <c r="L2030" s="170">
        <v>44991</v>
      </c>
      <c r="M2030" s="116">
        <v>3318.45</v>
      </c>
      <c r="N2030" s="116">
        <v>3364.75</v>
      </c>
      <c r="O2030" s="116">
        <v>3301.35</v>
      </c>
      <c r="P2030" s="116">
        <v>3339.9</v>
      </c>
      <c r="Q2030" s="116">
        <v>3318.45</v>
      </c>
      <c r="R2030">
        <v>294806</v>
      </c>
    </row>
    <row r="2031" spans="1:18" x14ac:dyDescent="0.25">
      <c r="A2031" s="170">
        <v>44993</v>
      </c>
      <c r="B2031" s="116">
        <v>3400</v>
      </c>
      <c r="C2031" s="116">
        <v>3379.15</v>
      </c>
      <c r="D2031" s="116">
        <v>3300.05</v>
      </c>
      <c r="E2031" s="116">
        <v>3300.05</v>
      </c>
      <c r="F2031" s="116">
        <v>3379.15</v>
      </c>
      <c r="G2031">
        <v>9039</v>
      </c>
      <c r="H2031" s="116"/>
      <c r="I2031" s="116"/>
      <c r="L2031" s="170">
        <v>44993</v>
      </c>
      <c r="M2031" s="116">
        <v>3379.85</v>
      </c>
      <c r="N2031" s="116">
        <v>3398.9</v>
      </c>
      <c r="O2031" s="116">
        <v>3300</v>
      </c>
      <c r="P2031" s="116">
        <v>3318.45</v>
      </c>
      <c r="Q2031" s="116">
        <v>3379.85</v>
      </c>
      <c r="R2031">
        <v>448991</v>
      </c>
    </row>
    <row r="2032" spans="1:18" x14ac:dyDescent="0.25">
      <c r="A2032" s="170">
        <v>44994</v>
      </c>
      <c r="B2032" s="116">
        <v>3433.7</v>
      </c>
      <c r="C2032" s="116">
        <v>3387.3</v>
      </c>
      <c r="D2032" s="116">
        <v>3380.3</v>
      </c>
      <c r="E2032" s="116">
        <v>3394.95</v>
      </c>
      <c r="F2032" s="116">
        <v>3387.3</v>
      </c>
      <c r="G2032">
        <v>12570</v>
      </c>
      <c r="H2032" s="116"/>
      <c r="I2032" s="116"/>
      <c r="L2032" s="170">
        <v>44994</v>
      </c>
      <c r="M2032" s="116">
        <v>3388</v>
      </c>
      <c r="N2032" s="116">
        <v>3434</v>
      </c>
      <c r="O2032" s="116">
        <v>3380</v>
      </c>
      <c r="P2032" s="116">
        <v>3393.7</v>
      </c>
      <c r="Q2032" s="116">
        <v>3388</v>
      </c>
      <c r="R2032">
        <v>333450</v>
      </c>
    </row>
    <row r="2033" spans="1:18" x14ac:dyDescent="0.25">
      <c r="A2033" s="170">
        <v>44995</v>
      </c>
      <c r="B2033" s="116">
        <v>3388.65</v>
      </c>
      <c r="C2033" s="116">
        <v>3380.4</v>
      </c>
      <c r="D2033" s="116">
        <v>3347.55</v>
      </c>
      <c r="E2033" s="116">
        <v>3353.2</v>
      </c>
      <c r="F2033" s="116">
        <v>3380.4</v>
      </c>
      <c r="G2033">
        <v>3412</v>
      </c>
      <c r="H2033" s="116"/>
      <c r="I2033" s="116"/>
      <c r="L2033" s="170">
        <v>44995</v>
      </c>
      <c r="M2033" s="116">
        <v>3377.4</v>
      </c>
      <c r="N2033" s="116">
        <v>3386.65</v>
      </c>
      <c r="O2033" s="116">
        <v>3327</v>
      </c>
      <c r="P2033" s="116">
        <v>3379.85</v>
      </c>
      <c r="Q2033" s="116">
        <v>3377.4</v>
      </c>
      <c r="R2033">
        <v>194714</v>
      </c>
    </row>
    <row r="2034" spans="1:18" x14ac:dyDescent="0.25">
      <c r="A2034" s="170">
        <v>44998</v>
      </c>
      <c r="B2034" s="116">
        <v>3400.3</v>
      </c>
      <c r="C2034" s="116">
        <v>3274.65</v>
      </c>
      <c r="D2034" s="116">
        <v>3266.2</v>
      </c>
      <c r="E2034" s="116">
        <v>3381.05</v>
      </c>
      <c r="F2034" s="116">
        <v>3274.65</v>
      </c>
      <c r="G2034">
        <v>8588</v>
      </c>
      <c r="H2034" s="116"/>
      <c r="I2034" s="116"/>
      <c r="L2034" s="170">
        <v>44998</v>
      </c>
      <c r="M2034" s="116">
        <v>3274.45</v>
      </c>
      <c r="N2034" s="116">
        <v>3401.05</v>
      </c>
      <c r="O2034" s="116">
        <v>3265.05</v>
      </c>
      <c r="P2034" s="116">
        <v>3393</v>
      </c>
      <c r="Q2034" s="116">
        <v>3274.45</v>
      </c>
      <c r="R2034">
        <v>276376</v>
      </c>
    </row>
    <row r="2035" spans="1:18" x14ac:dyDescent="0.25">
      <c r="A2035" s="170">
        <v>44999</v>
      </c>
      <c r="B2035" s="116">
        <v>3323.6</v>
      </c>
      <c r="C2035" s="116">
        <v>3306.45</v>
      </c>
      <c r="D2035" s="116">
        <v>3233.85</v>
      </c>
      <c r="E2035" s="116">
        <v>3295.1</v>
      </c>
      <c r="F2035" s="116">
        <v>3306.45</v>
      </c>
      <c r="G2035">
        <v>19303</v>
      </c>
      <c r="H2035" s="116"/>
      <c r="I2035" s="116"/>
      <c r="L2035" s="170">
        <v>44999</v>
      </c>
      <c r="M2035" s="116">
        <v>3311.15</v>
      </c>
      <c r="N2035" s="116">
        <v>3322.9</v>
      </c>
      <c r="O2035" s="116">
        <v>3233.65</v>
      </c>
      <c r="P2035" s="116">
        <v>3287</v>
      </c>
      <c r="Q2035" s="116">
        <v>3311.15</v>
      </c>
      <c r="R2035">
        <v>330853</v>
      </c>
    </row>
    <row r="2036" spans="1:18" x14ac:dyDescent="0.25">
      <c r="A2036" s="170">
        <v>45000</v>
      </c>
      <c r="B2036" s="116">
        <v>3349.35</v>
      </c>
      <c r="C2036" s="116">
        <v>3302.35</v>
      </c>
      <c r="D2036" s="116">
        <v>3288.8</v>
      </c>
      <c r="E2036" s="116">
        <v>3346.95</v>
      </c>
      <c r="F2036" s="116">
        <v>3302.35</v>
      </c>
      <c r="G2036">
        <v>3601</v>
      </c>
      <c r="H2036" s="116"/>
      <c r="I2036" s="116"/>
      <c r="L2036" s="170">
        <v>45000</v>
      </c>
      <c r="M2036" s="116">
        <v>3302.25</v>
      </c>
      <c r="N2036" s="116">
        <v>3347.95</v>
      </c>
      <c r="O2036" s="116">
        <v>3286</v>
      </c>
      <c r="P2036" s="116">
        <v>3344</v>
      </c>
      <c r="Q2036" s="116">
        <v>3302.25</v>
      </c>
      <c r="R2036">
        <v>228737</v>
      </c>
    </row>
    <row r="2037" spans="1:18" x14ac:dyDescent="0.25">
      <c r="A2037" s="170">
        <v>45001</v>
      </c>
      <c r="B2037" s="116">
        <v>3339.55</v>
      </c>
      <c r="C2037" s="116">
        <v>3330.1</v>
      </c>
      <c r="D2037" s="116">
        <v>3251.35</v>
      </c>
      <c r="E2037" s="116">
        <v>3291.05</v>
      </c>
      <c r="F2037" s="116">
        <v>3330.1</v>
      </c>
      <c r="G2037">
        <v>8206</v>
      </c>
      <c r="H2037" s="116"/>
      <c r="I2037" s="116"/>
      <c r="L2037" s="170">
        <v>45001</v>
      </c>
      <c r="M2037" s="116">
        <v>3327.95</v>
      </c>
      <c r="N2037" s="116">
        <v>3344.65</v>
      </c>
      <c r="O2037" s="116">
        <v>3252</v>
      </c>
      <c r="P2037" s="116">
        <v>3282.05</v>
      </c>
      <c r="Q2037" s="116">
        <v>3327.95</v>
      </c>
      <c r="R2037">
        <v>257895</v>
      </c>
    </row>
    <row r="2038" spans="1:18" x14ac:dyDescent="0.25">
      <c r="A2038" s="170">
        <v>45002</v>
      </c>
      <c r="B2038" s="116">
        <v>3364.35</v>
      </c>
      <c r="C2038" s="116">
        <v>3308.65</v>
      </c>
      <c r="D2038" s="116">
        <v>3285.25</v>
      </c>
      <c r="E2038" s="116">
        <v>3339</v>
      </c>
      <c r="F2038" s="116">
        <v>3308.65</v>
      </c>
      <c r="G2038">
        <v>5207</v>
      </c>
      <c r="H2038" s="116"/>
      <c r="I2038" s="116"/>
      <c r="L2038" s="170">
        <v>45002</v>
      </c>
      <c r="M2038" s="116">
        <v>3312.55</v>
      </c>
      <c r="N2038" s="116">
        <v>3364</v>
      </c>
      <c r="O2038" s="116">
        <v>3286.6</v>
      </c>
      <c r="P2038" s="116">
        <v>3347.05</v>
      </c>
      <c r="Q2038" s="116">
        <v>3312.55</v>
      </c>
      <c r="R2038">
        <v>256724</v>
      </c>
    </row>
    <row r="2039" spans="1:18" x14ac:dyDescent="0.25">
      <c r="A2039" s="170">
        <v>45005</v>
      </c>
      <c r="B2039" s="116">
        <v>3326.8</v>
      </c>
      <c r="C2039" s="116">
        <v>3298.25</v>
      </c>
      <c r="D2039" s="116">
        <v>3260.05</v>
      </c>
      <c r="E2039" s="116">
        <v>3260.05</v>
      </c>
      <c r="F2039" s="116">
        <v>3298.25</v>
      </c>
      <c r="G2039">
        <v>5016</v>
      </c>
      <c r="H2039" s="116"/>
      <c r="I2039" s="116"/>
      <c r="L2039" s="170">
        <v>45005</v>
      </c>
      <c r="M2039" s="116">
        <v>3298.85</v>
      </c>
      <c r="N2039" s="116">
        <v>3329</v>
      </c>
      <c r="O2039" s="116">
        <v>3266.45</v>
      </c>
      <c r="P2039" s="116">
        <v>3300</v>
      </c>
      <c r="Q2039" s="116">
        <v>3298.85</v>
      </c>
      <c r="R2039">
        <v>175472</v>
      </c>
    </row>
    <row r="2040" spans="1:18" x14ac:dyDescent="0.25">
      <c r="A2040" s="170">
        <v>45006</v>
      </c>
      <c r="B2040" s="116">
        <v>3430</v>
      </c>
      <c r="C2040" s="116">
        <v>3412.7</v>
      </c>
      <c r="D2040" s="116">
        <v>3305.2</v>
      </c>
      <c r="E2040" s="116">
        <v>3325.95</v>
      </c>
      <c r="F2040" s="116">
        <v>3412.7</v>
      </c>
      <c r="G2040">
        <v>4691</v>
      </c>
      <c r="H2040" s="116"/>
      <c r="I2040" s="116"/>
      <c r="L2040" s="170">
        <v>45006</v>
      </c>
      <c r="M2040" s="116">
        <v>3412.35</v>
      </c>
      <c r="N2040" s="116">
        <v>3432.95</v>
      </c>
      <c r="O2040" s="116">
        <v>3299</v>
      </c>
      <c r="P2040" s="116">
        <v>3299</v>
      </c>
      <c r="Q2040" s="116">
        <v>3412.35</v>
      </c>
      <c r="R2040">
        <v>278420</v>
      </c>
    </row>
    <row r="2041" spans="1:18" x14ac:dyDescent="0.25">
      <c r="A2041" s="170">
        <v>45007</v>
      </c>
      <c r="B2041" s="116">
        <v>3426.95</v>
      </c>
      <c r="C2041" s="116">
        <v>3310.95</v>
      </c>
      <c r="D2041" s="116">
        <v>3302</v>
      </c>
      <c r="E2041" s="116">
        <v>3426.95</v>
      </c>
      <c r="F2041" s="116">
        <v>3310.95</v>
      </c>
      <c r="G2041">
        <v>11293</v>
      </c>
      <c r="H2041" s="116"/>
      <c r="I2041" s="116"/>
      <c r="L2041" s="170">
        <v>45007</v>
      </c>
      <c r="M2041" s="116">
        <v>3309.9</v>
      </c>
      <c r="N2041" s="116">
        <v>3427.2</v>
      </c>
      <c r="O2041" s="116">
        <v>3301.05</v>
      </c>
      <c r="P2041" s="116">
        <v>3413.05</v>
      </c>
      <c r="Q2041" s="116">
        <v>3309.9</v>
      </c>
      <c r="R2041">
        <v>288396</v>
      </c>
    </row>
    <row r="2042" spans="1:18" x14ac:dyDescent="0.25">
      <c r="A2042" s="170">
        <v>45008</v>
      </c>
      <c r="B2042" s="116">
        <v>3384.1</v>
      </c>
      <c r="C2042" s="116">
        <v>3359.75</v>
      </c>
      <c r="D2042" s="116">
        <v>3290.15</v>
      </c>
      <c r="E2042" s="116">
        <v>3290.15</v>
      </c>
      <c r="F2042" s="116">
        <v>3359.75</v>
      </c>
      <c r="G2042">
        <v>11029</v>
      </c>
      <c r="H2042" s="116"/>
      <c r="I2042" s="116"/>
      <c r="L2042" s="170">
        <v>45008</v>
      </c>
      <c r="M2042" s="116">
        <v>3360.45</v>
      </c>
      <c r="N2042" s="116">
        <v>3384</v>
      </c>
      <c r="O2042" s="116">
        <v>3301.35</v>
      </c>
      <c r="P2042" s="116">
        <v>3310</v>
      </c>
      <c r="Q2042" s="116">
        <v>3360.45</v>
      </c>
      <c r="R2042">
        <v>369001</v>
      </c>
    </row>
    <row r="2043" spans="1:18" x14ac:dyDescent="0.25">
      <c r="A2043" s="170">
        <v>45009</v>
      </c>
      <c r="B2043" s="116">
        <v>3390.5</v>
      </c>
      <c r="C2043" s="116">
        <v>3343.95</v>
      </c>
      <c r="D2043" s="116">
        <v>3331.4</v>
      </c>
      <c r="E2043" s="116">
        <v>3388.95</v>
      </c>
      <c r="F2043" s="116">
        <v>3343.95</v>
      </c>
      <c r="G2043">
        <v>6145</v>
      </c>
      <c r="H2043" s="116"/>
      <c r="I2043" s="116"/>
      <c r="L2043" s="170">
        <v>45009</v>
      </c>
      <c r="M2043" s="116">
        <v>3346.7</v>
      </c>
      <c r="N2043" s="116">
        <v>3392</v>
      </c>
      <c r="O2043" s="116">
        <v>3330</v>
      </c>
      <c r="P2043" s="116">
        <v>3377.35</v>
      </c>
      <c r="Q2043" s="116">
        <v>3346.7</v>
      </c>
      <c r="R2043">
        <v>180779</v>
      </c>
    </row>
    <row r="2044" spans="1:18" x14ac:dyDescent="0.25">
      <c r="A2044" s="170">
        <v>45012</v>
      </c>
      <c r="B2044" s="116">
        <v>3394.75</v>
      </c>
      <c r="C2044" s="116">
        <v>3322.4</v>
      </c>
      <c r="D2044" s="116">
        <v>3307.8</v>
      </c>
      <c r="E2044" s="116">
        <v>3394.75</v>
      </c>
      <c r="F2044" s="116">
        <v>3322.4</v>
      </c>
      <c r="G2044">
        <v>5407</v>
      </c>
      <c r="H2044" s="116"/>
      <c r="I2044" s="116"/>
      <c r="L2044" s="170">
        <v>45012</v>
      </c>
      <c r="M2044" s="116">
        <v>3324.6</v>
      </c>
      <c r="N2044" s="116">
        <v>3368.9</v>
      </c>
      <c r="O2044" s="116">
        <v>3313.8</v>
      </c>
      <c r="P2044" s="116">
        <v>3354</v>
      </c>
      <c r="Q2044" s="116">
        <v>3324.6</v>
      </c>
      <c r="R2044">
        <v>171779</v>
      </c>
    </row>
    <row r="2045" spans="1:18" x14ac:dyDescent="0.25">
      <c r="A2045" s="170">
        <v>45013</v>
      </c>
      <c r="B2045" s="116">
        <v>3381.8</v>
      </c>
      <c r="C2045" s="116">
        <v>3340.7</v>
      </c>
      <c r="D2045" s="116">
        <v>3301.65</v>
      </c>
      <c r="E2045" s="116">
        <v>3333.1</v>
      </c>
      <c r="F2045" s="116">
        <v>3340.7</v>
      </c>
      <c r="G2045">
        <v>4704</v>
      </c>
      <c r="H2045" s="116"/>
      <c r="I2045" s="116"/>
      <c r="L2045" s="170">
        <v>45013</v>
      </c>
      <c r="M2045" s="116">
        <v>3338.65</v>
      </c>
      <c r="N2045" s="116">
        <v>3385</v>
      </c>
      <c r="O2045" s="116">
        <v>3303</v>
      </c>
      <c r="P2045" s="116">
        <v>3357</v>
      </c>
      <c r="Q2045" s="116">
        <v>3338.65</v>
      </c>
      <c r="R2045">
        <v>184543</v>
      </c>
    </row>
    <row r="2046" spans="1:18" x14ac:dyDescent="0.25">
      <c r="A2046" s="170">
        <v>45014</v>
      </c>
      <c r="B2046" s="116">
        <v>3415</v>
      </c>
      <c r="C2046" s="116">
        <v>3393.65</v>
      </c>
      <c r="D2046" s="116">
        <v>3324.1</v>
      </c>
      <c r="E2046" s="116">
        <v>3324.1</v>
      </c>
      <c r="F2046" s="116">
        <v>3393.65</v>
      </c>
      <c r="G2046">
        <v>14648</v>
      </c>
      <c r="H2046" s="116"/>
      <c r="I2046" s="116"/>
      <c r="L2046" s="170">
        <v>45014</v>
      </c>
      <c r="M2046" s="116">
        <v>3391.45</v>
      </c>
      <c r="N2046" s="116">
        <v>3415.65</v>
      </c>
      <c r="O2046" s="116">
        <v>3333</v>
      </c>
      <c r="P2046" s="116">
        <v>3339.9</v>
      </c>
      <c r="Q2046" s="116">
        <v>3391.45</v>
      </c>
      <c r="R2046">
        <v>1031003</v>
      </c>
    </row>
    <row r="2047" spans="1:18" x14ac:dyDescent="0.25">
      <c r="A2047" s="170">
        <v>45016</v>
      </c>
      <c r="B2047" s="116">
        <v>3418.75</v>
      </c>
      <c r="C2047" s="116">
        <v>3365.5</v>
      </c>
      <c r="D2047" s="116">
        <v>3345</v>
      </c>
      <c r="E2047" s="116">
        <v>3382.05</v>
      </c>
      <c r="F2047" s="116">
        <v>3365.5</v>
      </c>
      <c r="G2047">
        <v>8697</v>
      </c>
      <c r="H2047" s="116"/>
      <c r="I2047" s="116"/>
      <c r="L2047" s="170">
        <v>45016</v>
      </c>
      <c r="M2047" s="116">
        <v>3365.15</v>
      </c>
      <c r="N2047" s="116">
        <v>3420</v>
      </c>
      <c r="O2047" s="116">
        <v>3350.1</v>
      </c>
      <c r="P2047" s="116">
        <v>3391</v>
      </c>
      <c r="Q2047" s="116">
        <v>3365.15</v>
      </c>
      <c r="R2047">
        <v>329944</v>
      </c>
    </row>
    <row r="2048" spans="1:18" x14ac:dyDescent="0.25">
      <c r="A2048" s="170">
        <v>45019</v>
      </c>
      <c r="B2048" s="116">
        <v>3417.15</v>
      </c>
      <c r="C2048" s="116">
        <v>3372.8</v>
      </c>
      <c r="D2048" s="116">
        <v>3340</v>
      </c>
      <c r="E2048" s="116">
        <v>3370.05</v>
      </c>
      <c r="F2048" s="116">
        <v>3372.8</v>
      </c>
      <c r="G2048">
        <v>6060</v>
      </c>
      <c r="H2048" s="116"/>
      <c r="I2048" s="116"/>
      <c r="L2048" s="170">
        <v>45019</v>
      </c>
      <c r="M2048" s="116">
        <v>3373.75</v>
      </c>
      <c r="N2048" s="116">
        <v>3418</v>
      </c>
      <c r="O2048" s="116">
        <v>3338</v>
      </c>
      <c r="P2048" s="116">
        <v>3388</v>
      </c>
      <c r="Q2048" s="116">
        <v>3373.75</v>
      </c>
      <c r="R2048">
        <v>323147</v>
      </c>
    </row>
    <row r="2049" spans="1:18" x14ac:dyDescent="0.25">
      <c r="A2049" s="170">
        <v>45021</v>
      </c>
      <c r="B2049" s="116">
        <v>3390</v>
      </c>
      <c r="C2049" s="116">
        <v>3373.05</v>
      </c>
      <c r="D2049" s="116">
        <v>3347.65</v>
      </c>
      <c r="E2049" s="116">
        <v>3390</v>
      </c>
      <c r="F2049" s="116">
        <v>3373.05</v>
      </c>
      <c r="G2049">
        <v>3361</v>
      </c>
      <c r="H2049" s="116"/>
      <c r="I2049" s="116"/>
      <c r="L2049" s="170">
        <v>45021</v>
      </c>
      <c r="M2049" s="116">
        <v>3374.15</v>
      </c>
      <c r="N2049" s="116">
        <v>3390</v>
      </c>
      <c r="O2049" s="116">
        <v>3347.05</v>
      </c>
      <c r="P2049" s="116">
        <v>3388.95</v>
      </c>
      <c r="Q2049" s="116">
        <v>3374.15</v>
      </c>
      <c r="R2049">
        <v>221406</v>
      </c>
    </row>
    <row r="2050" spans="1:18" x14ac:dyDescent="0.25">
      <c r="A2050" s="170">
        <v>45022</v>
      </c>
      <c r="B2050" s="116">
        <v>3466.9</v>
      </c>
      <c r="C2050" s="116">
        <v>3396.6</v>
      </c>
      <c r="D2050" s="116">
        <v>3366.9</v>
      </c>
      <c r="E2050" s="116">
        <v>3389.95</v>
      </c>
      <c r="F2050" s="116">
        <v>3396.6</v>
      </c>
      <c r="G2050">
        <v>17297</v>
      </c>
      <c r="H2050" s="116"/>
      <c r="I2050" s="116"/>
      <c r="L2050" s="170">
        <v>45022</v>
      </c>
      <c r="M2050" s="116">
        <v>3397.1</v>
      </c>
      <c r="N2050" s="116">
        <v>3467.95</v>
      </c>
      <c r="O2050" s="116">
        <v>3366</v>
      </c>
      <c r="P2050" s="116">
        <v>3380.05</v>
      </c>
      <c r="Q2050" s="116">
        <v>3397.1</v>
      </c>
      <c r="R2050">
        <v>733361</v>
      </c>
    </row>
    <row r="2051" spans="1:18" x14ac:dyDescent="0.25">
      <c r="A2051" s="170">
        <v>45026</v>
      </c>
      <c r="B2051" s="116">
        <v>3416.5</v>
      </c>
      <c r="C2051" s="116">
        <v>3399.1</v>
      </c>
      <c r="D2051" s="116">
        <v>3370</v>
      </c>
      <c r="E2051" s="116">
        <v>3396.5</v>
      </c>
      <c r="F2051" s="116">
        <v>3399.1</v>
      </c>
      <c r="G2051">
        <v>3258</v>
      </c>
      <c r="H2051" s="116"/>
      <c r="I2051" s="116"/>
      <c r="L2051" s="170">
        <v>45026</v>
      </c>
      <c r="M2051" s="116">
        <v>3397.65</v>
      </c>
      <c r="N2051" s="116">
        <v>3419.9</v>
      </c>
      <c r="O2051" s="116">
        <v>3369.7</v>
      </c>
      <c r="P2051" s="116">
        <v>3419.9</v>
      </c>
      <c r="Q2051" s="116">
        <v>3397.65</v>
      </c>
      <c r="R2051">
        <v>193423</v>
      </c>
    </row>
    <row r="2052" spans="1:18" x14ac:dyDescent="0.25">
      <c r="A2052" s="170">
        <v>45027</v>
      </c>
      <c r="B2052" s="116">
        <v>3395.05</v>
      </c>
      <c r="C2052" s="116">
        <v>3278.15</v>
      </c>
      <c r="D2052" s="116">
        <v>3268</v>
      </c>
      <c r="E2052" s="116">
        <v>3395.05</v>
      </c>
      <c r="F2052" s="116">
        <v>3278.15</v>
      </c>
      <c r="G2052">
        <v>18005</v>
      </c>
      <c r="H2052" s="116"/>
      <c r="I2052" s="116"/>
      <c r="L2052" s="170">
        <v>45027</v>
      </c>
      <c r="M2052" s="116">
        <v>3277.45</v>
      </c>
      <c r="N2052" s="116">
        <v>3383</v>
      </c>
      <c r="O2052" s="116">
        <v>3267.1</v>
      </c>
      <c r="P2052" s="116">
        <v>3383</v>
      </c>
      <c r="Q2052" s="116">
        <v>3277.45</v>
      </c>
      <c r="R2052">
        <v>493329</v>
      </c>
    </row>
    <row r="2053" spans="1:18" x14ac:dyDescent="0.25">
      <c r="A2053" s="170">
        <v>45028</v>
      </c>
      <c r="B2053" s="116">
        <v>3295.45</v>
      </c>
      <c r="C2053" s="116">
        <v>3202.05</v>
      </c>
      <c r="D2053" s="116">
        <v>3196.45</v>
      </c>
      <c r="E2053" s="116">
        <v>3285</v>
      </c>
      <c r="F2053" s="116">
        <v>3202.05</v>
      </c>
      <c r="G2053">
        <v>13248</v>
      </c>
      <c r="H2053" s="116"/>
      <c r="I2053" s="116"/>
      <c r="L2053" s="170">
        <v>45028</v>
      </c>
      <c r="M2053" s="116">
        <v>3203.55</v>
      </c>
      <c r="N2053" s="116">
        <v>3301.3</v>
      </c>
      <c r="O2053" s="116">
        <v>3196.55</v>
      </c>
      <c r="P2053" s="116">
        <v>3293.9</v>
      </c>
      <c r="Q2053" s="116">
        <v>3203.55</v>
      </c>
      <c r="R2053">
        <v>498526</v>
      </c>
    </row>
    <row r="2054" spans="1:18" x14ac:dyDescent="0.25">
      <c r="A2054" s="170">
        <v>45029</v>
      </c>
      <c r="B2054" s="116">
        <v>3256.2</v>
      </c>
      <c r="C2054" s="116">
        <v>3227.75</v>
      </c>
      <c r="D2054" s="116">
        <v>3175.05</v>
      </c>
      <c r="E2054" s="116">
        <v>3210</v>
      </c>
      <c r="F2054" s="116">
        <v>3227.75</v>
      </c>
      <c r="G2054">
        <v>9149</v>
      </c>
      <c r="H2054" s="116"/>
      <c r="I2054" s="116"/>
      <c r="L2054" s="170">
        <v>45029</v>
      </c>
      <c r="M2054" s="116">
        <v>3230</v>
      </c>
      <c r="N2054" s="116">
        <v>3256.65</v>
      </c>
      <c r="O2054" s="116">
        <v>3173</v>
      </c>
      <c r="P2054" s="116">
        <v>3216.8</v>
      </c>
      <c r="Q2054" s="116">
        <v>3230</v>
      </c>
      <c r="R2054">
        <v>402975</v>
      </c>
    </row>
    <row r="2055" spans="1:18" x14ac:dyDescent="0.25">
      <c r="A2055" s="170">
        <v>45033</v>
      </c>
      <c r="B2055" s="116">
        <v>3268.6</v>
      </c>
      <c r="C2055" s="116">
        <v>3230.7</v>
      </c>
      <c r="D2055" s="116">
        <v>3216</v>
      </c>
      <c r="E2055" s="116">
        <v>3227</v>
      </c>
      <c r="F2055" s="116">
        <v>3230.7</v>
      </c>
      <c r="G2055">
        <v>3387</v>
      </c>
      <c r="H2055" s="116"/>
      <c r="I2055" s="116"/>
      <c r="L2055" s="170">
        <v>45033</v>
      </c>
      <c r="M2055" s="116">
        <v>3229</v>
      </c>
      <c r="N2055" s="116">
        <v>3270</v>
      </c>
      <c r="O2055" s="116">
        <v>3213</v>
      </c>
      <c r="P2055" s="116">
        <v>3250</v>
      </c>
      <c r="Q2055" s="116">
        <v>3229</v>
      </c>
      <c r="R2055">
        <v>286059</v>
      </c>
    </row>
    <row r="2056" spans="1:18" x14ac:dyDescent="0.25">
      <c r="A2056" s="170">
        <v>45034</v>
      </c>
      <c r="B2056" s="116">
        <v>3259.85</v>
      </c>
      <c r="C2056" s="116">
        <v>3208.15</v>
      </c>
      <c r="D2056" s="116">
        <v>3203</v>
      </c>
      <c r="E2056" s="116">
        <v>3230</v>
      </c>
      <c r="F2056" s="116">
        <v>3208.15</v>
      </c>
      <c r="G2056">
        <v>6096</v>
      </c>
      <c r="H2056" s="116"/>
      <c r="I2056" s="116"/>
      <c r="L2056" s="170">
        <v>45034</v>
      </c>
      <c r="M2056" s="116">
        <v>3207.7</v>
      </c>
      <c r="N2056" s="116">
        <v>3259.85</v>
      </c>
      <c r="O2056" s="116">
        <v>3202.9</v>
      </c>
      <c r="P2056" s="116">
        <v>3240</v>
      </c>
      <c r="Q2056" s="116">
        <v>3207.7</v>
      </c>
      <c r="R2056">
        <v>277893</v>
      </c>
    </row>
    <row r="2057" spans="1:18" x14ac:dyDescent="0.25">
      <c r="A2057" s="170">
        <v>45035</v>
      </c>
      <c r="B2057" s="116">
        <v>3243.45</v>
      </c>
      <c r="C2057" s="116">
        <v>3203.7</v>
      </c>
      <c r="D2057" s="116">
        <v>3189.55</v>
      </c>
      <c r="E2057" s="116">
        <v>3230.7</v>
      </c>
      <c r="F2057" s="116">
        <v>3203.7</v>
      </c>
      <c r="G2057">
        <v>7763</v>
      </c>
      <c r="H2057" s="116"/>
      <c r="I2057" s="116"/>
      <c r="L2057" s="170">
        <v>45035</v>
      </c>
      <c r="M2057" s="116">
        <v>3201.05</v>
      </c>
      <c r="N2057" s="116">
        <v>3243</v>
      </c>
      <c r="O2057" s="116">
        <v>3186.05</v>
      </c>
      <c r="P2057" s="116">
        <v>3213</v>
      </c>
      <c r="Q2057" s="116">
        <v>3201.05</v>
      </c>
      <c r="R2057">
        <v>266982</v>
      </c>
    </row>
    <row r="2058" spans="1:18" x14ac:dyDescent="0.25">
      <c r="A2058" s="170">
        <v>45036</v>
      </c>
      <c r="B2058" s="116">
        <v>3230</v>
      </c>
      <c r="C2058" s="116">
        <v>3185.55</v>
      </c>
      <c r="D2058" s="116">
        <v>3180.45</v>
      </c>
      <c r="E2058" s="116">
        <v>3206</v>
      </c>
      <c r="F2058" s="116">
        <v>3185.55</v>
      </c>
      <c r="G2058">
        <v>5002</v>
      </c>
      <c r="H2058" s="116"/>
      <c r="I2058" s="116"/>
      <c r="L2058" s="170">
        <v>45036</v>
      </c>
      <c r="M2058" s="116">
        <v>3184.3</v>
      </c>
      <c r="N2058" s="116">
        <v>3231.75</v>
      </c>
      <c r="O2058" s="116">
        <v>3178</v>
      </c>
      <c r="P2058" s="116">
        <v>3212</v>
      </c>
      <c r="Q2058" s="116">
        <v>3184.3</v>
      </c>
      <c r="R2058">
        <v>276392</v>
      </c>
    </row>
    <row r="2059" spans="1:18" x14ac:dyDescent="0.25">
      <c r="A2059" s="170">
        <v>45037</v>
      </c>
      <c r="B2059" s="116">
        <v>3213</v>
      </c>
      <c r="C2059" s="116">
        <v>3154.1</v>
      </c>
      <c r="D2059" s="116">
        <v>3143.2</v>
      </c>
      <c r="E2059" s="116">
        <v>3192</v>
      </c>
      <c r="F2059" s="116">
        <v>3154.1</v>
      </c>
      <c r="G2059">
        <v>7442</v>
      </c>
      <c r="H2059" s="116"/>
      <c r="I2059" s="116"/>
      <c r="L2059" s="170">
        <v>45037</v>
      </c>
      <c r="M2059" s="116">
        <v>3153.3</v>
      </c>
      <c r="N2059" s="116">
        <v>3212.55</v>
      </c>
      <c r="O2059" s="116">
        <v>3141.15</v>
      </c>
      <c r="P2059" s="116">
        <v>3198</v>
      </c>
      <c r="Q2059" s="116">
        <v>3153.3</v>
      </c>
      <c r="R2059">
        <v>267054</v>
      </c>
    </row>
    <row r="2060" spans="1:18" x14ac:dyDescent="0.25">
      <c r="A2060" s="170">
        <v>45040</v>
      </c>
      <c r="B2060" s="116">
        <v>3232</v>
      </c>
      <c r="C2060" s="116">
        <v>3218.65</v>
      </c>
      <c r="D2060" s="116">
        <v>3156.35</v>
      </c>
      <c r="E2060" s="116">
        <v>3156.35</v>
      </c>
      <c r="F2060" s="116">
        <v>3218.65</v>
      </c>
      <c r="G2060">
        <v>9817</v>
      </c>
      <c r="H2060" s="116"/>
      <c r="I2060" s="116"/>
      <c r="L2060" s="170">
        <v>45040</v>
      </c>
      <c r="M2060" s="116">
        <v>3217.4</v>
      </c>
      <c r="N2060" s="116">
        <v>3232</v>
      </c>
      <c r="O2060" s="116">
        <v>3160.65</v>
      </c>
      <c r="P2060" s="116">
        <v>3164.7</v>
      </c>
      <c r="Q2060" s="116">
        <v>3217.4</v>
      </c>
      <c r="R2060">
        <v>314556</v>
      </c>
    </row>
    <row r="2061" spans="1:18" x14ac:dyDescent="0.25">
      <c r="A2061" s="170">
        <v>45041</v>
      </c>
      <c r="B2061" s="116">
        <v>3350</v>
      </c>
      <c r="C2061" s="116">
        <v>3336.95</v>
      </c>
      <c r="D2061" s="116">
        <v>3211.15</v>
      </c>
      <c r="E2061" s="116">
        <v>3220.95</v>
      </c>
      <c r="F2061" s="116">
        <v>3336.95</v>
      </c>
      <c r="G2061">
        <v>29974</v>
      </c>
      <c r="H2061" s="116"/>
      <c r="I2061" s="116"/>
      <c r="L2061" s="170">
        <v>45041</v>
      </c>
      <c r="M2061" s="116">
        <v>3336.1</v>
      </c>
      <c r="N2061" s="116">
        <v>3355</v>
      </c>
      <c r="O2061" s="116">
        <v>3210.05</v>
      </c>
      <c r="P2061" s="116">
        <v>3228</v>
      </c>
      <c r="Q2061" s="116">
        <v>3336.1</v>
      </c>
      <c r="R2061">
        <v>690245</v>
      </c>
    </row>
    <row r="2062" spans="1:18" x14ac:dyDescent="0.25">
      <c r="A2062" s="170">
        <v>45042</v>
      </c>
      <c r="B2062" s="116">
        <v>3405.95</v>
      </c>
      <c r="C2062" s="116">
        <v>3402.75</v>
      </c>
      <c r="D2062" s="116">
        <v>3329</v>
      </c>
      <c r="E2062" s="116">
        <v>3336.95</v>
      </c>
      <c r="F2062" s="116">
        <v>3402.75</v>
      </c>
      <c r="G2062">
        <v>15042</v>
      </c>
      <c r="H2062" s="116"/>
      <c r="I2062" s="116"/>
      <c r="L2062" s="170">
        <v>45042</v>
      </c>
      <c r="M2062" s="116">
        <v>3400.15</v>
      </c>
      <c r="N2062" s="116">
        <v>3407</v>
      </c>
      <c r="O2062" s="116">
        <v>3330</v>
      </c>
      <c r="P2062" s="116">
        <v>3345</v>
      </c>
      <c r="Q2062" s="116">
        <v>3400.15</v>
      </c>
      <c r="R2062">
        <v>361730</v>
      </c>
    </row>
    <row r="2063" spans="1:18" x14ac:dyDescent="0.25">
      <c r="A2063" s="170">
        <v>45043</v>
      </c>
      <c r="B2063" s="116">
        <v>3420.3</v>
      </c>
      <c r="C2063" s="116">
        <v>3412.35</v>
      </c>
      <c r="D2063" s="116">
        <v>3378.6</v>
      </c>
      <c r="E2063" s="116">
        <v>3414.95</v>
      </c>
      <c r="F2063" s="116">
        <v>3412.35</v>
      </c>
      <c r="G2063">
        <v>14197</v>
      </c>
      <c r="H2063" s="116"/>
      <c r="I2063" s="116"/>
      <c r="L2063" s="170">
        <v>45043</v>
      </c>
      <c r="M2063" s="116">
        <v>3411.6</v>
      </c>
      <c r="N2063" s="116">
        <v>3421.9</v>
      </c>
      <c r="O2063" s="116">
        <v>3376.05</v>
      </c>
      <c r="P2063" s="116">
        <v>3405</v>
      </c>
      <c r="Q2063" s="116">
        <v>3411.6</v>
      </c>
      <c r="R2063">
        <v>327674</v>
      </c>
    </row>
    <row r="2064" spans="1:18" x14ac:dyDescent="0.25">
      <c r="A2064" s="170">
        <v>45044</v>
      </c>
      <c r="B2064" s="116">
        <v>3438</v>
      </c>
      <c r="C2064" s="116">
        <v>3417.5</v>
      </c>
      <c r="D2064" s="116">
        <v>3384.9</v>
      </c>
      <c r="E2064" s="116">
        <v>3384.9</v>
      </c>
      <c r="F2064" s="116">
        <v>3417.5</v>
      </c>
      <c r="G2064">
        <v>8219</v>
      </c>
      <c r="H2064" s="116"/>
      <c r="I2064" s="116"/>
      <c r="L2064" s="170">
        <v>45044</v>
      </c>
      <c r="M2064" s="116">
        <v>3417.95</v>
      </c>
      <c r="N2064" s="116">
        <v>3439.25</v>
      </c>
      <c r="O2064" s="116">
        <v>3386</v>
      </c>
      <c r="P2064" s="116">
        <v>3409</v>
      </c>
      <c r="Q2064" s="116">
        <v>3417.95</v>
      </c>
      <c r="R2064">
        <v>251132</v>
      </c>
    </row>
    <row r="2065" spans="1:18" x14ac:dyDescent="0.25">
      <c r="A2065" s="170">
        <v>45048</v>
      </c>
      <c r="B2065" s="116">
        <v>3462</v>
      </c>
      <c r="C2065" s="116">
        <v>3441.7</v>
      </c>
      <c r="D2065" s="116">
        <v>3391.15</v>
      </c>
      <c r="E2065" s="116">
        <v>3415.8</v>
      </c>
      <c r="F2065" s="116">
        <v>3441.7</v>
      </c>
      <c r="G2065">
        <v>6091</v>
      </c>
      <c r="H2065" s="116"/>
      <c r="I2065" s="116"/>
      <c r="L2065" s="170">
        <v>45048</v>
      </c>
      <c r="M2065" s="116">
        <v>3442.15</v>
      </c>
      <c r="N2065" s="116">
        <v>3464.25</v>
      </c>
      <c r="O2065" s="116">
        <v>3390.4</v>
      </c>
      <c r="P2065" s="116">
        <v>3420</v>
      </c>
      <c r="Q2065" s="116">
        <v>3442.15</v>
      </c>
      <c r="R2065">
        <v>331768</v>
      </c>
    </row>
    <row r="2066" spans="1:18" x14ac:dyDescent="0.25">
      <c r="A2066" s="170">
        <v>45049</v>
      </c>
      <c r="B2066" s="116">
        <v>3480</v>
      </c>
      <c r="C2066" s="116">
        <v>3455.4</v>
      </c>
      <c r="D2066" s="116">
        <v>3408.3</v>
      </c>
      <c r="E2066" s="116">
        <v>3430.05</v>
      </c>
      <c r="F2066" s="116">
        <v>3455.4</v>
      </c>
      <c r="G2066">
        <v>8744</v>
      </c>
      <c r="H2066" s="116"/>
      <c r="I2066" s="116"/>
      <c r="L2066" s="170">
        <v>45049</v>
      </c>
      <c r="M2066" s="116">
        <v>3453.6</v>
      </c>
      <c r="N2066" s="116">
        <v>3480</v>
      </c>
      <c r="O2066" s="116">
        <v>3407.15</v>
      </c>
      <c r="P2066" s="116">
        <v>3443</v>
      </c>
      <c r="Q2066" s="116">
        <v>3453.6</v>
      </c>
      <c r="R2066">
        <v>359375</v>
      </c>
    </row>
    <row r="2067" spans="1:18" x14ac:dyDescent="0.25">
      <c r="A2067" s="170">
        <v>45050</v>
      </c>
      <c r="B2067" s="116">
        <v>3662.25</v>
      </c>
      <c r="C2067" s="116">
        <v>3646.5</v>
      </c>
      <c r="D2067" s="116">
        <v>3463.2</v>
      </c>
      <c r="E2067" s="116">
        <v>3478</v>
      </c>
      <c r="F2067" s="116">
        <v>3646.5</v>
      </c>
      <c r="G2067">
        <v>44531</v>
      </c>
      <c r="H2067" s="116"/>
      <c r="I2067" s="116"/>
      <c r="L2067" s="170">
        <v>45050</v>
      </c>
      <c r="M2067" s="116">
        <v>3645.35</v>
      </c>
      <c r="N2067" s="116">
        <v>3662.75</v>
      </c>
      <c r="O2067" s="116">
        <v>3455</v>
      </c>
      <c r="P2067" s="116">
        <v>3484</v>
      </c>
      <c r="Q2067" s="116">
        <v>3645.35</v>
      </c>
      <c r="R2067">
        <v>1282221</v>
      </c>
    </row>
    <row r="2068" spans="1:18" x14ac:dyDescent="0.25">
      <c r="A2068" s="170">
        <v>45051</v>
      </c>
      <c r="B2068" s="116">
        <v>3752</v>
      </c>
      <c r="C2068" s="116">
        <v>3718.9</v>
      </c>
      <c r="D2068" s="116">
        <v>3645.5</v>
      </c>
      <c r="E2068" s="116">
        <v>3646.65</v>
      </c>
      <c r="F2068" s="116">
        <v>3718.9</v>
      </c>
      <c r="G2068">
        <v>25921</v>
      </c>
      <c r="H2068" s="116"/>
      <c r="I2068" s="116"/>
      <c r="L2068" s="170">
        <v>45051</v>
      </c>
      <c r="M2068" s="116">
        <v>3718.85</v>
      </c>
      <c r="N2068" s="116">
        <v>3753.65</v>
      </c>
      <c r="O2068" s="116">
        <v>3649.95</v>
      </c>
      <c r="P2068" s="116">
        <v>3653</v>
      </c>
      <c r="Q2068" s="116">
        <v>3718.85</v>
      </c>
      <c r="R2068">
        <v>978769</v>
      </c>
    </row>
    <row r="2069" spans="1:18" x14ac:dyDescent="0.25">
      <c r="A2069" s="170">
        <v>45054</v>
      </c>
      <c r="B2069" s="116">
        <v>3817</v>
      </c>
      <c r="C2069" s="116">
        <v>3797.5</v>
      </c>
      <c r="D2069" s="116">
        <v>3719</v>
      </c>
      <c r="E2069" s="116">
        <v>3722</v>
      </c>
      <c r="F2069" s="116">
        <v>3797.5</v>
      </c>
      <c r="G2069">
        <v>18869</v>
      </c>
      <c r="H2069" s="116"/>
      <c r="I2069" s="116"/>
      <c r="L2069" s="170">
        <v>45054</v>
      </c>
      <c r="M2069" s="116">
        <v>3802.6</v>
      </c>
      <c r="N2069" s="116">
        <v>3818.4</v>
      </c>
      <c r="O2069" s="116">
        <v>3720</v>
      </c>
      <c r="P2069" s="116">
        <v>3728.45</v>
      </c>
      <c r="Q2069" s="116">
        <v>3802.6</v>
      </c>
      <c r="R2069">
        <v>321297</v>
      </c>
    </row>
    <row r="2070" spans="1:18" x14ac:dyDescent="0.25">
      <c r="A2070" s="170">
        <v>45055</v>
      </c>
      <c r="B2070" s="116">
        <v>3822</v>
      </c>
      <c r="C2070" s="116">
        <v>3803.2</v>
      </c>
      <c r="D2070" s="116">
        <v>3765.35</v>
      </c>
      <c r="E2070" s="116">
        <v>3821.95</v>
      </c>
      <c r="F2070" s="116">
        <v>3803.2</v>
      </c>
      <c r="G2070">
        <v>5886</v>
      </c>
      <c r="H2070" s="116"/>
      <c r="I2070" s="116"/>
      <c r="L2070" s="170">
        <v>45055</v>
      </c>
      <c r="M2070" s="116">
        <v>3807.05</v>
      </c>
      <c r="N2070" s="116">
        <v>3816.85</v>
      </c>
      <c r="O2070" s="116">
        <v>3765.05</v>
      </c>
      <c r="P2070" s="116">
        <v>3814.95</v>
      </c>
      <c r="Q2070" s="116">
        <v>3807.05</v>
      </c>
      <c r="R2070">
        <v>395444</v>
      </c>
    </row>
    <row r="2071" spans="1:18" x14ac:dyDescent="0.25">
      <c r="A2071" s="170">
        <v>45056</v>
      </c>
      <c r="B2071" s="116">
        <v>3839.85</v>
      </c>
      <c r="C2071" s="116">
        <v>3815.75</v>
      </c>
      <c r="D2071" s="116">
        <v>3790.65</v>
      </c>
      <c r="E2071" s="116">
        <v>3800</v>
      </c>
      <c r="F2071" s="116">
        <v>3815.75</v>
      </c>
      <c r="G2071">
        <v>5364</v>
      </c>
      <c r="H2071" s="116"/>
      <c r="I2071" s="116"/>
      <c r="L2071" s="170">
        <v>45056</v>
      </c>
      <c r="M2071" s="116">
        <v>3815.45</v>
      </c>
      <c r="N2071" s="116">
        <v>3839.5</v>
      </c>
      <c r="O2071" s="116">
        <v>3791</v>
      </c>
      <c r="P2071" s="116">
        <v>3809.4</v>
      </c>
      <c r="Q2071" s="116">
        <v>3815.45</v>
      </c>
      <c r="R2071">
        <v>253030</v>
      </c>
    </row>
    <row r="2072" spans="1:18" x14ac:dyDescent="0.25">
      <c r="A2072" s="170">
        <v>45057</v>
      </c>
      <c r="B2072" s="116">
        <v>3869.95</v>
      </c>
      <c r="C2072" s="116">
        <v>3861.1</v>
      </c>
      <c r="D2072" s="116">
        <v>3809.4</v>
      </c>
      <c r="E2072" s="116">
        <v>3811</v>
      </c>
      <c r="F2072" s="116">
        <v>3861.1</v>
      </c>
      <c r="G2072">
        <v>17185</v>
      </c>
      <c r="H2072" s="116"/>
      <c r="I2072" s="116"/>
      <c r="L2072" s="170">
        <v>45057</v>
      </c>
      <c r="M2072" s="116">
        <v>3860.45</v>
      </c>
      <c r="N2072" s="116">
        <v>3870.15</v>
      </c>
      <c r="O2072" s="116">
        <v>3805.1</v>
      </c>
      <c r="P2072" s="116">
        <v>3815</v>
      </c>
      <c r="Q2072" s="116">
        <v>3860.45</v>
      </c>
      <c r="R2072">
        <v>221052</v>
      </c>
    </row>
    <row r="2073" spans="1:18" x14ac:dyDescent="0.25">
      <c r="A2073" s="170">
        <v>45058</v>
      </c>
      <c r="B2073" s="116">
        <v>3955</v>
      </c>
      <c r="C2073" s="116">
        <v>3942.65</v>
      </c>
      <c r="D2073" s="116">
        <v>3847.35</v>
      </c>
      <c r="E2073" s="116">
        <v>3859.95</v>
      </c>
      <c r="F2073" s="116">
        <v>3942.65</v>
      </c>
      <c r="G2073">
        <v>11631</v>
      </c>
      <c r="H2073" s="116"/>
      <c r="I2073" s="116"/>
      <c r="L2073" s="170">
        <v>45058</v>
      </c>
      <c r="M2073" s="116">
        <v>3942.55</v>
      </c>
      <c r="N2073" s="116">
        <v>3956</v>
      </c>
      <c r="O2073" s="116">
        <v>3850</v>
      </c>
      <c r="P2073" s="116">
        <v>3851.15</v>
      </c>
      <c r="Q2073" s="116">
        <v>3942.55</v>
      </c>
      <c r="R2073">
        <v>404269</v>
      </c>
    </row>
    <row r="2074" spans="1:18" x14ac:dyDescent="0.25">
      <c r="A2074" s="170">
        <v>45061</v>
      </c>
      <c r="B2074" s="116">
        <v>3937.8</v>
      </c>
      <c r="C2074" s="116">
        <v>3852.35</v>
      </c>
      <c r="D2074" s="116">
        <v>3842.75</v>
      </c>
      <c r="E2074" s="116">
        <v>3936.05</v>
      </c>
      <c r="F2074" s="116">
        <v>3852.35</v>
      </c>
      <c r="G2074">
        <v>10483</v>
      </c>
      <c r="H2074" s="116"/>
      <c r="I2074" s="116"/>
      <c r="L2074" s="170">
        <v>45061</v>
      </c>
      <c r="M2074" s="116">
        <v>3855.45</v>
      </c>
      <c r="N2074" s="116">
        <v>3939</v>
      </c>
      <c r="O2074" s="116">
        <v>3845</v>
      </c>
      <c r="P2074" s="116">
        <v>3935</v>
      </c>
      <c r="Q2074" s="116">
        <v>3855.45</v>
      </c>
      <c r="R2074">
        <v>227276</v>
      </c>
    </row>
    <row r="2075" spans="1:18" x14ac:dyDescent="0.25">
      <c r="A2075" s="170">
        <v>45062</v>
      </c>
      <c r="B2075" s="116">
        <v>3933</v>
      </c>
      <c r="C2075" s="116">
        <v>3910.45</v>
      </c>
      <c r="D2075" s="116">
        <v>3842.75</v>
      </c>
      <c r="E2075" s="116">
        <v>3859.9</v>
      </c>
      <c r="F2075" s="116">
        <v>3910.45</v>
      </c>
      <c r="G2075">
        <v>4156</v>
      </c>
      <c r="H2075" s="116"/>
      <c r="I2075" s="116"/>
      <c r="L2075" s="170">
        <v>45062</v>
      </c>
      <c r="M2075" s="116">
        <v>3910.5</v>
      </c>
      <c r="N2075" s="116">
        <v>3933.75</v>
      </c>
      <c r="O2075" s="116">
        <v>3845.6</v>
      </c>
      <c r="P2075" s="116">
        <v>3851</v>
      </c>
      <c r="Q2075" s="116">
        <v>3910.5</v>
      </c>
      <c r="R2075">
        <v>268910</v>
      </c>
    </row>
    <row r="2076" spans="1:18" x14ac:dyDescent="0.25">
      <c r="A2076" s="170">
        <v>45063</v>
      </c>
      <c r="B2076" s="116">
        <v>3947.8</v>
      </c>
      <c r="C2076" s="116">
        <v>3918.7</v>
      </c>
      <c r="D2076" s="116">
        <v>3875.7</v>
      </c>
      <c r="E2076" s="116">
        <v>3910.45</v>
      </c>
      <c r="F2076" s="116">
        <v>3918.7</v>
      </c>
      <c r="G2076">
        <v>3377</v>
      </c>
      <c r="H2076" s="116"/>
      <c r="I2076" s="116"/>
      <c r="L2076" s="170">
        <v>45063</v>
      </c>
      <c r="M2076" s="116">
        <v>3918.9</v>
      </c>
      <c r="N2076" s="116">
        <v>3946.05</v>
      </c>
      <c r="O2076" s="116">
        <v>3877</v>
      </c>
      <c r="P2076" s="116">
        <v>3904.5</v>
      </c>
      <c r="Q2076" s="116">
        <v>3918.9</v>
      </c>
      <c r="R2076">
        <v>187846</v>
      </c>
    </row>
    <row r="2077" spans="1:18" x14ac:dyDescent="0.25">
      <c r="A2077" s="170">
        <v>45064</v>
      </c>
      <c r="B2077" s="116">
        <v>3936.3</v>
      </c>
      <c r="C2077" s="116">
        <v>3895</v>
      </c>
      <c r="D2077" s="116">
        <v>3886.85</v>
      </c>
      <c r="E2077" s="116">
        <v>3936.3</v>
      </c>
      <c r="F2077" s="116">
        <v>3895</v>
      </c>
      <c r="G2077">
        <v>6039</v>
      </c>
      <c r="H2077" s="116"/>
      <c r="I2077" s="116"/>
      <c r="L2077" s="170">
        <v>45064</v>
      </c>
      <c r="M2077" s="116">
        <v>3897.5</v>
      </c>
      <c r="N2077" s="116">
        <v>3935</v>
      </c>
      <c r="O2077" s="116">
        <v>3890.55</v>
      </c>
      <c r="P2077" s="116">
        <v>3920.5</v>
      </c>
      <c r="Q2077" s="116">
        <v>3897.5</v>
      </c>
      <c r="R2077">
        <v>141795</v>
      </c>
    </row>
    <row r="2078" spans="1:18" x14ac:dyDescent="0.25">
      <c r="A2078" s="170">
        <v>45065</v>
      </c>
      <c r="B2078" s="116">
        <v>3922.85</v>
      </c>
      <c r="C2078" s="116">
        <v>3898.3</v>
      </c>
      <c r="D2078" s="116">
        <v>3846.85</v>
      </c>
      <c r="E2078" s="116">
        <v>3870.05</v>
      </c>
      <c r="F2078" s="116">
        <v>3898.3</v>
      </c>
      <c r="G2078">
        <v>3636</v>
      </c>
      <c r="H2078" s="116"/>
      <c r="I2078" s="116"/>
      <c r="L2078" s="170">
        <v>45065</v>
      </c>
      <c r="M2078" s="116">
        <v>3894.75</v>
      </c>
      <c r="N2078" s="116">
        <v>3925</v>
      </c>
      <c r="O2078" s="116">
        <v>3845.6</v>
      </c>
      <c r="P2078" s="116">
        <v>3890.1</v>
      </c>
      <c r="Q2078" s="116">
        <v>3894.75</v>
      </c>
      <c r="R2078">
        <v>154467</v>
      </c>
    </row>
    <row r="2079" spans="1:18" x14ac:dyDescent="0.25">
      <c r="A2079" s="170">
        <v>45068</v>
      </c>
      <c r="B2079" s="116">
        <v>3906.4</v>
      </c>
      <c r="C2079" s="116">
        <v>3892</v>
      </c>
      <c r="D2079" s="116">
        <v>3810</v>
      </c>
      <c r="E2079" s="116">
        <v>3898.25</v>
      </c>
      <c r="F2079" s="116">
        <v>3892</v>
      </c>
      <c r="G2079">
        <v>9986</v>
      </c>
      <c r="H2079" s="116"/>
      <c r="I2079" s="116"/>
      <c r="L2079" s="170">
        <v>45068</v>
      </c>
      <c r="M2079" s="116">
        <v>3893.2</v>
      </c>
      <c r="N2079" s="116">
        <v>3927.85</v>
      </c>
      <c r="O2079" s="116">
        <v>3809.5</v>
      </c>
      <c r="P2079" s="116">
        <v>3870</v>
      </c>
      <c r="Q2079" s="116">
        <v>3893.2</v>
      </c>
      <c r="R2079">
        <v>275112</v>
      </c>
    </row>
    <row r="2080" spans="1:18" x14ac:dyDescent="0.25">
      <c r="A2080" s="170">
        <v>45069</v>
      </c>
      <c r="B2080" s="116">
        <v>3966.7</v>
      </c>
      <c r="C2080" s="116">
        <v>3913.55</v>
      </c>
      <c r="D2080" s="116">
        <v>3886.1</v>
      </c>
      <c r="E2080" s="116">
        <v>3895.2</v>
      </c>
      <c r="F2080" s="116">
        <v>3913.55</v>
      </c>
      <c r="G2080">
        <v>6342</v>
      </c>
      <c r="H2080" s="116"/>
      <c r="I2080" s="116"/>
      <c r="L2080" s="170">
        <v>45069</v>
      </c>
      <c r="M2080" s="116">
        <v>3912.75</v>
      </c>
      <c r="N2080" s="116">
        <v>3967.95</v>
      </c>
      <c r="O2080" s="116">
        <v>3872.3</v>
      </c>
      <c r="P2080" s="116">
        <v>3894.95</v>
      </c>
      <c r="Q2080" s="116">
        <v>3912.75</v>
      </c>
      <c r="R2080">
        <v>279818</v>
      </c>
    </row>
    <row r="2081" spans="1:18" x14ac:dyDescent="0.25">
      <c r="A2081" s="170">
        <v>45070</v>
      </c>
      <c r="B2081" s="116">
        <v>3954.65</v>
      </c>
      <c r="C2081" s="116">
        <v>3890.35</v>
      </c>
      <c r="D2081" s="116">
        <v>3883.55</v>
      </c>
      <c r="E2081" s="116">
        <v>3895.45</v>
      </c>
      <c r="F2081" s="116">
        <v>3890.35</v>
      </c>
      <c r="G2081">
        <v>5289</v>
      </c>
      <c r="H2081" s="116"/>
      <c r="I2081" s="116"/>
      <c r="L2081" s="170">
        <v>45070</v>
      </c>
      <c r="M2081" s="116">
        <v>3891.65</v>
      </c>
      <c r="N2081" s="116">
        <v>3954.65</v>
      </c>
      <c r="O2081" s="116">
        <v>3883.05</v>
      </c>
      <c r="P2081" s="116">
        <v>3912</v>
      </c>
      <c r="Q2081" s="116">
        <v>3891.65</v>
      </c>
      <c r="R2081">
        <v>205631</v>
      </c>
    </row>
    <row r="2082" spans="1:18" x14ac:dyDescent="0.25">
      <c r="A2082" s="170">
        <v>45071</v>
      </c>
      <c r="B2082" s="116">
        <v>3956.95</v>
      </c>
      <c r="C2082" s="116">
        <v>3943.95</v>
      </c>
      <c r="D2082" s="116">
        <v>3865.05</v>
      </c>
      <c r="E2082" s="116">
        <v>3865.05</v>
      </c>
      <c r="F2082" s="116">
        <v>3943.95</v>
      </c>
      <c r="G2082">
        <v>3289</v>
      </c>
      <c r="H2082" s="116"/>
      <c r="I2082" s="116"/>
      <c r="L2082" s="170">
        <v>45071</v>
      </c>
      <c r="M2082" s="116">
        <v>3941.95</v>
      </c>
      <c r="N2082" s="116">
        <v>3957</v>
      </c>
      <c r="O2082" s="116">
        <v>3881.95</v>
      </c>
      <c r="P2082" s="116">
        <v>3885</v>
      </c>
      <c r="Q2082" s="116">
        <v>3941.95</v>
      </c>
      <c r="R2082">
        <v>339853</v>
      </c>
    </row>
    <row r="2083" spans="1:18" x14ac:dyDescent="0.25">
      <c r="A2083" s="170">
        <v>45072</v>
      </c>
      <c r="B2083" s="116">
        <v>4012.05</v>
      </c>
      <c r="C2083" s="116">
        <v>4005.8</v>
      </c>
      <c r="D2083" s="116">
        <v>3942</v>
      </c>
      <c r="E2083" s="116">
        <v>3942</v>
      </c>
      <c r="F2083" s="116">
        <v>4005.8</v>
      </c>
      <c r="G2083">
        <v>7790</v>
      </c>
      <c r="H2083" s="116"/>
      <c r="I2083" s="116"/>
      <c r="L2083" s="170">
        <v>45072</v>
      </c>
      <c r="M2083" s="116">
        <v>4004.75</v>
      </c>
      <c r="N2083" s="116">
        <v>4012.3</v>
      </c>
      <c r="O2083" s="116">
        <v>3950</v>
      </c>
      <c r="P2083" s="116">
        <v>3955</v>
      </c>
      <c r="Q2083" s="116">
        <v>4004.75</v>
      </c>
      <c r="R2083">
        <v>327697</v>
      </c>
    </row>
    <row r="2084" spans="1:18" x14ac:dyDescent="0.25">
      <c r="A2084" s="170">
        <v>45075</v>
      </c>
      <c r="B2084" s="116">
        <v>4057.25</v>
      </c>
      <c r="C2084" s="116">
        <v>4030.2</v>
      </c>
      <c r="D2084" s="116">
        <v>4010.05</v>
      </c>
      <c r="E2084" s="116">
        <v>4010.05</v>
      </c>
      <c r="F2084" s="116">
        <v>4030.2</v>
      </c>
      <c r="G2084">
        <v>6442</v>
      </c>
      <c r="H2084" s="116"/>
      <c r="I2084" s="116"/>
      <c r="L2084" s="170">
        <v>45075</v>
      </c>
      <c r="M2084" s="116">
        <v>4031.15</v>
      </c>
      <c r="N2084" s="116">
        <v>4058.1</v>
      </c>
      <c r="O2084" s="116">
        <v>4012.3</v>
      </c>
      <c r="P2084" s="116">
        <v>4025.95</v>
      </c>
      <c r="Q2084" s="116">
        <v>4031.15</v>
      </c>
      <c r="R2084">
        <v>277673</v>
      </c>
    </row>
    <row r="2085" spans="1:18" x14ac:dyDescent="0.25">
      <c r="A2085" s="170">
        <v>45076</v>
      </c>
      <c r="B2085" s="116">
        <v>4058</v>
      </c>
      <c r="C2085" s="116">
        <v>4020.85</v>
      </c>
      <c r="D2085" s="116">
        <v>4000.05</v>
      </c>
      <c r="E2085" s="116">
        <v>4000.05</v>
      </c>
      <c r="F2085" s="116">
        <v>4020.85</v>
      </c>
      <c r="G2085">
        <v>4434</v>
      </c>
      <c r="H2085" s="116"/>
      <c r="I2085" s="116"/>
      <c r="L2085" s="170">
        <v>45076</v>
      </c>
      <c r="M2085" s="116">
        <v>4029.6</v>
      </c>
      <c r="N2085" s="116">
        <v>4059.95</v>
      </c>
      <c r="O2085" s="116">
        <v>4008.15</v>
      </c>
      <c r="P2085" s="116">
        <v>4028</v>
      </c>
      <c r="Q2085" s="116">
        <v>4029.6</v>
      </c>
      <c r="R2085">
        <v>179306</v>
      </c>
    </row>
    <row r="2086" spans="1:18" x14ac:dyDescent="0.25">
      <c r="A2086" s="170">
        <v>45077</v>
      </c>
      <c r="B2086" s="116">
        <v>4290</v>
      </c>
      <c r="C2086" s="116">
        <v>4113.95</v>
      </c>
      <c r="D2086" s="116">
        <v>3991.8</v>
      </c>
      <c r="E2086" s="116">
        <v>4020</v>
      </c>
      <c r="F2086" s="116">
        <v>4113.95</v>
      </c>
      <c r="G2086">
        <v>8788</v>
      </c>
      <c r="H2086" s="116"/>
      <c r="I2086" s="116"/>
      <c r="L2086" s="170">
        <v>45077</v>
      </c>
      <c r="M2086" s="116">
        <v>4125.8999999999996</v>
      </c>
      <c r="N2086" s="116">
        <v>4299</v>
      </c>
      <c r="O2086" s="116">
        <v>3989.55</v>
      </c>
      <c r="P2086" s="116">
        <v>4012.75</v>
      </c>
      <c r="Q2086" s="116">
        <v>4125.8999999999996</v>
      </c>
      <c r="R2086">
        <v>1169176</v>
      </c>
    </row>
    <row r="2087" spans="1:18" x14ac:dyDescent="0.25">
      <c r="A2087" s="170">
        <v>45078</v>
      </c>
      <c r="B2087" s="116">
        <v>4134.25</v>
      </c>
      <c r="C2087" s="116">
        <v>3943.7</v>
      </c>
      <c r="D2087" s="116">
        <v>3926.8</v>
      </c>
      <c r="E2087" s="116">
        <v>4130</v>
      </c>
      <c r="F2087" s="116">
        <v>3943.7</v>
      </c>
      <c r="G2087">
        <v>12233</v>
      </c>
      <c r="H2087" s="116"/>
      <c r="I2087" s="116"/>
      <c r="L2087" s="170">
        <v>45078</v>
      </c>
      <c r="M2087" s="116">
        <v>3944.65</v>
      </c>
      <c r="N2087" s="116">
        <v>4140</v>
      </c>
      <c r="O2087" s="116">
        <v>3936.8</v>
      </c>
      <c r="P2087" s="116">
        <v>4131.55</v>
      </c>
      <c r="Q2087" s="116">
        <v>3944.65</v>
      </c>
      <c r="R2087">
        <v>421490</v>
      </c>
    </row>
    <row r="2088" spans="1:18" x14ac:dyDescent="0.25">
      <c r="A2088" s="170">
        <v>45079</v>
      </c>
      <c r="B2088" s="116">
        <v>4033.6</v>
      </c>
      <c r="C2088" s="116">
        <v>4023.1</v>
      </c>
      <c r="D2088" s="116">
        <v>3940.05</v>
      </c>
      <c r="E2088" s="116">
        <v>3994.75</v>
      </c>
      <c r="F2088" s="116">
        <v>4023.1</v>
      </c>
      <c r="G2088">
        <v>16099</v>
      </c>
      <c r="H2088" s="116"/>
      <c r="I2088" s="116"/>
      <c r="L2088" s="170">
        <v>45079</v>
      </c>
      <c r="M2088" s="116">
        <v>4021.55</v>
      </c>
      <c r="N2088" s="116">
        <v>4028.2</v>
      </c>
      <c r="O2088" s="116">
        <v>3938.5</v>
      </c>
      <c r="P2088" s="116">
        <v>3977</v>
      </c>
      <c r="Q2088" s="116">
        <v>4021.55</v>
      </c>
      <c r="R2088">
        <v>397566</v>
      </c>
    </row>
    <row r="2089" spans="1:18" x14ac:dyDescent="0.25">
      <c r="A2089" s="170">
        <v>45082</v>
      </c>
      <c r="B2089" s="116">
        <v>4067</v>
      </c>
      <c r="C2089" s="116">
        <v>4032.05</v>
      </c>
      <c r="D2089" s="116">
        <v>3980</v>
      </c>
      <c r="E2089" s="116">
        <v>4012.05</v>
      </c>
      <c r="F2089" s="116">
        <v>4032.05</v>
      </c>
      <c r="G2089">
        <v>9308</v>
      </c>
      <c r="H2089" s="116"/>
      <c r="I2089" s="116"/>
      <c r="L2089" s="170">
        <v>45082</v>
      </c>
      <c r="M2089" s="116">
        <v>4033</v>
      </c>
      <c r="N2089" s="116">
        <v>4069</v>
      </c>
      <c r="O2089" s="116">
        <v>3978</v>
      </c>
      <c r="P2089" s="116">
        <v>4035</v>
      </c>
      <c r="Q2089" s="116">
        <v>4033</v>
      </c>
      <c r="R2089">
        <v>316713</v>
      </c>
    </row>
    <row r="2090" spans="1:18" x14ac:dyDescent="0.25">
      <c r="A2090" s="170">
        <v>45083</v>
      </c>
      <c r="B2090" s="116">
        <v>4093.2</v>
      </c>
      <c r="C2090" s="116">
        <v>4059.85</v>
      </c>
      <c r="D2090" s="116">
        <v>4038.45</v>
      </c>
      <c r="E2090" s="116">
        <v>4045</v>
      </c>
      <c r="F2090" s="116">
        <v>4059.85</v>
      </c>
      <c r="G2090">
        <v>4709</v>
      </c>
      <c r="H2090" s="116"/>
      <c r="I2090" s="116"/>
      <c r="L2090" s="170">
        <v>45083</v>
      </c>
      <c r="M2090" s="116">
        <v>4057.65</v>
      </c>
      <c r="N2090" s="116">
        <v>4091.95</v>
      </c>
      <c r="O2090" s="116">
        <v>4032.95</v>
      </c>
      <c r="P2090" s="116">
        <v>4045</v>
      </c>
      <c r="Q2090" s="116">
        <v>4057.65</v>
      </c>
      <c r="R2090">
        <v>240261</v>
      </c>
    </row>
    <row r="2091" spans="1:18" x14ac:dyDescent="0.25">
      <c r="A2091" s="170">
        <v>45084</v>
      </c>
      <c r="B2091" s="116">
        <v>4160</v>
      </c>
      <c r="C2091" s="116">
        <v>4150</v>
      </c>
      <c r="D2091" s="116">
        <v>4058.4</v>
      </c>
      <c r="E2091" s="116">
        <v>4059.2</v>
      </c>
      <c r="F2091" s="116">
        <v>4150</v>
      </c>
      <c r="G2091">
        <v>8367</v>
      </c>
      <c r="H2091" s="116"/>
      <c r="I2091" s="116"/>
      <c r="L2091" s="170">
        <v>45084</v>
      </c>
      <c r="M2091" s="116">
        <v>4151.1000000000004</v>
      </c>
      <c r="N2091" s="116">
        <v>4162</v>
      </c>
      <c r="O2091" s="116">
        <v>4058.9</v>
      </c>
      <c r="P2091" s="116">
        <v>4068.6</v>
      </c>
      <c r="Q2091" s="116">
        <v>4151.1000000000004</v>
      </c>
      <c r="R2091">
        <v>241488</v>
      </c>
    </row>
    <row r="2092" spans="1:18" x14ac:dyDescent="0.25">
      <c r="A2092" s="170">
        <v>45085</v>
      </c>
      <c r="B2092" s="116">
        <v>4161.55</v>
      </c>
      <c r="C2092" s="116">
        <v>4114.25</v>
      </c>
      <c r="D2092" s="116">
        <v>4085</v>
      </c>
      <c r="E2092" s="116">
        <v>4152.05</v>
      </c>
      <c r="F2092" s="116">
        <v>4114.25</v>
      </c>
      <c r="G2092">
        <v>3187</v>
      </c>
      <c r="H2092" s="116"/>
      <c r="I2092" s="116"/>
      <c r="L2092" s="170">
        <v>45085</v>
      </c>
      <c r="M2092" s="116">
        <v>4112.3</v>
      </c>
      <c r="N2092" s="116">
        <v>4171.95</v>
      </c>
      <c r="O2092" s="116">
        <v>4085</v>
      </c>
      <c r="P2092" s="116">
        <v>4170</v>
      </c>
      <c r="Q2092" s="116">
        <v>4112.3</v>
      </c>
      <c r="R2092">
        <v>171143</v>
      </c>
    </row>
    <row r="2093" spans="1:18" x14ac:dyDescent="0.25">
      <c r="A2093" s="170">
        <v>45086</v>
      </c>
      <c r="B2093" s="116">
        <v>4164.7</v>
      </c>
      <c r="C2093" s="116">
        <v>4148.8999999999996</v>
      </c>
      <c r="D2093" s="116">
        <v>4108.25</v>
      </c>
      <c r="E2093" s="116">
        <v>4112.1000000000004</v>
      </c>
      <c r="F2093" s="116">
        <v>4148.8999999999996</v>
      </c>
      <c r="G2093">
        <v>6063</v>
      </c>
      <c r="H2093" s="116"/>
      <c r="I2093" s="116"/>
      <c r="L2093" s="170">
        <v>45086</v>
      </c>
      <c r="M2093" s="116">
        <v>4151.2</v>
      </c>
      <c r="N2093" s="116">
        <v>4164.1000000000004</v>
      </c>
      <c r="O2093" s="116">
        <v>4107</v>
      </c>
      <c r="P2093" s="116">
        <v>4137.8999999999996</v>
      </c>
      <c r="Q2093" s="116">
        <v>4151.2</v>
      </c>
      <c r="R2093">
        <v>140674</v>
      </c>
    </row>
    <row r="2094" spans="1:18" x14ac:dyDescent="0.25">
      <c r="A2094" s="170">
        <v>45089</v>
      </c>
      <c r="B2094" s="116">
        <v>4171.95</v>
      </c>
      <c r="C2094" s="116">
        <v>4149.45</v>
      </c>
      <c r="D2094" s="116">
        <v>4098.8500000000004</v>
      </c>
      <c r="E2094" s="116">
        <v>4146</v>
      </c>
      <c r="F2094" s="116">
        <v>4149.45</v>
      </c>
      <c r="G2094">
        <v>6834</v>
      </c>
      <c r="H2094" s="116"/>
      <c r="I2094" s="116"/>
      <c r="L2094" s="170">
        <v>45089</v>
      </c>
      <c r="M2094" s="116">
        <v>4151.45</v>
      </c>
      <c r="N2094" s="116">
        <v>4173.7</v>
      </c>
      <c r="O2094" s="116">
        <v>4097.1499999999996</v>
      </c>
      <c r="P2094" s="116">
        <v>4157.45</v>
      </c>
      <c r="Q2094" s="116">
        <v>4151.45</v>
      </c>
      <c r="R2094">
        <v>197995</v>
      </c>
    </row>
    <row r="2095" spans="1:18" x14ac:dyDescent="0.25">
      <c r="A2095" s="170">
        <v>45090</v>
      </c>
      <c r="B2095" s="116">
        <v>4329.25</v>
      </c>
      <c r="C2095" s="116">
        <v>4322</v>
      </c>
      <c r="D2095" s="116">
        <v>4149.6000000000004</v>
      </c>
      <c r="E2095" s="116">
        <v>4151.45</v>
      </c>
      <c r="F2095" s="116">
        <v>4322</v>
      </c>
      <c r="G2095">
        <v>11839</v>
      </c>
      <c r="H2095" s="116"/>
      <c r="I2095" s="116"/>
      <c r="L2095" s="170">
        <v>45090</v>
      </c>
      <c r="M2095" s="116">
        <v>4319.8</v>
      </c>
      <c r="N2095" s="116">
        <v>4329.8500000000004</v>
      </c>
      <c r="O2095" s="116">
        <v>4140.8</v>
      </c>
      <c r="P2095" s="116">
        <v>4155.6499999999996</v>
      </c>
      <c r="Q2095" s="116">
        <v>4319.8</v>
      </c>
      <c r="R2095">
        <v>484212</v>
      </c>
    </row>
    <row r="2096" spans="1:18" x14ac:dyDescent="0.25">
      <c r="A2096" s="170">
        <v>45091</v>
      </c>
      <c r="B2096" s="116">
        <v>4368</v>
      </c>
      <c r="C2096" s="116">
        <v>4348.8</v>
      </c>
      <c r="D2096" s="116">
        <v>4290.1000000000004</v>
      </c>
      <c r="E2096" s="116">
        <v>4322</v>
      </c>
      <c r="F2096" s="116">
        <v>4348.8</v>
      </c>
      <c r="G2096">
        <v>11601</v>
      </c>
      <c r="H2096" s="116"/>
      <c r="I2096" s="116"/>
      <c r="L2096" s="170">
        <v>45091</v>
      </c>
      <c r="M2096" s="116">
        <v>4349.8500000000004</v>
      </c>
      <c r="N2096" s="116">
        <v>4369.3500000000004</v>
      </c>
      <c r="O2096" s="116">
        <v>4288.55</v>
      </c>
      <c r="P2096" s="116">
        <v>4327</v>
      </c>
      <c r="Q2096" s="116">
        <v>4349.8500000000004</v>
      </c>
      <c r="R2096">
        <v>282696</v>
      </c>
    </row>
    <row r="2097" spans="1:18" x14ac:dyDescent="0.25">
      <c r="A2097" s="170">
        <v>45092</v>
      </c>
      <c r="B2097" s="116">
        <v>4345</v>
      </c>
      <c r="C2097" s="116">
        <v>4314.25</v>
      </c>
      <c r="D2097" s="116">
        <v>4280.05</v>
      </c>
      <c r="E2097" s="116">
        <v>4340</v>
      </c>
      <c r="F2097" s="116">
        <v>4314.25</v>
      </c>
      <c r="G2097">
        <v>4210</v>
      </c>
      <c r="H2097" s="116"/>
      <c r="I2097" s="116"/>
      <c r="L2097" s="170">
        <v>45092</v>
      </c>
      <c r="M2097" s="116">
        <v>4313.6499999999996</v>
      </c>
      <c r="N2097" s="116">
        <v>4348.25</v>
      </c>
      <c r="O2097" s="116">
        <v>4280</v>
      </c>
      <c r="P2097" s="116">
        <v>4340</v>
      </c>
      <c r="Q2097" s="116">
        <v>4313.6499999999996</v>
      </c>
      <c r="R2097">
        <v>144416</v>
      </c>
    </row>
    <row r="2098" spans="1:18" x14ac:dyDescent="0.25">
      <c r="A2098" s="170">
        <v>45093</v>
      </c>
      <c r="B2098" s="116">
        <v>4350</v>
      </c>
      <c r="C2098" s="116">
        <v>4335.6000000000004</v>
      </c>
      <c r="D2098" s="116">
        <v>4255.05</v>
      </c>
      <c r="E2098" s="116">
        <v>4255.05</v>
      </c>
      <c r="F2098" s="116">
        <v>4335.6000000000004</v>
      </c>
      <c r="G2098">
        <v>5439</v>
      </c>
      <c r="H2098" s="116"/>
      <c r="I2098" s="116"/>
      <c r="L2098" s="170">
        <v>45093</v>
      </c>
      <c r="M2098" s="116">
        <v>4336.8999999999996</v>
      </c>
      <c r="N2098" s="116">
        <v>4350</v>
      </c>
      <c r="O2098" s="116">
        <v>4288</v>
      </c>
      <c r="P2098" s="116">
        <v>4300</v>
      </c>
      <c r="Q2098" s="116">
        <v>4336.8999999999996</v>
      </c>
      <c r="R2098">
        <v>153331</v>
      </c>
    </row>
    <row r="2099" spans="1:18" x14ac:dyDescent="0.25">
      <c r="A2099" s="170">
        <v>45096</v>
      </c>
      <c r="B2099" s="116">
        <v>4409.7</v>
      </c>
      <c r="C2099" s="116">
        <v>4328.2</v>
      </c>
      <c r="D2099" s="116">
        <v>4315</v>
      </c>
      <c r="E2099" s="116">
        <v>4355.05</v>
      </c>
      <c r="F2099" s="116">
        <v>4328.2</v>
      </c>
      <c r="G2099">
        <v>4676</v>
      </c>
      <c r="H2099" s="116"/>
      <c r="I2099" s="116"/>
      <c r="L2099" s="170">
        <v>45096</v>
      </c>
      <c r="M2099" s="116">
        <v>4327.6499999999996</v>
      </c>
      <c r="N2099" s="116">
        <v>4411.3</v>
      </c>
      <c r="O2099" s="116">
        <v>4311.75</v>
      </c>
      <c r="P2099" s="116">
        <v>4369</v>
      </c>
      <c r="Q2099" s="116">
        <v>4327.6499999999996</v>
      </c>
      <c r="R2099">
        <v>177825</v>
      </c>
    </row>
    <row r="2100" spans="1:18" x14ac:dyDescent="0.25">
      <c r="A2100" s="170">
        <v>45097</v>
      </c>
      <c r="B2100" s="116">
        <v>4380</v>
      </c>
      <c r="C2100" s="116">
        <v>4373.8</v>
      </c>
      <c r="D2100" s="116">
        <v>4316.6000000000004</v>
      </c>
      <c r="E2100" s="116">
        <v>4327.7</v>
      </c>
      <c r="F2100" s="116">
        <v>4373.8</v>
      </c>
      <c r="G2100">
        <v>6149</v>
      </c>
      <c r="H2100" s="116"/>
      <c r="I2100" s="116"/>
      <c r="L2100" s="170">
        <v>45097</v>
      </c>
      <c r="M2100" s="116">
        <v>4376</v>
      </c>
      <c r="N2100" s="116">
        <v>4384</v>
      </c>
      <c r="O2100" s="116">
        <v>4311.8</v>
      </c>
      <c r="P2100" s="116">
        <v>4311.8</v>
      </c>
      <c r="Q2100" s="116">
        <v>4376</v>
      </c>
      <c r="R2100">
        <v>231190</v>
      </c>
    </row>
    <row r="2101" spans="1:18" x14ac:dyDescent="0.25">
      <c r="A2101" s="170">
        <v>45098</v>
      </c>
      <c r="B2101" s="116">
        <v>4442.8</v>
      </c>
      <c r="C2101" s="116">
        <v>4367.2</v>
      </c>
      <c r="D2101" s="116">
        <v>4323.7</v>
      </c>
      <c r="E2101" s="116">
        <v>4381.05</v>
      </c>
      <c r="F2101" s="116">
        <v>4367.2</v>
      </c>
      <c r="G2101">
        <v>4587</v>
      </c>
      <c r="H2101" s="116"/>
      <c r="I2101" s="116"/>
      <c r="L2101" s="170">
        <v>45098</v>
      </c>
      <c r="M2101" s="116">
        <v>4366.45</v>
      </c>
      <c r="N2101" s="116">
        <v>4443.8999999999996</v>
      </c>
      <c r="O2101" s="116">
        <v>4323.55</v>
      </c>
      <c r="P2101" s="116">
        <v>4393.95</v>
      </c>
      <c r="Q2101" s="116">
        <v>4366.45</v>
      </c>
      <c r="R2101">
        <v>304147</v>
      </c>
    </row>
    <row r="2102" spans="1:18" x14ac:dyDescent="0.25">
      <c r="A2102" s="170">
        <v>45099</v>
      </c>
      <c r="B2102" s="116">
        <v>4367.2</v>
      </c>
      <c r="C2102" s="116">
        <v>4269.05</v>
      </c>
      <c r="D2102" s="116">
        <v>4259.1000000000004</v>
      </c>
      <c r="E2102" s="116">
        <v>4350</v>
      </c>
      <c r="F2102" s="116">
        <v>4269.05</v>
      </c>
      <c r="G2102">
        <v>10539</v>
      </c>
      <c r="H2102" s="116"/>
      <c r="I2102" s="116"/>
      <c r="L2102" s="170">
        <v>45099</v>
      </c>
      <c r="M2102" s="116">
        <v>4270.5</v>
      </c>
      <c r="N2102" s="116">
        <v>4373</v>
      </c>
      <c r="O2102" s="116">
        <v>4261</v>
      </c>
      <c r="P2102" s="116">
        <v>4351.1000000000004</v>
      </c>
      <c r="Q2102" s="116">
        <v>4270.5</v>
      </c>
      <c r="R2102">
        <v>188292</v>
      </c>
    </row>
    <row r="2103" spans="1:18" x14ac:dyDescent="0.25">
      <c r="A2103" s="170">
        <v>45100</v>
      </c>
      <c r="B2103" s="116">
        <v>4303.5</v>
      </c>
      <c r="C2103" s="116">
        <v>4238.3999999999996</v>
      </c>
      <c r="D2103" s="116">
        <v>4230.05</v>
      </c>
      <c r="E2103" s="116">
        <v>4275</v>
      </c>
      <c r="F2103" s="116">
        <v>4238.3999999999996</v>
      </c>
      <c r="G2103">
        <v>5038</v>
      </c>
      <c r="H2103" s="116"/>
      <c r="I2103" s="116"/>
      <c r="L2103" s="170">
        <v>45100</v>
      </c>
      <c r="M2103" s="116">
        <v>4239.7</v>
      </c>
      <c r="N2103" s="116">
        <v>4303.8</v>
      </c>
      <c r="O2103" s="116">
        <v>4216.55</v>
      </c>
      <c r="P2103" s="116">
        <v>4279.8999999999996</v>
      </c>
      <c r="Q2103" s="116">
        <v>4239.7</v>
      </c>
      <c r="R2103">
        <v>204714</v>
      </c>
    </row>
    <row r="2104" spans="1:18" x14ac:dyDescent="0.25">
      <c r="A2104" s="170">
        <v>45103</v>
      </c>
      <c r="B2104" s="116">
        <v>4298.8999999999996</v>
      </c>
      <c r="C2104" s="116">
        <v>4280</v>
      </c>
      <c r="D2104" s="116">
        <v>4219.95</v>
      </c>
      <c r="E2104" s="116">
        <v>4239.7</v>
      </c>
      <c r="F2104" s="116">
        <v>4280</v>
      </c>
      <c r="G2104">
        <v>2522</v>
      </c>
      <c r="H2104" s="116"/>
      <c r="I2104" s="116"/>
      <c r="L2104" s="170">
        <v>45103</v>
      </c>
      <c r="M2104" s="116">
        <v>4285.3500000000004</v>
      </c>
      <c r="N2104" s="116">
        <v>4300</v>
      </c>
      <c r="O2104" s="116">
        <v>4216.3</v>
      </c>
      <c r="P2104" s="116">
        <v>4237</v>
      </c>
      <c r="Q2104" s="116">
        <v>4285.3500000000004</v>
      </c>
      <c r="R2104">
        <v>138748</v>
      </c>
    </row>
    <row r="2105" spans="1:18" x14ac:dyDescent="0.25">
      <c r="A2105" s="170">
        <v>45104</v>
      </c>
      <c r="B2105" s="116">
        <v>4345</v>
      </c>
      <c r="C2105" s="116">
        <v>4295.2</v>
      </c>
      <c r="D2105" s="116">
        <v>4272</v>
      </c>
      <c r="E2105" s="116">
        <v>4290</v>
      </c>
      <c r="F2105" s="116">
        <v>4295.2</v>
      </c>
      <c r="G2105">
        <v>2698</v>
      </c>
      <c r="H2105" s="116"/>
      <c r="I2105" s="116"/>
      <c r="L2105" s="170">
        <v>45104</v>
      </c>
      <c r="M2105" s="116">
        <v>4294.5</v>
      </c>
      <c r="N2105" s="116">
        <v>4347</v>
      </c>
      <c r="O2105" s="116">
        <v>4270</v>
      </c>
      <c r="P2105" s="116">
        <v>4315.25</v>
      </c>
      <c r="Q2105" s="116">
        <v>4294.5</v>
      </c>
      <c r="R2105">
        <v>217841</v>
      </c>
    </row>
    <row r="2106" spans="1:18" x14ac:dyDescent="0.25">
      <c r="A2106" s="170">
        <v>45105</v>
      </c>
      <c r="B2106" s="116">
        <v>4435</v>
      </c>
      <c r="C2106" s="116">
        <v>4407.3999999999996</v>
      </c>
      <c r="D2106" s="116">
        <v>4300.05</v>
      </c>
      <c r="E2106" s="116">
        <v>4320</v>
      </c>
      <c r="F2106" s="116">
        <v>4407.3999999999996</v>
      </c>
      <c r="G2106">
        <v>8803</v>
      </c>
      <c r="H2106" s="116"/>
      <c r="I2106" s="116"/>
      <c r="L2106" s="170">
        <v>45105</v>
      </c>
      <c r="M2106" s="116">
        <v>4411.1000000000004</v>
      </c>
      <c r="N2106" s="116">
        <v>4444</v>
      </c>
      <c r="O2106" s="116">
        <v>4301</v>
      </c>
      <c r="P2106" s="116">
        <v>4324.75</v>
      </c>
      <c r="Q2106" s="116">
        <v>4411.1000000000004</v>
      </c>
      <c r="R2106">
        <v>339541</v>
      </c>
    </row>
    <row r="2107" spans="1:18" x14ac:dyDescent="0.25">
      <c r="A2107" s="170">
        <v>45107</v>
      </c>
      <c r="B2107" s="116">
        <v>4444.5</v>
      </c>
      <c r="C2107" s="116">
        <v>4421.25</v>
      </c>
      <c r="D2107" s="116">
        <v>4376</v>
      </c>
      <c r="E2107" s="116">
        <v>4424.75</v>
      </c>
      <c r="F2107" s="116">
        <v>4421.25</v>
      </c>
      <c r="G2107">
        <v>5104</v>
      </c>
      <c r="H2107" s="116"/>
      <c r="I2107" s="116"/>
      <c r="L2107" s="170">
        <v>45107</v>
      </c>
      <c r="M2107" s="116">
        <v>4423</v>
      </c>
      <c r="N2107" s="116">
        <v>4444</v>
      </c>
      <c r="O2107" s="116">
        <v>4375.3</v>
      </c>
      <c r="P2107" s="116">
        <v>4421</v>
      </c>
      <c r="Q2107" s="116">
        <v>4423</v>
      </c>
      <c r="R2107">
        <v>209317</v>
      </c>
    </row>
    <row r="2108" spans="1:18" x14ac:dyDescent="0.25">
      <c r="A2108" s="170">
        <v>45110</v>
      </c>
      <c r="B2108" s="116">
        <v>4488</v>
      </c>
      <c r="C2108" s="116">
        <v>4408.8</v>
      </c>
      <c r="D2108" s="116">
        <v>4390.05</v>
      </c>
      <c r="E2108" s="116">
        <v>4423.1000000000004</v>
      </c>
      <c r="F2108" s="116">
        <v>4408.8</v>
      </c>
      <c r="G2108">
        <v>5205</v>
      </c>
      <c r="H2108" s="116"/>
      <c r="I2108" s="116"/>
      <c r="L2108" s="170">
        <v>45110</v>
      </c>
      <c r="M2108" s="116">
        <v>4411.25</v>
      </c>
      <c r="N2108" s="116">
        <v>4488.7</v>
      </c>
      <c r="O2108" s="116">
        <v>4389.05</v>
      </c>
      <c r="P2108" s="116">
        <v>4450</v>
      </c>
      <c r="Q2108" s="116">
        <v>4411.25</v>
      </c>
      <c r="R2108">
        <v>247575</v>
      </c>
    </row>
    <row r="2109" spans="1:18" x14ac:dyDescent="0.25">
      <c r="A2109" s="170">
        <v>45111</v>
      </c>
      <c r="B2109" s="116">
        <v>4442.6499999999996</v>
      </c>
      <c r="C2109" s="116">
        <v>4366.6000000000004</v>
      </c>
      <c r="D2109" s="116">
        <v>4352.1499999999996</v>
      </c>
      <c r="E2109" s="116">
        <v>4437.6499999999996</v>
      </c>
      <c r="F2109" s="116">
        <v>4366.6000000000004</v>
      </c>
      <c r="G2109">
        <v>2825</v>
      </c>
      <c r="H2109" s="116"/>
      <c r="I2109" s="116"/>
      <c r="L2109" s="170">
        <v>45111</v>
      </c>
      <c r="M2109" s="116">
        <v>4360.7</v>
      </c>
      <c r="N2109" s="116">
        <v>4442.1000000000004</v>
      </c>
      <c r="O2109" s="116">
        <v>4350</v>
      </c>
      <c r="P2109" s="116">
        <v>4411.25</v>
      </c>
      <c r="Q2109" s="116">
        <v>4360.7</v>
      </c>
      <c r="R2109">
        <v>103281</v>
      </c>
    </row>
    <row r="2110" spans="1:18" x14ac:dyDescent="0.25">
      <c r="A2110" s="170">
        <v>45112</v>
      </c>
      <c r="B2110" s="116">
        <v>4429.3</v>
      </c>
      <c r="C2110" s="116">
        <v>4400.8</v>
      </c>
      <c r="D2110" s="116">
        <v>4362.1000000000004</v>
      </c>
      <c r="E2110" s="116">
        <v>4379.95</v>
      </c>
      <c r="F2110" s="116">
        <v>4400.8</v>
      </c>
      <c r="G2110">
        <v>4335</v>
      </c>
      <c r="H2110" s="116"/>
      <c r="I2110" s="116"/>
      <c r="L2110" s="170">
        <v>45112</v>
      </c>
      <c r="M2110" s="116">
        <v>4390.6000000000004</v>
      </c>
      <c r="N2110" s="116">
        <v>4428.95</v>
      </c>
      <c r="O2110" s="116">
        <v>4360.7</v>
      </c>
      <c r="P2110" s="116">
        <v>4370</v>
      </c>
      <c r="Q2110" s="116">
        <v>4390.6000000000004</v>
      </c>
      <c r="R2110">
        <v>89263</v>
      </c>
    </row>
    <row r="2111" spans="1:18" x14ac:dyDescent="0.25">
      <c r="A2111" s="170">
        <v>45113</v>
      </c>
      <c r="B2111" s="116">
        <v>4445.3999999999996</v>
      </c>
      <c r="C2111" s="116">
        <v>4396.45</v>
      </c>
      <c r="D2111" s="116">
        <v>4384.25</v>
      </c>
      <c r="E2111" s="116">
        <v>4400.05</v>
      </c>
      <c r="F2111" s="116">
        <v>4396.45</v>
      </c>
      <c r="G2111">
        <v>6175</v>
      </c>
      <c r="H2111" s="116"/>
      <c r="I2111" s="116"/>
      <c r="L2111" s="170">
        <v>45113</v>
      </c>
      <c r="M2111" s="116">
        <v>4400.1499999999996</v>
      </c>
      <c r="N2111" s="116">
        <v>4445.25</v>
      </c>
      <c r="O2111" s="116">
        <v>4384</v>
      </c>
      <c r="P2111" s="116">
        <v>4420</v>
      </c>
      <c r="Q2111" s="116">
        <v>4400.1499999999996</v>
      </c>
      <c r="R2111">
        <v>159465</v>
      </c>
    </row>
    <row r="2112" spans="1:18" x14ac:dyDescent="0.25">
      <c r="A2112" s="170">
        <v>45114</v>
      </c>
      <c r="B2112" s="116">
        <v>4430.1499999999996</v>
      </c>
      <c r="C2112" s="116">
        <v>4397.1000000000004</v>
      </c>
      <c r="D2112" s="116">
        <v>4354.95</v>
      </c>
      <c r="E2112" s="116">
        <v>4395</v>
      </c>
      <c r="F2112" s="116">
        <v>4397.1000000000004</v>
      </c>
      <c r="G2112">
        <v>2865</v>
      </c>
      <c r="H2112" s="116"/>
      <c r="I2112" s="116"/>
      <c r="L2112" s="170">
        <v>45114</v>
      </c>
      <c r="M2112" s="116">
        <v>4399.75</v>
      </c>
      <c r="N2112" s="116">
        <v>4430</v>
      </c>
      <c r="O2112" s="116">
        <v>4353</v>
      </c>
      <c r="P2112" s="116">
        <v>4400</v>
      </c>
      <c r="Q2112" s="116">
        <v>4399.75</v>
      </c>
      <c r="R2112">
        <v>121844</v>
      </c>
    </row>
    <row r="2113" spans="1:18" x14ac:dyDescent="0.25">
      <c r="A2113" s="170">
        <v>45117</v>
      </c>
      <c r="B2113" s="116">
        <v>4446.05</v>
      </c>
      <c r="C2113" s="116">
        <v>4367.1499999999996</v>
      </c>
      <c r="D2113" s="116">
        <v>4353.55</v>
      </c>
      <c r="E2113" s="116">
        <v>4446.05</v>
      </c>
      <c r="F2113" s="116">
        <v>4367.1499999999996</v>
      </c>
      <c r="G2113">
        <v>1959</v>
      </c>
      <c r="H2113" s="116"/>
      <c r="I2113" s="116"/>
      <c r="L2113" s="170">
        <v>45117</v>
      </c>
      <c r="M2113" s="116">
        <v>4369.6499999999996</v>
      </c>
      <c r="N2113" s="116">
        <v>4426.6000000000004</v>
      </c>
      <c r="O2113" s="116">
        <v>4350</v>
      </c>
      <c r="P2113" s="116">
        <v>4414.8500000000004</v>
      </c>
      <c r="Q2113" s="116">
        <v>4369.6499999999996</v>
      </c>
      <c r="R2113">
        <v>117305</v>
      </c>
    </row>
    <row r="2114" spans="1:18" x14ac:dyDescent="0.25">
      <c r="A2114" s="170">
        <v>45118</v>
      </c>
      <c r="B2114" s="116">
        <v>4521.3500000000004</v>
      </c>
      <c r="C2114" s="116">
        <v>4506.5</v>
      </c>
      <c r="D2114" s="116">
        <v>4367.2</v>
      </c>
      <c r="E2114" s="116">
        <v>4367.2</v>
      </c>
      <c r="F2114" s="116">
        <v>4506.5</v>
      </c>
      <c r="G2114">
        <v>7242</v>
      </c>
      <c r="H2114" s="116"/>
      <c r="I2114" s="116"/>
      <c r="L2114" s="170">
        <v>45118</v>
      </c>
      <c r="M2114" s="116">
        <v>4499.25</v>
      </c>
      <c r="N2114" s="116">
        <v>4522.75</v>
      </c>
      <c r="O2114" s="116">
        <v>4380.2</v>
      </c>
      <c r="P2114" s="116">
        <v>4381.95</v>
      </c>
      <c r="Q2114" s="116">
        <v>4499.25</v>
      </c>
      <c r="R2114">
        <v>300170</v>
      </c>
    </row>
    <row r="2115" spans="1:18" x14ac:dyDescent="0.25">
      <c r="A2115" s="170">
        <v>45119</v>
      </c>
      <c r="B2115" s="116">
        <v>4553.95</v>
      </c>
      <c r="C2115" s="116">
        <v>4527.6000000000004</v>
      </c>
      <c r="D2115" s="116">
        <v>4475.05</v>
      </c>
      <c r="E2115" s="116">
        <v>4506.5</v>
      </c>
      <c r="F2115" s="116">
        <v>4527.6000000000004</v>
      </c>
      <c r="G2115">
        <v>7511</v>
      </c>
      <c r="H2115" s="116"/>
      <c r="I2115" s="116"/>
      <c r="L2115" s="170">
        <v>45119</v>
      </c>
      <c r="M2115" s="116">
        <v>4528.45</v>
      </c>
      <c r="N2115" s="116">
        <v>4555</v>
      </c>
      <c r="O2115" s="116">
        <v>4477.5</v>
      </c>
      <c r="P2115" s="116">
        <v>4517</v>
      </c>
      <c r="Q2115" s="116">
        <v>4528.45</v>
      </c>
      <c r="R2115">
        <v>204362</v>
      </c>
    </row>
    <row r="2116" spans="1:18" x14ac:dyDescent="0.25">
      <c r="A2116" s="170">
        <v>45120</v>
      </c>
      <c r="B2116" s="116">
        <v>4556</v>
      </c>
      <c r="C2116" s="116">
        <v>4409.6000000000004</v>
      </c>
      <c r="D2116" s="116">
        <v>4396</v>
      </c>
      <c r="E2116" s="116">
        <v>4539.8500000000004</v>
      </c>
      <c r="F2116" s="116">
        <v>4409.6000000000004</v>
      </c>
      <c r="G2116">
        <v>5514</v>
      </c>
      <c r="H2116" s="116"/>
      <c r="I2116" s="116"/>
      <c r="L2116" s="170">
        <v>45120</v>
      </c>
      <c r="M2116" s="116">
        <v>4407.3</v>
      </c>
      <c r="N2116" s="116">
        <v>4558</v>
      </c>
      <c r="O2116" s="116">
        <v>4395</v>
      </c>
      <c r="P2116" s="116">
        <v>4544.75</v>
      </c>
      <c r="Q2116" s="116">
        <v>4407.3</v>
      </c>
      <c r="R2116">
        <v>226427</v>
      </c>
    </row>
    <row r="2117" spans="1:18" x14ac:dyDescent="0.25">
      <c r="A2117" s="170">
        <v>45121</v>
      </c>
      <c r="B2117" s="116">
        <v>4462.3</v>
      </c>
      <c r="C2117" s="116">
        <v>4382.5</v>
      </c>
      <c r="D2117" s="116">
        <v>4356.3500000000004</v>
      </c>
      <c r="E2117" s="116">
        <v>4439.6499999999996</v>
      </c>
      <c r="F2117" s="116">
        <v>4382.5</v>
      </c>
      <c r="G2117">
        <v>5789</v>
      </c>
      <c r="H2117" s="116"/>
      <c r="I2117" s="116"/>
      <c r="L2117" s="170">
        <v>45121</v>
      </c>
      <c r="M2117" s="116">
        <v>4383.8</v>
      </c>
      <c r="N2117" s="116">
        <v>4463.3</v>
      </c>
      <c r="O2117" s="116">
        <v>4355.3500000000004</v>
      </c>
      <c r="P2117" s="116">
        <v>4426</v>
      </c>
      <c r="Q2117" s="116">
        <v>4383.8</v>
      </c>
      <c r="R2117">
        <v>273514</v>
      </c>
    </row>
    <row r="2118" spans="1:18" x14ac:dyDescent="0.25">
      <c r="A2118" s="170">
        <v>45124</v>
      </c>
      <c r="B2118" s="116">
        <v>4452.3999999999996</v>
      </c>
      <c r="C2118" s="116">
        <v>4416.8500000000004</v>
      </c>
      <c r="D2118" s="116">
        <v>4378.05</v>
      </c>
      <c r="E2118" s="116">
        <v>4382.55</v>
      </c>
      <c r="F2118" s="116">
        <v>4416.8500000000004</v>
      </c>
      <c r="G2118">
        <v>4138</v>
      </c>
      <c r="H2118" s="116"/>
      <c r="I2118" s="116"/>
      <c r="L2118" s="170">
        <v>45124</v>
      </c>
      <c r="M2118" s="116">
        <v>4418.95</v>
      </c>
      <c r="N2118" s="116">
        <v>4456.7</v>
      </c>
      <c r="O2118" s="116">
        <v>4377.1499999999996</v>
      </c>
      <c r="P2118" s="116">
        <v>4393.8999999999996</v>
      </c>
      <c r="Q2118" s="116">
        <v>4418.95</v>
      </c>
      <c r="R2118">
        <v>194300</v>
      </c>
    </row>
    <row r="2119" spans="1:18" x14ac:dyDescent="0.25">
      <c r="A2119" s="170">
        <v>45125</v>
      </c>
      <c r="B2119" s="116">
        <v>4545.75</v>
      </c>
      <c r="C2119" s="116">
        <v>4497.2</v>
      </c>
      <c r="D2119" s="116">
        <v>4430</v>
      </c>
      <c r="E2119" s="116">
        <v>4435.2</v>
      </c>
      <c r="F2119" s="116">
        <v>4497.2</v>
      </c>
      <c r="G2119">
        <v>10326</v>
      </c>
      <c r="H2119" s="116"/>
      <c r="I2119" s="116"/>
      <c r="L2119" s="170">
        <v>45125</v>
      </c>
      <c r="M2119" s="116">
        <v>4490.8500000000004</v>
      </c>
      <c r="N2119" s="116">
        <v>4545</v>
      </c>
      <c r="O2119" s="116">
        <v>4421</v>
      </c>
      <c r="P2119" s="116">
        <v>4421</v>
      </c>
      <c r="Q2119" s="116">
        <v>4490.8500000000004</v>
      </c>
      <c r="R2119">
        <v>350377</v>
      </c>
    </row>
    <row r="2120" spans="1:18" x14ac:dyDescent="0.25">
      <c r="A2120" s="170">
        <v>45126</v>
      </c>
      <c r="B2120" s="116">
        <v>4615</v>
      </c>
      <c r="C2120" s="116">
        <v>4497.3999999999996</v>
      </c>
      <c r="D2120" s="116">
        <v>4486.45</v>
      </c>
      <c r="E2120" s="116">
        <v>4505</v>
      </c>
      <c r="F2120" s="116">
        <v>4497.3999999999996</v>
      </c>
      <c r="G2120">
        <v>16518</v>
      </c>
      <c r="H2120" s="116"/>
      <c r="I2120" s="116"/>
      <c r="L2120" s="170">
        <v>45126</v>
      </c>
      <c r="M2120" s="116">
        <v>4493.5</v>
      </c>
      <c r="N2120" s="116">
        <v>4614.3500000000004</v>
      </c>
      <c r="O2120" s="116">
        <v>4485</v>
      </c>
      <c r="P2120" s="116">
        <v>4495.5</v>
      </c>
      <c r="Q2120" s="116">
        <v>4493.5</v>
      </c>
      <c r="R2120">
        <v>422756</v>
      </c>
    </row>
    <row r="2121" spans="1:18" x14ac:dyDescent="0.25">
      <c r="A2121" s="170">
        <v>45127</v>
      </c>
      <c r="B2121" s="116">
        <v>4529.95</v>
      </c>
      <c r="C2121" s="116">
        <v>4205.25</v>
      </c>
      <c r="D2121" s="116">
        <v>4141</v>
      </c>
      <c r="E2121" s="116">
        <v>4529.95</v>
      </c>
      <c r="F2121" s="116">
        <v>4205.25</v>
      </c>
      <c r="G2121">
        <v>45484</v>
      </c>
      <c r="H2121" s="116"/>
      <c r="I2121" s="116"/>
      <c r="L2121" s="170">
        <v>45127</v>
      </c>
      <c r="M2121" s="116">
        <v>4204</v>
      </c>
      <c r="N2121" s="116">
        <v>4505.1000000000004</v>
      </c>
      <c r="O2121" s="116">
        <v>4141.1000000000004</v>
      </c>
      <c r="P2121" s="116">
        <v>4500</v>
      </c>
      <c r="Q2121" s="116">
        <v>4204</v>
      </c>
      <c r="R2121">
        <v>1566115</v>
      </c>
    </row>
    <row r="2122" spans="1:18" x14ac:dyDescent="0.25">
      <c r="A2122" s="170">
        <v>45128</v>
      </c>
      <c r="B2122" s="116">
        <v>4316.75</v>
      </c>
      <c r="C2122" s="116">
        <v>4226.3</v>
      </c>
      <c r="D2122" s="116">
        <v>4200.6000000000004</v>
      </c>
      <c r="E2122" s="116">
        <v>4205.25</v>
      </c>
      <c r="F2122" s="116">
        <v>4226.3</v>
      </c>
      <c r="G2122">
        <v>20161</v>
      </c>
      <c r="H2122" s="116"/>
      <c r="I2122" s="116"/>
      <c r="L2122" s="170">
        <v>45128</v>
      </c>
      <c r="M2122" s="116">
        <v>4225.8</v>
      </c>
      <c r="N2122" s="116">
        <v>4317.6499999999996</v>
      </c>
      <c r="O2122" s="116">
        <v>4199.2</v>
      </c>
      <c r="P2122" s="116">
        <v>4204</v>
      </c>
      <c r="Q2122" s="116">
        <v>4225.8</v>
      </c>
      <c r="R2122">
        <v>413021</v>
      </c>
    </row>
    <row r="2123" spans="1:18" x14ac:dyDescent="0.25">
      <c r="A2123" s="170">
        <v>45131</v>
      </c>
      <c r="B2123" s="116">
        <v>4348.3</v>
      </c>
      <c r="C2123" s="116">
        <v>4319.55</v>
      </c>
      <c r="D2123" s="116">
        <v>4226.3500000000004</v>
      </c>
      <c r="E2123" s="116">
        <v>4226.3500000000004</v>
      </c>
      <c r="F2123" s="116">
        <v>4319.55</v>
      </c>
      <c r="G2123">
        <v>14367</v>
      </c>
      <c r="H2123" s="116"/>
      <c r="I2123" s="116"/>
      <c r="L2123" s="170">
        <v>45131</v>
      </c>
      <c r="M2123" s="116">
        <v>4322.05</v>
      </c>
      <c r="N2123" s="116">
        <v>4350</v>
      </c>
      <c r="O2123" s="116">
        <v>4250</v>
      </c>
      <c r="P2123" s="116">
        <v>4250</v>
      </c>
      <c r="Q2123" s="116">
        <v>4322.05</v>
      </c>
      <c r="R2123">
        <v>291808</v>
      </c>
    </row>
    <row r="2124" spans="1:18" x14ac:dyDescent="0.25">
      <c r="A2124" s="170">
        <v>45132</v>
      </c>
      <c r="B2124" s="116">
        <v>4368.75</v>
      </c>
      <c r="C2124" s="116">
        <v>4334.1000000000004</v>
      </c>
      <c r="D2124" s="116">
        <v>4272.1000000000004</v>
      </c>
      <c r="E2124" s="116">
        <v>4344.95</v>
      </c>
      <c r="F2124" s="116">
        <v>4334.1000000000004</v>
      </c>
      <c r="G2124">
        <v>4245</v>
      </c>
      <c r="H2124" s="116"/>
      <c r="I2124" s="116"/>
      <c r="L2124" s="170">
        <v>45132</v>
      </c>
      <c r="M2124" s="116">
        <v>4333.1000000000004</v>
      </c>
      <c r="N2124" s="116">
        <v>4369.45</v>
      </c>
      <c r="O2124" s="116">
        <v>4271.1499999999996</v>
      </c>
      <c r="P2124" s="116">
        <v>4335</v>
      </c>
      <c r="Q2124" s="116">
        <v>4333.1000000000004</v>
      </c>
      <c r="R2124">
        <v>230780</v>
      </c>
    </row>
    <row r="2125" spans="1:18" x14ac:dyDescent="0.25">
      <c r="A2125" s="170">
        <v>45133</v>
      </c>
      <c r="B2125" s="116">
        <v>4420</v>
      </c>
      <c r="C2125" s="116">
        <v>4398</v>
      </c>
      <c r="D2125" s="116">
        <v>4333.8999999999996</v>
      </c>
      <c r="E2125" s="116">
        <v>4333.8999999999996</v>
      </c>
      <c r="F2125" s="116">
        <v>4398</v>
      </c>
      <c r="G2125">
        <v>9533</v>
      </c>
      <c r="H2125" s="116"/>
      <c r="I2125" s="116"/>
      <c r="L2125" s="170">
        <v>45133</v>
      </c>
      <c r="M2125" s="116">
        <v>4398.5</v>
      </c>
      <c r="N2125" s="116">
        <v>4420.45</v>
      </c>
      <c r="O2125" s="116">
        <v>4331.45</v>
      </c>
      <c r="P2125" s="116">
        <v>4335.3500000000004</v>
      </c>
      <c r="Q2125" s="116">
        <v>4398.5</v>
      </c>
      <c r="R2125">
        <v>214947</v>
      </c>
    </row>
    <row r="2126" spans="1:18" x14ac:dyDescent="0.25">
      <c r="A2126" s="170">
        <v>45134</v>
      </c>
      <c r="B2126" s="116">
        <v>4489</v>
      </c>
      <c r="C2126" s="116">
        <v>4403.2</v>
      </c>
      <c r="D2126" s="116">
        <v>4367.3500000000004</v>
      </c>
      <c r="E2126" s="116">
        <v>4400</v>
      </c>
      <c r="F2126" s="116">
        <v>4403.2</v>
      </c>
      <c r="G2126">
        <v>4671</v>
      </c>
      <c r="H2126" s="116"/>
      <c r="I2126" s="116"/>
      <c r="L2126" s="170">
        <v>45134</v>
      </c>
      <c r="M2126" s="116">
        <v>4400.1000000000004</v>
      </c>
      <c r="N2126" s="116">
        <v>4491.55</v>
      </c>
      <c r="O2126" s="116">
        <v>4368</v>
      </c>
      <c r="P2126" s="116">
        <v>4402</v>
      </c>
      <c r="Q2126" s="116">
        <v>4400.1000000000004</v>
      </c>
      <c r="R2126">
        <v>334733</v>
      </c>
    </row>
    <row r="2127" spans="1:18" x14ac:dyDescent="0.25">
      <c r="A2127" s="170">
        <v>45135</v>
      </c>
      <c r="B2127" s="116">
        <v>4541</v>
      </c>
      <c r="C2127" s="116">
        <v>4516.5</v>
      </c>
      <c r="D2127" s="116">
        <v>4419.1000000000004</v>
      </c>
      <c r="E2127" s="116">
        <v>4431.3999999999996</v>
      </c>
      <c r="F2127" s="116">
        <v>4516.5</v>
      </c>
      <c r="G2127">
        <v>14687</v>
      </c>
      <c r="H2127" s="116"/>
      <c r="I2127" s="116"/>
      <c r="L2127" s="170">
        <v>45135</v>
      </c>
      <c r="M2127" s="116">
        <v>4516.2</v>
      </c>
      <c r="N2127" s="116">
        <v>4541.95</v>
      </c>
      <c r="O2127" s="116">
        <v>4410.25</v>
      </c>
      <c r="P2127" s="116">
        <v>4424.95</v>
      </c>
      <c r="Q2127" s="116">
        <v>4516.2</v>
      </c>
      <c r="R2127">
        <v>415070</v>
      </c>
    </row>
    <row r="2128" spans="1:18" x14ac:dyDescent="0.25">
      <c r="A2128" s="170">
        <v>45138</v>
      </c>
      <c r="B2128" s="116">
        <v>4609.5</v>
      </c>
      <c r="C2128" s="116">
        <v>4546.3999999999996</v>
      </c>
      <c r="D2128" s="116">
        <v>4514.1499999999996</v>
      </c>
      <c r="E2128" s="116">
        <v>4516.5</v>
      </c>
      <c r="F2128" s="116">
        <v>4546.3999999999996</v>
      </c>
      <c r="G2128">
        <v>9180</v>
      </c>
      <c r="H2128" s="116"/>
      <c r="I2128" s="116"/>
      <c r="L2128" s="170">
        <v>45138</v>
      </c>
      <c r="M2128" s="116">
        <v>4552.8</v>
      </c>
      <c r="N2128" s="116">
        <v>4608</v>
      </c>
      <c r="O2128" s="116">
        <v>4505.55</v>
      </c>
      <c r="P2128" s="116">
        <v>4505.55</v>
      </c>
      <c r="Q2128" s="116">
        <v>4552.8</v>
      </c>
      <c r="R2128">
        <v>254120</v>
      </c>
    </row>
    <row r="2129" spans="1:18" x14ac:dyDescent="0.25">
      <c r="A2129" s="170">
        <v>45139</v>
      </c>
      <c r="B2129" s="116">
        <v>4581.05</v>
      </c>
      <c r="C2129" s="116">
        <v>4519.7</v>
      </c>
      <c r="D2129" s="116">
        <v>4500</v>
      </c>
      <c r="E2129" s="116">
        <v>4557.05</v>
      </c>
      <c r="F2129" s="116">
        <v>4519.7</v>
      </c>
      <c r="G2129">
        <v>12022</v>
      </c>
      <c r="H2129" s="116"/>
      <c r="I2129" s="116"/>
      <c r="L2129" s="170">
        <v>45139</v>
      </c>
      <c r="M2129" s="116">
        <v>4519.6499999999996</v>
      </c>
      <c r="N2129" s="116">
        <v>4589.3</v>
      </c>
      <c r="O2129" s="116">
        <v>4498</v>
      </c>
      <c r="P2129" s="116">
        <v>4578.75</v>
      </c>
      <c r="Q2129" s="116">
        <v>4519.6499999999996</v>
      </c>
      <c r="R2129">
        <v>119691</v>
      </c>
    </row>
    <row r="2130" spans="1:18" x14ac:dyDescent="0.25">
      <c r="A2130" s="170">
        <v>45140</v>
      </c>
      <c r="B2130" s="116">
        <v>4550.7</v>
      </c>
      <c r="C2130" s="116">
        <v>4404.3999999999996</v>
      </c>
      <c r="D2130" s="116">
        <v>4381.1000000000004</v>
      </c>
      <c r="E2130" s="116">
        <v>4519.8999999999996</v>
      </c>
      <c r="F2130" s="116">
        <v>4404.3999999999996</v>
      </c>
      <c r="G2130">
        <v>8672</v>
      </c>
      <c r="H2130" s="116"/>
      <c r="I2130" s="116"/>
      <c r="L2130" s="170">
        <v>45140</v>
      </c>
      <c r="M2130" s="116">
        <v>4408</v>
      </c>
      <c r="N2130" s="116">
        <v>4557</v>
      </c>
      <c r="O2130" s="116">
        <v>4380</v>
      </c>
      <c r="P2130" s="116">
        <v>4508</v>
      </c>
      <c r="Q2130" s="116">
        <v>4408</v>
      </c>
      <c r="R2130">
        <v>217964</v>
      </c>
    </row>
    <row r="2131" spans="1:18" x14ac:dyDescent="0.25">
      <c r="A2131" s="170">
        <v>45141</v>
      </c>
      <c r="B2131" s="116">
        <v>4437.95</v>
      </c>
      <c r="C2131" s="116">
        <v>4375.45</v>
      </c>
      <c r="D2131" s="116">
        <v>4325</v>
      </c>
      <c r="E2131" s="116">
        <v>4437.95</v>
      </c>
      <c r="F2131" s="116">
        <v>4375.45</v>
      </c>
      <c r="G2131">
        <v>3886</v>
      </c>
      <c r="H2131" s="116"/>
      <c r="I2131" s="116"/>
      <c r="L2131" s="170">
        <v>45141</v>
      </c>
      <c r="M2131" s="116">
        <v>4372.95</v>
      </c>
      <c r="N2131" s="116">
        <v>4438</v>
      </c>
      <c r="O2131" s="116">
        <v>4325</v>
      </c>
      <c r="P2131" s="116">
        <v>4408</v>
      </c>
      <c r="Q2131" s="116">
        <v>4372.95</v>
      </c>
      <c r="R2131">
        <v>195937</v>
      </c>
    </row>
    <row r="2132" spans="1:18" x14ac:dyDescent="0.25">
      <c r="A2132" s="170">
        <v>45142</v>
      </c>
      <c r="B2132" s="116">
        <v>4447.45</v>
      </c>
      <c r="C2132" s="116">
        <v>4433.8</v>
      </c>
      <c r="D2132" s="116">
        <v>4332.2</v>
      </c>
      <c r="E2132" s="116">
        <v>4352.3</v>
      </c>
      <c r="F2132" s="116">
        <v>4433.8</v>
      </c>
      <c r="G2132">
        <v>5003</v>
      </c>
      <c r="H2132" s="116"/>
      <c r="I2132" s="116"/>
      <c r="L2132" s="170">
        <v>45142</v>
      </c>
      <c r="M2132" s="116">
        <v>4438.05</v>
      </c>
      <c r="N2132" s="116">
        <v>4449</v>
      </c>
      <c r="O2132" s="116">
        <v>4311</v>
      </c>
      <c r="P2132" s="116">
        <v>4311</v>
      </c>
      <c r="Q2132" s="116">
        <v>4438.05</v>
      </c>
      <c r="R2132">
        <v>199490</v>
      </c>
    </row>
    <row r="2133" spans="1:18" x14ac:dyDescent="0.25">
      <c r="A2133" s="170">
        <v>45145</v>
      </c>
      <c r="B2133" s="116">
        <v>4539</v>
      </c>
      <c r="C2133" s="116">
        <v>4527.3999999999996</v>
      </c>
      <c r="D2133" s="116">
        <v>4417.6499999999996</v>
      </c>
      <c r="E2133" s="116">
        <v>4450</v>
      </c>
      <c r="F2133" s="116">
        <v>4527.3999999999996</v>
      </c>
      <c r="G2133">
        <v>7339</v>
      </c>
      <c r="H2133" s="116"/>
      <c r="I2133" s="116"/>
      <c r="L2133" s="170">
        <v>45145</v>
      </c>
      <c r="M2133" s="116">
        <v>4525.95</v>
      </c>
      <c r="N2133" s="116">
        <v>4541.1499999999996</v>
      </c>
      <c r="O2133" s="116">
        <v>4417.6000000000004</v>
      </c>
      <c r="P2133" s="116">
        <v>4460.25</v>
      </c>
      <c r="Q2133" s="116">
        <v>4525.95</v>
      </c>
      <c r="R2133">
        <v>235866</v>
      </c>
    </row>
    <row r="2134" spans="1:18" x14ac:dyDescent="0.25">
      <c r="A2134" s="170">
        <v>45146</v>
      </c>
      <c r="B2134" s="116">
        <v>4530</v>
      </c>
      <c r="C2134" s="116">
        <v>4476.55</v>
      </c>
      <c r="D2134" s="116">
        <v>4449.3</v>
      </c>
      <c r="E2134" s="116">
        <v>4525</v>
      </c>
      <c r="F2134" s="116">
        <v>4476.55</v>
      </c>
      <c r="G2134">
        <v>4935</v>
      </c>
      <c r="H2134" s="116"/>
      <c r="I2134" s="116"/>
      <c r="L2134" s="170">
        <v>45146</v>
      </c>
      <c r="M2134" s="116">
        <v>4476.6499999999996</v>
      </c>
      <c r="N2134" s="116">
        <v>4547.95</v>
      </c>
      <c r="O2134" s="116">
        <v>4445</v>
      </c>
      <c r="P2134" s="116">
        <v>4547.95</v>
      </c>
      <c r="Q2134" s="116">
        <v>4476.6499999999996</v>
      </c>
      <c r="R2134">
        <v>151125</v>
      </c>
    </row>
    <row r="2135" spans="1:18" x14ac:dyDescent="0.25">
      <c r="A2135" s="170">
        <v>45147</v>
      </c>
      <c r="B2135" s="116">
        <v>4553.95</v>
      </c>
      <c r="C2135" s="116">
        <v>4522.3999999999996</v>
      </c>
      <c r="D2135" s="116">
        <v>4414.75</v>
      </c>
      <c r="E2135" s="116">
        <v>4476</v>
      </c>
      <c r="F2135" s="116">
        <v>4522.3999999999996</v>
      </c>
      <c r="G2135">
        <v>9833</v>
      </c>
      <c r="H2135" s="116"/>
      <c r="I2135" s="116"/>
      <c r="L2135" s="170">
        <v>45147</v>
      </c>
      <c r="M2135" s="116">
        <v>4520.95</v>
      </c>
      <c r="N2135" s="116">
        <v>4557</v>
      </c>
      <c r="O2135" s="116">
        <v>4415.55</v>
      </c>
      <c r="P2135" s="116">
        <v>4487.8999999999996</v>
      </c>
      <c r="Q2135" s="116">
        <v>4520.95</v>
      </c>
      <c r="R2135">
        <v>392322</v>
      </c>
    </row>
    <row r="2136" spans="1:18" x14ac:dyDescent="0.25">
      <c r="A2136" s="170">
        <v>45148</v>
      </c>
      <c r="B2136" s="116">
        <v>4549.95</v>
      </c>
      <c r="C2136" s="116">
        <v>4505.55</v>
      </c>
      <c r="D2136" s="116">
        <v>4478.05</v>
      </c>
      <c r="E2136" s="116">
        <v>4478.05</v>
      </c>
      <c r="F2136" s="116">
        <v>4505.55</v>
      </c>
      <c r="G2136">
        <v>5947</v>
      </c>
      <c r="H2136" s="116"/>
      <c r="I2136" s="116"/>
      <c r="L2136" s="170">
        <v>45148</v>
      </c>
      <c r="M2136" s="116">
        <v>4505.1000000000004</v>
      </c>
      <c r="N2136" s="116">
        <v>4550</v>
      </c>
      <c r="O2136" s="116">
        <v>4479.1000000000004</v>
      </c>
      <c r="P2136" s="116">
        <v>4519.8500000000004</v>
      </c>
      <c r="Q2136" s="116">
        <v>4505.1000000000004</v>
      </c>
      <c r="R2136">
        <v>169628</v>
      </c>
    </row>
    <row r="2137" spans="1:18" x14ac:dyDescent="0.25">
      <c r="A2137" s="170">
        <v>45149</v>
      </c>
      <c r="B2137" s="116">
        <v>4558.8999999999996</v>
      </c>
      <c r="C2137" s="116">
        <v>4526.55</v>
      </c>
      <c r="D2137" s="116">
        <v>4487.45</v>
      </c>
      <c r="E2137" s="116">
        <v>4539.95</v>
      </c>
      <c r="F2137" s="116">
        <v>4526.55</v>
      </c>
      <c r="G2137">
        <v>6555</v>
      </c>
      <c r="H2137" s="116"/>
      <c r="I2137" s="116"/>
      <c r="L2137" s="170">
        <v>45149</v>
      </c>
      <c r="M2137" s="116">
        <v>4526.6499999999996</v>
      </c>
      <c r="N2137" s="116">
        <v>4559</v>
      </c>
      <c r="O2137" s="116">
        <v>4487</v>
      </c>
      <c r="P2137" s="116">
        <v>4516.55</v>
      </c>
      <c r="Q2137" s="116">
        <v>4526.6499999999996</v>
      </c>
      <c r="R2137">
        <v>212151</v>
      </c>
    </row>
    <row r="2138" spans="1:18" x14ac:dyDescent="0.25">
      <c r="A2138" s="170">
        <v>45152</v>
      </c>
      <c r="B2138" s="116">
        <v>4530.05</v>
      </c>
      <c r="C2138" s="116">
        <v>4352.3</v>
      </c>
      <c r="D2138" s="116">
        <v>4254.1499999999996</v>
      </c>
      <c r="E2138" s="116">
        <v>4530.05</v>
      </c>
      <c r="F2138" s="116">
        <v>4352.3</v>
      </c>
      <c r="G2138">
        <v>29761</v>
      </c>
      <c r="H2138" s="116"/>
      <c r="I2138" s="116"/>
      <c r="L2138" s="170">
        <v>45152</v>
      </c>
      <c r="M2138" s="116">
        <v>4354.7</v>
      </c>
      <c r="N2138" s="116">
        <v>4500</v>
      </c>
      <c r="O2138" s="116">
        <v>4254.2</v>
      </c>
      <c r="P2138" s="116">
        <v>4500</v>
      </c>
      <c r="Q2138" s="116">
        <v>4354.7</v>
      </c>
      <c r="R2138">
        <v>753925</v>
      </c>
    </row>
    <row r="2139" spans="1:18" x14ac:dyDescent="0.25">
      <c r="A2139" s="170">
        <v>45154</v>
      </c>
      <c r="B2139" s="116">
        <v>4389.95</v>
      </c>
      <c r="C2139" s="116">
        <v>4297.3</v>
      </c>
      <c r="D2139" s="116">
        <v>4264.2</v>
      </c>
      <c r="E2139" s="116">
        <v>4389.95</v>
      </c>
      <c r="F2139" s="116">
        <v>4297.3</v>
      </c>
      <c r="G2139">
        <v>9078</v>
      </c>
      <c r="H2139" s="116"/>
      <c r="I2139" s="116"/>
      <c r="L2139" s="170">
        <v>45154</v>
      </c>
      <c r="M2139" s="116">
        <v>4299.8500000000004</v>
      </c>
      <c r="N2139" s="116">
        <v>4400</v>
      </c>
      <c r="O2139" s="116">
        <v>4255.1000000000004</v>
      </c>
      <c r="P2139" s="116">
        <v>4354.7</v>
      </c>
      <c r="Q2139" s="116">
        <v>4299.8500000000004</v>
      </c>
      <c r="R2139">
        <v>295770</v>
      </c>
    </row>
    <row r="2140" spans="1:18" x14ac:dyDescent="0.25">
      <c r="A2140" s="170">
        <v>45155</v>
      </c>
      <c r="B2140" s="116">
        <v>4342</v>
      </c>
      <c r="C2140" s="116">
        <v>4311.3</v>
      </c>
      <c r="D2140" s="116">
        <v>4278</v>
      </c>
      <c r="E2140" s="116">
        <v>4312.75</v>
      </c>
      <c r="F2140" s="116">
        <v>4311.3</v>
      </c>
      <c r="G2140">
        <v>5263</v>
      </c>
      <c r="H2140" s="116"/>
      <c r="I2140" s="116"/>
      <c r="L2140" s="170">
        <v>45155</v>
      </c>
      <c r="M2140" s="116">
        <v>4313.7</v>
      </c>
      <c r="N2140" s="116">
        <v>4341.8999999999996</v>
      </c>
      <c r="O2140" s="116">
        <v>4275.55</v>
      </c>
      <c r="P2140" s="116">
        <v>4309.8500000000004</v>
      </c>
      <c r="Q2140" s="116">
        <v>4313.7</v>
      </c>
      <c r="R2140">
        <v>183884</v>
      </c>
    </row>
    <row r="2141" spans="1:18" x14ac:dyDescent="0.25">
      <c r="A2141" s="170">
        <v>45156</v>
      </c>
      <c r="B2141" s="116">
        <v>4344.55</v>
      </c>
      <c r="C2141" s="116">
        <v>4276.05</v>
      </c>
      <c r="D2141" s="116">
        <v>4270.95</v>
      </c>
      <c r="E2141" s="116">
        <v>4308.8</v>
      </c>
      <c r="F2141" s="116">
        <v>4276.05</v>
      </c>
      <c r="G2141">
        <v>3545</v>
      </c>
      <c r="H2141" s="116"/>
      <c r="I2141" s="116"/>
      <c r="L2141" s="170">
        <v>45156</v>
      </c>
      <c r="M2141" s="116">
        <v>4279.5</v>
      </c>
      <c r="N2141" s="116">
        <v>4343.45</v>
      </c>
      <c r="O2141" s="116">
        <v>4270</v>
      </c>
      <c r="P2141" s="116">
        <v>4314.8</v>
      </c>
      <c r="Q2141" s="116">
        <v>4279.5</v>
      </c>
      <c r="R2141">
        <v>230500</v>
      </c>
    </row>
    <row r="2142" spans="1:18" x14ac:dyDescent="0.25">
      <c r="A2142" s="170">
        <v>45159</v>
      </c>
      <c r="B2142" s="116">
        <v>4326.1499999999996</v>
      </c>
      <c r="C2142" s="116">
        <v>4313.8</v>
      </c>
      <c r="D2142" s="116">
        <v>4251</v>
      </c>
      <c r="E2142" s="116">
        <v>4303.95</v>
      </c>
      <c r="F2142" s="116">
        <v>4313.8</v>
      </c>
      <c r="G2142">
        <v>6712</v>
      </c>
      <c r="H2142" s="116"/>
      <c r="I2142" s="116"/>
      <c r="L2142" s="170">
        <v>45159</v>
      </c>
      <c r="M2142" s="116">
        <v>4317.2</v>
      </c>
      <c r="N2142" s="116">
        <v>4331.2</v>
      </c>
      <c r="O2142" s="116">
        <v>4251</v>
      </c>
      <c r="P2142" s="116">
        <v>4298.8</v>
      </c>
      <c r="Q2142" s="116">
        <v>4317.2</v>
      </c>
      <c r="R2142">
        <v>294745</v>
      </c>
    </row>
    <row r="2143" spans="1:18" x14ac:dyDescent="0.25">
      <c r="A2143" s="170">
        <v>45160</v>
      </c>
      <c r="B2143" s="116">
        <v>4340</v>
      </c>
      <c r="C2143" s="116">
        <v>4325.75</v>
      </c>
      <c r="D2143" s="116">
        <v>4285.7</v>
      </c>
      <c r="E2143" s="116">
        <v>4340</v>
      </c>
      <c r="F2143" s="116">
        <v>4325.75</v>
      </c>
      <c r="G2143">
        <v>4779</v>
      </c>
      <c r="H2143" s="116"/>
      <c r="I2143" s="116"/>
      <c r="L2143" s="170">
        <v>45160</v>
      </c>
      <c r="M2143" s="116">
        <v>4324.3</v>
      </c>
      <c r="N2143" s="116">
        <v>4339.75</v>
      </c>
      <c r="O2143" s="116">
        <v>4286</v>
      </c>
      <c r="P2143" s="116">
        <v>4339.75</v>
      </c>
      <c r="Q2143" s="116">
        <v>4324.3</v>
      </c>
      <c r="R2143">
        <v>216566</v>
      </c>
    </row>
    <row r="2144" spans="1:18" x14ac:dyDescent="0.25">
      <c r="A2144" s="170">
        <v>45161</v>
      </c>
      <c r="B2144" s="116">
        <v>4345</v>
      </c>
      <c r="C2144" s="116">
        <v>4301.8500000000004</v>
      </c>
      <c r="D2144" s="116">
        <v>4294.7</v>
      </c>
      <c r="E2144" s="116">
        <v>4336.1000000000004</v>
      </c>
      <c r="F2144" s="116">
        <v>4301.8500000000004</v>
      </c>
      <c r="G2144">
        <v>4671</v>
      </c>
      <c r="H2144" s="116"/>
      <c r="I2144" s="116"/>
      <c r="L2144" s="170">
        <v>45161</v>
      </c>
      <c r="M2144" s="116">
        <v>4302.6000000000004</v>
      </c>
      <c r="N2144" s="116">
        <v>4347.1000000000004</v>
      </c>
      <c r="O2144" s="116">
        <v>4293.8</v>
      </c>
      <c r="P2144" s="116">
        <v>4344</v>
      </c>
      <c r="Q2144" s="116">
        <v>4302.6000000000004</v>
      </c>
      <c r="R2144">
        <v>144208</v>
      </c>
    </row>
    <row r="2145" spans="1:18" x14ac:dyDescent="0.25">
      <c r="A2145" s="170">
        <v>45162</v>
      </c>
      <c r="B2145" s="116">
        <v>4390</v>
      </c>
      <c r="C2145" s="116">
        <v>4335.95</v>
      </c>
      <c r="D2145" s="116">
        <v>4319</v>
      </c>
      <c r="E2145" s="116">
        <v>4335.95</v>
      </c>
      <c r="F2145" s="116">
        <v>4335.95</v>
      </c>
      <c r="G2145">
        <v>4179</v>
      </c>
      <c r="H2145" s="116"/>
      <c r="I2145" s="116"/>
      <c r="L2145" s="170">
        <v>45162</v>
      </c>
      <c r="M2145" s="116">
        <v>4336.95</v>
      </c>
      <c r="N2145" s="116">
        <v>4390</v>
      </c>
      <c r="O2145" s="116">
        <v>4316.25</v>
      </c>
      <c r="P2145" s="116">
        <v>4334</v>
      </c>
      <c r="Q2145" s="116">
        <v>4336.95</v>
      </c>
      <c r="R2145">
        <v>233683</v>
      </c>
    </row>
    <row r="2146" spans="1:18" x14ac:dyDescent="0.25">
      <c r="A2146" s="170">
        <v>45163</v>
      </c>
      <c r="B2146" s="116">
        <v>4341.3500000000004</v>
      </c>
      <c r="C2146" s="116">
        <v>4241.6000000000004</v>
      </c>
      <c r="D2146" s="116">
        <v>4224</v>
      </c>
      <c r="E2146" s="116">
        <v>4330</v>
      </c>
      <c r="F2146" s="116">
        <v>4241.6000000000004</v>
      </c>
      <c r="G2146">
        <v>6272</v>
      </c>
      <c r="H2146" s="116"/>
      <c r="I2146" s="116"/>
      <c r="L2146" s="170">
        <v>45163</v>
      </c>
      <c r="M2146" s="116">
        <v>4244.5</v>
      </c>
      <c r="N2146" s="116">
        <v>4345</v>
      </c>
      <c r="O2146" s="116">
        <v>4220.2</v>
      </c>
      <c r="P2146" s="116">
        <v>4339.95</v>
      </c>
      <c r="Q2146" s="116">
        <v>4244.5</v>
      </c>
      <c r="R2146">
        <v>220479</v>
      </c>
    </row>
    <row r="2147" spans="1:18" x14ac:dyDescent="0.25">
      <c r="A2147" s="170">
        <v>45166</v>
      </c>
      <c r="B2147" s="116">
        <v>4309.8500000000004</v>
      </c>
      <c r="C2147" s="116">
        <v>4264.8</v>
      </c>
      <c r="D2147" s="116">
        <v>4246.3500000000004</v>
      </c>
      <c r="E2147" s="116">
        <v>4250</v>
      </c>
      <c r="F2147" s="116">
        <v>4264.8</v>
      </c>
      <c r="G2147">
        <v>2506</v>
      </c>
      <c r="H2147" s="116"/>
      <c r="I2147" s="116"/>
      <c r="L2147" s="170">
        <v>45166</v>
      </c>
      <c r="M2147" s="116">
        <v>4264.1000000000004</v>
      </c>
      <c r="N2147" s="116">
        <v>4310</v>
      </c>
      <c r="O2147" s="116">
        <v>4245</v>
      </c>
      <c r="P2147" s="116">
        <v>4259.8999999999996</v>
      </c>
      <c r="Q2147" s="116">
        <v>4264.1000000000004</v>
      </c>
      <c r="R2147">
        <v>197684</v>
      </c>
    </row>
    <row r="2148" spans="1:18" x14ac:dyDescent="0.25">
      <c r="A2148" s="170">
        <v>45167</v>
      </c>
      <c r="B2148" s="116">
        <v>4329.8500000000004</v>
      </c>
      <c r="C2148" s="116">
        <v>4317.3999999999996</v>
      </c>
      <c r="D2148" s="116">
        <v>4248.8500000000004</v>
      </c>
      <c r="E2148" s="116">
        <v>4279.95</v>
      </c>
      <c r="F2148" s="116">
        <v>4317.3999999999996</v>
      </c>
      <c r="G2148">
        <v>6233</v>
      </c>
      <c r="H2148" s="116"/>
      <c r="I2148" s="116"/>
      <c r="L2148" s="170">
        <v>45167</v>
      </c>
      <c r="M2148" s="116">
        <v>4318.8500000000004</v>
      </c>
      <c r="N2148" s="116">
        <v>4329.95</v>
      </c>
      <c r="O2148" s="116">
        <v>4244.1000000000004</v>
      </c>
      <c r="P2148" s="116">
        <v>4274.8999999999996</v>
      </c>
      <c r="Q2148" s="116">
        <v>4318.8500000000004</v>
      </c>
      <c r="R2148">
        <v>187724</v>
      </c>
    </row>
    <row r="2149" spans="1:18" x14ac:dyDescent="0.25">
      <c r="A2149" s="170">
        <v>45168</v>
      </c>
      <c r="B2149" s="116">
        <v>4365</v>
      </c>
      <c r="C2149" s="116">
        <v>4340.1000000000004</v>
      </c>
      <c r="D2149" s="116">
        <v>4326</v>
      </c>
      <c r="E2149" s="116">
        <v>4330</v>
      </c>
      <c r="F2149" s="116">
        <v>4340.1000000000004</v>
      </c>
      <c r="G2149">
        <v>1747</v>
      </c>
      <c r="H2149" s="116"/>
      <c r="I2149" s="116"/>
      <c r="L2149" s="170">
        <v>45168</v>
      </c>
      <c r="M2149" s="116">
        <v>4345.95</v>
      </c>
      <c r="N2149" s="116">
        <v>4365</v>
      </c>
      <c r="O2149" s="116">
        <v>4323.5</v>
      </c>
      <c r="P2149" s="116">
        <v>4335</v>
      </c>
      <c r="Q2149" s="116">
        <v>4345.95</v>
      </c>
      <c r="R2149">
        <v>187244</v>
      </c>
    </row>
    <row r="2150" spans="1:18" x14ac:dyDescent="0.25">
      <c r="A2150" s="170">
        <v>45169</v>
      </c>
      <c r="B2150" s="116">
        <v>4391</v>
      </c>
      <c r="C2150" s="116">
        <v>4379.75</v>
      </c>
      <c r="D2150" s="116">
        <v>4327.05</v>
      </c>
      <c r="E2150" s="116">
        <v>4327.05</v>
      </c>
      <c r="F2150" s="116">
        <v>4379.75</v>
      </c>
      <c r="G2150">
        <v>3064</v>
      </c>
      <c r="H2150" s="116"/>
      <c r="I2150" s="116"/>
      <c r="L2150" s="170">
        <v>45169</v>
      </c>
      <c r="M2150" s="116">
        <v>4381.55</v>
      </c>
      <c r="N2150" s="116">
        <v>4390</v>
      </c>
      <c r="O2150" s="116">
        <v>4346</v>
      </c>
      <c r="P2150" s="116">
        <v>4360</v>
      </c>
      <c r="Q2150" s="116">
        <v>4381.55</v>
      </c>
      <c r="R2150">
        <v>432110</v>
      </c>
    </row>
    <row r="2151" spans="1:18" x14ac:dyDescent="0.25">
      <c r="A2151" s="170">
        <v>45170</v>
      </c>
      <c r="B2151" s="116">
        <v>4390.8500000000004</v>
      </c>
      <c r="C2151" s="116">
        <v>4291.1000000000004</v>
      </c>
      <c r="D2151" s="116">
        <v>4272.45</v>
      </c>
      <c r="E2151" s="116">
        <v>4376</v>
      </c>
      <c r="F2151" s="116">
        <v>4291.1000000000004</v>
      </c>
      <c r="G2151">
        <v>5817</v>
      </c>
      <c r="H2151" s="116"/>
      <c r="I2151" s="116"/>
      <c r="L2151" s="170">
        <v>45170</v>
      </c>
      <c r="M2151" s="116">
        <v>4291.45</v>
      </c>
      <c r="N2151" s="116">
        <v>4399</v>
      </c>
      <c r="O2151" s="116">
        <v>4271</v>
      </c>
      <c r="P2151" s="116">
        <v>4381.3500000000004</v>
      </c>
      <c r="Q2151" s="116">
        <v>4291.45</v>
      </c>
      <c r="R2151">
        <v>164901</v>
      </c>
    </row>
    <row r="2152" spans="1:18" x14ac:dyDescent="0.25">
      <c r="A2152" s="170">
        <v>45173</v>
      </c>
      <c r="B2152" s="116">
        <v>4328.75</v>
      </c>
      <c r="C2152" s="116">
        <v>4298.8500000000004</v>
      </c>
      <c r="D2152" s="116">
        <v>4246</v>
      </c>
      <c r="E2152" s="116">
        <v>4320.3999999999996</v>
      </c>
      <c r="F2152" s="116">
        <v>4298.8500000000004</v>
      </c>
      <c r="G2152">
        <v>4985</v>
      </c>
      <c r="H2152" s="116"/>
      <c r="I2152" s="116"/>
      <c r="L2152" s="170">
        <v>45173</v>
      </c>
      <c r="M2152" s="116">
        <v>4309.3</v>
      </c>
      <c r="N2152" s="116">
        <v>4328</v>
      </c>
      <c r="O2152" s="116">
        <v>4245.25</v>
      </c>
      <c r="P2152" s="116">
        <v>4300</v>
      </c>
      <c r="Q2152" s="116">
        <v>4309.3</v>
      </c>
      <c r="R2152">
        <v>298303</v>
      </c>
    </row>
    <row r="2153" spans="1:18" x14ac:dyDescent="0.25">
      <c r="A2153" s="170">
        <v>45174</v>
      </c>
      <c r="B2153" s="116">
        <v>4447</v>
      </c>
      <c r="C2153" s="116">
        <v>4440.8500000000004</v>
      </c>
      <c r="D2153" s="116">
        <v>4305.45</v>
      </c>
      <c r="E2153" s="116">
        <v>4305.45</v>
      </c>
      <c r="F2153" s="116">
        <v>4440.8500000000004</v>
      </c>
      <c r="G2153">
        <v>7234</v>
      </c>
      <c r="H2153" s="116"/>
      <c r="I2153" s="116"/>
      <c r="L2153" s="170">
        <v>45174</v>
      </c>
      <c r="M2153" s="116">
        <v>4440.8</v>
      </c>
      <c r="N2153" s="116">
        <v>4450</v>
      </c>
      <c r="O2153" s="116">
        <v>4315.1000000000004</v>
      </c>
      <c r="P2153" s="116">
        <v>4339.45</v>
      </c>
      <c r="Q2153" s="116">
        <v>4440.8</v>
      </c>
      <c r="R2153">
        <v>306152</v>
      </c>
    </row>
    <row r="2154" spans="1:18" x14ac:dyDescent="0.25">
      <c r="A2154" s="170">
        <v>45175</v>
      </c>
      <c r="B2154" s="116">
        <v>4539.8999999999996</v>
      </c>
      <c r="C2154" s="116">
        <v>4499.05</v>
      </c>
      <c r="D2154" s="116">
        <v>4447</v>
      </c>
      <c r="E2154" s="116">
        <v>4449.8500000000004</v>
      </c>
      <c r="F2154" s="116">
        <v>4499.05</v>
      </c>
      <c r="G2154">
        <v>14600</v>
      </c>
      <c r="H2154" s="116"/>
      <c r="I2154" s="116"/>
      <c r="L2154" s="170">
        <v>45175</v>
      </c>
      <c r="M2154" s="116">
        <v>4500.3</v>
      </c>
      <c r="N2154" s="116">
        <v>4540</v>
      </c>
      <c r="O2154" s="116">
        <v>4443.05</v>
      </c>
      <c r="P2154" s="116">
        <v>4469.8999999999996</v>
      </c>
      <c r="Q2154" s="116">
        <v>4500.3</v>
      </c>
      <c r="R2154">
        <v>504897</v>
      </c>
    </row>
    <row r="2155" spans="1:18" x14ac:dyDescent="0.25">
      <c r="A2155" s="170">
        <v>45176</v>
      </c>
      <c r="B2155" s="116">
        <v>4499.05</v>
      </c>
      <c r="C2155" s="116">
        <v>4447.55</v>
      </c>
      <c r="D2155" s="116">
        <v>4441.8</v>
      </c>
      <c r="E2155" s="116">
        <v>4499.05</v>
      </c>
      <c r="F2155" s="116">
        <v>4447.55</v>
      </c>
      <c r="G2155">
        <v>33381</v>
      </c>
      <c r="H2155" s="116"/>
      <c r="I2155" s="116"/>
      <c r="L2155" s="170">
        <v>45176</v>
      </c>
      <c r="M2155" s="116">
        <v>4448.6000000000004</v>
      </c>
      <c r="N2155" s="116">
        <v>4507</v>
      </c>
      <c r="O2155" s="116">
        <v>4442.55</v>
      </c>
      <c r="P2155" s="116">
        <v>4506.95</v>
      </c>
      <c r="Q2155" s="116">
        <v>4448.6000000000004</v>
      </c>
      <c r="R2155">
        <v>193416</v>
      </c>
    </row>
    <row r="2156" spans="1:18" x14ac:dyDescent="0.25">
      <c r="A2156" s="170">
        <v>45177</v>
      </c>
      <c r="B2156" s="116">
        <v>4516.8500000000004</v>
      </c>
      <c r="C2156" s="116">
        <v>4459.45</v>
      </c>
      <c r="D2156" s="116">
        <v>4435.3500000000004</v>
      </c>
      <c r="E2156" s="116">
        <v>4477.7</v>
      </c>
      <c r="F2156" s="116">
        <v>4459.45</v>
      </c>
      <c r="G2156">
        <v>41775</v>
      </c>
      <c r="H2156" s="116"/>
      <c r="I2156" s="116"/>
      <c r="L2156" s="170">
        <v>45177</v>
      </c>
      <c r="M2156" s="116">
        <v>4458.55</v>
      </c>
      <c r="N2156" s="116">
        <v>4515</v>
      </c>
      <c r="O2156" s="116">
        <v>4435</v>
      </c>
      <c r="P2156" s="116">
        <v>4464.8999999999996</v>
      </c>
      <c r="Q2156" s="116">
        <v>4458.55</v>
      </c>
      <c r="R2156">
        <v>231272</v>
      </c>
    </row>
    <row r="2157" spans="1:18" x14ac:dyDescent="0.25">
      <c r="A2157" s="170">
        <v>45180</v>
      </c>
      <c r="B2157" s="116">
        <v>4675.8500000000004</v>
      </c>
      <c r="C2157" s="116">
        <v>4621.8999999999996</v>
      </c>
      <c r="D2157" s="116">
        <v>4445</v>
      </c>
      <c r="E2157" s="116">
        <v>4456.05</v>
      </c>
      <c r="F2157" s="116">
        <v>4621.8999999999996</v>
      </c>
      <c r="G2157">
        <v>33981</v>
      </c>
      <c r="H2157" s="116"/>
      <c r="I2157" s="116"/>
      <c r="L2157" s="170">
        <v>45180</v>
      </c>
      <c r="M2157" s="116">
        <v>4618.8500000000004</v>
      </c>
      <c r="N2157" s="116">
        <v>4678</v>
      </c>
      <c r="O2157" s="116">
        <v>4460.05</v>
      </c>
      <c r="P2157" s="116">
        <v>4484.95</v>
      </c>
      <c r="Q2157" s="116">
        <v>4618.8500000000004</v>
      </c>
      <c r="R2157">
        <v>684497</v>
      </c>
    </row>
    <row r="2158" spans="1:18" x14ac:dyDescent="0.25">
      <c r="A2158" s="170">
        <v>45181</v>
      </c>
      <c r="B2158" s="116">
        <v>4635</v>
      </c>
      <c r="C2158" s="116">
        <v>4400.5</v>
      </c>
      <c r="D2158" s="116">
        <v>4384.25</v>
      </c>
      <c r="E2158" s="116">
        <v>4631.25</v>
      </c>
      <c r="F2158" s="116">
        <v>4400.5</v>
      </c>
      <c r="G2158">
        <v>15820</v>
      </c>
      <c r="H2158" s="116"/>
      <c r="I2158" s="116"/>
      <c r="L2158" s="170">
        <v>45181</v>
      </c>
      <c r="M2158" s="116">
        <v>4401.8999999999996</v>
      </c>
      <c r="N2158" s="116">
        <v>4641.8999999999996</v>
      </c>
      <c r="O2158" s="116">
        <v>4384</v>
      </c>
      <c r="P2158" s="116">
        <v>4641.8999999999996</v>
      </c>
      <c r="Q2158" s="116">
        <v>4401.8999999999996</v>
      </c>
      <c r="R2158">
        <v>433279</v>
      </c>
    </row>
    <row r="2159" spans="1:18" x14ac:dyDescent="0.25">
      <c r="A2159" s="170">
        <v>45182</v>
      </c>
      <c r="B2159" s="116">
        <v>4421.25</v>
      </c>
      <c r="C2159" s="116">
        <v>4336.2</v>
      </c>
      <c r="D2159" s="116">
        <v>4260.1000000000004</v>
      </c>
      <c r="E2159" s="116">
        <v>4401.05</v>
      </c>
      <c r="F2159" s="116">
        <v>4336.2</v>
      </c>
      <c r="G2159">
        <v>7953</v>
      </c>
      <c r="H2159" s="116"/>
      <c r="I2159" s="116"/>
      <c r="L2159" s="170">
        <v>45182</v>
      </c>
      <c r="M2159" s="116">
        <v>4341.1000000000004</v>
      </c>
      <c r="N2159" s="116">
        <v>4423.2</v>
      </c>
      <c r="O2159" s="116">
        <v>4260</v>
      </c>
      <c r="P2159" s="116">
        <v>4419</v>
      </c>
      <c r="Q2159" s="116">
        <v>4341.1000000000004</v>
      </c>
      <c r="R2159">
        <v>362583</v>
      </c>
    </row>
    <row r="2160" spans="1:18" x14ac:dyDescent="0.25">
      <c r="A2160" s="170">
        <v>45183</v>
      </c>
      <c r="B2160" s="116">
        <v>4386.6000000000004</v>
      </c>
      <c r="C2160" s="116">
        <v>4370.25</v>
      </c>
      <c r="D2160" s="116">
        <v>4320</v>
      </c>
      <c r="E2160" s="116">
        <v>4348.8999999999996</v>
      </c>
      <c r="F2160" s="116">
        <v>4370.25</v>
      </c>
      <c r="G2160">
        <v>3044</v>
      </c>
      <c r="H2160" s="116"/>
      <c r="I2160" s="116"/>
      <c r="L2160" s="170">
        <v>45183</v>
      </c>
      <c r="M2160" s="116">
        <v>4366.2</v>
      </c>
      <c r="N2160" s="116">
        <v>4387.5</v>
      </c>
      <c r="O2160" s="116">
        <v>4316.3</v>
      </c>
      <c r="P2160" s="116">
        <v>4360.05</v>
      </c>
      <c r="Q2160" s="116">
        <v>4366.2</v>
      </c>
      <c r="R2160">
        <v>138301</v>
      </c>
    </row>
    <row r="2161" spans="1:18" x14ac:dyDescent="0.25">
      <c r="A2161" s="170">
        <v>45184</v>
      </c>
      <c r="B2161" s="116">
        <v>4391.5</v>
      </c>
      <c r="C2161" s="116">
        <v>4380.6000000000004</v>
      </c>
      <c r="D2161" s="116">
        <v>4345.7</v>
      </c>
      <c r="E2161" s="116">
        <v>4375</v>
      </c>
      <c r="F2161" s="116">
        <v>4380.6000000000004</v>
      </c>
      <c r="G2161">
        <v>5327</v>
      </c>
      <c r="H2161" s="116"/>
      <c r="I2161" s="116"/>
      <c r="L2161" s="170">
        <v>45184</v>
      </c>
      <c r="M2161" s="116">
        <v>4379.3999999999996</v>
      </c>
      <c r="N2161" s="116">
        <v>4396.8999999999996</v>
      </c>
      <c r="O2161" s="116">
        <v>4340.6000000000004</v>
      </c>
      <c r="P2161" s="116">
        <v>4390</v>
      </c>
      <c r="Q2161" s="116">
        <v>4379.3999999999996</v>
      </c>
      <c r="R2161">
        <v>223156</v>
      </c>
    </row>
    <row r="2162" spans="1:18" x14ac:dyDescent="0.25">
      <c r="A2162" s="170">
        <v>45187</v>
      </c>
      <c r="B2162" s="116">
        <v>4380.6000000000004</v>
      </c>
      <c r="C2162" s="116">
        <v>4318.55</v>
      </c>
      <c r="D2162" s="116">
        <v>4308</v>
      </c>
      <c r="E2162" s="116">
        <v>4380.6000000000004</v>
      </c>
      <c r="F2162" s="116">
        <v>4318.55</v>
      </c>
      <c r="G2162">
        <v>6146</v>
      </c>
      <c r="H2162" s="116"/>
      <c r="I2162" s="116"/>
      <c r="L2162" s="170">
        <v>45187</v>
      </c>
      <c r="M2162" s="116">
        <v>4320.3</v>
      </c>
      <c r="N2162" s="116">
        <v>4385.8</v>
      </c>
      <c r="O2162" s="116">
        <v>4305.7</v>
      </c>
      <c r="P2162" s="116">
        <v>4377</v>
      </c>
      <c r="Q2162" s="116">
        <v>4320.3</v>
      </c>
      <c r="R2162">
        <v>105351</v>
      </c>
    </row>
    <row r="2163" spans="1:18" x14ac:dyDescent="0.25">
      <c r="A2163" s="170">
        <v>45189</v>
      </c>
      <c r="B2163" s="116">
        <v>4425.5</v>
      </c>
      <c r="C2163" s="116">
        <v>4330.55</v>
      </c>
      <c r="D2163" s="116">
        <v>4290</v>
      </c>
      <c r="E2163" s="116">
        <v>4308</v>
      </c>
      <c r="F2163" s="116">
        <v>4330.55</v>
      </c>
      <c r="G2163">
        <v>4932</v>
      </c>
      <c r="H2163" s="116"/>
      <c r="I2163" s="116"/>
      <c r="L2163" s="170">
        <v>45189</v>
      </c>
      <c r="M2163" s="116">
        <v>4329.05</v>
      </c>
      <c r="N2163" s="116">
        <v>4427.8999999999996</v>
      </c>
      <c r="O2163" s="116">
        <v>4285.1000000000004</v>
      </c>
      <c r="P2163" s="116">
        <v>4302</v>
      </c>
      <c r="Q2163" s="116">
        <v>4329.05</v>
      </c>
      <c r="R2163">
        <v>275335</v>
      </c>
    </row>
    <row r="2164" spans="1:18" x14ac:dyDescent="0.25">
      <c r="A2164" s="170">
        <v>45190</v>
      </c>
      <c r="B2164" s="116">
        <v>4355.95</v>
      </c>
      <c r="C2164" s="116">
        <v>4275.5</v>
      </c>
      <c r="D2164" s="116">
        <v>4260.95</v>
      </c>
      <c r="E2164" s="116">
        <v>4341</v>
      </c>
      <c r="F2164" s="116">
        <v>4275.5</v>
      </c>
      <c r="G2164">
        <v>6445</v>
      </c>
      <c r="H2164" s="116"/>
      <c r="I2164" s="116"/>
      <c r="L2164" s="170">
        <v>45190</v>
      </c>
      <c r="M2164" s="116">
        <v>4276.2</v>
      </c>
      <c r="N2164" s="116">
        <v>4356.2</v>
      </c>
      <c r="O2164" s="116">
        <v>4260</v>
      </c>
      <c r="P2164" s="116">
        <v>4345</v>
      </c>
      <c r="Q2164" s="116">
        <v>4276.2</v>
      </c>
      <c r="R2164">
        <v>146287</v>
      </c>
    </row>
    <row r="2165" spans="1:18" x14ac:dyDescent="0.25">
      <c r="A2165" s="170">
        <v>45191</v>
      </c>
      <c r="B2165" s="116">
        <v>4295.8999999999996</v>
      </c>
      <c r="C2165" s="116">
        <v>4186.1000000000004</v>
      </c>
      <c r="D2165" s="116">
        <v>4166.05</v>
      </c>
      <c r="E2165" s="116">
        <v>4295.6499999999996</v>
      </c>
      <c r="F2165" s="116">
        <v>4186.1000000000004</v>
      </c>
      <c r="G2165">
        <v>7022</v>
      </c>
      <c r="H2165" s="116"/>
      <c r="I2165" s="116"/>
      <c r="L2165" s="170">
        <v>45191</v>
      </c>
      <c r="M2165" s="116">
        <v>4187</v>
      </c>
      <c r="N2165" s="116">
        <v>4317</v>
      </c>
      <c r="O2165" s="116">
        <v>4165</v>
      </c>
      <c r="P2165" s="116">
        <v>4317</v>
      </c>
      <c r="Q2165" s="116">
        <v>4187</v>
      </c>
      <c r="R2165">
        <v>250138</v>
      </c>
    </row>
    <row r="2166" spans="1:18" x14ac:dyDescent="0.25">
      <c r="A2166" s="170">
        <v>45194</v>
      </c>
      <c r="B2166" s="116">
        <v>4208.8</v>
      </c>
      <c r="C2166" s="116">
        <v>4176.25</v>
      </c>
      <c r="D2166" s="116">
        <v>4123.2</v>
      </c>
      <c r="E2166" s="116">
        <v>4208.8</v>
      </c>
      <c r="F2166" s="116">
        <v>4176.25</v>
      </c>
      <c r="G2166">
        <v>4337</v>
      </c>
      <c r="H2166" s="116"/>
      <c r="I2166" s="116"/>
      <c r="L2166" s="170">
        <v>45194</v>
      </c>
      <c r="M2166" s="116">
        <v>4176.8999999999996</v>
      </c>
      <c r="N2166" s="116">
        <v>4219.6499999999996</v>
      </c>
      <c r="O2166" s="116">
        <v>4123</v>
      </c>
      <c r="P2166" s="116">
        <v>4219.3</v>
      </c>
      <c r="Q2166" s="116">
        <v>4176.8999999999996</v>
      </c>
      <c r="R2166">
        <v>274277</v>
      </c>
    </row>
    <row r="2167" spans="1:18" x14ac:dyDescent="0.25">
      <c r="A2167" s="170">
        <v>45195</v>
      </c>
      <c r="B2167" s="116">
        <v>4222.3500000000004</v>
      </c>
      <c r="C2167" s="116">
        <v>4205.8</v>
      </c>
      <c r="D2167" s="116">
        <v>4152.05</v>
      </c>
      <c r="E2167" s="116">
        <v>4152.05</v>
      </c>
      <c r="F2167" s="116">
        <v>4205.8</v>
      </c>
      <c r="G2167">
        <v>2359</v>
      </c>
      <c r="H2167" s="116"/>
      <c r="I2167" s="116"/>
      <c r="L2167" s="170">
        <v>45195</v>
      </c>
      <c r="M2167" s="116">
        <v>4205.2</v>
      </c>
      <c r="N2167" s="116">
        <v>4223</v>
      </c>
      <c r="O2167" s="116">
        <v>4151.3</v>
      </c>
      <c r="P2167" s="116">
        <v>4160.1000000000004</v>
      </c>
      <c r="Q2167" s="116">
        <v>4205.2</v>
      </c>
      <c r="R2167">
        <v>179832</v>
      </c>
    </row>
    <row r="2168" spans="1:18" x14ac:dyDescent="0.25">
      <c r="A2168" s="170">
        <v>45196</v>
      </c>
      <c r="B2168" s="116">
        <v>4240</v>
      </c>
      <c r="C2168" s="116">
        <v>4232.55</v>
      </c>
      <c r="D2168" s="116">
        <v>4170.3</v>
      </c>
      <c r="E2168" s="116">
        <v>4220</v>
      </c>
      <c r="F2168" s="116">
        <v>4232.55</v>
      </c>
      <c r="G2168">
        <v>5177</v>
      </c>
      <c r="H2168" s="116"/>
      <c r="I2168" s="116"/>
      <c r="L2168" s="170">
        <v>45196</v>
      </c>
      <c r="M2168" s="116">
        <v>4233.3500000000004</v>
      </c>
      <c r="N2168" s="116">
        <v>4240.25</v>
      </c>
      <c r="O2168" s="116">
        <v>4168.8</v>
      </c>
      <c r="P2168" s="116">
        <v>4225</v>
      </c>
      <c r="Q2168" s="116">
        <v>4233.3500000000004</v>
      </c>
      <c r="R2168">
        <v>217834</v>
      </c>
    </row>
    <row r="2169" spans="1:18" x14ac:dyDescent="0.25">
      <c r="A2169" s="170">
        <v>45197</v>
      </c>
      <c r="B2169" s="116">
        <v>4248</v>
      </c>
      <c r="C2169" s="116">
        <v>4104.7</v>
      </c>
      <c r="D2169" s="116">
        <v>4094</v>
      </c>
      <c r="E2169" s="116">
        <v>4214.8</v>
      </c>
      <c r="F2169" s="116">
        <v>4104.7</v>
      </c>
      <c r="G2169">
        <v>3435</v>
      </c>
      <c r="H2169" s="116"/>
      <c r="I2169" s="116"/>
      <c r="L2169" s="170">
        <v>45197</v>
      </c>
      <c r="M2169" s="116">
        <v>4101.7</v>
      </c>
      <c r="N2169" s="116">
        <v>4250</v>
      </c>
      <c r="O2169" s="116">
        <v>4087.7</v>
      </c>
      <c r="P2169" s="116">
        <v>4250</v>
      </c>
      <c r="Q2169" s="116">
        <v>4101.7</v>
      </c>
      <c r="R2169">
        <v>259081</v>
      </c>
    </row>
    <row r="2170" spans="1:18" x14ac:dyDescent="0.25">
      <c r="A2170" s="170">
        <v>45198</v>
      </c>
      <c r="B2170" s="116">
        <v>4147.1499999999996</v>
      </c>
      <c r="C2170" s="116">
        <v>4100.3500000000004</v>
      </c>
      <c r="D2170" s="116">
        <v>4089.65</v>
      </c>
      <c r="E2170" s="116">
        <v>4138.3500000000004</v>
      </c>
      <c r="F2170" s="116">
        <v>4100.3500000000004</v>
      </c>
      <c r="G2170">
        <v>7161</v>
      </c>
      <c r="H2170" s="116"/>
      <c r="I2170" s="116"/>
      <c r="L2170" s="170">
        <v>45198</v>
      </c>
      <c r="M2170" s="116">
        <v>4098.25</v>
      </c>
      <c r="N2170" s="116">
        <v>4147.95</v>
      </c>
      <c r="O2170" s="116">
        <v>4089.6</v>
      </c>
      <c r="P2170" s="116">
        <v>4120</v>
      </c>
      <c r="Q2170" s="116">
        <v>4098.25</v>
      </c>
      <c r="R2170">
        <v>270878</v>
      </c>
    </row>
    <row r="2171" spans="1:18" x14ac:dyDescent="0.25">
      <c r="A2171" s="170">
        <v>45202</v>
      </c>
      <c r="B2171" s="116">
        <v>4147</v>
      </c>
      <c r="C2171" s="116">
        <v>4093.55</v>
      </c>
      <c r="D2171" s="116">
        <v>4056.4</v>
      </c>
      <c r="E2171" s="116">
        <v>4082.05</v>
      </c>
      <c r="F2171" s="116">
        <v>4093.55</v>
      </c>
      <c r="G2171">
        <v>7210</v>
      </c>
      <c r="H2171" s="116"/>
      <c r="I2171" s="116"/>
      <c r="L2171" s="170">
        <v>45202</v>
      </c>
      <c r="M2171" s="116">
        <v>4091.95</v>
      </c>
      <c r="N2171" s="116">
        <v>4149.95</v>
      </c>
      <c r="O2171" s="116">
        <v>4058.15</v>
      </c>
      <c r="P2171" s="116">
        <v>4103.95</v>
      </c>
      <c r="Q2171" s="116">
        <v>4091.95</v>
      </c>
      <c r="R2171">
        <v>303772</v>
      </c>
    </row>
    <row r="2172" spans="1:18" x14ac:dyDescent="0.25">
      <c r="A2172" s="170">
        <v>45203</v>
      </c>
      <c r="B2172" s="116">
        <v>4088.3</v>
      </c>
      <c r="C2172" s="116">
        <v>3997.05</v>
      </c>
      <c r="D2172" s="116">
        <v>3978.1</v>
      </c>
      <c r="E2172" s="116">
        <v>4070</v>
      </c>
      <c r="F2172" s="116">
        <v>3997.05</v>
      </c>
      <c r="G2172">
        <v>9438</v>
      </c>
      <c r="H2172" s="116"/>
      <c r="I2172" s="116"/>
      <c r="L2172" s="170">
        <v>45203</v>
      </c>
      <c r="M2172" s="116">
        <v>3997.5</v>
      </c>
      <c r="N2172" s="116">
        <v>4089.85</v>
      </c>
      <c r="O2172" s="116">
        <v>3978.35</v>
      </c>
      <c r="P2172" s="116">
        <v>4055.2</v>
      </c>
      <c r="Q2172" s="116">
        <v>3997.5</v>
      </c>
      <c r="R2172">
        <v>438394</v>
      </c>
    </row>
    <row r="2173" spans="1:18" x14ac:dyDescent="0.25">
      <c r="A2173" s="170">
        <v>45204</v>
      </c>
      <c r="B2173" s="116">
        <v>4105.8999999999996</v>
      </c>
      <c r="C2173" s="116">
        <v>4071.35</v>
      </c>
      <c r="D2173" s="116">
        <v>4000</v>
      </c>
      <c r="E2173" s="116">
        <v>4044.9</v>
      </c>
      <c r="F2173" s="116">
        <v>4071.35</v>
      </c>
      <c r="G2173">
        <v>4264</v>
      </c>
      <c r="H2173" s="116"/>
      <c r="I2173" s="116"/>
      <c r="L2173" s="170">
        <v>45204</v>
      </c>
      <c r="M2173" s="116">
        <v>4067.8</v>
      </c>
      <c r="N2173" s="116">
        <v>4107.1499999999996</v>
      </c>
      <c r="O2173" s="116">
        <v>3997.5</v>
      </c>
      <c r="P2173" s="116">
        <v>4032</v>
      </c>
      <c r="Q2173" s="116">
        <v>4067.8</v>
      </c>
      <c r="R2173">
        <v>310894</v>
      </c>
    </row>
    <row r="2174" spans="1:18" x14ac:dyDescent="0.25">
      <c r="A2174" s="170">
        <v>45205</v>
      </c>
      <c r="B2174" s="116">
        <v>4143</v>
      </c>
      <c r="C2174" s="116">
        <v>4132.8</v>
      </c>
      <c r="D2174" s="116">
        <v>4065.2</v>
      </c>
      <c r="E2174" s="116">
        <v>4071.35</v>
      </c>
      <c r="F2174" s="116">
        <v>4132.8</v>
      </c>
      <c r="G2174">
        <v>6076</v>
      </c>
      <c r="H2174" s="116"/>
      <c r="I2174" s="116"/>
      <c r="L2174" s="170">
        <v>45205</v>
      </c>
      <c r="M2174" s="116">
        <v>4133.1000000000004</v>
      </c>
      <c r="N2174" s="116">
        <v>4145</v>
      </c>
      <c r="O2174" s="116">
        <v>4068</v>
      </c>
      <c r="P2174" s="116">
        <v>4080.05</v>
      </c>
      <c r="Q2174" s="116">
        <v>4133.1000000000004</v>
      </c>
      <c r="R2174">
        <v>207353</v>
      </c>
    </row>
    <row r="2175" spans="1:18" x14ac:dyDescent="0.25">
      <c r="A2175" s="170">
        <v>45208</v>
      </c>
      <c r="B2175" s="116">
        <v>4119</v>
      </c>
      <c r="C2175" s="116">
        <v>4095.15</v>
      </c>
      <c r="D2175" s="116">
        <v>4063.5</v>
      </c>
      <c r="E2175" s="116">
        <v>4071.3</v>
      </c>
      <c r="F2175" s="116">
        <v>4095.15</v>
      </c>
      <c r="G2175">
        <v>2732</v>
      </c>
      <c r="H2175" s="116"/>
      <c r="I2175" s="116"/>
      <c r="L2175" s="170">
        <v>45208</v>
      </c>
      <c r="M2175" s="116">
        <v>4099.7</v>
      </c>
      <c r="N2175" s="116">
        <v>4122.1000000000004</v>
      </c>
      <c r="O2175" s="116">
        <v>4060</v>
      </c>
      <c r="P2175" s="116">
        <v>4122.1000000000004</v>
      </c>
      <c r="Q2175" s="116">
        <v>4099.7</v>
      </c>
      <c r="R2175">
        <v>122211</v>
      </c>
    </row>
    <row r="2176" spans="1:18" x14ac:dyDescent="0.25">
      <c r="A2176" s="170">
        <v>45209</v>
      </c>
      <c r="B2176" s="116">
        <v>4200</v>
      </c>
      <c r="C2176" s="116">
        <v>4189.1499999999996</v>
      </c>
      <c r="D2176" s="116">
        <v>4087.55</v>
      </c>
      <c r="E2176" s="116">
        <v>4114.7</v>
      </c>
      <c r="F2176" s="116">
        <v>4189.1499999999996</v>
      </c>
      <c r="G2176">
        <v>2689</v>
      </c>
      <c r="H2176" s="116"/>
      <c r="I2176" s="116"/>
      <c r="L2176" s="170">
        <v>45209</v>
      </c>
      <c r="M2176" s="116">
        <v>4192.7</v>
      </c>
      <c r="N2176" s="116">
        <v>4205.8500000000004</v>
      </c>
      <c r="O2176" s="116">
        <v>4088.05</v>
      </c>
      <c r="P2176" s="116">
        <v>4119.8999999999996</v>
      </c>
      <c r="Q2176" s="116">
        <v>4192.7</v>
      </c>
      <c r="R2176">
        <v>244817</v>
      </c>
    </row>
    <row r="2177" spans="1:18" x14ac:dyDescent="0.25">
      <c r="A2177" s="170">
        <v>45210</v>
      </c>
      <c r="B2177" s="116">
        <v>4239.95</v>
      </c>
      <c r="C2177" s="116">
        <v>4187.6499999999996</v>
      </c>
      <c r="D2177" s="116">
        <v>4171</v>
      </c>
      <c r="E2177" s="116">
        <v>4239.95</v>
      </c>
      <c r="F2177" s="116">
        <v>4187.6499999999996</v>
      </c>
      <c r="G2177">
        <v>2890</v>
      </c>
      <c r="H2177" s="116"/>
      <c r="I2177" s="116"/>
      <c r="L2177" s="170">
        <v>45210</v>
      </c>
      <c r="M2177" s="116">
        <v>4185.3999999999996</v>
      </c>
      <c r="N2177" s="116">
        <v>4226.3</v>
      </c>
      <c r="O2177" s="116">
        <v>4170</v>
      </c>
      <c r="P2177" s="116">
        <v>4213.3</v>
      </c>
      <c r="Q2177" s="116">
        <v>4185.3999999999996</v>
      </c>
      <c r="R2177">
        <v>158952</v>
      </c>
    </row>
    <row r="2178" spans="1:18" x14ac:dyDescent="0.25">
      <c r="A2178" s="170">
        <v>45211</v>
      </c>
      <c r="B2178" s="116">
        <v>4235</v>
      </c>
      <c r="C2178" s="116">
        <v>4215.3500000000004</v>
      </c>
      <c r="D2178" s="116">
        <v>4187.6499999999996</v>
      </c>
      <c r="E2178" s="116">
        <v>4187.7</v>
      </c>
      <c r="F2178" s="116">
        <v>4215.3500000000004</v>
      </c>
      <c r="G2178">
        <v>3611</v>
      </c>
      <c r="H2178" s="116"/>
      <c r="I2178" s="116"/>
      <c r="L2178" s="170">
        <v>45211</v>
      </c>
      <c r="M2178" s="116">
        <v>4216.05</v>
      </c>
      <c r="N2178" s="116">
        <v>4236.95</v>
      </c>
      <c r="O2178" s="116">
        <v>4190.1000000000004</v>
      </c>
      <c r="P2178" s="116">
        <v>4202.05</v>
      </c>
      <c r="Q2178" s="116">
        <v>4216.05</v>
      </c>
      <c r="R2178">
        <v>246829</v>
      </c>
    </row>
    <row r="2179" spans="1:18" x14ac:dyDescent="0.25">
      <c r="A2179" s="170">
        <v>45212</v>
      </c>
      <c r="B2179" s="116">
        <v>4233.8500000000004</v>
      </c>
      <c r="C2179" s="116">
        <v>4228.8</v>
      </c>
      <c r="D2179" s="116">
        <v>4191.8</v>
      </c>
      <c r="E2179" s="116">
        <v>4200.25</v>
      </c>
      <c r="F2179" s="116">
        <v>4228.8</v>
      </c>
      <c r="G2179">
        <v>2469</v>
      </c>
      <c r="H2179" s="116"/>
      <c r="I2179" s="116"/>
      <c r="L2179" s="170">
        <v>45212</v>
      </c>
      <c r="M2179" s="116">
        <v>4229.2</v>
      </c>
      <c r="N2179" s="116">
        <v>4235</v>
      </c>
      <c r="O2179" s="116">
        <v>4190</v>
      </c>
      <c r="P2179" s="116">
        <v>4200</v>
      </c>
      <c r="Q2179" s="116">
        <v>4229.2</v>
      </c>
      <c r="R2179">
        <v>149733</v>
      </c>
    </row>
    <row r="2180" spans="1:18" x14ac:dyDescent="0.25">
      <c r="A2180" s="170">
        <v>45215</v>
      </c>
      <c r="B2180" s="116">
        <v>4296</v>
      </c>
      <c r="C2180" s="116">
        <v>4280.5</v>
      </c>
      <c r="D2180" s="116">
        <v>4230.1000000000004</v>
      </c>
      <c r="E2180" s="116">
        <v>4230.1000000000004</v>
      </c>
      <c r="F2180" s="116">
        <v>4280.5</v>
      </c>
      <c r="G2180">
        <v>3833</v>
      </c>
      <c r="H2180" s="116"/>
      <c r="I2180" s="116"/>
      <c r="L2180" s="170">
        <v>45215</v>
      </c>
      <c r="M2180" s="116">
        <v>4281.45</v>
      </c>
      <c r="N2180" s="116">
        <v>4299.3999999999996</v>
      </c>
      <c r="O2180" s="116">
        <v>4225.8999999999996</v>
      </c>
      <c r="P2180" s="116">
        <v>4239.95</v>
      </c>
      <c r="Q2180" s="116">
        <v>4281.45</v>
      </c>
      <c r="R2180">
        <v>264960</v>
      </c>
    </row>
    <row r="2181" spans="1:18" x14ac:dyDescent="0.25">
      <c r="A2181" s="170">
        <v>45216</v>
      </c>
      <c r="B2181" s="116">
        <v>4307.8500000000004</v>
      </c>
      <c r="C2181" s="116">
        <v>4283</v>
      </c>
      <c r="D2181" s="116">
        <v>4257.8</v>
      </c>
      <c r="E2181" s="116">
        <v>4282.7</v>
      </c>
      <c r="F2181" s="116">
        <v>4283</v>
      </c>
      <c r="G2181">
        <v>1969</v>
      </c>
      <c r="H2181" s="116"/>
      <c r="I2181" s="116"/>
      <c r="L2181" s="170">
        <v>45216</v>
      </c>
      <c r="M2181" s="116">
        <v>4283.6000000000004</v>
      </c>
      <c r="N2181" s="116">
        <v>4307.8500000000004</v>
      </c>
      <c r="O2181" s="116">
        <v>4254.25</v>
      </c>
      <c r="P2181" s="116">
        <v>4287.95</v>
      </c>
      <c r="Q2181" s="116">
        <v>4283.6000000000004</v>
      </c>
      <c r="R2181">
        <v>130579</v>
      </c>
    </row>
    <row r="2182" spans="1:18" x14ac:dyDescent="0.25">
      <c r="A2182" s="170">
        <v>45217</v>
      </c>
      <c r="B2182" s="116">
        <v>4339.8</v>
      </c>
      <c r="C2182" s="116">
        <v>4099.1499999999996</v>
      </c>
      <c r="D2182" s="116">
        <v>4084.35</v>
      </c>
      <c r="E2182" s="116">
        <v>4282.7</v>
      </c>
      <c r="F2182" s="116">
        <v>4099.1499999999996</v>
      </c>
      <c r="G2182">
        <v>12950</v>
      </c>
      <c r="H2182" s="116"/>
      <c r="I2182" s="116"/>
      <c r="L2182" s="170">
        <v>45217</v>
      </c>
      <c r="M2182" s="116">
        <v>4098.3</v>
      </c>
      <c r="N2182" s="116">
        <v>4339.3999999999996</v>
      </c>
      <c r="O2182" s="116">
        <v>4083.05</v>
      </c>
      <c r="P2182" s="116">
        <v>4298</v>
      </c>
      <c r="Q2182" s="116">
        <v>4098.3</v>
      </c>
      <c r="R2182">
        <v>621225</v>
      </c>
    </row>
    <row r="2183" spans="1:18" x14ac:dyDescent="0.25">
      <c r="A2183" s="170">
        <v>45218</v>
      </c>
      <c r="B2183" s="116">
        <v>4115.6499999999996</v>
      </c>
      <c r="C2183" s="116">
        <v>4087.5</v>
      </c>
      <c r="D2183" s="116">
        <v>4032.5</v>
      </c>
      <c r="E2183" s="116">
        <v>4103.55</v>
      </c>
      <c r="F2183" s="116">
        <v>4087.5</v>
      </c>
      <c r="G2183">
        <v>9013</v>
      </c>
      <c r="H2183" s="116"/>
      <c r="I2183" s="116"/>
      <c r="L2183" s="170">
        <v>45218</v>
      </c>
      <c r="M2183" s="116">
        <v>4094.15</v>
      </c>
      <c r="N2183" s="116">
        <v>4121.6000000000004</v>
      </c>
      <c r="O2183" s="116">
        <v>4032.25</v>
      </c>
      <c r="P2183" s="116">
        <v>4098.3</v>
      </c>
      <c r="Q2183" s="116">
        <v>4094.15</v>
      </c>
      <c r="R2183">
        <v>388946</v>
      </c>
    </row>
    <row r="2184" spans="1:18" x14ac:dyDescent="0.25">
      <c r="A2184" s="170">
        <v>45219</v>
      </c>
      <c r="B2184" s="116">
        <v>4094</v>
      </c>
      <c r="C2184" s="116">
        <v>4015.7</v>
      </c>
      <c r="D2184" s="116">
        <v>4001.6</v>
      </c>
      <c r="E2184" s="116">
        <v>4087.55</v>
      </c>
      <c r="F2184" s="116">
        <v>4015.7</v>
      </c>
      <c r="G2184">
        <v>3140</v>
      </c>
      <c r="H2184" s="116"/>
      <c r="I2184" s="116"/>
      <c r="L2184" s="170">
        <v>45219</v>
      </c>
      <c r="M2184" s="116">
        <v>4015.3</v>
      </c>
      <c r="N2184" s="116">
        <v>4094</v>
      </c>
      <c r="O2184" s="116">
        <v>4001</v>
      </c>
      <c r="P2184" s="116">
        <v>4089.95</v>
      </c>
      <c r="Q2184" s="116">
        <v>4015.3</v>
      </c>
      <c r="R2184">
        <v>204827</v>
      </c>
    </row>
    <row r="2185" spans="1:18" x14ac:dyDescent="0.25">
      <c r="A2185" s="170">
        <v>45222</v>
      </c>
      <c r="B2185" s="116">
        <v>4036.15</v>
      </c>
      <c r="C2185" s="116">
        <v>3928.9</v>
      </c>
      <c r="D2185" s="116">
        <v>3906</v>
      </c>
      <c r="E2185" s="116">
        <v>4005.05</v>
      </c>
      <c r="F2185" s="116">
        <v>3928.9</v>
      </c>
      <c r="G2185">
        <v>6284</v>
      </c>
      <c r="H2185" s="116"/>
      <c r="I2185" s="116"/>
      <c r="L2185" s="170">
        <v>45222</v>
      </c>
      <c r="M2185" s="116">
        <v>3942.7</v>
      </c>
      <c r="N2185" s="116">
        <v>4041.2</v>
      </c>
      <c r="O2185" s="116">
        <v>3930</v>
      </c>
      <c r="P2185" s="116">
        <v>4021.7</v>
      </c>
      <c r="Q2185" s="116">
        <v>3942.7</v>
      </c>
      <c r="R2185">
        <v>162161</v>
      </c>
    </row>
    <row r="2186" spans="1:18" x14ac:dyDescent="0.25">
      <c r="A2186" s="170">
        <v>45224</v>
      </c>
      <c r="B2186" s="116">
        <v>4018.3</v>
      </c>
      <c r="C2186" s="116">
        <v>3930.65</v>
      </c>
      <c r="D2186" s="116">
        <v>3898.9</v>
      </c>
      <c r="E2186" s="116">
        <v>3943</v>
      </c>
      <c r="F2186" s="116">
        <v>3930.65</v>
      </c>
      <c r="G2186">
        <v>1863</v>
      </c>
      <c r="H2186" s="116"/>
      <c r="I2186" s="116"/>
      <c r="L2186" s="170">
        <v>45224</v>
      </c>
      <c r="M2186" s="116">
        <v>3930.5</v>
      </c>
      <c r="N2186" s="116">
        <v>4020.25</v>
      </c>
      <c r="O2186" s="116">
        <v>3895.3</v>
      </c>
      <c r="P2186" s="116">
        <v>3949</v>
      </c>
      <c r="Q2186" s="116">
        <v>3930.5</v>
      </c>
      <c r="R2186">
        <v>261645</v>
      </c>
    </row>
    <row r="2187" spans="1:18" x14ac:dyDescent="0.25">
      <c r="A2187" s="170">
        <v>45225</v>
      </c>
      <c r="B2187" s="116">
        <v>3965.55</v>
      </c>
      <c r="C2187" s="116">
        <v>3957.95</v>
      </c>
      <c r="D2187" s="116">
        <v>3847.5</v>
      </c>
      <c r="E2187" s="116">
        <v>3930</v>
      </c>
      <c r="F2187" s="116">
        <v>3957.95</v>
      </c>
      <c r="G2187">
        <v>7941</v>
      </c>
      <c r="H2187" s="116"/>
      <c r="I2187" s="116"/>
      <c r="L2187" s="170">
        <v>45225</v>
      </c>
      <c r="M2187" s="116">
        <v>3958.25</v>
      </c>
      <c r="N2187" s="116">
        <v>3995.35</v>
      </c>
      <c r="O2187" s="116">
        <v>3850</v>
      </c>
      <c r="P2187" s="116">
        <v>3930</v>
      </c>
      <c r="Q2187" s="116">
        <v>3958.25</v>
      </c>
      <c r="R2187">
        <v>302100</v>
      </c>
    </row>
    <row r="2188" spans="1:18" x14ac:dyDescent="0.25">
      <c r="A2188" s="170">
        <v>45226</v>
      </c>
      <c r="B2188" s="116">
        <v>4086.45</v>
      </c>
      <c r="C2188" s="116">
        <v>4010</v>
      </c>
      <c r="D2188" s="116">
        <v>3973.3</v>
      </c>
      <c r="E2188" s="116">
        <v>3973.3</v>
      </c>
      <c r="F2188" s="116">
        <v>4010</v>
      </c>
      <c r="G2188">
        <v>3167</v>
      </c>
      <c r="H2188" s="116"/>
      <c r="I2188" s="116"/>
      <c r="L2188" s="170">
        <v>45226</v>
      </c>
      <c r="M2188" s="116">
        <v>4008.5</v>
      </c>
      <c r="N2188" s="116">
        <v>4085.5</v>
      </c>
      <c r="O2188" s="116">
        <v>3969.05</v>
      </c>
      <c r="P2188" s="116">
        <v>3989.95</v>
      </c>
      <c r="Q2188" s="116">
        <v>4008.5</v>
      </c>
      <c r="R2188">
        <v>262816</v>
      </c>
    </row>
    <row r="2189" spans="1:18" x14ac:dyDescent="0.25">
      <c r="A2189" s="170">
        <v>45229</v>
      </c>
      <c r="B2189" s="116">
        <v>4100</v>
      </c>
      <c r="C2189" s="116">
        <v>4068.25</v>
      </c>
      <c r="D2189" s="116">
        <v>3994.25</v>
      </c>
      <c r="E2189" s="116">
        <v>4024.2</v>
      </c>
      <c r="F2189" s="116">
        <v>4068.25</v>
      </c>
      <c r="G2189">
        <v>4808</v>
      </c>
      <c r="H2189" s="116"/>
      <c r="I2189" s="116"/>
      <c r="L2189" s="170">
        <v>45229</v>
      </c>
      <c r="M2189" s="116">
        <v>4070.2</v>
      </c>
      <c r="N2189" s="116">
        <v>4101</v>
      </c>
      <c r="O2189" s="116">
        <v>3990.55</v>
      </c>
      <c r="P2189" s="116">
        <v>4036.6</v>
      </c>
      <c r="Q2189" s="116">
        <v>4070.2</v>
      </c>
      <c r="R2189">
        <v>114014</v>
      </c>
    </row>
    <row r="2190" spans="1:18" x14ac:dyDescent="0.25">
      <c r="A2190" s="170">
        <v>45230</v>
      </c>
      <c r="B2190" s="116">
        <v>4124.75</v>
      </c>
      <c r="C2190" s="116">
        <v>4110.6499999999996</v>
      </c>
      <c r="D2190" s="116">
        <v>4030.15</v>
      </c>
      <c r="E2190" s="116">
        <v>4109.95</v>
      </c>
      <c r="F2190" s="116">
        <v>4110.6499999999996</v>
      </c>
      <c r="G2190">
        <v>3774</v>
      </c>
      <c r="H2190" s="116"/>
      <c r="I2190" s="116"/>
      <c r="L2190" s="170">
        <v>45230</v>
      </c>
      <c r="M2190" s="116">
        <v>4109.3</v>
      </c>
      <c r="N2190" s="116">
        <v>4125</v>
      </c>
      <c r="O2190" s="116">
        <v>4028.85</v>
      </c>
      <c r="P2190" s="116">
        <v>4099</v>
      </c>
      <c r="Q2190" s="116">
        <v>4109.3</v>
      </c>
      <c r="R2190">
        <v>205697</v>
      </c>
    </row>
    <row r="2191" spans="1:18" x14ac:dyDescent="0.25">
      <c r="A2191" s="170">
        <v>45231</v>
      </c>
      <c r="B2191" s="116">
        <v>4146.2</v>
      </c>
      <c r="C2191" s="116">
        <v>4053.1</v>
      </c>
      <c r="D2191" s="116">
        <v>4046.7</v>
      </c>
      <c r="E2191" s="116">
        <v>4119.3500000000004</v>
      </c>
      <c r="F2191" s="116">
        <v>4053.1</v>
      </c>
      <c r="G2191">
        <v>19115</v>
      </c>
      <c r="H2191" s="116"/>
      <c r="I2191" s="116"/>
      <c r="L2191" s="170">
        <v>45231</v>
      </c>
      <c r="M2191" s="116">
        <v>4055</v>
      </c>
      <c r="N2191" s="116">
        <v>4147</v>
      </c>
      <c r="O2191" s="116">
        <v>4044.9</v>
      </c>
      <c r="P2191" s="116">
        <v>4120</v>
      </c>
      <c r="Q2191" s="116">
        <v>4055</v>
      </c>
      <c r="R2191">
        <v>187184</v>
      </c>
    </row>
    <row r="2192" spans="1:18" x14ac:dyDescent="0.25">
      <c r="A2192" s="170">
        <v>45232</v>
      </c>
      <c r="B2192" s="116">
        <v>4111.8999999999996</v>
      </c>
      <c r="C2192" s="116">
        <v>4077.5</v>
      </c>
      <c r="D2192" s="116">
        <v>4071.05</v>
      </c>
      <c r="E2192" s="116">
        <v>4110.5</v>
      </c>
      <c r="F2192" s="116">
        <v>4077.5</v>
      </c>
      <c r="G2192">
        <v>1420</v>
      </c>
      <c r="H2192" s="116"/>
      <c r="I2192" s="116"/>
      <c r="L2192" s="170">
        <v>45232</v>
      </c>
      <c r="M2192" s="116">
        <v>4076.95</v>
      </c>
      <c r="N2192" s="116">
        <v>4112.7</v>
      </c>
      <c r="O2192" s="116">
        <v>4067.55</v>
      </c>
      <c r="P2192" s="116">
        <v>4089.7</v>
      </c>
      <c r="Q2192" s="116">
        <v>4076.95</v>
      </c>
      <c r="R2192">
        <v>170196</v>
      </c>
    </row>
    <row r="2193" spans="1:18" x14ac:dyDescent="0.25">
      <c r="A2193" s="170">
        <v>45233</v>
      </c>
      <c r="B2193" s="116">
        <v>4178</v>
      </c>
      <c r="C2193" s="116">
        <v>4166</v>
      </c>
      <c r="D2193" s="116">
        <v>4079.4</v>
      </c>
      <c r="E2193" s="116">
        <v>4109.95</v>
      </c>
      <c r="F2193" s="116">
        <v>4166</v>
      </c>
      <c r="G2193">
        <v>8409</v>
      </c>
      <c r="H2193" s="116"/>
      <c r="I2193" s="116"/>
      <c r="L2193" s="170">
        <v>45233</v>
      </c>
      <c r="M2193" s="116">
        <v>4167.5</v>
      </c>
      <c r="N2193" s="116">
        <v>4180</v>
      </c>
      <c r="O2193" s="116">
        <v>4078.05</v>
      </c>
      <c r="P2193" s="116">
        <v>4105.5</v>
      </c>
      <c r="Q2193" s="116">
        <v>4167.5</v>
      </c>
      <c r="R2193">
        <v>183990</v>
      </c>
    </row>
    <row r="2194" spans="1:18" x14ac:dyDescent="0.25">
      <c r="A2194" s="170">
        <v>45236</v>
      </c>
      <c r="B2194" s="116">
        <v>4225</v>
      </c>
      <c r="C2194" s="116">
        <v>4205.55</v>
      </c>
      <c r="D2194" s="116">
        <v>4147.25</v>
      </c>
      <c r="E2194" s="116">
        <v>4190</v>
      </c>
      <c r="F2194" s="116">
        <v>4205.55</v>
      </c>
      <c r="G2194">
        <v>2974</v>
      </c>
      <c r="H2194" s="116"/>
      <c r="I2194" s="116"/>
      <c r="L2194" s="170">
        <v>45236</v>
      </c>
      <c r="M2194" s="116">
        <v>4203.7</v>
      </c>
      <c r="N2194" s="116">
        <v>4223.55</v>
      </c>
      <c r="O2194" s="116">
        <v>4141.3</v>
      </c>
      <c r="P2194" s="116">
        <v>4195</v>
      </c>
      <c r="Q2194" s="116">
        <v>4203.7</v>
      </c>
      <c r="R2194">
        <v>231433</v>
      </c>
    </row>
    <row r="2195" spans="1:18" x14ac:dyDescent="0.25">
      <c r="A2195" s="170">
        <v>45237</v>
      </c>
      <c r="B2195" s="116">
        <v>4232</v>
      </c>
      <c r="C2195" s="116">
        <v>4210.1499999999996</v>
      </c>
      <c r="D2195" s="116">
        <v>4172.2</v>
      </c>
      <c r="E2195" s="116">
        <v>4218.8999999999996</v>
      </c>
      <c r="F2195" s="116">
        <v>4210.1499999999996</v>
      </c>
      <c r="G2195">
        <v>5333</v>
      </c>
      <c r="H2195" s="116"/>
      <c r="I2195" s="116"/>
      <c r="L2195" s="170">
        <v>45237</v>
      </c>
      <c r="M2195" s="116">
        <v>4208.8</v>
      </c>
      <c r="N2195" s="116">
        <v>4233.1499999999996</v>
      </c>
      <c r="O2195" s="116">
        <v>4173</v>
      </c>
      <c r="P2195" s="116">
        <v>4214</v>
      </c>
      <c r="Q2195" s="116">
        <v>4208.8</v>
      </c>
      <c r="R2195">
        <v>122172</v>
      </c>
    </row>
    <row r="2196" spans="1:18" x14ac:dyDescent="0.25">
      <c r="A2196" s="170">
        <v>45238</v>
      </c>
      <c r="B2196" s="116">
        <v>4285</v>
      </c>
      <c r="C2196" s="116">
        <v>4276.25</v>
      </c>
      <c r="D2196" s="116">
        <v>4210.3999999999996</v>
      </c>
      <c r="E2196" s="116">
        <v>4210.3999999999996</v>
      </c>
      <c r="F2196" s="116">
        <v>4276.25</v>
      </c>
      <c r="G2196">
        <v>28095</v>
      </c>
      <c r="H2196" s="116"/>
      <c r="I2196" s="116"/>
      <c r="L2196" s="170">
        <v>45238</v>
      </c>
      <c r="M2196" s="116">
        <v>4275.55</v>
      </c>
      <c r="N2196" s="116">
        <v>4288</v>
      </c>
      <c r="O2196" s="116">
        <v>4218.05</v>
      </c>
      <c r="P2196" s="116">
        <v>4239</v>
      </c>
      <c r="Q2196" s="116">
        <v>4275.55</v>
      </c>
      <c r="R2196">
        <v>216669</v>
      </c>
    </row>
    <row r="2197" spans="1:18" x14ac:dyDescent="0.25">
      <c r="A2197" s="170">
        <v>45239</v>
      </c>
      <c r="B2197" s="116">
        <v>4370.2</v>
      </c>
      <c r="C2197" s="116">
        <v>4309.5</v>
      </c>
      <c r="D2197" s="116">
        <v>4216.05</v>
      </c>
      <c r="E2197" s="116">
        <v>4276.25</v>
      </c>
      <c r="F2197" s="116">
        <v>4309.5</v>
      </c>
      <c r="G2197">
        <v>13685</v>
      </c>
      <c r="H2197" s="116"/>
      <c r="I2197" s="116"/>
      <c r="L2197" s="170">
        <v>45239</v>
      </c>
      <c r="M2197" s="116">
        <v>4310.5</v>
      </c>
      <c r="N2197" s="116">
        <v>4372.95</v>
      </c>
      <c r="O2197" s="116">
        <v>4216</v>
      </c>
      <c r="P2197" s="116">
        <v>4284.8999999999996</v>
      </c>
      <c r="Q2197" s="116">
        <v>4310.5</v>
      </c>
      <c r="R2197">
        <v>522498</v>
      </c>
    </row>
    <row r="2198" spans="1:18" x14ac:dyDescent="0.25">
      <c r="A2198" s="170">
        <v>45240</v>
      </c>
      <c r="B2198" s="116">
        <v>4381.55</v>
      </c>
      <c r="C2198" s="116">
        <v>4239.6000000000004</v>
      </c>
      <c r="D2198" s="116">
        <v>4229.05</v>
      </c>
      <c r="E2198" s="116">
        <v>4339.95</v>
      </c>
      <c r="F2198" s="116">
        <v>4239.6000000000004</v>
      </c>
      <c r="G2198">
        <v>14454</v>
      </c>
      <c r="H2198" s="116"/>
      <c r="I2198" s="116"/>
      <c r="L2198" s="170">
        <v>45240</v>
      </c>
      <c r="M2198" s="116">
        <v>4239.3</v>
      </c>
      <c r="N2198" s="116">
        <v>4382.95</v>
      </c>
      <c r="O2198" s="116">
        <v>4223</v>
      </c>
      <c r="P2198" s="116">
        <v>4328</v>
      </c>
      <c r="Q2198" s="116">
        <v>4239.3</v>
      </c>
      <c r="R2198">
        <v>640836</v>
      </c>
    </row>
    <row r="2199" spans="1:18" x14ac:dyDescent="0.25">
      <c r="A2199" s="170">
        <v>45242</v>
      </c>
      <c r="B2199" s="116">
        <v>4286.3500000000004</v>
      </c>
      <c r="C2199" s="116">
        <v>4236.7</v>
      </c>
      <c r="D2199" s="116">
        <v>4206.3</v>
      </c>
      <c r="E2199" s="116">
        <v>4250</v>
      </c>
      <c r="F2199" s="116">
        <v>4236.7</v>
      </c>
      <c r="G2199">
        <v>3641</v>
      </c>
      <c r="H2199" s="116"/>
      <c r="I2199" s="116"/>
      <c r="L2199" s="170">
        <v>45242</v>
      </c>
      <c r="M2199" s="116">
        <v>4235.1499999999996</v>
      </c>
      <c r="N2199" s="116">
        <v>4284.3999999999996</v>
      </c>
      <c r="O2199" s="116">
        <v>4207.6499999999996</v>
      </c>
      <c r="P2199" s="116">
        <v>4265.95</v>
      </c>
      <c r="Q2199" s="116">
        <v>4235.1499999999996</v>
      </c>
      <c r="R2199">
        <v>31594</v>
      </c>
    </row>
    <row r="2200" spans="1:18" x14ac:dyDescent="0.25">
      <c r="A2200" s="170">
        <v>45243</v>
      </c>
      <c r="B2200" s="116">
        <v>4306.8</v>
      </c>
      <c r="C2200" s="116">
        <v>4262.75</v>
      </c>
      <c r="D2200" s="116">
        <v>4205</v>
      </c>
      <c r="E2200" s="116">
        <v>4299.95</v>
      </c>
      <c r="F2200" s="116">
        <v>4262.75</v>
      </c>
      <c r="G2200">
        <v>7327</v>
      </c>
      <c r="H2200" s="116"/>
      <c r="I2200" s="116"/>
      <c r="L2200" s="170">
        <v>45243</v>
      </c>
      <c r="M2200" s="116">
        <v>4262.75</v>
      </c>
      <c r="N2200" s="116">
        <v>4307.8500000000004</v>
      </c>
      <c r="O2200" s="116">
        <v>4202.55</v>
      </c>
      <c r="P2200" s="116">
        <v>4235.8999999999996</v>
      </c>
      <c r="Q2200" s="116">
        <v>4262.75</v>
      </c>
      <c r="R2200">
        <v>157036</v>
      </c>
    </row>
    <row r="2201" spans="1:18" x14ac:dyDescent="0.25">
      <c r="A2201" s="170">
        <v>45245</v>
      </c>
      <c r="B2201" s="116">
        <v>4300.7</v>
      </c>
      <c r="C2201" s="116">
        <v>4257.7</v>
      </c>
      <c r="D2201" s="116">
        <v>4252.05</v>
      </c>
      <c r="E2201" s="116">
        <v>4263</v>
      </c>
      <c r="F2201" s="116">
        <v>4257.7</v>
      </c>
      <c r="G2201">
        <v>3371</v>
      </c>
      <c r="H2201" s="116"/>
      <c r="I2201" s="116"/>
      <c r="L2201" s="170">
        <v>45245</v>
      </c>
      <c r="M2201" s="116">
        <v>4258.8</v>
      </c>
      <c r="N2201" s="116">
        <v>4304.95</v>
      </c>
      <c r="O2201" s="116">
        <v>4252</v>
      </c>
      <c r="P2201" s="116">
        <v>4292.7</v>
      </c>
      <c r="Q2201" s="116">
        <v>4258.8</v>
      </c>
      <c r="R2201">
        <v>95758</v>
      </c>
    </row>
    <row r="2202" spans="1:18" x14ac:dyDescent="0.25">
      <c r="A2202" s="170">
        <v>45246</v>
      </c>
      <c r="B2202" s="116">
        <v>4272.25</v>
      </c>
      <c r="C2202" s="116">
        <v>4232.8999999999996</v>
      </c>
      <c r="D2202" s="116">
        <v>4214.25</v>
      </c>
      <c r="E2202" s="116">
        <v>4270.05</v>
      </c>
      <c r="F2202" s="116">
        <v>4232.8999999999996</v>
      </c>
      <c r="G2202">
        <v>2681</v>
      </c>
      <c r="H2202" s="116"/>
      <c r="I2202" s="116"/>
      <c r="L2202" s="170">
        <v>45246</v>
      </c>
      <c r="M2202" s="116">
        <v>4232.75</v>
      </c>
      <c r="N2202" s="116">
        <v>4286.8999999999996</v>
      </c>
      <c r="O2202" s="116">
        <v>4210.05</v>
      </c>
      <c r="P2202" s="116">
        <v>4285</v>
      </c>
      <c r="Q2202" s="116">
        <v>4232.75</v>
      </c>
      <c r="R2202">
        <v>130755</v>
      </c>
    </row>
    <row r="2203" spans="1:18" x14ac:dyDescent="0.25">
      <c r="A2203" s="170">
        <v>45247</v>
      </c>
      <c r="B2203" s="116">
        <v>4296.7</v>
      </c>
      <c r="C2203" s="116">
        <v>4284.55</v>
      </c>
      <c r="D2203" s="116">
        <v>4227.1499999999996</v>
      </c>
      <c r="E2203" s="116">
        <v>4232.05</v>
      </c>
      <c r="F2203" s="116">
        <v>4284.55</v>
      </c>
      <c r="G2203">
        <v>5492</v>
      </c>
      <c r="H2203" s="116"/>
      <c r="I2203" s="116"/>
      <c r="L2203" s="170">
        <v>45247</v>
      </c>
      <c r="M2203" s="116">
        <v>4285.05</v>
      </c>
      <c r="N2203" s="116">
        <v>4298</v>
      </c>
      <c r="O2203" s="116">
        <v>4215.75</v>
      </c>
      <c r="P2203" s="116">
        <v>4242</v>
      </c>
      <c r="Q2203" s="116">
        <v>4285.05</v>
      </c>
      <c r="R2203">
        <v>121481</v>
      </c>
    </row>
    <row r="2204" spans="1:18" x14ac:dyDescent="0.25">
      <c r="A2204" s="170">
        <v>45250</v>
      </c>
      <c r="B2204" s="116">
        <v>4363</v>
      </c>
      <c r="C2204" s="116">
        <v>4345.8999999999996</v>
      </c>
      <c r="D2204" s="116">
        <v>4300</v>
      </c>
      <c r="E2204" s="116">
        <v>4300</v>
      </c>
      <c r="F2204" s="116">
        <v>4345.8999999999996</v>
      </c>
      <c r="G2204">
        <v>6914</v>
      </c>
      <c r="H2204" s="116"/>
      <c r="I2204" s="116"/>
      <c r="L2204" s="170">
        <v>45250</v>
      </c>
      <c r="M2204" s="116">
        <v>4347</v>
      </c>
      <c r="N2204" s="116">
        <v>4365.3500000000004</v>
      </c>
      <c r="O2204" s="116">
        <v>4295</v>
      </c>
      <c r="P2204" s="116">
        <v>4316</v>
      </c>
      <c r="Q2204" s="116">
        <v>4347</v>
      </c>
      <c r="R2204">
        <v>243547</v>
      </c>
    </row>
    <row r="2205" spans="1:18" x14ac:dyDescent="0.25">
      <c r="A2205" s="170">
        <v>45251</v>
      </c>
      <c r="B2205" s="116">
        <v>4431.75</v>
      </c>
      <c r="C2205" s="116">
        <v>4342.25</v>
      </c>
      <c r="D2205" s="116">
        <v>4335.75</v>
      </c>
      <c r="E2205" s="116">
        <v>4375.05</v>
      </c>
      <c r="F2205" s="116">
        <v>4342.25</v>
      </c>
      <c r="G2205">
        <v>8281</v>
      </c>
      <c r="H2205" s="116"/>
      <c r="I2205" s="116"/>
      <c r="L2205" s="170">
        <v>45251</v>
      </c>
      <c r="M2205" s="116">
        <v>4345.3</v>
      </c>
      <c r="N2205" s="116">
        <v>4429.8999999999996</v>
      </c>
      <c r="O2205" s="116">
        <v>4335.05</v>
      </c>
      <c r="P2205" s="116">
        <v>4393.95</v>
      </c>
      <c r="Q2205" s="116">
        <v>4345.3</v>
      </c>
      <c r="R2205">
        <v>345900</v>
      </c>
    </row>
    <row r="2206" spans="1:18" x14ac:dyDescent="0.25">
      <c r="A2206" s="170">
        <v>45252</v>
      </c>
      <c r="B2206" s="116">
        <v>4383.95</v>
      </c>
      <c r="C2206" s="116">
        <v>4235.3999999999996</v>
      </c>
      <c r="D2206" s="116">
        <v>4225</v>
      </c>
      <c r="E2206" s="116">
        <v>4383.95</v>
      </c>
      <c r="F2206" s="116">
        <v>4235.3999999999996</v>
      </c>
      <c r="G2206">
        <v>4721</v>
      </c>
      <c r="H2206" s="116"/>
      <c r="I2206" s="116"/>
      <c r="L2206" s="170">
        <v>45252</v>
      </c>
      <c r="M2206" s="116">
        <v>4234.3999999999996</v>
      </c>
      <c r="N2206" s="116">
        <v>4375.6499999999996</v>
      </c>
      <c r="O2206" s="116">
        <v>4220.3</v>
      </c>
      <c r="P2206" s="116">
        <v>4360.1000000000004</v>
      </c>
      <c r="Q2206" s="116">
        <v>4234.3999999999996</v>
      </c>
      <c r="R2206">
        <v>176385</v>
      </c>
    </row>
    <row r="2207" spans="1:18" x14ac:dyDescent="0.25">
      <c r="A2207" s="170">
        <v>45253</v>
      </c>
      <c r="B2207" s="116">
        <v>4277</v>
      </c>
      <c r="C2207" s="116">
        <v>4261.5</v>
      </c>
      <c r="D2207" s="116">
        <v>4221</v>
      </c>
      <c r="E2207" s="116">
        <v>4240.05</v>
      </c>
      <c r="F2207" s="116">
        <v>4261.5</v>
      </c>
      <c r="G2207">
        <v>3287</v>
      </c>
      <c r="H2207" s="116"/>
      <c r="I2207" s="116"/>
      <c r="L2207" s="170">
        <v>45253</v>
      </c>
      <c r="M2207" s="116">
        <v>4260.55</v>
      </c>
      <c r="N2207" s="116">
        <v>4279.95</v>
      </c>
      <c r="O2207" s="116">
        <v>4220</v>
      </c>
      <c r="P2207" s="116">
        <v>4250</v>
      </c>
      <c r="Q2207" s="116">
        <v>4260.55</v>
      </c>
      <c r="R2207">
        <v>82762</v>
      </c>
    </row>
    <row r="2208" spans="1:18" x14ac:dyDescent="0.25">
      <c r="A2208" s="170">
        <v>45254</v>
      </c>
      <c r="B2208" s="116">
        <v>4271.55</v>
      </c>
      <c r="C2208" s="116">
        <v>4259.75</v>
      </c>
      <c r="D2208" s="116">
        <v>4224.7</v>
      </c>
      <c r="E2208" s="116">
        <v>4265.05</v>
      </c>
      <c r="F2208" s="116">
        <v>4259.75</v>
      </c>
      <c r="G2208">
        <v>4319</v>
      </c>
      <c r="H2208" s="116"/>
      <c r="I2208" s="116"/>
      <c r="L2208" s="170">
        <v>45254</v>
      </c>
      <c r="M2208" s="116">
        <v>4262.3500000000004</v>
      </c>
      <c r="N2208" s="116">
        <v>4276.45</v>
      </c>
      <c r="O2208" s="116">
        <v>4224</v>
      </c>
      <c r="P2208" s="116">
        <v>4265</v>
      </c>
      <c r="Q2208" s="116">
        <v>4262.3500000000004</v>
      </c>
      <c r="R2208">
        <v>116246</v>
      </c>
    </row>
    <row r="2209" spans="1:18" x14ac:dyDescent="0.25">
      <c r="A2209" s="170">
        <v>45258</v>
      </c>
      <c r="B2209" s="116">
        <v>4260.05</v>
      </c>
      <c r="C2209" s="116">
        <v>4249.55</v>
      </c>
      <c r="D2209" s="116">
        <v>4193.05</v>
      </c>
      <c r="E2209" s="116">
        <v>4260.05</v>
      </c>
      <c r="F2209" s="116">
        <v>4249.55</v>
      </c>
      <c r="G2209">
        <v>4491</v>
      </c>
      <c r="H2209" s="116"/>
      <c r="I2209" s="116"/>
      <c r="L2209" s="170">
        <v>45258</v>
      </c>
      <c r="M2209" s="116">
        <v>4255.25</v>
      </c>
      <c r="N2209" s="116">
        <v>4289</v>
      </c>
      <c r="O2209" s="116">
        <v>4195.55</v>
      </c>
      <c r="P2209" s="116">
        <v>4289</v>
      </c>
      <c r="Q2209" s="116">
        <v>4255.25</v>
      </c>
      <c r="R2209">
        <v>184551</v>
      </c>
    </row>
    <row r="2210" spans="1:18" x14ac:dyDescent="0.25">
      <c r="A2210" s="170">
        <v>45259</v>
      </c>
      <c r="B2210" s="116">
        <v>4305.2</v>
      </c>
      <c r="C2210" s="116">
        <v>4244.45</v>
      </c>
      <c r="D2210" s="116">
        <v>4234.1499999999996</v>
      </c>
      <c r="E2210" s="116">
        <v>4305.2</v>
      </c>
      <c r="F2210" s="116">
        <v>4244.45</v>
      </c>
      <c r="G2210">
        <v>1183</v>
      </c>
      <c r="H2210" s="116"/>
      <c r="I2210" s="116"/>
      <c r="L2210" s="170">
        <v>45259</v>
      </c>
      <c r="M2210" s="116">
        <v>4244.05</v>
      </c>
      <c r="N2210" s="116">
        <v>4274.2</v>
      </c>
      <c r="O2210" s="116">
        <v>4231.6499999999996</v>
      </c>
      <c r="P2210" s="116">
        <v>4263.25</v>
      </c>
      <c r="Q2210" s="116">
        <v>4244.05</v>
      </c>
      <c r="R2210">
        <v>78223</v>
      </c>
    </row>
    <row r="2211" spans="1:18" x14ac:dyDescent="0.25">
      <c r="A2211" s="170">
        <v>45260</v>
      </c>
      <c r="B2211" s="116">
        <v>4460</v>
      </c>
      <c r="C2211" s="116">
        <v>4420.7</v>
      </c>
      <c r="D2211" s="116">
        <v>4238.3999999999996</v>
      </c>
      <c r="E2211" s="116">
        <v>4286.95</v>
      </c>
      <c r="F2211" s="116">
        <v>4420.7</v>
      </c>
      <c r="G2211">
        <v>16172</v>
      </c>
      <c r="H2211" s="116"/>
      <c r="I2211" s="116"/>
      <c r="L2211" s="170">
        <v>45260</v>
      </c>
      <c r="M2211" s="116">
        <v>4419.75</v>
      </c>
      <c r="N2211" s="116">
        <v>4465</v>
      </c>
      <c r="O2211" s="116">
        <v>4234.1000000000004</v>
      </c>
      <c r="P2211" s="116">
        <v>4256</v>
      </c>
      <c r="Q2211" s="116">
        <v>4419.75</v>
      </c>
      <c r="R2211">
        <v>558962</v>
      </c>
    </row>
    <row r="2212" spans="1:18" x14ac:dyDescent="0.25">
      <c r="A2212" s="170">
        <v>45261</v>
      </c>
      <c r="B2212" s="116">
        <v>4445</v>
      </c>
      <c r="C2212" s="116">
        <v>4386.7</v>
      </c>
      <c r="D2212" s="116">
        <v>4376</v>
      </c>
      <c r="E2212" s="116">
        <v>4430.45</v>
      </c>
      <c r="F2212" s="116">
        <v>4386.7</v>
      </c>
      <c r="G2212">
        <v>7877</v>
      </c>
      <c r="H2212" s="116"/>
      <c r="I2212" s="116"/>
      <c r="L2212" s="170">
        <v>45261</v>
      </c>
      <c r="M2212" s="116">
        <v>4387.25</v>
      </c>
      <c r="N2212" s="116">
        <v>4449</v>
      </c>
      <c r="O2212" s="116">
        <v>4375.8</v>
      </c>
      <c r="P2212" s="116">
        <v>4449</v>
      </c>
      <c r="Q2212" s="116">
        <v>4387.25</v>
      </c>
      <c r="R2212">
        <v>150704</v>
      </c>
    </row>
    <row r="2213" spans="1:18" x14ac:dyDescent="0.25">
      <c r="A2213" s="170">
        <v>45264</v>
      </c>
      <c r="B2213" s="116">
        <v>4680</v>
      </c>
      <c r="C2213" s="116">
        <v>4622.75</v>
      </c>
      <c r="D2213" s="116">
        <v>4444.8999999999996</v>
      </c>
      <c r="E2213" s="116">
        <v>4444.8999999999996</v>
      </c>
      <c r="F2213" s="116">
        <v>4622.75</v>
      </c>
      <c r="G2213">
        <v>18486</v>
      </c>
      <c r="H2213" s="116"/>
      <c r="I2213" s="116"/>
      <c r="L2213" s="170">
        <v>45264</v>
      </c>
      <c r="M2213" s="116">
        <v>4630.75</v>
      </c>
      <c r="N2213" s="116">
        <v>4683</v>
      </c>
      <c r="O2213" s="116">
        <v>4419.1000000000004</v>
      </c>
      <c r="P2213" s="116">
        <v>4419.75</v>
      </c>
      <c r="Q2213" s="116">
        <v>4630.75</v>
      </c>
      <c r="R2213">
        <v>798523</v>
      </c>
    </row>
    <row r="2214" spans="1:18" x14ac:dyDescent="0.25">
      <c r="A2214" s="170">
        <v>45265</v>
      </c>
      <c r="B2214" s="116">
        <v>4864.6499999999996</v>
      </c>
      <c r="C2214" s="116">
        <v>4847.75</v>
      </c>
      <c r="D2214" s="116">
        <v>4594.6000000000004</v>
      </c>
      <c r="E2214" s="116">
        <v>4624.05</v>
      </c>
      <c r="F2214" s="116">
        <v>4847.75</v>
      </c>
      <c r="G2214">
        <v>14097</v>
      </c>
      <c r="H2214" s="116"/>
      <c r="I2214" s="116"/>
      <c r="L2214" s="170">
        <v>45265</v>
      </c>
      <c r="M2214" s="116">
        <v>4846.6000000000004</v>
      </c>
      <c r="N2214" s="116">
        <v>4865.05</v>
      </c>
      <c r="O2214" s="116">
        <v>4591.6499999999996</v>
      </c>
      <c r="P2214" s="116">
        <v>4662.7</v>
      </c>
      <c r="Q2214" s="116">
        <v>4846.6000000000004</v>
      </c>
      <c r="R2214">
        <v>860640</v>
      </c>
    </row>
    <row r="2215" spans="1:18" x14ac:dyDescent="0.25">
      <c r="A2215" s="170">
        <v>45266</v>
      </c>
      <c r="B2215" s="116">
        <v>4882</v>
      </c>
      <c r="C2215" s="116">
        <v>4740.1000000000004</v>
      </c>
      <c r="D2215" s="116">
        <v>4723.25</v>
      </c>
      <c r="E2215" s="116">
        <v>4847.8</v>
      </c>
      <c r="F2215" s="116">
        <v>4740.1000000000004</v>
      </c>
      <c r="G2215">
        <v>16542</v>
      </c>
      <c r="H2215" s="116"/>
      <c r="I2215" s="116"/>
      <c r="L2215" s="170">
        <v>45266</v>
      </c>
      <c r="M2215" s="116">
        <v>4738.3999999999996</v>
      </c>
      <c r="N2215" s="116">
        <v>4885.45</v>
      </c>
      <c r="O2215" s="116">
        <v>4721.75</v>
      </c>
      <c r="P2215" s="116">
        <v>4855</v>
      </c>
      <c r="Q2215" s="116">
        <v>4738.3999999999996</v>
      </c>
      <c r="R2215">
        <v>248801</v>
      </c>
    </row>
    <row r="2216" spans="1:18" x14ac:dyDescent="0.25">
      <c r="A2216" s="170">
        <v>45267</v>
      </c>
      <c r="B2216" s="116">
        <v>4785.6499999999996</v>
      </c>
      <c r="C2216" s="116">
        <v>4742</v>
      </c>
      <c r="D2216" s="116">
        <v>4699.2</v>
      </c>
      <c r="E2216" s="116">
        <v>4740.1000000000004</v>
      </c>
      <c r="F2216" s="116">
        <v>4742</v>
      </c>
      <c r="G2216">
        <v>5751</v>
      </c>
      <c r="H2216" s="116"/>
      <c r="I2216" s="116"/>
      <c r="L2216" s="170">
        <v>45267</v>
      </c>
      <c r="M2216" s="116">
        <v>4744.8</v>
      </c>
      <c r="N2216" s="116">
        <v>4790.25</v>
      </c>
      <c r="O2216" s="116">
        <v>4699.55</v>
      </c>
      <c r="P2216" s="116">
        <v>4750.05</v>
      </c>
      <c r="Q2216" s="116">
        <v>4744.8</v>
      </c>
      <c r="R2216">
        <v>177991</v>
      </c>
    </row>
    <row r="2217" spans="1:18" x14ac:dyDescent="0.25">
      <c r="A2217" s="170">
        <v>45268</v>
      </c>
      <c r="B2217" s="116">
        <v>4836.5</v>
      </c>
      <c r="C2217" s="116">
        <v>4745.45</v>
      </c>
      <c r="D2217" s="116">
        <v>4684.8999999999996</v>
      </c>
      <c r="E2217" s="116">
        <v>4766</v>
      </c>
      <c r="F2217" s="116">
        <v>4745.45</v>
      </c>
      <c r="G2217">
        <v>5884</v>
      </c>
      <c r="H2217" s="116"/>
      <c r="I2217" s="116"/>
      <c r="L2217" s="170">
        <v>45268</v>
      </c>
      <c r="M2217" s="116">
        <v>4746.8</v>
      </c>
      <c r="N2217" s="116">
        <v>4843.3500000000004</v>
      </c>
      <c r="O2217" s="116">
        <v>4684.45</v>
      </c>
      <c r="P2217" s="116">
        <v>4789.8999999999996</v>
      </c>
      <c r="Q2217" s="116">
        <v>4746.8</v>
      </c>
      <c r="R2217">
        <v>231897</v>
      </c>
    </row>
    <row r="2218" spans="1:18" x14ac:dyDescent="0.25">
      <c r="A2218" s="170">
        <v>45271</v>
      </c>
      <c r="B2218" s="116">
        <v>4832.05</v>
      </c>
      <c r="C2218" s="116">
        <v>4789.8</v>
      </c>
      <c r="D2218" s="116">
        <v>4767.8500000000004</v>
      </c>
      <c r="E2218" s="116">
        <v>4767.8500000000004</v>
      </c>
      <c r="F2218" s="116">
        <v>4789.8</v>
      </c>
      <c r="G2218">
        <v>4570</v>
      </c>
      <c r="H2218" s="116"/>
      <c r="I2218" s="116"/>
      <c r="L2218" s="170">
        <v>45271</v>
      </c>
      <c r="M2218" s="116">
        <v>4786.8500000000004</v>
      </c>
      <c r="N2218" s="116">
        <v>4833.5</v>
      </c>
      <c r="O2218" s="116">
        <v>4760.05</v>
      </c>
      <c r="P2218" s="116">
        <v>4778</v>
      </c>
      <c r="Q2218" s="116">
        <v>4786.8500000000004</v>
      </c>
      <c r="R2218">
        <v>148181</v>
      </c>
    </row>
    <row r="2219" spans="1:18" x14ac:dyDescent="0.25">
      <c r="A2219" s="170">
        <v>45272</v>
      </c>
      <c r="B2219" s="116">
        <v>4817.6499999999996</v>
      </c>
      <c r="C2219" s="116">
        <v>4720.6499999999996</v>
      </c>
      <c r="D2219" s="116">
        <v>4689.05</v>
      </c>
      <c r="E2219" s="116">
        <v>4799.95</v>
      </c>
      <c r="F2219" s="116">
        <v>4720.6499999999996</v>
      </c>
      <c r="G2219">
        <v>5359</v>
      </c>
      <c r="H2219" s="116"/>
      <c r="I2219" s="116"/>
      <c r="L2219" s="170">
        <v>45272</v>
      </c>
      <c r="M2219" s="116">
        <v>4721.3</v>
      </c>
      <c r="N2219" s="116">
        <v>4819.75</v>
      </c>
      <c r="O2219" s="116">
        <v>4690.05</v>
      </c>
      <c r="P2219" s="116">
        <v>4798.1000000000004</v>
      </c>
      <c r="Q2219" s="116">
        <v>4721.3</v>
      </c>
      <c r="R2219">
        <v>201663</v>
      </c>
    </row>
    <row r="2220" spans="1:18" x14ac:dyDescent="0.25">
      <c r="A2220" s="170">
        <v>45273</v>
      </c>
      <c r="B2220" s="116">
        <v>4777.6499999999996</v>
      </c>
      <c r="C2220" s="116">
        <v>4767.3999999999996</v>
      </c>
      <c r="D2220" s="116">
        <v>4682.45</v>
      </c>
      <c r="E2220" s="116">
        <v>4726.2</v>
      </c>
      <c r="F2220" s="116">
        <v>4767.3999999999996</v>
      </c>
      <c r="G2220">
        <v>3064</v>
      </c>
      <c r="H2220" s="116"/>
      <c r="I2220" s="116"/>
      <c r="L2220" s="170">
        <v>45273</v>
      </c>
      <c r="M2220" s="116">
        <v>4767.3500000000004</v>
      </c>
      <c r="N2220" s="116">
        <v>4777.3</v>
      </c>
      <c r="O2220" s="116">
        <v>4675.05</v>
      </c>
      <c r="P2220" s="116">
        <v>4730.95</v>
      </c>
      <c r="Q2220" s="116">
        <v>4767.3500000000004</v>
      </c>
      <c r="R2220">
        <v>166968</v>
      </c>
    </row>
    <row r="2221" spans="1:18" x14ac:dyDescent="0.25">
      <c r="A2221" s="170">
        <v>45274</v>
      </c>
      <c r="B2221" s="116">
        <v>4845.55</v>
      </c>
      <c r="C2221" s="116">
        <v>4789.6000000000004</v>
      </c>
      <c r="D2221" s="116">
        <v>4738.8999999999996</v>
      </c>
      <c r="E2221" s="116">
        <v>4782.3500000000004</v>
      </c>
      <c r="F2221" s="116">
        <v>4789.6000000000004</v>
      </c>
      <c r="G2221">
        <v>6517</v>
      </c>
      <c r="H2221" s="116"/>
      <c r="I2221" s="116"/>
      <c r="L2221" s="170">
        <v>45274</v>
      </c>
      <c r="M2221" s="116">
        <v>4792.3999999999996</v>
      </c>
      <c r="N2221" s="116">
        <v>4834.95</v>
      </c>
      <c r="O2221" s="116">
        <v>4734.7</v>
      </c>
      <c r="P2221" s="116">
        <v>4801.3999999999996</v>
      </c>
      <c r="Q2221" s="116">
        <v>4792.3999999999996</v>
      </c>
      <c r="R2221">
        <v>150017</v>
      </c>
    </row>
    <row r="2222" spans="1:18" x14ac:dyDescent="0.25">
      <c r="A2222" s="170">
        <v>45275</v>
      </c>
      <c r="B2222" s="116">
        <v>4928.1499999999996</v>
      </c>
      <c r="C2222" s="116">
        <v>4834.6499999999996</v>
      </c>
      <c r="D2222" s="116">
        <v>4768.3500000000004</v>
      </c>
      <c r="E2222" s="116">
        <v>4795.05</v>
      </c>
      <c r="F2222" s="116">
        <v>4834.6499999999996</v>
      </c>
      <c r="G2222">
        <v>7519</v>
      </c>
      <c r="H2222" s="116"/>
      <c r="I2222" s="116"/>
      <c r="L2222" s="170">
        <v>45275</v>
      </c>
      <c r="M2222" s="116">
        <v>4835.1000000000004</v>
      </c>
      <c r="N2222" s="116">
        <v>4929.55</v>
      </c>
      <c r="O2222" s="116">
        <v>4763.6000000000004</v>
      </c>
      <c r="P2222" s="116">
        <v>4806.05</v>
      </c>
      <c r="Q2222" s="116">
        <v>4835.1000000000004</v>
      </c>
      <c r="R2222">
        <v>371899</v>
      </c>
    </row>
    <row r="2223" spans="1:18" x14ac:dyDescent="0.25">
      <c r="A2223" s="170">
        <v>45278</v>
      </c>
      <c r="B2223" s="116">
        <v>4953.2</v>
      </c>
      <c r="C2223" s="116">
        <v>4887.6000000000004</v>
      </c>
      <c r="D2223" s="116">
        <v>4788.95</v>
      </c>
      <c r="E2223" s="116">
        <v>4830.05</v>
      </c>
      <c r="F2223" s="116">
        <v>4887.6000000000004</v>
      </c>
      <c r="G2223">
        <v>7727</v>
      </c>
      <c r="H2223" s="116"/>
      <c r="I2223" s="116"/>
      <c r="L2223" s="170">
        <v>45278</v>
      </c>
      <c r="M2223" s="116">
        <v>4888.3999999999996</v>
      </c>
      <c r="N2223" s="116">
        <v>4957</v>
      </c>
      <c r="O2223" s="116">
        <v>4781.8500000000004</v>
      </c>
      <c r="P2223" s="116">
        <v>4834</v>
      </c>
      <c r="Q2223" s="116">
        <v>4888.3999999999996</v>
      </c>
      <c r="R2223">
        <v>356079</v>
      </c>
    </row>
    <row r="2224" spans="1:18" x14ac:dyDescent="0.25">
      <c r="A2224" s="170">
        <v>45279</v>
      </c>
      <c r="B2224" s="116">
        <v>4920.05</v>
      </c>
      <c r="C2224" s="116">
        <v>4839.3999999999996</v>
      </c>
      <c r="D2224" s="116">
        <v>4801</v>
      </c>
      <c r="E2224" s="116">
        <v>4920.05</v>
      </c>
      <c r="F2224" s="116">
        <v>4839.3999999999996</v>
      </c>
      <c r="G2224">
        <v>4499</v>
      </c>
      <c r="H2224" s="116"/>
      <c r="I2224" s="116"/>
      <c r="L2224" s="170">
        <v>45279</v>
      </c>
      <c r="M2224" s="116">
        <v>4838.95</v>
      </c>
      <c r="N2224" s="116">
        <v>4925.6000000000004</v>
      </c>
      <c r="O2224" s="116">
        <v>4800.05</v>
      </c>
      <c r="P2224" s="116">
        <v>4922</v>
      </c>
      <c r="Q2224" s="116">
        <v>4838.95</v>
      </c>
      <c r="R2224">
        <v>223298</v>
      </c>
    </row>
    <row r="2225" spans="1:18" x14ac:dyDescent="0.25">
      <c r="A2225" s="170">
        <v>45280</v>
      </c>
      <c r="B2225" s="116">
        <v>4892.3</v>
      </c>
      <c r="C2225" s="116">
        <v>4608.1000000000004</v>
      </c>
      <c r="D2225" s="116">
        <v>4566.1499999999996</v>
      </c>
      <c r="E2225" s="116">
        <v>4873.7</v>
      </c>
      <c r="F2225" s="116">
        <v>4608.1000000000004</v>
      </c>
      <c r="G2225">
        <v>16133</v>
      </c>
      <c r="H2225" s="116"/>
      <c r="I2225" s="116"/>
      <c r="L2225" s="170">
        <v>45280</v>
      </c>
      <c r="M2225" s="116">
        <v>4614.3500000000004</v>
      </c>
      <c r="N2225" s="116">
        <v>4895</v>
      </c>
      <c r="O2225" s="116">
        <v>4562.1499999999996</v>
      </c>
      <c r="P2225" s="116">
        <v>4854</v>
      </c>
      <c r="Q2225" s="116">
        <v>4614.3500000000004</v>
      </c>
      <c r="R2225">
        <v>347680</v>
      </c>
    </row>
    <row r="2226" spans="1:18" x14ac:dyDescent="0.25">
      <c r="A2226" s="170">
        <v>45281</v>
      </c>
      <c r="B2226" s="116">
        <v>4700</v>
      </c>
      <c r="C2226" s="116">
        <v>4687.7</v>
      </c>
      <c r="D2226" s="116">
        <v>4532.3</v>
      </c>
      <c r="E2226" s="116">
        <v>4604.05</v>
      </c>
      <c r="F2226" s="116">
        <v>4687.7</v>
      </c>
      <c r="G2226">
        <v>5857</v>
      </c>
      <c r="H2226" s="116"/>
      <c r="I2226" s="116"/>
      <c r="L2226" s="170">
        <v>45281</v>
      </c>
      <c r="M2226" s="116">
        <v>4684.5</v>
      </c>
      <c r="N2226" s="116">
        <v>4705.45</v>
      </c>
      <c r="O2226" s="116">
        <v>4529.1000000000004</v>
      </c>
      <c r="P2226" s="116">
        <v>4599.2</v>
      </c>
      <c r="Q2226" s="116">
        <v>4684.5</v>
      </c>
      <c r="R2226">
        <v>191984</v>
      </c>
    </row>
    <row r="2227" spans="1:18" x14ac:dyDescent="0.25">
      <c r="A2227" s="170">
        <v>45282</v>
      </c>
      <c r="B2227" s="116">
        <v>4770.55</v>
      </c>
      <c r="C2227" s="116">
        <v>4761.3</v>
      </c>
      <c r="D2227" s="116">
        <v>4690</v>
      </c>
      <c r="E2227" s="116">
        <v>4718.1000000000004</v>
      </c>
      <c r="F2227" s="116">
        <v>4761.3</v>
      </c>
      <c r="G2227">
        <v>3905</v>
      </c>
      <c r="H2227" s="116"/>
      <c r="I2227" s="116"/>
      <c r="L2227" s="170">
        <v>45282</v>
      </c>
      <c r="M2227" s="116">
        <v>4759</v>
      </c>
      <c r="N2227" s="116">
        <v>4765</v>
      </c>
      <c r="O2227" s="116">
        <v>4686.1000000000004</v>
      </c>
      <c r="P2227" s="116">
        <v>4723</v>
      </c>
      <c r="Q2227" s="116">
        <v>4759</v>
      </c>
      <c r="R2227">
        <v>155535</v>
      </c>
    </row>
    <row r="2228" spans="1:18" x14ac:dyDescent="0.25">
      <c r="A2228" s="170">
        <v>45286</v>
      </c>
      <c r="B2228" s="116">
        <v>4823.7</v>
      </c>
      <c r="C2228" s="116">
        <v>4768.8999999999996</v>
      </c>
      <c r="D2228" s="116">
        <v>4744.6499999999996</v>
      </c>
      <c r="E2228" s="116">
        <v>4744.6499999999996</v>
      </c>
      <c r="F2228" s="116">
        <v>4768.8999999999996</v>
      </c>
      <c r="G2228">
        <v>3645</v>
      </c>
      <c r="H2228" s="116"/>
      <c r="I2228" s="116"/>
      <c r="L2228" s="170">
        <v>45286</v>
      </c>
      <c r="M2228" s="116">
        <v>4771.3500000000004</v>
      </c>
      <c r="N2228" s="116">
        <v>4824</v>
      </c>
      <c r="O2228" s="116">
        <v>4747.25</v>
      </c>
      <c r="P2228" s="116">
        <v>4771.3500000000004</v>
      </c>
      <c r="Q2228" s="116">
        <v>4771.3500000000004</v>
      </c>
      <c r="R2228">
        <v>121004</v>
      </c>
    </row>
    <row r="2229" spans="1:18" x14ac:dyDescent="0.25">
      <c r="A2229" s="170">
        <v>45287</v>
      </c>
      <c r="B2229" s="116">
        <v>4824.6000000000004</v>
      </c>
      <c r="C2229" s="116">
        <v>4738.45</v>
      </c>
      <c r="D2229" s="116">
        <v>4722.7</v>
      </c>
      <c r="E2229" s="116">
        <v>4768.8999999999996</v>
      </c>
      <c r="F2229" s="116">
        <v>4738.45</v>
      </c>
      <c r="G2229">
        <v>3490</v>
      </c>
      <c r="H2229" s="116"/>
      <c r="I2229" s="116"/>
      <c r="L2229" s="170">
        <v>45287</v>
      </c>
      <c r="M2229" s="116">
        <v>4733.6000000000004</v>
      </c>
      <c r="N2229" s="116">
        <v>4822.8999999999996</v>
      </c>
      <c r="O2229" s="116">
        <v>4724</v>
      </c>
      <c r="P2229" s="116">
        <v>4799.95</v>
      </c>
      <c r="Q2229" s="116">
        <v>4733.6000000000004</v>
      </c>
      <c r="R2229">
        <v>165313</v>
      </c>
    </row>
    <row r="2230" spans="1:18" x14ac:dyDescent="0.25">
      <c r="A2230" s="170">
        <v>45288</v>
      </c>
      <c r="B2230" s="116">
        <v>4765.5</v>
      </c>
      <c r="C2230" s="116">
        <v>4645.1000000000004</v>
      </c>
      <c r="D2230" s="116">
        <v>4626.75</v>
      </c>
      <c r="E2230" s="116">
        <v>4751.8999999999996</v>
      </c>
      <c r="F2230" s="116">
        <v>4645.1000000000004</v>
      </c>
      <c r="G2230">
        <v>8908</v>
      </c>
      <c r="H2230" s="116"/>
      <c r="I2230" s="116"/>
      <c r="L2230" s="170">
        <v>45288</v>
      </c>
      <c r="M2230" s="116">
        <v>4642.95</v>
      </c>
      <c r="N2230" s="116">
        <v>4765.3999999999996</v>
      </c>
      <c r="O2230" s="116">
        <v>4622</v>
      </c>
      <c r="P2230" s="116">
        <v>4746.7</v>
      </c>
      <c r="Q2230" s="116">
        <v>4642.95</v>
      </c>
      <c r="R2230">
        <v>478064</v>
      </c>
    </row>
    <row r="2231" spans="1:18" x14ac:dyDescent="0.25">
      <c r="A2231" s="170">
        <v>45289</v>
      </c>
      <c r="B2231" s="116">
        <v>4686.8</v>
      </c>
      <c r="C2231" s="116">
        <v>4673.95</v>
      </c>
      <c r="D2231" s="116">
        <v>4620.5</v>
      </c>
      <c r="E2231" s="116">
        <v>4658.2</v>
      </c>
      <c r="F2231" s="116">
        <v>4673.95</v>
      </c>
      <c r="G2231">
        <v>5068</v>
      </c>
      <c r="H2231" s="116"/>
      <c r="I2231" s="116"/>
      <c r="L2231" s="170">
        <v>45289</v>
      </c>
      <c r="M2231" s="116">
        <v>4674.8500000000004</v>
      </c>
      <c r="N2231" s="116">
        <v>4688</v>
      </c>
      <c r="O2231" s="116">
        <v>4618.6000000000004</v>
      </c>
      <c r="P2231" s="116">
        <v>4669</v>
      </c>
      <c r="Q2231" s="116">
        <v>4674.8500000000004</v>
      </c>
      <c r="R2231">
        <v>147991</v>
      </c>
    </row>
    <row r="2232" spans="1:18" x14ac:dyDescent="0.25">
      <c r="A2232" s="170">
        <v>45292</v>
      </c>
      <c r="B2232" s="116">
        <v>4715.7</v>
      </c>
      <c r="C2232" s="116">
        <v>4678.55</v>
      </c>
      <c r="D2232" s="116">
        <v>4656</v>
      </c>
      <c r="E2232" s="116">
        <v>4699</v>
      </c>
      <c r="F2232" s="116">
        <v>4678.55</v>
      </c>
      <c r="G2232">
        <v>1787</v>
      </c>
      <c r="H2232" s="116"/>
      <c r="I2232" s="116"/>
      <c r="L2232" s="170">
        <v>45292</v>
      </c>
      <c r="M2232" s="116">
        <v>4682.2</v>
      </c>
      <c r="N2232" s="116">
        <v>4715</v>
      </c>
      <c r="O2232" s="116">
        <v>4653.8</v>
      </c>
      <c r="P2232" s="116">
        <v>4674.8500000000004</v>
      </c>
      <c r="Q2232" s="116">
        <v>4682.2</v>
      </c>
      <c r="R2232">
        <v>84544</v>
      </c>
    </row>
    <row r="2233" spans="1:18" x14ac:dyDescent="0.25">
      <c r="A2233" s="170">
        <v>45293</v>
      </c>
      <c r="B2233" s="116">
        <v>4711.3500000000004</v>
      </c>
      <c r="C2233" s="116">
        <v>4695.95</v>
      </c>
      <c r="D2233" s="116">
        <v>4601</v>
      </c>
      <c r="E2233" s="116">
        <v>4678.55</v>
      </c>
      <c r="F2233" s="116">
        <v>4695.95</v>
      </c>
      <c r="G2233">
        <v>3586</v>
      </c>
      <c r="H2233" s="116"/>
      <c r="I2233" s="116"/>
      <c r="L2233" s="170">
        <v>45293</v>
      </c>
      <c r="M2233" s="116">
        <v>4701.6000000000004</v>
      </c>
      <c r="N2233" s="116">
        <v>4713</v>
      </c>
      <c r="O2233" s="116">
        <v>4600</v>
      </c>
      <c r="P2233" s="116">
        <v>4699.95</v>
      </c>
      <c r="Q2233" s="116">
        <v>4701.6000000000004</v>
      </c>
      <c r="R2233">
        <v>178550</v>
      </c>
    </row>
    <row r="2234" spans="1:18" x14ac:dyDescent="0.25">
      <c r="A2234" s="170">
        <v>45294</v>
      </c>
      <c r="B2234" s="116">
        <v>4826.7</v>
      </c>
      <c r="C2234" s="116">
        <v>4773.8999999999996</v>
      </c>
      <c r="D2234" s="116">
        <v>4690.05</v>
      </c>
      <c r="E2234" s="116">
        <v>4690.05</v>
      </c>
      <c r="F2234" s="116">
        <v>4773.8999999999996</v>
      </c>
      <c r="G2234">
        <v>5015</v>
      </c>
      <c r="H2234" s="116"/>
      <c r="I2234" s="116"/>
      <c r="L2234" s="170">
        <v>45294</v>
      </c>
      <c r="M2234" s="116">
        <v>4775.55</v>
      </c>
      <c r="N2234" s="116">
        <v>4829.8999999999996</v>
      </c>
      <c r="O2234" s="116">
        <v>4699.1000000000004</v>
      </c>
      <c r="P2234" s="116">
        <v>4714</v>
      </c>
      <c r="Q2234" s="116">
        <v>4775.55</v>
      </c>
      <c r="R2234">
        <v>291954</v>
      </c>
    </row>
    <row r="2235" spans="1:18" x14ac:dyDescent="0.25">
      <c r="A2235" s="170">
        <v>45295</v>
      </c>
      <c r="B2235" s="116">
        <v>4867.6000000000004</v>
      </c>
      <c r="C2235" s="116">
        <v>4824.8</v>
      </c>
      <c r="D2235" s="116">
        <v>4773.8999999999996</v>
      </c>
      <c r="E2235" s="116">
        <v>4828.6499999999996</v>
      </c>
      <c r="F2235" s="116">
        <v>4824.8</v>
      </c>
      <c r="G2235">
        <v>3150</v>
      </c>
      <c r="H2235" s="116"/>
      <c r="I2235" s="116"/>
      <c r="L2235" s="170">
        <v>45295</v>
      </c>
      <c r="M2235" s="116">
        <v>4824.75</v>
      </c>
      <c r="N2235" s="116">
        <v>4866</v>
      </c>
      <c r="O2235" s="116">
        <v>4770.05</v>
      </c>
      <c r="P2235" s="116">
        <v>4818.8999999999996</v>
      </c>
      <c r="Q2235" s="116">
        <v>4824.75</v>
      </c>
      <c r="R2235">
        <v>266936</v>
      </c>
    </row>
    <row r="2236" spans="1:18" x14ac:dyDescent="0.25">
      <c r="A2236" s="170">
        <v>45296</v>
      </c>
      <c r="B2236" s="116">
        <v>4900</v>
      </c>
      <c r="C2236" s="116">
        <v>4831</v>
      </c>
      <c r="D2236" s="116">
        <v>4803.3999999999996</v>
      </c>
      <c r="E2236" s="116">
        <v>4825.7</v>
      </c>
      <c r="F2236" s="116">
        <v>4831</v>
      </c>
      <c r="G2236">
        <v>6035</v>
      </c>
      <c r="H2236" s="116"/>
      <c r="I2236" s="116"/>
      <c r="L2236" s="170">
        <v>45296</v>
      </c>
      <c r="M2236" s="116">
        <v>4832.3500000000004</v>
      </c>
      <c r="N2236" s="116">
        <v>4900</v>
      </c>
      <c r="O2236" s="116">
        <v>4802</v>
      </c>
      <c r="P2236" s="116">
        <v>4855.95</v>
      </c>
      <c r="Q2236" s="116">
        <v>4832.3500000000004</v>
      </c>
      <c r="R2236">
        <v>118877</v>
      </c>
    </row>
    <row r="2237" spans="1:18" x14ac:dyDescent="0.25">
      <c r="A2237" s="170">
        <v>45299</v>
      </c>
      <c r="B2237" s="116">
        <v>4850</v>
      </c>
      <c r="C2237" s="116">
        <v>4756.3500000000004</v>
      </c>
      <c r="D2237" s="116">
        <v>4741.75</v>
      </c>
      <c r="E2237" s="116">
        <v>4850</v>
      </c>
      <c r="F2237" s="116">
        <v>4756.3500000000004</v>
      </c>
      <c r="G2237">
        <v>3379</v>
      </c>
      <c r="H2237" s="116"/>
      <c r="I2237" s="116"/>
      <c r="L2237" s="170">
        <v>45299</v>
      </c>
      <c r="M2237" s="116">
        <v>4752.95</v>
      </c>
      <c r="N2237" s="116">
        <v>4856</v>
      </c>
      <c r="O2237" s="116">
        <v>4740</v>
      </c>
      <c r="P2237" s="116">
        <v>4856</v>
      </c>
      <c r="Q2237" s="116">
        <v>4752.95</v>
      </c>
      <c r="R2237">
        <v>60882</v>
      </c>
    </row>
    <row r="2238" spans="1:18" x14ac:dyDescent="0.25">
      <c r="A2238" s="170">
        <v>45300</v>
      </c>
      <c r="B2238" s="116">
        <v>4975.8500000000004</v>
      </c>
      <c r="C2238" s="116">
        <v>4919.2</v>
      </c>
      <c r="D2238" s="116">
        <v>4767.2</v>
      </c>
      <c r="E2238" s="116">
        <v>4796.75</v>
      </c>
      <c r="F2238" s="116">
        <v>4919.2</v>
      </c>
      <c r="G2238">
        <v>16806</v>
      </c>
      <c r="H2238" s="116"/>
      <c r="I2238" s="116"/>
      <c r="L2238" s="170">
        <v>45300</v>
      </c>
      <c r="M2238" s="116">
        <v>4920.3999999999996</v>
      </c>
      <c r="N2238" s="116">
        <v>4973.6499999999996</v>
      </c>
      <c r="O2238" s="116">
        <v>4780</v>
      </c>
      <c r="P2238" s="116">
        <v>4784</v>
      </c>
      <c r="Q2238" s="116">
        <v>4920.3999999999996</v>
      </c>
      <c r="R2238">
        <v>571239</v>
      </c>
    </row>
    <row r="2239" spans="1:18" x14ac:dyDescent="0.25">
      <c r="A2239" s="170">
        <v>45301</v>
      </c>
      <c r="B2239" s="116">
        <v>4956.25</v>
      </c>
      <c r="C2239" s="116">
        <v>4937.45</v>
      </c>
      <c r="D2239" s="116">
        <v>4875</v>
      </c>
      <c r="E2239" s="116">
        <v>4915.1000000000004</v>
      </c>
      <c r="F2239" s="116">
        <v>4937.45</v>
      </c>
      <c r="G2239">
        <v>5125</v>
      </c>
      <c r="H2239" s="116"/>
      <c r="I2239" s="116"/>
      <c r="L2239" s="170">
        <v>45301</v>
      </c>
      <c r="M2239" s="116">
        <v>4935.7</v>
      </c>
      <c r="N2239" s="116">
        <v>4957.6000000000004</v>
      </c>
      <c r="O2239" s="116">
        <v>4873.45</v>
      </c>
      <c r="P2239" s="116">
        <v>4929.95</v>
      </c>
      <c r="Q2239" s="116">
        <v>4935.7</v>
      </c>
      <c r="R2239">
        <v>241276</v>
      </c>
    </row>
    <row r="2240" spans="1:18" x14ac:dyDescent="0.25">
      <c r="A2240" s="170">
        <v>45302</v>
      </c>
      <c r="B2240" s="116">
        <v>4984.3</v>
      </c>
      <c r="C2240" s="116">
        <v>4869.6499999999996</v>
      </c>
      <c r="D2240" s="116">
        <v>4859.8500000000004</v>
      </c>
      <c r="E2240" s="116">
        <v>4940.1000000000004</v>
      </c>
      <c r="F2240" s="116">
        <v>4869.6499999999996</v>
      </c>
      <c r="G2240">
        <v>5429</v>
      </c>
      <c r="H2240" s="116"/>
      <c r="I2240" s="116"/>
      <c r="L2240" s="170">
        <v>45302</v>
      </c>
      <c r="M2240" s="116">
        <v>4871.8500000000004</v>
      </c>
      <c r="N2240" s="116">
        <v>4990.05</v>
      </c>
      <c r="O2240" s="116">
        <v>4860</v>
      </c>
      <c r="P2240" s="116">
        <v>4947.95</v>
      </c>
      <c r="Q2240" s="116">
        <v>4871.8500000000004</v>
      </c>
      <c r="R2240">
        <v>87455</v>
      </c>
    </row>
    <row r="2241" spans="1:18" x14ac:dyDescent="0.25">
      <c r="A2241" s="170">
        <v>45303</v>
      </c>
      <c r="B2241" s="116">
        <v>4914.8999999999996</v>
      </c>
      <c r="C2241" s="116">
        <v>4781.25</v>
      </c>
      <c r="D2241" s="116">
        <v>4774.25</v>
      </c>
      <c r="E2241" s="116">
        <v>4914.8999999999996</v>
      </c>
      <c r="F2241" s="116">
        <v>4781.25</v>
      </c>
      <c r="G2241">
        <v>4196</v>
      </c>
      <c r="H2241" s="116"/>
      <c r="I2241" s="116"/>
      <c r="L2241" s="170">
        <v>45303</v>
      </c>
      <c r="M2241" s="116">
        <v>4783.95</v>
      </c>
      <c r="N2241" s="116">
        <v>4909.8999999999996</v>
      </c>
      <c r="O2241" s="116">
        <v>4771.6499999999996</v>
      </c>
      <c r="P2241" s="116">
        <v>4909.8999999999996</v>
      </c>
      <c r="Q2241" s="116">
        <v>4783.95</v>
      </c>
      <c r="R2241">
        <v>145377</v>
      </c>
    </row>
    <row r="2242" spans="1:18" x14ac:dyDescent="0.25">
      <c r="A2242" s="170">
        <v>45306</v>
      </c>
      <c r="B2242" s="116">
        <v>4876.8</v>
      </c>
      <c r="C2242" s="116">
        <v>4752.95</v>
      </c>
      <c r="D2242" s="116">
        <v>4725</v>
      </c>
      <c r="E2242" s="116">
        <v>4876.8</v>
      </c>
      <c r="F2242" s="116">
        <v>4752.95</v>
      </c>
      <c r="G2242">
        <v>3329</v>
      </c>
      <c r="H2242" s="116"/>
      <c r="I2242" s="116"/>
      <c r="L2242" s="170">
        <v>45306</v>
      </c>
      <c r="M2242" s="116">
        <v>4752.8999999999996</v>
      </c>
      <c r="N2242" s="116">
        <v>4809</v>
      </c>
      <c r="O2242" s="116">
        <v>4725</v>
      </c>
      <c r="P2242" s="116">
        <v>4809</v>
      </c>
      <c r="Q2242" s="116">
        <v>4752.8999999999996</v>
      </c>
      <c r="R2242">
        <v>104057</v>
      </c>
    </row>
    <row r="2243" spans="1:18" x14ac:dyDescent="0.25">
      <c r="A2243" s="170">
        <v>45307</v>
      </c>
      <c r="B2243" s="116">
        <v>4841.3500000000004</v>
      </c>
      <c r="C2243" s="116">
        <v>4806.7</v>
      </c>
      <c r="D2243" s="116">
        <v>4750.55</v>
      </c>
      <c r="E2243" s="116">
        <v>4784.95</v>
      </c>
      <c r="F2243" s="116">
        <v>4806.7</v>
      </c>
      <c r="G2243">
        <v>4268</v>
      </c>
      <c r="H2243" s="116"/>
      <c r="I2243" s="116"/>
      <c r="L2243" s="170">
        <v>45307</v>
      </c>
      <c r="M2243" s="116">
        <v>4809.3</v>
      </c>
      <c r="N2243" s="116">
        <v>4842.3</v>
      </c>
      <c r="O2243" s="116">
        <v>4750.05</v>
      </c>
      <c r="P2243" s="116">
        <v>4770</v>
      </c>
      <c r="Q2243" s="116">
        <v>4809.3</v>
      </c>
      <c r="R2243">
        <v>192280</v>
      </c>
    </row>
    <row r="2244" spans="1:18" x14ac:dyDescent="0.25">
      <c r="A2244" s="170">
        <v>45308</v>
      </c>
      <c r="B2244" s="116">
        <v>4863.8</v>
      </c>
      <c r="C2244" s="116">
        <v>4771.6499999999996</v>
      </c>
      <c r="D2244" s="116">
        <v>4732.05</v>
      </c>
      <c r="E2244" s="116">
        <v>4732.05</v>
      </c>
      <c r="F2244" s="116">
        <v>4771.6499999999996</v>
      </c>
      <c r="G2244">
        <v>3293</v>
      </c>
      <c r="H2244" s="116"/>
      <c r="I2244" s="116"/>
      <c r="L2244" s="170">
        <v>45308</v>
      </c>
      <c r="M2244" s="116">
        <v>4773.05</v>
      </c>
      <c r="N2244" s="116">
        <v>4863.7</v>
      </c>
      <c r="O2244" s="116">
        <v>4731.3999999999996</v>
      </c>
      <c r="P2244" s="116">
        <v>4798</v>
      </c>
      <c r="Q2244" s="116">
        <v>4773.05</v>
      </c>
      <c r="R2244">
        <v>163852</v>
      </c>
    </row>
    <row r="2245" spans="1:18" x14ac:dyDescent="0.25">
      <c r="A2245" s="170">
        <v>45309</v>
      </c>
      <c r="B2245" s="116">
        <v>4792.5</v>
      </c>
      <c r="C2245" s="116">
        <v>4710.6499999999996</v>
      </c>
      <c r="D2245" s="116">
        <v>4671.6499999999996</v>
      </c>
      <c r="E2245" s="116">
        <v>4771.6499999999996</v>
      </c>
      <c r="F2245" s="116">
        <v>4710.6499999999996</v>
      </c>
      <c r="G2245">
        <v>3937</v>
      </c>
      <c r="H2245" s="116"/>
      <c r="I2245" s="116"/>
      <c r="L2245" s="170">
        <v>45309</v>
      </c>
      <c r="M2245" s="116">
        <v>4710.3500000000004</v>
      </c>
      <c r="N2245" s="116">
        <v>4797.3999999999996</v>
      </c>
      <c r="O2245" s="116">
        <v>4665</v>
      </c>
      <c r="P2245" s="116">
        <v>4765</v>
      </c>
      <c r="Q2245" s="116">
        <v>4710.3500000000004</v>
      </c>
      <c r="R2245">
        <v>151382</v>
      </c>
    </row>
    <row r="2246" spans="1:18" x14ac:dyDescent="0.25">
      <c r="A2246" s="170">
        <v>45310</v>
      </c>
      <c r="B2246" s="116">
        <v>4845</v>
      </c>
      <c r="C2246" s="116">
        <v>4819.6499999999996</v>
      </c>
      <c r="D2246" s="116">
        <v>4739.75</v>
      </c>
      <c r="E2246" s="116">
        <v>4779.25</v>
      </c>
      <c r="F2246" s="116">
        <v>4819.6499999999996</v>
      </c>
      <c r="G2246">
        <v>6612</v>
      </c>
      <c r="H2246" s="116"/>
      <c r="I2246" s="116"/>
      <c r="L2246" s="170">
        <v>45310</v>
      </c>
      <c r="M2246" s="116">
        <v>4820.45</v>
      </c>
      <c r="N2246" s="116">
        <v>4844.1000000000004</v>
      </c>
      <c r="O2246" s="116">
        <v>4738.45</v>
      </c>
      <c r="P2246" s="116">
        <v>4738.45</v>
      </c>
      <c r="Q2246" s="116">
        <v>4820.45</v>
      </c>
      <c r="R2246">
        <v>132723</v>
      </c>
    </row>
    <row r="2247" spans="1:18" x14ac:dyDescent="0.25">
      <c r="A2247" s="170">
        <v>45311</v>
      </c>
      <c r="B2247" s="116">
        <v>4841.6499999999996</v>
      </c>
      <c r="C2247" s="116">
        <v>4755.8</v>
      </c>
      <c r="D2247" s="116">
        <v>4740</v>
      </c>
      <c r="E2247" s="116">
        <v>4819.1000000000004</v>
      </c>
      <c r="F2247" s="116">
        <v>4755.8</v>
      </c>
      <c r="G2247">
        <v>1219</v>
      </c>
      <c r="H2247" s="116"/>
      <c r="I2247" s="116"/>
      <c r="L2247" s="170">
        <v>45311</v>
      </c>
      <c r="M2247" s="116">
        <v>4750.95</v>
      </c>
      <c r="N2247" s="116">
        <v>4845</v>
      </c>
      <c r="O2247" s="116">
        <v>4730</v>
      </c>
      <c r="P2247" s="116">
        <v>4845</v>
      </c>
      <c r="Q2247" s="116">
        <v>4750.95</v>
      </c>
      <c r="R2247">
        <v>49467</v>
      </c>
    </row>
    <row r="2248" spans="1:18" x14ac:dyDescent="0.25">
      <c r="A2248" s="170">
        <v>45314</v>
      </c>
      <c r="B2248" s="116">
        <v>4896.3</v>
      </c>
      <c r="C2248" s="116">
        <v>4771.8</v>
      </c>
      <c r="D2248" s="116">
        <v>4743.3500000000004</v>
      </c>
      <c r="E2248" s="116">
        <v>4751.05</v>
      </c>
      <c r="F2248" s="116">
        <v>4771.8</v>
      </c>
      <c r="G2248">
        <v>9251</v>
      </c>
      <c r="H2248" s="116"/>
      <c r="I2248" s="116"/>
      <c r="L2248" s="170">
        <v>45314</v>
      </c>
      <c r="M2248" s="116">
        <v>4770.55</v>
      </c>
      <c r="N2248" s="116">
        <v>4897</v>
      </c>
      <c r="O2248" s="116">
        <v>4735.8999999999996</v>
      </c>
      <c r="P2248" s="116">
        <v>4750.95</v>
      </c>
      <c r="Q2248" s="116">
        <v>4770.55</v>
      </c>
      <c r="R2248">
        <v>348426</v>
      </c>
    </row>
    <row r="2249" spans="1:18" x14ac:dyDescent="0.25">
      <c r="A2249" s="170">
        <v>45315</v>
      </c>
      <c r="B2249" s="116">
        <v>4811</v>
      </c>
      <c r="C2249" s="116">
        <v>4731</v>
      </c>
      <c r="D2249" s="116">
        <v>4618.95</v>
      </c>
      <c r="E2249" s="116">
        <v>4730.1499999999996</v>
      </c>
      <c r="F2249" s="116">
        <v>4731</v>
      </c>
      <c r="G2249">
        <v>11249</v>
      </c>
      <c r="H2249" s="116"/>
      <c r="I2249" s="116"/>
      <c r="L2249" s="170">
        <v>45315</v>
      </c>
      <c r="M2249" s="116">
        <v>4731.25</v>
      </c>
      <c r="N2249" s="116">
        <v>4814.8999999999996</v>
      </c>
      <c r="O2249" s="116">
        <v>4613.8</v>
      </c>
      <c r="P2249" s="116">
        <v>4764.95</v>
      </c>
      <c r="Q2249" s="116">
        <v>4731.25</v>
      </c>
      <c r="R2249">
        <v>293735</v>
      </c>
    </row>
    <row r="2250" spans="1:18" x14ac:dyDescent="0.25">
      <c r="A2250" s="170">
        <v>45316</v>
      </c>
      <c r="B2250" s="116">
        <v>4787.95</v>
      </c>
      <c r="C2250" s="116">
        <v>4738.25</v>
      </c>
      <c r="D2250" s="116">
        <v>4667.3500000000004</v>
      </c>
      <c r="E2250" s="116">
        <v>4787.95</v>
      </c>
      <c r="F2250" s="116">
        <v>4738.25</v>
      </c>
      <c r="G2250">
        <v>2785</v>
      </c>
      <c r="H2250" s="116"/>
      <c r="I2250" s="116"/>
      <c r="L2250" s="170">
        <v>45316</v>
      </c>
      <c r="M2250" s="116">
        <v>4739.3</v>
      </c>
      <c r="N2250" s="116">
        <v>4794.95</v>
      </c>
      <c r="O2250" s="116">
        <v>4665</v>
      </c>
      <c r="P2250" s="116">
        <v>4768</v>
      </c>
      <c r="Q2250" s="116">
        <v>4739.3</v>
      </c>
      <c r="R2250">
        <v>114581</v>
      </c>
    </row>
    <row r="2251" spans="1:18" x14ac:dyDescent="0.25">
      <c r="A2251" s="170">
        <v>45320</v>
      </c>
      <c r="B2251" s="116">
        <v>4808.3500000000004</v>
      </c>
      <c r="C2251" s="116">
        <v>4787.1499999999996</v>
      </c>
      <c r="D2251" s="116">
        <v>4720</v>
      </c>
      <c r="E2251" s="116">
        <v>4750</v>
      </c>
      <c r="F2251" s="116">
        <v>4787.1499999999996</v>
      </c>
      <c r="G2251">
        <v>3763</v>
      </c>
      <c r="H2251" s="116"/>
      <c r="I2251" s="116"/>
      <c r="L2251" s="170">
        <v>45320</v>
      </c>
      <c r="M2251" s="116">
        <v>4791.55</v>
      </c>
      <c r="N2251" s="116">
        <v>4807.1499999999996</v>
      </c>
      <c r="O2251" s="116">
        <v>4715.3999999999996</v>
      </c>
      <c r="P2251" s="116">
        <v>4751</v>
      </c>
      <c r="Q2251" s="116">
        <v>4791.55</v>
      </c>
      <c r="R2251">
        <v>87854</v>
      </c>
    </row>
    <row r="2252" spans="1:18" x14ac:dyDescent="0.25">
      <c r="A2252" s="170">
        <v>45321</v>
      </c>
      <c r="B2252" s="116">
        <v>4861</v>
      </c>
      <c r="C2252" s="116">
        <v>4735.6000000000004</v>
      </c>
      <c r="D2252" s="116">
        <v>4719.8</v>
      </c>
      <c r="E2252" s="116">
        <v>4800</v>
      </c>
      <c r="F2252" s="116">
        <v>4735.6000000000004</v>
      </c>
      <c r="G2252">
        <v>2115</v>
      </c>
      <c r="H2252" s="116"/>
      <c r="I2252" s="116"/>
      <c r="L2252" s="170">
        <v>45321</v>
      </c>
      <c r="M2252" s="116">
        <v>4729.75</v>
      </c>
      <c r="N2252" s="116">
        <v>4860</v>
      </c>
      <c r="O2252" s="116">
        <v>4715.95</v>
      </c>
      <c r="P2252" s="116">
        <v>4825</v>
      </c>
      <c r="Q2252" s="116">
        <v>4729.75</v>
      </c>
      <c r="R2252">
        <v>152802</v>
      </c>
    </row>
    <row r="2253" spans="1:18" x14ac:dyDescent="0.25">
      <c r="A2253" s="170">
        <v>45322</v>
      </c>
      <c r="B2253" s="116">
        <v>4753.75</v>
      </c>
      <c r="C2253" s="116">
        <v>4671.6499999999996</v>
      </c>
      <c r="D2253" s="116">
        <v>4630.8999999999996</v>
      </c>
      <c r="E2253" s="116">
        <v>4725.1499999999996</v>
      </c>
      <c r="F2253" s="116">
        <v>4671.6499999999996</v>
      </c>
      <c r="G2253">
        <v>6756</v>
      </c>
      <c r="H2253" s="116"/>
      <c r="I2253" s="116"/>
      <c r="L2253" s="170">
        <v>45322</v>
      </c>
      <c r="M2253" s="116">
        <v>4671.6000000000004</v>
      </c>
      <c r="N2253" s="116">
        <v>4762.75</v>
      </c>
      <c r="O2253" s="116">
        <v>4631</v>
      </c>
      <c r="P2253" s="116">
        <v>4749</v>
      </c>
      <c r="Q2253" s="116">
        <v>4671.6000000000004</v>
      </c>
      <c r="R2253">
        <v>292837</v>
      </c>
    </row>
    <row r="2254" spans="1:18" x14ac:dyDescent="0.25">
      <c r="A2254" s="170">
        <v>45323</v>
      </c>
      <c r="B2254" s="116">
        <v>4694.6499999999996</v>
      </c>
      <c r="C2254" s="116">
        <v>4532.55</v>
      </c>
      <c r="D2254" s="116">
        <v>4342.1499999999996</v>
      </c>
      <c r="E2254" s="116">
        <v>4671.6499999999996</v>
      </c>
      <c r="F2254" s="116">
        <v>4532.55</v>
      </c>
      <c r="G2254">
        <v>35683</v>
      </c>
      <c r="H2254" s="116"/>
      <c r="I2254" s="116"/>
      <c r="L2254" s="170">
        <v>45323</v>
      </c>
      <c r="M2254" s="116">
        <v>4546.05</v>
      </c>
      <c r="N2254" s="116">
        <v>4698</v>
      </c>
      <c r="O2254" s="116">
        <v>4340.3</v>
      </c>
      <c r="P2254" s="116">
        <v>4692</v>
      </c>
      <c r="Q2254" s="116">
        <v>4546.05</v>
      </c>
      <c r="R2254">
        <v>825760</v>
      </c>
    </row>
    <row r="2255" spans="1:18" x14ac:dyDescent="0.25">
      <c r="A2255" s="170">
        <v>45324</v>
      </c>
      <c r="B2255" s="116">
        <v>4574.8500000000004</v>
      </c>
      <c r="C2255" s="116">
        <v>4482.3500000000004</v>
      </c>
      <c r="D2255" s="116">
        <v>4464.7</v>
      </c>
      <c r="E2255" s="116">
        <v>4552.95</v>
      </c>
      <c r="F2255" s="116">
        <v>4482.3500000000004</v>
      </c>
      <c r="G2255">
        <v>9845</v>
      </c>
      <c r="H2255" s="116"/>
      <c r="I2255" s="116"/>
      <c r="L2255" s="170">
        <v>45324</v>
      </c>
      <c r="M2255" s="116">
        <v>4480.45</v>
      </c>
      <c r="N2255" s="116">
        <v>4594.95</v>
      </c>
      <c r="O2255" s="116">
        <v>4463</v>
      </c>
      <c r="P2255" s="116">
        <v>4546.05</v>
      </c>
      <c r="Q2255" s="116">
        <v>4480.45</v>
      </c>
      <c r="R2255">
        <v>315504</v>
      </c>
    </row>
    <row r="2256" spans="1:18" x14ac:dyDescent="0.25">
      <c r="A2256" s="170">
        <v>45327</v>
      </c>
      <c r="B2256" s="116">
        <v>4538</v>
      </c>
      <c r="C2256" s="116">
        <v>4368.1499999999996</v>
      </c>
      <c r="D2256" s="116">
        <v>4345</v>
      </c>
      <c r="E2256" s="116">
        <v>4480.1000000000004</v>
      </c>
      <c r="F2256" s="116">
        <v>4368.1499999999996</v>
      </c>
      <c r="G2256">
        <v>10112</v>
      </c>
      <c r="H2256" s="116"/>
      <c r="I2256" s="116"/>
      <c r="L2256" s="170">
        <v>45327</v>
      </c>
      <c r="M2256" s="116">
        <v>4368.2</v>
      </c>
      <c r="N2256" s="116">
        <v>4538.5</v>
      </c>
      <c r="O2256" s="116">
        <v>4343.75</v>
      </c>
      <c r="P2256" s="116">
        <v>4500</v>
      </c>
      <c r="Q2256" s="116">
        <v>4368.2</v>
      </c>
      <c r="R2256">
        <v>290961</v>
      </c>
    </row>
    <row r="2257" spans="1:18" x14ac:dyDescent="0.25">
      <c r="A2257" s="170">
        <v>45328</v>
      </c>
      <c r="B2257" s="116">
        <v>4423.55</v>
      </c>
      <c r="C2257" s="116">
        <v>4404</v>
      </c>
      <c r="D2257" s="116">
        <v>4365</v>
      </c>
      <c r="E2257" s="116">
        <v>4384.75</v>
      </c>
      <c r="F2257" s="116">
        <v>4404</v>
      </c>
      <c r="G2257">
        <v>3350</v>
      </c>
      <c r="H2257" s="116"/>
      <c r="I2257" s="116"/>
      <c r="L2257" s="170">
        <v>45328</v>
      </c>
      <c r="M2257" s="116">
        <v>4403</v>
      </c>
      <c r="N2257" s="116">
        <v>4423.6000000000004</v>
      </c>
      <c r="O2257" s="116">
        <v>4362.05</v>
      </c>
      <c r="P2257" s="116">
        <v>4378</v>
      </c>
      <c r="Q2257" s="116">
        <v>4403</v>
      </c>
      <c r="R2257">
        <v>177927</v>
      </c>
    </row>
    <row r="2258" spans="1:18" x14ac:dyDescent="0.25">
      <c r="A2258" s="170">
        <v>45329</v>
      </c>
      <c r="B2258" s="116">
        <v>4627.1499999999996</v>
      </c>
      <c r="C2258" s="116">
        <v>4571.55</v>
      </c>
      <c r="D2258" s="116">
        <v>4431.2</v>
      </c>
      <c r="E2258" s="116">
        <v>4447.3500000000004</v>
      </c>
      <c r="F2258" s="116">
        <v>4571.55</v>
      </c>
      <c r="G2258">
        <v>11221</v>
      </c>
      <c r="H2258" s="116"/>
      <c r="I2258" s="116"/>
      <c r="L2258" s="170">
        <v>45329</v>
      </c>
      <c r="M2258" s="116">
        <v>4575.1000000000004</v>
      </c>
      <c r="N2258" s="116">
        <v>4629.3</v>
      </c>
      <c r="O2258" s="116">
        <v>4434.5</v>
      </c>
      <c r="P2258" s="116">
        <v>4434.55</v>
      </c>
      <c r="Q2258" s="116">
        <v>4575.1000000000004</v>
      </c>
      <c r="R2258">
        <v>281178</v>
      </c>
    </row>
    <row r="2259" spans="1:18" x14ac:dyDescent="0.25">
      <c r="A2259" s="170">
        <v>45330</v>
      </c>
      <c r="B2259" s="116">
        <v>4605</v>
      </c>
      <c r="C2259" s="116">
        <v>4450.6499999999996</v>
      </c>
      <c r="D2259" s="116">
        <v>4441.45</v>
      </c>
      <c r="E2259" s="116">
        <v>4605</v>
      </c>
      <c r="F2259" s="116">
        <v>4450.6499999999996</v>
      </c>
      <c r="G2259">
        <v>4152</v>
      </c>
      <c r="H2259" s="116"/>
      <c r="I2259" s="116"/>
      <c r="L2259" s="170">
        <v>45330</v>
      </c>
      <c r="M2259" s="116">
        <v>4450.3999999999996</v>
      </c>
      <c r="N2259" s="116">
        <v>4610</v>
      </c>
      <c r="O2259" s="116">
        <v>4440.1000000000004</v>
      </c>
      <c r="P2259" s="116">
        <v>4610</v>
      </c>
      <c r="Q2259" s="116">
        <v>4450.3999999999996</v>
      </c>
      <c r="R2259">
        <v>132187</v>
      </c>
    </row>
    <row r="2260" spans="1:18" x14ac:dyDescent="0.25">
      <c r="A2260" s="170">
        <v>45331</v>
      </c>
      <c r="B2260" s="116">
        <v>4501.95</v>
      </c>
      <c r="C2260" s="116">
        <v>4488.1000000000004</v>
      </c>
      <c r="D2260" s="116">
        <v>4411.25</v>
      </c>
      <c r="E2260" s="116">
        <v>4489.95</v>
      </c>
      <c r="F2260" s="116">
        <v>4488.1000000000004</v>
      </c>
      <c r="G2260">
        <v>4582</v>
      </c>
      <c r="H2260" s="116"/>
      <c r="I2260" s="116"/>
      <c r="L2260" s="170">
        <v>45331</v>
      </c>
      <c r="M2260" s="116">
        <v>4489.45</v>
      </c>
      <c r="N2260" s="116">
        <v>4501.45</v>
      </c>
      <c r="O2260" s="116">
        <v>4412.7</v>
      </c>
      <c r="P2260" s="116">
        <v>4464</v>
      </c>
      <c r="Q2260" s="116">
        <v>4489.45</v>
      </c>
      <c r="R2260">
        <v>203496</v>
      </c>
    </row>
    <row r="2261" spans="1:18" x14ac:dyDescent="0.25">
      <c r="A2261" s="170">
        <v>45334</v>
      </c>
      <c r="B2261" s="116">
        <v>4554.3500000000004</v>
      </c>
      <c r="C2261" s="116">
        <v>4417.6000000000004</v>
      </c>
      <c r="D2261" s="116">
        <v>4402.2</v>
      </c>
      <c r="E2261" s="116">
        <v>4412.1499999999996</v>
      </c>
      <c r="F2261" s="116">
        <v>4417.6000000000004</v>
      </c>
      <c r="G2261">
        <v>2635</v>
      </c>
      <c r="H2261" s="116"/>
      <c r="I2261" s="116"/>
      <c r="L2261" s="170">
        <v>45334</v>
      </c>
      <c r="M2261" s="116">
        <v>4428.3999999999996</v>
      </c>
      <c r="N2261" s="116">
        <v>4552.3</v>
      </c>
      <c r="O2261" s="116">
        <v>4400</v>
      </c>
      <c r="P2261" s="116">
        <v>4484.8999999999996</v>
      </c>
      <c r="Q2261" s="116">
        <v>4428.3999999999996</v>
      </c>
      <c r="R2261">
        <v>149594</v>
      </c>
    </row>
    <row r="2262" spans="1:18" x14ac:dyDescent="0.25">
      <c r="A2262" s="170">
        <v>45335</v>
      </c>
      <c r="B2262" s="116">
        <v>4484.75</v>
      </c>
      <c r="C2262" s="116">
        <v>4463.8999999999996</v>
      </c>
      <c r="D2262" s="116">
        <v>4380</v>
      </c>
      <c r="E2262" s="116">
        <v>4444.8</v>
      </c>
      <c r="F2262" s="116">
        <v>4463.8999999999996</v>
      </c>
      <c r="G2262">
        <v>5067</v>
      </c>
      <c r="H2262" s="116"/>
      <c r="I2262" s="116"/>
      <c r="L2262" s="170">
        <v>45335</v>
      </c>
      <c r="M2262" s="116">
        <v>4464.8500000000004</v>
      </c>
      <c r="N2262" s="116">
        <v>4485.3500000000004</v>
      </c>
      <c r="O2262" s="116">
        <v>4375.8</v>
      </c>
      <c r="P2262" s="116">
        <v>4448</v>
      </c>
      <c r="Q2262" s="116">
        <v>4464.8500000000004</v>
      </c>
      <c r="R2262">
        <v>290402</v>
      </c>
    </row>
    <row r="2263" spans="1:18" x14ac:dyDescent="0.25">
      <c r="A2263" s="170">
        <v>45336</v>
      </c>
      <c r="B2263" s="116">
        <v>4618.7</v>
      </c>
      <c r="C2263" s="116">
        <v>4562.95</v>
      </c>
      <c r="D2263" s="116">
        <v>4431.8999999999996</v>
      </c>
      <c r="E2263" s="116">
        <v>4456.75</v>
      </c>
      <c r="F2263" s="116">
        <v>4562.95</v>
      </c>
      <c r="G2263">
        <v>6520</v>
      </c>
      <c r="H2263" s="116"/>
      <c r="I2263" s="116"/>
      <c r="L2263" s="170">
        <v>45336</v>
      </c>
      <c r="M2263" s="116">
        <v>4558.3999999999996</v>
      </c>
      <c r="N2263" s="116">
        <v>4621.1000000000004</v>
      </c>
      <c r="O2263" s="116">
        <v>4427.8500000000004</v>
      </c>
      <c r="P2263" s="116">
        <v>4441.8500000000004</v>
      </c>
      <c r="Q2263" s="116">
        <v>4558.3999999999996</v>
      </c>
      <c r="R2263">
        <v>371445</v>
      </c>
    </row>
    <row r="2264" spans="1:18" x14ac:dyDescent="0.25">
      <c r="A2264" s="170">
        <v>45337</v>
      </c>
      <c r="B2264" s="116">
        <v>4583.3500000000004</v>
      </c>
      <c r="C2264" s="116">
        <v>4467.75</v>
      </c>
      <c r="D2264" s="116">
        <v>4460.05</v>
      </c>
      <c r="E2264" s="116">
        <v>4570.55</v>
      </c>
      <c r="F2264" s="116">
        <v>4467.75</v>
      </c>
      <c r="G2264">
        <v>5401</v>
      </c>
      <c r="H2264" s="116"/>
      <c r="I2264" s="116"/>
      <c r="L2264" s="170">
        <v>45337</v>
      </c>
      <c r="M2264" s="116">
        <v>4468.6000000000004</v>
      </c>
      <c r="N2264" s="116">
        <v>4587.8999999999996</v>
      </c>
      <c r="O2264" s="116">
        <v>4460.6499999999996</v>
      </c>
      <c r="P2264" s="116">
        <v>4575</v>
      </c>
      <c r="Q2264" s="116">
        <v>4468.6000000000004</v>
      </c>
      <c r="R2264">
        <v>286311</v>
      </c>
    </row>
    <row r="2265" spans="1:18" x14ac:dyDescent="0.25">
      <c r="A2265" s="170">
        <v>45338</v>
      </c>
      <c r="B2265" s="116">
        <v>4539.8999999999996</v>
      </c>
      <c r="C2265" s="116">
        <v>4521.75</v>
      </c>
      <c r="D2265" s="116">
        <v>4480</v>
      </c>
      <c r="E2265" s="116">
        <v>4480.05</v>
      </c>
      <c r="F2265" s="116">
        <v>4521.75</v>
      </c>
      <c r="G2265">
        <v>2766</v>
      </c>
      <c r="H2265" s="116"/>
      <c r="I2265" s="116"/>
      <c r="L2265" s="170">
        <v>45338</v>
      </c>
      <c r="M2265" s="116">
        <v>4524.1499999999996</v>
      </c>
      <c r="N2265" s="116">
        <v>4539.7</v>
      </c>
      <c r="O2265" s="116">
        <v>4469.45</v>
      </c>
      <c r="P2265" s="116">
        <v>4510</v>
      </c>
      <c r="Q2265" s="116">
        <v>4524.1499999999996</v>
      </c>
      <c r="R2265">
        <v>185797</v>
      </c>
    </row>
    <row r="2266" spans="1:18" x14ac:dyDescent="0.25">
      <c r="A2266" s="170">
        <v>45341</v>
      </c>
      <c r="B2266" s="116">
        <v>4589.8500000000004</v>
      </c>
      <c r="C2266" s="116">
        <v>4491.6000000000004</v>
      </c>
      <c r="D2266" s="116">
        <v>4449.6000000000004</v>
      </c>
      <c r="E2266" s="116">
        <v>4589.8500000000004</v>
      </c>
      <c r="F2266" s="116">
        <v>4491.6000000000004</v>
      </c>
      <c r="G2266">
        <v>3110</v>
      </c>
      <c r="H2266" s="116"/>
      <c r="I2266" s="116"/>
      <c r="L2266" s="170">
        <v>45341</v>
      </c>
      <c r="M2266" s="116">
        <v>4488.8500000000004</v>
      </c>
      <c r="N2266" s="116">
        <v>4555.8500000000004</v>
      </c>
      <c r="O2266" s="116">
        <v>4449.1499999999996</v>
      </c>
      <c r="P2266" s="116">
        <v>4540</v>
      </c>
      <c r="Q2266" s="116">
        <v>4488.8500000000004</v>
      </c>
      <c r="R2266">
        <v>155541</v>
      </c>
    </row>
    <row r="2267" spans="1:18" x14ac:dyDescent="0.25">
      <c r="A2267" s="170">
        <v>45342</v>
      </c>
      <c r="B2267" s="116">
        <v>4545</v>
      </c>
      <c r="C2267" s="116">
        <v>4522.1000000000004</v>
      </c>
      <c r="D2267" s="116">
        <v>4468.8</v>
      </c>
      <c r="E2267" s="116">
        <v>4515</v>
      </c>
      <c r="F2267" s="116">
        <v>4522.1000000000004</v>
      </c>
      <c r="G2267">
        <v>6018</v>
      </c>
      <c r="H2267" s="116"/>
      <c r="I2267" s="116"/>
      <c r="L2267" s="170">
        <v>45342</v>
      </c>
      <c r="M2267" s="116">
        <v>4524.5</v>
      </c>
      <c r="N2267" s="116">
        <v>4547</v>
      </c>
      <c r="O2267" s="116">
        <v>4461.6000000000004</v>
      </c>
      <c r="P2267" s="116">
        <v>4514.75</v>
      </c>
      <c r="Q2267" s="116">
        <v>4524.5</v>
      </c>
      <c r="R2267">
        <v>169172</v>
      </c>
    </row>
    <row r="2268" spans="1:18" x14ac:dyDescent="0.25">
      <c r="A2268" s="170">
        <v>45343</v>
      </c>
      <c r="B2268" s="116">
        <v>5019</v>
      </c>
      <c r="C2268" s="116">
        <v>4989.3</v>
      </c>
      <c r="D2268" s="116">
        <v>4622.3</v>
      </c>
      <c r="E2268" s="116">
        <v>4622.3</v>
      </c>
      <c r="F2268" s="116">
        <v>4989.3</v>
      </c>
      <c r="G2268">
        <v>148417</v>
      </c>
      <c r="H2268" s="116"/>
      <c r="I2268" s="116"/>
      <c r="L2268" s="170">
        <v>45343</v>
      </c>
      <c r="M2268" s="116">
        <v>4984.7</v>
      </c>
      <c r="N2268" s="116">
        <v>5134</v>
      </c>
      <c r="O2268" s="116">
        <v>4640</v>
      </c>
      <c r="P2268" s="116">
        <v>4640</v>
      </c>
      <c r="Q2268" s="116">
        <v>4984.7</v>
      </c>
      <c r="R2268">
        <v>4404765</v>
      </c>
    </row>
    <row r="2269" spans="1:18" x14ac:dyDescent="0.25">
      <c r="A2269" s="170">
        <v>45344</v>
      </c>
      <c r="B2269" s="116">
        <v>5456.95</v>
      </c>
      <c r="C2269" s="116">
        <v>5431.5</v>
      </c>
      <c r="D2269" s="116">
        <v>5084.55</v>
      </c>
      <c r="E2269" s="116">
        <v>5200.5</v>
      </c>
      <c r="F2269" s="116">
        <v>5431.5</v>
      </c>
      <c r="G2269">
        <v>174644</v>
      </c>
      <c r="H2269" s="116"/>
      <c r="I2269" s="116"/>
      <c r="L2269" s="170">
        <v>45344</v>
      </c>
      <c r="M2269" s="116">
        <v>5425</v>
      </c>
      <c r="N2269" s="116">
        <v>5450</v>
      </c>
      <c r="O2269" s="116">
        <v>5081.6000000000004</v>
      </c>
      <c r="P2269" s="116">
        <v>5200</v>
      </c>
      <c r="Q2269" s="116">
        <v>5425</v>
      </c>
      <c r="R2269">
        <v>4222692</v>
      </c>
    </row>
    <row r="2270" spans="1:18" x14ac:dyDescent="0.25">
      <c r="A2270" s="170">
        <v>45345</v>
      </c>
      <c r="B2270" s="116">
        <v>5523.05</v>
      </c>
      <c r="C2270" s="116">
        <v>5389.6</v>
      </c>
      <c r="D2270" s="116">
        <v>5321.5</v>
      </c>
      <c r="E2270" s="116">
        <v>5429</v>
      </c>
      <c r="F2270" s="116">
        <v>5389.6</v>
      </c>
      <c r="G2270">
        <v>78176</v>
      </c>
      <c r="H2270" s="116"/>
      <c r="I2270" s="116"/>
      <c r="L2270" s="170">
        <v>45345</v>
      </c>
      <c r="M2270" s="116">
        <v>5392.05</v>
      </c>
      <c r="N2270" s="116">
        <v>5518.1</v>
      </c>
      <c r="O2270" s="116">
        <v>5320.65</v>
      </c>
      <c r="P2270" s="116">
        <v>5420</v>
      </c>
      <c r="Q2270" s="116">
        <v>5392.05</v>
      </c>
      <c r="R2270">
        <v>1578299</v>
      </c>
    </row>
    <row r="2271" spans="1:18" x14ac:dyDescent="0.25">
      <c r="A2271" s="170">
        <v>45348</v>
      </c>
      <c r="B2271" s="116">
        <v>5430</v>
      </c>
      <c r="C2271" s="116">
        <v>5297.15</v>
      </c>
      <c r="D2271" s="116">
        <v>5139.2</v>
      </c>
      <c r="E2271" s="116">
        <v>5371.75</v>
      </c>
      <c r="F2271" s="116">
        <v>5297.15</v>
      </c>
      <c r="G2271">
        <v>29925</v>
      </c>
      <c r="H2271" s="116"/>
      <c r="I2271" s="116"/>
      <c r="L2271" s="170">
        <v>45348</v>
      </c>
      <c r="M2271" s="116">
        <v>5296.2</v>
      </c>
      <c r="N2271" s="116">
        <v>5432.3</v>
      </c>
      <c r="O2271" s="116">
        <v>5136.05</v>
      </c>
      <c r="P2271" s="116">
        <v>5359.05</v>
      </c>
      <c r="Q2271" s="116">
        <v>5296.2</v>
      </c>
      <c r="R2271">
        <v>1164768</v>
      </c>
    </row>
    <row r="2272" spans="1:18" x14ac:dyDescent="0.25">
      <c r="A2272" s="170">
        <v>45349</v>
      </c>
      <c r="B2272" s="116">
        <v>5472.9</v>
      </c>
      <c r="C2272" s="116">
        <v>5452.4</v>
      </c>
      <c r="D2272" s="116">
        <v>5250</v>
      </c>
      <c r="E2272" s="116">
        <v>5252.25</v>
      </c>
      <c r="F2272" s="116">
        <v>5452.4</v>
      </c>
      <c r="G2272">
        <v>33361</v>
      </c>
      <c r="H2272" s="116"/>
      <c r="I2272" s="116"/>
      <c r="L2272" s="170">
        <v>45349</v>
      </c>
      <c r="M2272" s="116">
        <v>5450.5</v>
      </c>
      <c r="N2272" s="116">
        <v>5474.75</v>
      </c>
      <c r="O2272" s="116">
        <v>5245.5</v>
      </c>
      <c r="P2272" s="116">
        <v>5270</v>
      </c>
      <c r="Q2272" s="116">
        <v>5450.5</v>
      </c>
      <c r="R2272">
        <v>656105</v>
      </c>
    </row>
    <row r="2273" spans="1:18" x14ac:dyDescent="0.25">
      <c r="A2273" s="170">
        <v>45350</v>
      </c>
      <c r="B2273" s="116">
        <v>5555</v>
      </c>
      <c r="C2273" s="116">
        <v>5419.35</v>
      </c>
      <c r="D2273" s="116">
        <v>5381</v>
      </c>
      <c r="E2273" s="116">
        <v>5479.95</v>
      </c>
      <c r="F2273" s="116">
        <v>5419.35</v>
      </c>
      <c r="G2273">
        <v>56009</v>
      </c>
      <c r="H2273" s="116"/>
      <c r="I2273" s="116"/>
      <c r="L2273" s="170">
        <v>45350</v>
      </c>
      <c r="M2273" s="116">
        <v>5428.6</v>
      </c>
      <c r="N2273" s="116">
        <v>5552</v>
      </c>
      <c r="O2273" s="116">
        <v>5380.25</v>
      </c>
      <c r="P2273" s="116">
        <v>5440</v>
      </c>
      <c r="Q2273" s="116">
        <v>5428.6</v>
      </c>
      <c r="R2273">
        <v>785448</v>
      </c>
    </row>
    <row r="2274" spans="1:18" x14ac:dyDescent="0.25">
      <c r="A2274" s="170">
        <v>45351</v>
      </c>
      <c r="B2274" s="116">
        <v>5482.5</v>
      </c>
      <c r="C2274" s="116">
        <v>5449.85</v>
      </c>
      <c r="D2274" s="116">
        <v>5352.35</v>
      </c>
      <c r="E2274" s="116">
        <v>5419.4</v>
      </c>
      <c r="F2274" s="116">
        <v>5449.85</v>
      </c>
      <c r="G2274">
        <v>13732</v>
      </c>
      <c r="H2274" s="116"/>
      <c r="I2274" s="116"/>
      <c r="L2274" s="170">
        <v>45351</v>
      </c>
      <c r="M2274" s="116">
        <v>5444.95</v>
      </c>
      <c r="N2274" s="116">
        <v>5485</v>
      </c>
      <c r="O2274" s="116">
        <v>5350.45</v>
      </c>
      <c r="P2274" s="116">
        <v>5444.95</v>
      </c>
      <c r="Q2274" s="116">
        <v>5444.95</v>
      </c>
      <c r="R2274">
        <v>527441</v>
      </c>
    </row>
    <row r="2275" spans="1:18" x14ac:dyDescent="0.25">
      <c r="A2275" s="170">
        <v>45352</v>
      </c>
      <c r="B2275" s="116">
        <v>5525</v>
      </c>
      <c r="C2275" s="116">
        <v>5485.65</v>
      </c>
      <c r="D2275" s="116">
        <v>5454.7</v>
      </c>
      <c r="E2275" s="116">
        <v>5499</v>
      </c>
      <c r="F2275" s="116">
        <v>5485.65</v>
      </c>
      <c r="G2275">
        <v>18732</v>
      </c>
      <c r="H2275" s="116"/>
      <c r="I2275" s="116"/>
      <c r="L2275" s="170">
        <v>45352</v>
      </c>
      <c r="M2275" s="116">
        <v>5489.85</v>
      </c>
      <c r="N2275" s="116">
        <v>5524.6</v>
      </c>
      <c r="O2275" s="116">
        <v>5455</v>
      </c>
      <c r="P2275" s="116">
        <v>5498</v>
      </c>
      <c r="Q2275" s="116">
        <v>5489.85</v>
      </c>
      <c r="R2275">
        <v>345570</v>
      </c>
    </row>
    <row r="2276" spans="1:18" x14ac:dyDescent="0.25">
      <c r="A2276" s="170">
        <v>45353</v>
      </c>
      <c r="B2276" s="116">
        <v>5523.65</v>
      </c>
      <c r="C2276" s="116">
        <v>5505.45</v>
      </c>
      <c r="D2276" s="116">
        <v>5465.1</v>
      </c>
      <c r="E2276" s="116">
        <v>5465.1</v>
      </c>
      <c r="F2276" s="116">
        <v>5505.45</v>
      </c>
      <c r="G2276">
        <v>864</v>
      </c>
      <c r="H2276" s="116"/>
      <c r="I2276" s="116"/>
      <c r="L2276" s="170">
        <v>45353</v>
      </c>
      <c r="M2276" s="116">
        <v>5499.55</v>
      </c>
      <c r="N2276" s="116">
        <v>5525</v>
      </c>
      <c r="O2276" s="116">
        <v>5480</v>
      </c>
      <c r="P2276" s="116">
        <v>5485</v>
      </c>
      <c r="Q2276" s="116">
        <v>5499.55</v>
      </c>
      <c r="R2276">
        <v>10430</v>
      </c>
    </row>
    <row r="2277" spans="1:18" x14ac:dyDescent="0.25">
      <c r="A2277" s="170">
        <v>45355</v>
      </c>
      <c r="B2277" s="116">
        <v>5662.8</v>
      </c>
      <c r="C2277" s="116">
        <v>5631.85</v>
      </c>
      <c r="D2277" s="116">
        <v>5450.25</v>
      </c>
      <c r="E2277" s="116">
        <v>5450.25</v>
      </c>
      <c r="F2277" s="116">
        <v>5631.85</v>
      </c>
      <c r="G2277">
        <v>31117</v>
      </c>
      <c r="H2277" s="116"/>
      <c r="I2277" s="116"/>
      <c r="L2277" s="170">
        <v>45355</v>
      </c>
      <c r="M2277" s="116">
        <v>5631.55</v>
      </c>
      <c r="N2277" s="116">
        <v>5665</v>
      </c>
      <c r="O2277" s="116">
        <v>5488.85</v>
      </c>
      <c r="P2277" s="116">
        <v>5490</v>
      </c>
      <c r="Q2277" s="116">
        <v>5631.55</v>
      </c>
      <c r="R2277">
        <v>484602</v>
      </c>
    </row>
    <row r="2278" spans="1:18" x14ac:dyDescent="0.25">
      <c r="A2278" s="170">
        <v>45356</v>
      </c>
      <c r="B2278" s="116">
        <v>5698.6</v>
      </c>
      <c r="C2278" s="116">
        <v>5687.7</v>
      </c>
      <c r="D2278" s="116">
        <v>5565.3</v>
      </c>
      <c r="E2278" s="116">
        <v>5625</v>
      </c>
      <c r="F2278" s="116">
        <v>5687.7</v>
      </c>
      <c r="G2278">
        <v>17208</v>
      </c>
      <c r="H2278" s="116"/>
      <c r="I2278" s="116"/>
      <c r="L2278" s="170">
        <v>45356</v>
      </c>
      <c r="M2278" s="116">
        <v>5680.85</v>
      </c>
      <c r="N2278" s="116">
        <v>5695</v>
      </c>
      <c r="O2278" s="116">
        <v>5571.45</v>
      </c>
      <c r="P2278" s="116">
        <v>5620</v>
      </c>
      <c r="Q2278" s="116">
        <v>5680.85</v>
      </c>
      <c r="R2278">
        <v>340244</v>
      </c>
    </row>
    <row r="2279" spans="1:18" x14ac:dyDescent="0.25">
      <c r="A2279" s="170">
        <v>45357</v>
      </c>
      <c r="B2279" s="116">
        <v>5716.7</v>
      </c>
      <c r="C2279" s="116">
        <v>5703.15</v>
      </c>
      <c r="D2279" s="116">
        <v>5585.9</v>
      </c>
      <c r="E2279" s="116">
        <v>5669.25</v>
      </c>
      <c r="F2279" s="116">
        <v>5703.15</v>
      </c>
      <c r="G2279">
        <v>16057</v>
      </c>
      <c r="H2279" s="116"/>
      <c r="I2279" s="116"/>
      <c r="L2279" s="170">
        <v>45357</v>
      </c>
      <c r="M2279" s="116">
        <v>5700.7</v>
      </c>
      <c r="N2279" s="116">
        <v>5720</v>
      </c>
      <c r="O2279" s="116">
        <v>5588.45</v>
      </c>
      <c r="P2279" s="116">
        <v>5660</v>
      </c>
      <c r="Q2279" s="116">
        <v>5700.7</v>
      </c>
      <c r="R2279">
        <v>401305</v>
      </c>
    </row>
    <row r="2280" spans="1:18" x14ac:dyDescent="0.25">
      <c r="A2280" s="170">
        <v>45358</v>
      </c>
      <c r="B2280" s="116">
        <v>5789.85</v>
      </c>
      <c r="C2280" s="116">
        <v>5771.7</v>
      </c>
      <c r="D2280" s="116">
        <v>5672.6</v>
      </c>
      <c r="E2280" s="116">
        <v>5714.95</v>
      </c>
      <c r="F2280" s="116">
        <v>5771.7</v>
      </c>
      <c r="G2280">
        <v>13160</v>
      </c>
      <c r="H2280" s="116"/>
      <c r="I2280" s="116"/>
      <c r="L2280" s="170">
        <v>45358</v>
      </c>
      <c r="M2280" s="116">
        <v>5770.75</v>
      </c>
      <c r="N2280" s="116">
        <v>5792</v>
      </c>
      <c r="O2280" s="116">
        <v>5675</v>
      </c>
      <c r="P2280" s="116">
        <v>5697.05</v>
      </c>
      <c r="Q2280" s="116">
        <v>5770.75</v>
      </c>
      <c r="R2280">
        <v>289128</v>
      </c>
    </row>
    <row r="2281" spans="1:18" x14ac:dyDescent="0.25">
      <c r="A2281" s="170">
        <v>45362</v>
      </c>
      <c r="B2281" s="116">
        <v>5936.45</v>
      </c>
      <c r="C2281" s="116">
        <v>5826.05</v>
      </c>
      <c r="D2281" s="116">
        <v>5771.7</v>
      </c>
      <c r="E2281" s="116">
        <v>5846.95</v>
      </c>
      <c r="F2281" s="116">
        <v>5826.05</v>
      </c>
      <c r="G2281">
        <v>25395</v>
      </c>
      <c r="H2281" s="116"/>
      <c r="I2281" s="116"/>
      <c r="L2281" s="170">
        <v>45362</v>
      </c>
      <c r="M2281" s="116">
        <v>5841.35</v>
      </c>
      <c r="N2281" s="116">
        <v>5933.9</v>
      </c>
      <c r="O2281" s="116">
        <v>5770.75</v>
      </c>
      <c r="P2281" s="116">
        <v>5801.05</v>
      </c>
      <c r="Q2281" s="116">
        <v>5841.35</v>
      </c>
      <c r="R2281">
        <v>693540</v>
      </c>
    </row>
    <row r="2282" spans="1:18" x14ac:dyDescent="0.25">
      <c r="A2282" s="170">
        <v>45363</v>
      </c>
      <c r="B2282" s="116">
        <v>5898.55</v>
      </c>
      <c r="C2282" s="116">
        <v>5714.75</v>
      </c>
      <c r="D2282" s="116">
        <v>5690.2</v>
      </c>
      <c r="E2282" s="116">
        <v>5898.55</v>
      </c>
      <c r="F2282" s="116">
        <v>5714.75</v>
      </c>
      <c r="G2282">
        <v>7326</v>
      </c>
      <c r="H2282" s="116"/>
      <c r="I2282" s="116"/>
      <c r="L2282" s="170">
        <v>45363</v>
      </c>
      <c r="M2282" s="116">
        <v>5718</v>
      </c>
      <c r="N2282" s="116">
        <v>5855</v>
      </c>
      <c r="O2282" s="116">
        <v>5690</v>
      </c>
      <c r="P2282" s="116">
        <v>5850</v>
      </c>
      <c r="Q2282" s="116">
        <v>5718</v>
      </c>
      <c r="R2282">
        <v>310813</v>
      </c>
    </row>
    <row r="2283" spans="1:18" x14ac:dyDescent="0.25">
      <c r="A2283" s="170">
        <v>45364</v>
      </c>
      <c r="B2283" s="116">
        <v>5812.75</v>
      </c>
      <c r="C2283" s="116">
        <v>5591.75</v>
      </c>
      <c r="D2283" s="116">
        <v>5573.55</v>
      </c>
      <c r="E2283" s="116">
        <v>5700.25</v>
      </c>
      <c r="F2283" s="116">
        <v>5591.75</v>
      </c>
      <c r="G2283">
        <v>9929</v>
      </c>
      <c r="H2283" s="116"/>
      <c r="I2283" s="116"/>
      <c r="L2283" s="170">
        <v>45364</v>
      </c>
      <c r="M2283" s="116">
        <v>5597.25</v>
      </c>
      <c r="N2283" s="116">
        <v>5809.35</v>
      </c>
      <c r="O2283" s="116">
        <v>5572.7</v>
      </c>
      <c r="P2283" s="116">
        <v>5749.9</v>
      </c>
      <c r="Q2283" s="116">
        <v>5597.25</v>
      </c>
      <c r="R2283">
        <v>454668</v>
      </c>
    </row>
    <row r="2284" spans="1:18" x14ac:dyDescent="0.25">
      <c r="A2284" s="170">
        <v>45365</v>
      </c>
      <c r="B2284" s="116">
        <v>5660</v>
      </c>
      <c r="C2284" s="116">
        <v>5639.3</v>
      </c>
      <c r="D2284" s="116">
        <v>5522.5</v>
      </c>
      <c r="E2284" s="116">
        <v>5580.05</v>
      </c>
      <c r="F2284" s="116">
        <v>5639.3</v>
      </c>
      <c r="G2284">
        <v>5493</v>
      </c>
      <c r="H2284" s="116"/>
      <c r="I2284" s="116"/>
      <c r="L2284" s="170">
        <v>45365</v>
      </c>
      <c r="M2284" s="116">
        <v>5625.4</v>
      </c>
      <c r="N2284" s="116">
        <v>5658.3</v>
      </c>
      <c r="O2284" s="116">
        <v>5520</v>
      </c>
      <c r="P2284" s="116">
        <v>5614.9</v>
      </c>
      <c r="Q2284" s="116">
        <v>5625.4</v>
      </c>
      <c r="R2284">
        <v>354416</v>
      </c>
    </row>
    <row r="2285" spans="1:18" x14ac:dyDescent="0.25">
      <c r="A2285" s="170">
        <v>45366</v>
      </c>
      <c r="B2285" s="116">
        <v>5790.9</v>
      </c>
      <c r="C2285" s="116">
        <v>5626.3</v>
      </c>
      <c r="D2285" s="116">
        <v>5586.25</v>
      </c>
      <c r="E2285" s="116">
        <v>5642.35</v>
      </c>
      <c r="F2285" s="116">
        <v>5626.3</v>
      </c>
      <c r="G2285">
        <v>20522</v>
      </c>
      <c r="H2285" s="116"/>
      <c r="I2285" s="116"/>
      <c r="L2285" s="170">
        <v>45366</v>
      </c>
      <c r="M2285" s="116">
        <v>5616.55</v>
      </c>
      <c r="N2285" s="116">
        <v>5789.8</v>
      </c>
      <c r="O2285" s="116">
        <v>5585.5</v>
      </c>
      <c r="P2285" s="116">
        <v>5650</v>
      </c>
      <c r="Q2285" s="116">
        <v>5616.55</v>
      </c>
      <c r="R2285">
        <v>810054</v>
      </c>
    </row>
    <row r="2286" spans="1:18" x14ac:dyDescent="0.25">
      <c r="A2286" s="170">
        <v>45369</v>
      </c>
      <c r="B2286" s="116">
        <v>5784.95</v>
      </c>
      <c r="C2286" s="116">
        <v>5764.3</v>
      </c>
      <c r="D2286" s="116">
        <v>5625</v>
      </c>
      <c r="E2286" s="116">
        <v>5655</v>
      </c>
      <c r="F2286" s="116">
        <v>5764.3</v>
      </c>
      <c r="G2286">
        <v>7888</v>
      </c>
      <c r="H2286" s="116"/>
      <c r="I2286" s="116"/>
      <c r="L2286" s="170">
        <v>45369</v>
      </c>
      <c r="M2286" s="116">
        <v>5766.75</v>
      </c>
      <c r="N2286" s="116">
        <v>5785</v>
      </c>
      <c r="O2286" s="116">
        <v>5616.55</v>
      </c>
      <c r="P2286" s="116">
        <v>5645</v>
      </c>
      <c r="Q2286" s="116">
        <v>5766.75</v>
      </c>
      <c r="R2286">
        <v>306134</v>
      </c>
    </row>
    <row r="2287" spans="1:18" x14ac:dyDescent="0.25">
      <c r="A2287" s="170">
        <v>45370</v>
      </c>
      <c r="B2287" s="116">
        <v>5790</v>
      </c>
      <c r="C2287" s="116">
        <v>5629.85</v>
      </c>
      <c r="D2287" s="116">
        <v>5612</v>
      </c>
      <c r="E2287" s="116">
        <v>5790</v>
      </c>
      <c r="F2287" s="116">
        <v>5629.85</v>
      </c>
      <c r="G2287">
        <v>4929</v>
      </c>
      <c r="H2287" s="116"/>
      <c r="I2287" s="116"/>
      <c r="L2287" s="170">
        <v>45370</v>
      </c>
      <c r="M2287" s="116">
        <v>5628.6</v>
      </c>
      <c r="N2287" s="116">
        <v>5787.5</v>
      </c>
      <c r="O2287" s="116">
        <v>5611.5</v>
      </c>
      <c r="P2287" s="116">
        <v>5787.5</v>
      </c>
      <c r="Q2287" s="116">
        <v>5628.6</v>
      </c>
      <c r="R2287">
        <v>245880</v>
      </c>
    </row>
    <row r="2288" spans="1:18" x14ac:dyDescent="0.25">
      <c r="A2288" s="170">
        <v>45371</v>
      </c>
      <c r="B2288" s="116">
        <v>5770</v>
      </c>
      <c r="C2288" s="116">
        <v>5730.7</v>
      </c>
      <c r="D2288" s="116">
        <v>5560.05</v>
      </c>
      <c r="E2288" s="116">
        <v>5655.55</v>
      </c>
      <c r="F2288" s="116">
        <v>5730.7</v>
      </c>
      <c r="G2288">
        <v>8134</v>
      </c>
      <c r="H2288" s="116"/>
      <c r="I2288" s="116"/>
      <c r="L2288" s="170">
        <v>45371</v>
      </c>
      <c r="M2288" s="116">
        <v>5733.7</v>
      </c>
      <c r="N2288" s="116">
        <v>5769.85</v>
      </c>
      <c r="O2288" s="116">
        <v>5560</v>
      </c>
      <c r="P2288" s="116">
        <v>5680</v>
      </c>
      <c r="Q2288" s="116">
        <v>5733.7</v>
      </c>
      <c r="R2288">
        <v>272707</v>
      </c>
    </row>
    <row r="2289" spans="1:18" x14ac:dyDescent="0.25">
      <c r="A2289" s="170">
        <v>45372</v>
      </c>
      <c r="B2289" s="116">
        <v>5878.7</v>
      </c>
      <c r="C2289" s="116">
        <v>5865.35</v>
      </c>
      <c r="D2289" s="116">
        <v>5756.2</v>
      </c>
      <c r="E2289" s="116">
        <v>5779.55</v>
      </c>
      <c r="F2289" s="116">
        <v>5865.35</v>
      </c>
      <c r="G2289">
        <v>5362</v>
      </c>
      <c r="H2289" s="116"/>
      <c r="I2289" s="116"/>
      <c r="L2289" s="170">
        <v>45372</v>
      </c>
      <c r="M2289" s="116">
        <v>5864.9</v>
      </c>
      <c r="N2289" s="116">
        <v>5877</v>
      </c>
      <c r="O2289" s="116">
        <v>5750</v>
      </c>
      <c r="P2289" s="116">
        <v>5760</v>
      </c>
      <c r="Q2289" s="116">
        <v>5864.9</v>
      </c>
      <c r="R2289">
        <v>381358</v>
      </c>
    </row>
    <row r="2290" spans="1:18" x14ac:dyDescent="0.25">
      <c r="A2290" s="170">
        <v>45373</v>
      </c>
      <c r="B2290" s="116">
        <v>6020.95</v>
      </c>
      <c r="C2290" s="116">
        <v>5965.35</v>
      </c>
      <c r="D2290" s="116">
        <v>5834.15</v>
      </c>
      <c r="E2290" s="116">
        <v>5865.35</v>
      </c>
      <c r="F2290" s="116">
        <v>5965.35</v>
      </c>
      <c r="G2290">
        <v>22855</v>
      </c>
      <c r="H2290" s="116"/>
      <c r="I2290" s="116"/>
      <c r="L2290" s="170">
        <v>45373</v>
      </c>
      <c r="M2290" s="116">
        <v>5967.4</v>
      </c>
      <c r="N2290" s="116">
        <v>6034.05</v>
      </c>
      <c r="O2290" s="116">
        <v>5835.05</v>
      </c>
      <c r="P2290" s="116">
        <v>5875</v>
      </c>
      <c r="Q2290" s="116">
        <v>5967.4</v>
      </c>
      <c r="R2290">
        <v>514271</v>
      </c>
    </row>
    <row r="2291" spans="1:18" x14ac:dyDescent="0.25">
      <c r="A2291" s="170">
        <v>45377</v>
      </c>
      <c r="B2291" s="116">
        <v>5984.8</v>
      </c>
      <c r="C2291" s="116">
        <v>5931.9</v>
      </c>
      <c r="D2291" s="116">
        <v>5871.5</v>
      </c>
      <c r="E2291" s="116">
        <v>5871.5</v>
      </c>
      <c r="F2291" s="116">
        <v>5931.9</v>
      </c>
      <c r="G2291">
        <v>6532</v>
      </c>
      <c r="H2291" s="116"/>
      <c r="I2291" s="116"/>
      <c r="L2291" s="170">
        <v>45377</v>
      </c>
      <c r="M2291" s="116">
        <v>5929.8</v>
      </c>
      <c r="N2291" s="116">
        <v>5986.6</v>
      </c>
      <c r="O2291" s="116">
        <v>5875.3</v>
      </c>
      <c r="P2291" s="116">
        <v>5881</v>
      </c>
      <c r="Q2291" s="116">
        <v>5929.8</v>
      </c>
      <c r="R2291">
        <v>383434</v>
      </c>
    </row>
    <row r="2292" spans="1:18" x14ac:dyDescent="0.25">
      <c r="A2292" s="170">
        <v>45378</v>
      </c>
      <c r="B2292" s="116">
        <v>6341</v>
      </c>
      <c r="C2292" s="116">
        <v>6279.75</v>
      </c>
      <c r="D2292" s="116">
        <v>6094</v>
      </c>
      <c r="E2292" s="116">
        <v>6198.85</v>
      </c>
      <c r="F2292" s="116">
        <v>6279.75</v>
      </c>
      <c r="G2292">
        <v>38647</v>
      </c>
      <c r="H2292" s="116"/>
      <c r="I2292" s="116"/>
      <c r="L2292" s="170">
        <v>45378</v>
      </c>
      <c r="M2292" s="116">
        <v>6279.35</v>
      </c>
      <c r="N2292" s="116">
        <v>6341.9</v>
      </c>
      <c r="O2292" s="116">
        <v>6086</v>
      </c>
      <c r="P2292" s="116">
        <v>6110</v>
      </c>
      <c r="Q2292" s="116">
        <v>6279.35</v>
      </c>
      <c r="R2292">
        <v>1232034</v>
      </c>
    </row>
    <row r="2293" spans="1:18" x14ac:dyDescent="0.25">
      <c r="A2293" s="170">
        <v>45379</v>
      </c>
      <c r="B2293" s="116">
        <v>6470</v>
      </c>
      <c r="C2293" s="116">
        <v>6363.3</v>
      </c>
      <c r="D2293" s="116">
        <v>6225.35</v>
      </c>
      <c r="E2293" s="116">
        <v>6270.4</v>
      </c>
      <c r="F2293" s="116">
        <v>6363.3</v>
      </c>
      <c r="G2293">
        <v>20461</v>
      </c>
      <c r="H2293" s="116"/>
      <c r="I2293" s="116"/>
      <c r="L2293" s="170">
        <v>45379</v>
      </c>
      <c r="M2293" s="116">
        <v>6360.85</v>
      </c>
      <c r="N2293" s="116">
        <v>6471.95</v>
      </c>
      <c r="O2293" s="116">
        <v>6222.8</v>
      </c>
      <c r="P2293" s="116">
        <v>6280</v>
      </c>
      <c r="Q2293" s="116">
        <v>6360.85</v>
      </c>
      <c r="R2293">
        <v>722060</v>
      </c>
    </row>
    <row r="2294" spans="1:18" x14ac:dyDescent="0.25">
      <c r="A2294" s="170">
        <v>45383</v>
      </c>
      <c r="B2294" s="116">
        <v>6569.8</v>
      </c>
      <c r="C2294" s="116">
        <v>6508.35</v>
      </c>
      <c r="D2294" s="116">
        <v>6400.65</v>
      </c>
      <c r="E2294" s="116">
        <v>6400.65</v>
      </c>
      <c r="F2294" s="116">
        <v>6508.35</v>
      </c>
      <c r="G2294">
        <v>14574</v>
      </c>
      <c r="H2294" s="116"/>
      <c r="I2294" s="116"/>
      <c r="L2294" s="170">
        <v>45383</v>
      </c>
      <c r="M2294" s="116">
        <v>6504.65</v>
      </c>
      <c r="N2294" s="116">
        <v>6568.3</v>
      </c>
      <c r="O2294" s="116">
        <v>6397.05</v>
      </c>
      <c r="P2294" s="116">
        <v>6422.45</v>
      </c>
      <c r="Q2294" s="116">
        <v>6504.65</v>
      </c>
      <c r="R2294">
        <v>396061</v>
      </c>
    </row>
    <row r="2295" spans="1:18" x14ac:dyDescent="0.25">
      <c r="A2295" s="170">
        <v>45384</v>
      </c>
      <c r="B2295" s="116">
        <v>6538</v>
      </c>
      <c r="C2295" s="116">
        <v>6429.15</v>
      </c>
      <c r="D2295" s="116">
        <v>6371.4</v>
      </c>
      <c r="E2295" s="116">
        <v>6508.8</v>
      </c>
      <c r="F2295" s="116">
        <v>6429.15</v>
      </c>
      <c r="G2295">
        <v>10911</v>
      </c>
      <c r="H2295" s="116"/>
      <c r="I2295" s="116"/>
      <c r="L2295" s="170">
        <v>45384</v>
      </c>
      <c r="M2295" s="116">
        <v>6429.85</v>
      </c>
      <c r="N2295" s="116">
        <v>6545</v>
      </c>
      <c r="O2295" s="116">
        <v>6372.65</v>
      </c>
      <c r="P2295" s="116">
        <v>6545</v>
      </c>
      <c r="Q2295" s="116">
        <v>6429.85</v>
      </c>
      <c r="R2295">
        <v>280233</v>
      </c>
    </row>
    <row r="2296" spans="1:18" x14ac:dyDescent="0.25">
      <c r="A2296" s="170">
        <v>45385</v>
      </c>
      <c r="B2296" s="116">
        <v>6522.4</v>
      </c>
      <c r="C2296" s="116">
        <v>6505.4</v>
      </c>
      <c r="D2296" s="116">
        <v>6432.25</v>
      </c>
      <c r="E2296" s="116">
        <v>6510.65</v>
      </c>
      <c r="F2296" s="116">
        <v>6505.4</v>
      </c>
      <c r="G2296">
        <v>7550</v>
      </c>
      <c r="H2296" s="116"/>
      <c r="I2296" s="116"/>
      <c r="L2296" s="170">
        <v>45385</v>
      </c>
      <c r="M2296" s="116">
        <v>6504.05</v>
      </c>
      <c r="N2296" s="116">
        <v>6520</v>
      </c>
      <c r="O2296" s="116">
        <v>6431.85</v>
      </c>
      <c r="P2296" s="116">
        <v>6458</v>
      </c>
      <c r="Q2296" s="116">
        <v>6504.05</v>
      </c>
      <c r="R2296">
        <v>217760</v>
      </c>
    </row>
    <row r="2297" spans="1:18" x14ac:dyDescent="0.25">
      <c r="A2297" s="170">
        <v>45386</v>
      </c>
      <c r="B2297" s="116">
        <v>6620</v>
      </c>
      <c r="C2297" s="116">
        <v>6500.2</v>
      </c>
      <c r="D2297" s="116">
        <v>6489.05</v>
      </c>
      <c r="E2297" s="116">
        <v>6619.95</v>
      </c>
      <c r="F2297" s="116">
        <v>6500.2</v>
      </c>
      <c r="G2297">
        <v>9142</v>
      </c>
      <c r="H2297" s="116"/>
      <c r="I2297" s="116"/>
      <c r="L2297" s="170">
        <v>45386</v>
      </c>
      <c r="M2297" s="116">
        <v>6501.8</v>
      </c>
      <c r="N2297" s="116">
        <v>6622.45</v>
      </c>
      <c r="O2297" s="116">
        <v>6490.05</v>
      </c>
      <c r="P2297" s="116">
        <v>6593</v>
      </c>
      <c r="Q2297" s="116">
        <v>6501.8</v>
      </c>
      <c r="R2297">
        <v>325004</v>
      </c>
    </row>
    <row r="2298" spans="1:18" x14ac:dyDescent="0.25">
      <c r="A2298" s="170">
        <v>45387</v>
      </c>
      <c r="B2298" s="116">
        <v>6680</v>
      </c>
      <c r="C2298" s="116">
        <v>6665.9</v>
      </c>
      <c r="D2298" s="116">
        <v>6500.85</v>
      </c>
      <c r="E2298" s="116">
        <v>6500.85</v>
      </c>
      <c r="F2298" s="116">
        <v>6665.9</v>
      </c>
      <c r="G2298">
        <v>11258</v>
      </c>
      <c r="H2298" s="116"/>
      <c r="I2298" s="116"/>
      <c r="L2298" s="170">
        <v>45387</v>
      </c>
      <c r="M2298" s="116">
        <v>6669.85</v>
      </c>
      <c r="N2298" s="116">
        <v>6683.7</v>
      </c>
      <c r="O2298" s="116">
        <v>6515</v>
      </c>
      <c r="P2298" s="116">
        <v>6521.1</v>
      </c>
      <c r="Q2298" s="116">
        <v>6669.85</v>
      </c>
      <c r="R2298">
        <v>382254</v>
      </c>
    </row>
    <row r="2299" spans="1:18" x14ac:dyDescent="0.25">
      <c r="A2299" s="170">
        <v>45390</v>
      </c>
      <c r="B2299" s="116">
        <v>6746.85</v>
      </c>
      <c r="C2299" s="116">
        <v>6697.05</v>
      </c>
      <c r="D2299" s="116">
        <v>6628.65</v>
      </c>
      <c r="E2299" s="116">
        <v>6666.05</v>
      </c>
      <c r="F2299" s="116">
        <v>6697.05</v>
      </c>
      <c r="G2299">
        <v>5911</v>
      </c>
      <c r="H2299" s="116"/>
      <c r="I2299" s="116"/>
      <c r="L2299" s="170">
        <v>45390</v>
      </c>
      <c r="M2299" s="116">
        <v>6699.75</v>
      </c>
      <c r="N2299" s="116">
        <v>6747.9</v>
      </c>
      <c r="O2299" s="116">
        <v>6630.5</v>
      </c>
      <c r="P2299" s="116">
        <v>6670</v>
      </c>
      <c r="Q2299" s="116">
        <v>6699.75</v>
      </c>
      <c r="R2299">
        <v>179056</v>
      </c>
    </row>
    <row r="2300" spans="1:18" x14ac:dyDescent="0.25">
      <c r="A2300" s="170">
        <v>45391</v>
      </c>
      <c r="B2300" s="116">
        <v>6721.7</v>
      </c>
      <c r="C2300" s="116">
        <v>6527.55</v>
      </c>
      <c r="D2300" s="116">
        <v>6501.35</v>
      </c>
      <c r="E2300" s="116">
        <v>6715</v>
      </c>
      <c r="F2300" s="116">
        <v>6527.55</v>
      </c>
      <c r="G2300">
        <v>5614</v>
      </c>
      <c r="H2300" s="116"/>
      <c r="I2300" s="116"/>
      <c r="L2300" s="170">
        <v>45391</v>
      </c>
      <c r="M2300" s="116">
        <v>6529.8</v>
      </c>
      <c r="N2300" s="116">
        <v>6721.6</v>
      </c>
      <c r="O2300" s="116">
        <v>6495.65</v>
      </c>
      <c r="P2300" s="116">
        <v>6719</v>
      </c>
      <c r="Q2300" s="116">
        <v>6529.8</v>
      </c>
      <c r="R2300">
        <v>317551</v>
      </c>
    </row>
    <row r="2301" spans="1:18" x14ac:dyDescent="0.25">
      <c r="A2301" s="170">
        <v>45392</v>
      </c>
      <c r="B2301" s="116">
        <v>6666</v>
      </c>
      <c r="C2301" s="116">
        <v>6637.45</v>
      </c>
      <c r="D2301" s="116">
        <v>6567.75</v>
      </c>
      <c r="E2301" s="116">
        <v>6649.95</v>
      </c>
      <c r="F2301" s="116">
        <v>6637.45</v>
      </c>
      <c r="G2301">
        <v>4559</v>
      </c>
      <c r="H2301" s="116"/>
      <c r="I2301" s="116"/>
      <c r="L2301" s="170">
        <v>45392</v>
      </c>
      <c r="M2301" s="116">
        <v>6641.55</v>
      </c>
      <c r="N2301" s="116">
        <v>6666</v>
      </c>
      <c r="O2301" s="116">
        <v>6560</v>
      </c>
      <c r="P2301" s="116">
        <v>6578.65</v>
      </c>
      <c r="Q2301" s="116">
        <v>6641.55</v>
      </c>
      <c r="R2301">
        <v>234204</v>
      </c>
    </row>
    <row r="2302" spans="1:18" x14ac:dyDescent="0.25">
      <c r="A2302" s="170">
        <v>45394</v>
      </c>
      <c r="B2302" s="116">
        <v>6770.2</v>
      </c>
      <c r="C2302" s="116">
        <v>6749.4</v>
      </c>
      <c r="D2302" s="116">
        <v>6642</v>
      </c>
      <c r="E2302" s="116">
        <v>6664.9</v>
      </c>
      <c r="F2302" s="116">
        <v>6749.4</v>
      </c>
      <c r="G2302">
        <v>17579</v>
      </c>
      <c r="H2302" s="116"/>
      <c r="I2302" s="116"/>
      <c r="L2302" s="170">
        <v>45394</v>
      </c>
      <c r="M2302" s="116">
        <v>6752.95</v>
      </c>
      <c r="N2302" s="116">
        <v>6773.1</v>
      </c>
      <c r="O2302" s="116">
        <v>6642</v>
      </c>
      <c r="P2302" s="116">
        <v>6650</v>
      </c>
      <c r="Q2302" s="116">
        <v>6752.95</v>
      </c>
      <c r="R2302">
        <v>418148</v>
      </c>
    </row>
    <row r="2303" spans="1:18" x14ac:dyDescent="0.25">
      <c r="A2303" s="170">
        <v>45397</v>
      </c>
      <c r="B2303" s="116">
        <v>6748.95</v>
      </c>
      <c r="C2303" s="116">
        <v>6559.95</v>
      </c>
      <c r="D2303" s="116">
        <v>6546.05</v>
      </c>
      <c r="E2303" s="116">
        <v>6748.95</v>
      </c>
      <c r="F2303" s="116">
        <v>6559.95</v>
      </c>
      <c r="G2303">
        <v>7649</v>
      </c>
      <c r="H2303" s="116"/>
      <c r="I2303" s="116"/>
      <c r="L2303" s="170">
        <v>45397</v>
      </c>
      <c r="M2303" s="116">
        <v>6561.05</v>
      </c>
      <c r="N2303" s="116">
        <v>6729.05</v>
      </c>
      <c r="O2303" s="116">
        <v>6547.05</v>
      </c>
      <c r="P2303" s="116">
        <v>6660</v>
      </c>
      <c r="Q2303" s="116">
        <v>6561.05</v>
      </c>
      <c r="R2303">
        <v>333967</v>
      </c>
    </row>
    <row r="2304" spans="1:18" x14ac:dyDescent="0.25">
      <c r="A2304" s="170">
        <v>45398</v>
      </c>
      <c r="B2304" s="116">
        <v>6665.95</v>
      </c>
      <c r="C2304" s="116">
        <v>6647.2</v>
      </c>
      <c r="D2304" s="116">
        <v>6522</v>
      </c>
      <c r="E2304" s="116">
        <v>6563.05</v>
      </c>
      <c r="F2304" s="116">
        <v>6647.2</v>
      </c>
      <c r="G2304">
        <v>7248</v>
      </c>
      <c r="H2304" s="116"/>
      <c r="I2304" s="116"/>
      <c r="L2304" s="170">
        <v>45398</v>
      </c>
      <c r="M2304" s="116">
        <v>6644.85</v>
      </c>
      <c r="N2304" s="116">
        <v>6666</v>
      </c>
      <c r="O2304" s="116">
        <v>6525</v>
      </c>
      <c r="P2304" s="116">
        <v>6569.7</v>
      </c>
      <c r="Q2304" s="116">
        <v>6644.85</v>
      </c>
      <c r="R2304">
        <v>268622</v>
      </c>
    </row>
    <row r="2305" spans="1:18" x14ac:dyDescent="0.25">
      <c r="A2305" s="170">
        <v>45400</v>
      </c>
      <c r="B2305" s="116">
        <v>6650.4</v>
      </c>
      <c r="C2305" s="116">
        <v>6367.2</v>
      </c>
      <c r="D2305" s="116">
        <v>6304.4</v>
      </c>
      <c r="E2305" s="116">
        <v>6644.8</v>
      </c>
      <c r="F2305" s="116">
        <v>6367.2</v>
      </c>
      <c r="G2305">
        <v>43130</v>
      </c>
      <c r="H2305" s="116"/>
      <c r="I2305" s="116"/>
      <c r="L2305" s="170">
        <v>45400</v>
      </c>
      <c r="M2305" s="116">
        <v>6369.5</v>
      </c>
      <c r="N2305" s="116">
        <v>6644</v>
      </c>
      <c r="O2305" s="116">
        <v>6310</v>
      </c>
      <c r="P2305" s="116">
        <v>6643.45</v>
      </c>
      <c r="Q2305" s="116">
        <v>6369.5</v>
      </c>
      <c r="R2305">
        <v>1041299</v>
      </c>
    </row>
    <row r="2306" spans="1:18" x14ac:dyDescent="0.25">
      <c r="A2306" s="170">
        <v>45401</v>
      </c>
      <c r="B2306" s="116">
        <v>6368.85</v>
      </c>
      <c r="C2306" s="116">
        <v>6291.2</v>
      </c>
      <c r="D2306" s="116">
        <v>6247.45</v>
      </c>
      <c r="E2306" s="116">
        <v>6350.45</v>
      </c>
      <c r="F2306" s="116">
        <v>6291.2</v>
      </c>
      <c r="G2306">
        <v>14340</v>
      </c>
      <c r="H2306" s="116"/>
      <c r="I2306" s="116"/>
      <c r="L2306" s="170">
        <v>45401</v>
      </c>
      <c r="M2306" s="116">
        <v>6292.6</v>
      </c>
      <c r="N2306" s="116">
        <v>6369.5</v>
      </c>
      <c r="O2306" s="116">
        <v>6245</v>
      </c>
      <c r="P2306" s="116">
        <v>6369.5</v>
      </c>
      <c r="Q2306" s="116">
        <v>6292.6</v>
      </c>
      <c r="R2306">
        <v>286043</v>
      </c>
    </row>
    <row r="2307" spans="1:18" x14ac:dyDescent="0.25">
      <c r="A2307" s="170">
        <v>45404</v>
      </c>
      <c r="B2307" s="116">
        <v>6544.3</v>
      </c>
      <c r="C2307" s="116">
        <v>6526.15</v>
      </c>
      <c r="D2307" s="116">
        <v>6318.8</v>
      </c>
      <c r="E2307" s="116">
        <v>6396.55</v>
      </c>
      <c r="F2307" s="116">
        <v>6526.15</v>
      </c>
      <c r="G2307">
        <v>16515</v>
      </c>
      <c r="H2307" s="116"/>
      <c r="I2307" s="116"/>
      <c r="L2307" s="170">
        <v>45404</v>
      </c>
      <c r="M2307" s="116">
        <v>6525.3</v>
      </c>
      <c r="N2307" s="116">
        <v>6544.1</v>
      </c>
      <c r="O2307" s="116">
        <v>6308</v>
      </c>
      <c r="P2307" s="116">
        <v>6375</v>
      </c>
      <c r="Q2307" s="116">
        <v>6525.3</v>
      </c>
      <c r="R2307">
        <v>384870</v>
      </c>
    </row>
    <row r="2308" spans="1:18" x14ac:dyDescent="0.25">
      <c r="A2308" s="170">
        <v>45405</v>
      </c>
      <c r="B2308" s="116">
        <v>6564.85</v>
      </c>
      <c r="C2308" s="116">
        <v>6307.6</v>
      </c>
      <c r="D2308" s="116">
        <v>6293.8</v>
      </c>
      <c r="E2308" s="116">
        <v>6545.4</v>
      </c>
      <c r="F2308" s="116">
        <v>6307.6</v>
      </c>
      <c r="G2308">
        <v>15934</v>
      </c>
      <c r="H2308" s="116"/>
      <c r="I2308" s="116"/>
      <c r="L2308" s="170">
        <v>45405</v>
      </c>
      <c r="M2308" s="116">
        <v>6307.45</v>
      </c>
      <c r="N2308" s="116">
        <v>6569.8</v>
      </c>
      <c r="O2308" s="116">
        <v>6295.4</v>
      </c>
      <c r="P2308" s="116">
        <v>6569.8</v>
      </c>
      <c r="Q2308" s="116">
        <v>6307.45</v>
      </c>
      <c r="R2308">
        <v>550348</v>
      </c>
    </row>
    <row r="2309" spans="1:18" x14ac:dyDescent="0.25">
      <c r="A2309" s="170">
        <v>45406</v>
      </c>
      <c r="B2309" s="116">
        <v>6398.7</v>
      </c>
      <c r="C2309" s="116">
        <v>6342.95</v>
      </c>
      <c r="D2309" s="116">
        <v>6303</v>
      </c>
      <c r="E2309" s="116">
        <v>6398.7</v>
      </c>
      <c r="F2309" s="116">
        <v>6342.95</v>
      </c>
      <c r="G2309">
        <v>15160</v>
      </c>
      <c r="H2309" s="116"/>
      <c r="I2309" s="116"/>
      <c r="L2309" s="170">
        <v>45406</v>
      </c>
      <c r="M2309" s="116">
        <v>6343.85</v>
      </c>
      <c r="N2309" s="116">
        <v>6381.5</v>
      </c>
      <c r="O2309" s="116">
        <v>6300.05</v>
      </c>
      <c r="P2309" s="116">
        <v>6366.8</v>
      </c>
      <c r="Q2309" s="116">
        <v>6343.85</v>
      </c>
      <c r="R2309">
        <v>239797</v>
      </c>
    </row>
    <row r="2310" spans="1:18" x14ac:dyDescent="0.25">
      <c r="A2310" s="170">
        <v>45407</v>
      </c>
      <c r="B2310" s="116">
        <v>6462.5</v>
      </c>
      <c r="C2310" s="116">
        <v>6435.45</v>
      </c>
      <c r="D2310" s="116">
        <v>6348.25</v>
      </c>
      <c r="E2310" s="116">
        <v>6358.05</v>
      </c>
      <c r="F2310" s="116">
        <v>6435.45</v>
      </c>
      <c r="G2310">
        <v>9993</v>
      </c>
      <c r="H2310" s="116"/>
      <c r="I2310" s="116"/>
      <c r="L2310" s="170">
        <v>45407</v>
      </c>
      <c r="M2310" s="116">
        <v>6431.7</v>
      </c>
      <c r="N2310" s="116">
        <v>6461.2</v>
      </c>
      <c r="O2310" s="116">
        <v>6345.5</v>
      </c>
      <c r="P2310" s="116">
        <v>6374</v>
      </c>
      <c r="Q2310" s="116">
        <v>6431.7</v>
      </c>
      <c r="R2310">
        <v>260935</v>
      </c>
    </row>
    <row r="2311" spans="1:18" x14ac:dyDescent="0.25">
      <c r="A2311" s="170">
        <v>45408</v>
      </c>
      <c r="B2311" s="116">
        <v>6488.85</v>
      </c>
      <c r="C2311" s="116">
        <v>6409.05</v>
      </c>
      <c r="D2311" s="116">
        <v>6376.85</v>
      </c>
      <c r="E2311" s="116">
        <v>6455.5</v>
      </c>
      <c r="F2311" s="116">
        <v>6409.05</v>
      </c>
      <c r="G2311">
        <v>8238</v>
      </c>
      <c r="H2311" s="116"/>
      <c r="I2311" s="116"/>
      <c r="L2311" s="170">
        <v>45408</v>
      </c>
      <c r="M2311" s="116">
        <v>6410.45</v>
      </c>
      <c r="N2311" s="116">
        <v>6489.95</v>
      </c>
      <c r="O2311" s="116">
        <v>6377.8</v>
      </c>
      <c r="P2311" s="116">
        <v>6470</v>
      </c>
      <c r="Q2311" s="116">
        <v>6410.45</v>
      </c>
      <c r="R2311">
        <v>163903</v>
      </c>
    </row>
    <row r="2312" spans="1:18" x14ac:dyDescent="0.25">
      <c r="A2312" s="170">
        <v>45411</v>
      </c>
      <c r="B2312" s="116">
        <v>6499.3</v>
      </c>
      <c r="C2312" s="116">
        <v>6451.7</v>
      </c>
      <c r="D2312" s="116">
        <v>6350</v>
      </c>
      <c r="E2312" s="116">
        <v>6499.3</v>
      </c>
      <c r="F2312" s="116">
        <v>6451.7</v>
      </c>
      <c r="G2312">
        <v>5564</v>
      </c>
      <c r="H2312" s="116"/>
      <c r="I2312" s="116"/>
      <c r="L2312" s="170">
        <v>45411</v>
      </c>
      <c r="M2312" s="116">
        <v>6451.9</v>
      </c>
      <c r="N2312" s="116">
        <v>6463.95</v>
      </c>
      <c r="O2312" s="116">
        <v>6349.2</v>
      </c>
      <c r="P2312" s="116">
        <v>6460.6</v>
      </c>
      <c r="Q2312" s="116">
        <v>6451.9</v>
      </c>
      <c r="R2312">
        <v>158748</v>
      </c>
    </row>
    <row r="2313" spans="1:18" x14ac:dyDescent="0.25">
      <c r="A2313" s="170">
        <v>45412</v>
      </c>
      <c r="B2313" s="116">
        <v>6642.85</v>
      </c>
      <c r="C2313" s="116">
        <v>6542.35</v>
      </c>
      <c r="D2313" s="116">
        <v>6466</v>
      </c>
      <c r="E2313" s="116">
        <v>6476</v>
      </c>
      <c r="F2313" s="116">
        <v>6542.35</v>
      </c>
      <c r="G2313">
        <v>9130</v>
      </c>
      <c r="H2313" s="116"/>
      <c r="I2313" s="116"/>
      <c r="L2313" s="170">
        <v>45412</v>
      </c>
      <c r="M2313" s="116">
        <v>6540.75</v>
      </c>
      <c r="N2313" s="116">
        <v>6642.5</v>
      </c>
      <c r="O2313" s="116">
        <v>6454</v>
      </c>
      <c r="P2313" s="116">
        <v>6500</v>
      </c>
      <c r="Q2313" s="116">
        <v>6540.75</v>
      </c>
      <c r="R2313">
        <v>393914</v>
      </c>
    </row>
    <row r="2314" spans="1:18" x14ac:dyDescent="0.25">
      <c r="A2314" s="170">
        <v>45414</v>
      </c>
      <c r="B2314" s="116">
        <v>6747.7</v>
      </c>
      <c r="C2314" s="116">
        <v>6679.35</v>
      </c>
      <c r="D2314" s="116">
        <v>6550</v>
      </c>
      <c r="E2314" s="116">
        <v>6591.65</v>
      </c>
      <c r="F2314" s="116">
        <v>6679.35</v>
      </c>
      <c r="G2314">
        <v>15550</v>
      </c>
      <c r="H2314" s="116"/>
      <c r="I2314" s="116"/>
      <c r="L2314" s="170">
        <v>45414</v>
      </c>
      <c r="M2314" s="116">
        <v>6682.5</v>
      </c>
      <c r="N2314" s="116">
        <v>6747.95</v>
      </c>
      <c r="O2314" s="116">
        <v>6545</v>
      </c>
      <c r="P2314" s="116">
        <v>6585</v>
      </c>
      <c r="Q2314" s="116">
        <v>6682.5</v>
      </c>
      <c r="R2314">
        <v>317802</v>
      </c>
    </row>
    <row r="2315" spans="1:18" x14ac:dyDescent="0.25">
      <c r="A2315" s="170">
        <v>45415</v>
      </c>
      <c r="B2315" s="116">
        <v>6788.8</v>
      </c>
      <c r="C2315" s="116">
        <v>6698.75</v>
      </c>
      <c r="D2315" s="116">
        <v>6634.4</v>
      </c>
      <c r="E2315" s="116">
        <v>6729</v>
      </c>
      <c r="F2315" s="116">
        <v>6698.75</v>
      </c>
      <c r="G2315">
        <v>9821</v>
      </c>
      <c r="H2315" s="116"/>
      <c r="I2315" s="116"/>
      <c r="L2315" s="170">
        <v>45415</v>
      </c>
      <c r="M2315" s="116">
        <v>6698.55</v>
      </c>
      <c r="N2315" s="116">
        <v>6790</v>
      </c>
      <c r="O2315" s="116">
        <v>6638.1</v>
      </c>
      <c r="P2315" s="116">
        <v>6709.85</v>
      </c>
      <c r="Q2315" s="116">
        <v>6698.55</v>
      </c>
      <c r="R2315">
        <v>337954</v>
      </c>
    </row>
    <row r="2316" spans="1:18" x14ac:dyDescent="0.25">
      <c r="A2316" s="170">
        <v>45418</v>
      </c>
      <c r="B2316" s="116">
        <v>7025</v>
      </c>
      <c r="C2316" s="116">
        <v>6942.3</v>
      </c>
      <c r="D2316" s="116">
        <v>6700.05</v>
      </c>
      <c r="E2316" s="116">
        <v>6700.05</v>
      </c>
      <c r="F2316" s="116">
        <v>6942.3</v>
      </c>
      <c r="G2316">
        <v>35234</v>
      </c>
      <c r="H2316" s="116"/>
      <c r="I2316" s="116"/>
      <c r="L2316" s="170">
        <v>45418</v>
      </c>
      <c r="M2316" s="116">
        <v>6940.35</v>
      </c>
      <c r="N2316" s="116">
        <v>7028</v>
      </c>
      <c r="O2316" s="116">
        <v>6710</v>
      </c>
      <c r="P2316" s="116">
        <v>6710</v>
      </c>
      <c r="Q2316" s="116">
        <v>6940.35</v>
      </c>
      <c r="R2316">
        <v>689802</v>
      </c>
    </row>
    <row r="2317" spans="1:18" x14ac:dyDescent="0.25">
      <c r="A2317" s="170">
        <v>45419</v>
      </c>
      <c r="B2317" s="116">
        <v>7035</v>
      </c>
      <c r="C2317" s="116">
        <v>6887.85</v>
      </c>
      <c r="D2317" s="116">
        <v>6830</v>
      </c>
      <c r="E2317" s="116">
        <v>6969.95</v>
      </c>
      <c r="F2317" s="116">
        <v>6887.85</v>
      </c>
      <c r="G2317">
        <v>18192</v>
      </c>
      <c r="H2317" s="116"/>
      <c r="I2317" s="116"/>
      <c r="L2317" s="170">
        <v>45419</v>
      </c>
      <c r="M2317" s="116">
        <v>6888.45</v>
      </c>
      <c r="N2317" s="116">
        <v>7040</v>
      </c>
      <c r="O2317" s="116">
        <v>6826.55</v>
      </c>
      <c r="P2317" s="116">
        <v>6977</v>
      </c>
      <c r="Q2317" s="116">
        <v>6888.45</v>
      </c>
      <c r="R2317">
        <v>384249</v>
      </c>
    </row>
    <row r="2318" spans="1:18" x14ac:dyDescent="0.25">
      <c r="A2318" s="170">
        <v>45420</v>
      </c>
      <c r="B2318" s="116">
        <v>7215</v>
      </c>
      <c r="C2318" s="116">
        <v>7190.05</v>
      </c>
      <c r="D2318" s="116">
        <v>6805</v>
      </c>
      <c r="E2318" s="116">
        <v>6900.8</v>
      </c>
      <c r="F2318" s="116">
        <v>7190.05</v>
      </c>
      <c r="G2318">
        <v>14090</v>
      </c>
      <c r="H2318" s="116"/>
      <c r="I2318" s="116"/>
      <c r="L2318" s="170">
        <v>45420</v>
      </c>
      <c r="M2318" s="116">
        <v>7186.75</v>
      </c>
      <c r="N2318" s="116">
        <v>7218</v>
      </c>
      <c r="O2318" s="116">
        <v>6802.8</v>
      </c>
      <c r="P2318" s="116">
        <v>6905.6</v>
      </c>
      <c r="Q2318" s="116">
        <v>7186.75</v>
      </c>
      <c r="R2318">
        <v>545654</v>
      </c>
    </row>
    <row r="2319" spans="1:18" x14ac:dyDescent="0.25">
      <c r="A2319" s="170">
        <v>45421</v>
      </c>
      <c r="B2319" s="116">
        <v>7200</v>
      </c>
      <c r="C2319" s="116">
        <v>6989.1</v>
      </c>
      <c r="D2319" s="116">
        <v>6959.55</v>
      </c>
      <c r="E2319" s="116">
        <v>7191.85</v>
      </c>
      <c r="F2319" s="116">
        <v>6989.1</v>
      </c>
      <c r="G2319">
        <v>19966</v>
      </c>
      <c r="H2319" s="116"/>
      <c r="I2319" s="116"/>
      <c r="L2319" s="170">
        <v>45421</v>
      </c>
      <c r="M2319" s="116">
        <v>6985.1</v>
      </c>
      <c r="N2319" s="116">
        <v>7205</v>
      </c>
      <c r="O2319" s="116">
        <v>6961.05</v>
      </c>
      <c r="P2319" s="116">
        <v>7205</v>
      </c>
      <c r="Q2319" s="116">
        <v>6985.1</v>
      </c>
      <c r="R2319">
        <v>412297</v>
      </c>
    </row>
    <row r="2320" spans="1:18" x14ac:dyDescent="0.25">
      <c r="A2320" s="170">
        <v>45422</v>
      </c>
      <c r="B2320" s="116">
        <v>7205</v>
      </c>
      <c r="C2320" s="116">
        <v>7182.15</v>
      </c>
      <c r="D2320" s="116">
        <v>7032.9</v>
      </c>
      <c r="E2320" s="116">
        <v>7032.9</v>
      </c>
      <c r="F2320" s="116">
        <v>7182.15</v>
      </c>
      <c r="G2320">
        <v>20666</v>
      </c>
      <c r="H2320" s="116"/>
      <c r="I2320" s="116"/>
      <c r="L2320" s="170">
        <v>45422</v>
      </c>
      <c r="M2320" s="116">
        <v>7178.35</v>
      </c>
      <c r="N2320" s="116">
        <v>7210</v>
      </c>
      <c r="O2320" s="116">
        <v>7030</v>
      </c>
      <c r="P2320" s="116">
        <v>7040</v>
      </c>
      <c r="Q2320" s="116">
        <v>7178.35</v>
      </c>
      <c r="R2320">
        <v>509593</v>
      </c>
    </row>
    <row r="2321" spans="1:18" x14ac:dyDescent="0.25">
      <c r="A2321" s="170">
        <v>45425</v>
      </c>
      <c r="B2321" s="116">
        <v>8025</v>
      </c>
      <c r="C2321" s="116">
        <v>7983.8</v>
      </c>
      <c r="D2321" s="116">
        <v>7408.9</v>
      </c>
      <c r="E2321" s="116">
        <v>7555</v>
      </c>
      <c r="F2321" s="116">
        <v>7983.8</v>
      </c>
      <c r="G2321">
        <v>150010</v>
      </c>
      <c r="H2321" s="116"/>
      <c r="I2321" s="116"/>
      <c r="L2321" s="170">
        <v>45425</v>
      </c>
      <c r="M2321" s="116">
        <v>7984.25</v>
      </c>
      <c r="N2321" s="116">
        <v>8188.95</v>
      </c>
      <c r="O2321" s="116">
        <v>7400</v>
      </c>
      <c r="P2321" s="116">
        <v>7550</v>
      </c>
      <c r="Q2321" s="116">
        <v>7984.25</v>
      </c>
      <c r="R2321">
        <v>3294820</v>
      </c>
    </row>
    <row r="2322" spans="1:18" x14ac:dyDescent="0.25">
      <c r="A2322" s="170">
        <v>45426</v>
      </c>
      <c r="B2322" s="116">
        <v>8117.5</v>
      </c>
      <c r="C2322" s="116">
        <v>8081.95</v>
      </c>
      <c r="D2322" s="116">
        <v>7914.2</v>
      </c>
      <c r="E2322" s="116">
        <v>8042.5</v>
      </c>
      <c r="F2322" s="116">
        <v>8081.95</v>
      </c>
      <c r="G2322">
        <v>34654</v>
      </c>
      <c r="H2322" s="116"/>
      <c r="I2322" s="116"/>
      <c r="L2322" s="170">
        <v>45426</v>
      </c>
      <c r="M2322" s="116">
        <v>8080.85</v>
      </c>
      <c r="N2322" s="116">
        <v>8119.9</v>
      </c>
      <c r="O2322" s="116">
        <v>7915.9</v>
      </c>
      <c r="P2322" s="116">
        <v>8035</v>
      </c>
      <c r="Q2322" s="116">
        <v>8080.85</v>
      </c>
      <c r="R2322">
        <v>856307</v>
      </c>
    </row>
    <row r="2323" spans="1:18" x14ac:dyDescent="0.25">
      <c r="A2323" s="170">
        <v>45427</v>
      </c>
      <c r="B2323" s="116">
        <v>8132.05</v>
      </c>
      <c r="C2323" s="116">
        <v>8082.15</v>
      </c>
      <c r="D2323" s="116">
        <v>7965</v>
      </c>
      <c r="E2323" s="116">
        <v>8080.75</v>
      </c>
      <c r="F2323" s="116">
        <v>8082.15</v>
      </c>
      <c r="G2323">
        <v>25190</v>
      </c>
      <c r="H2323" s="116"/>
      <c r="I2323" s="116"/>
      <c r="L2323" s="170">
        <v>45427</v>
      </c>
      <c r="M2323" s="116">
        <v>8084.3</v>
      </c>
      <c r="N2323" s="116">
        <v>8125</v>
      </c>
      <c r="O2323" s="116">
        <v>7965.2</v>
      </c>
      <c r="P2323" s="116">
        <v>8080</v>
      </c>
      <c r="Q2323" s="116">
        <v>8084.3</v>
      </c>
      <c r="R2323">
        <v>460611</v>
      </c>
    </row>
    <row r="2324" spans="1:18" x14ac:dyDescent="0.25">
      <c r="A2324" s="170">
        <v>45428</v>
      </c>
      <c r="B2324" s="116">
        <v>8375</v>
      </c>
      <c r="C2324" s="116">
        <v>8308.9</v>
      </c>
      <c r="D2324" s="116">
        <v>8036</v>
      </c>
      <c r="E2324" s="116">
        <v>8124.95</v>
      </c>
      <c r="F2324" s="116">
        <v>8308.9</v>
      </c>
      <c r="G2324">
        <v>29723</v>
      </c>
      <c r="H2324" s="116"/>
      <c r="I2324" s="116"/>
      <c r="L2324" s="170">
        <v>45428</v>
      </c>
      <c r="M2324" s="116">
        <v>8305.15</v>
      </c>
      <c r="N2324" s="116">
        <v>8377.65</v>
      </c>
      <c r="O2324" s="116">
        <v>8027.6</v>
      </c>
      <c r="P2324" s="116">
        <v>8084.3</v>
      </c>
      <c r="Q2324" s="116">
        <v>8305.15</v>
      </c>
      <c r="R2324">
        <v>1059012</v>
      </c>
    </row>
    <row r="2325" spans="1:18" x14ac:dyDescent="0.25">
      <c r="A2325" s="170">
        <v>45429</v>
      </c>
      <c r="B2325" s="116">
        <v>8403.65</v>
      </c>
      <c r="C2325" s="116">
        <v>8375.5499999999993</v>
      </c>
      <c r="D2325" s="116">
        <v>8236.4</v>
      </c>
      <c r="E2325" s="116">
        <v>8308.4</v>
      </c>
      <c r="F2325" s="116">
        <v>8375.5499999999993</v>
      </c>
      <c r="G2325">
        <v>24087</v>
      </c>
      <c r="H2325" s="116"/>
      <c r="I2325" s="116"/>
      <c r="L2325" s="170">
        <v>45429</v>
      </c>
      <c r="M2325" s="116">
        <v>8371.35</v>
      </c>
      <c r="N2325" s="116">
        <v>8390.1</v>
      </c>
      <c r="O2325" s="116">
        <v>8235</v>
      </c>
      <c r="P2325" s="116">
        <v>8300</v>
      </c>
      <c r="Q2325" s="116">
        <v>8371.35</v>
      </c>
      <c r="R2325">
        <v>319044</v>
      </c>
    </row>
    <row r="2326" spans="1:18" x14ac:dyDescent="0.25">
      <c r="A2326" s="170">
        <v>45430</v>
      </c>
      <c r="B2326" s="116">
        <v>8474.9500000000007</v>
      </c>
      <c r="C2326" s="116">
        <v>8415.4</v>
      </c>
      <c r="D2326" s="116">
        <v>8388.85</v>
      </c>
      <c r="E2326" s="116">
        <v>8453.9500000000007</v>
      </c>
      <c r="F2326" s="116">
        <v>8415.4</v>
      </c>
      <c r="G2326">
        <v>2899</v>
      </c>
      <c r="H2326" s="116"/>
      <c r="I2326" s="116"/>
      <c r="L2326" s="170">
        <v>45430</v>
      </c>
      <c r="M2326" s="116">
        <v>8416.65</v>
      </c>
      <c r="N2326" s="116">
        <v>8442.4</v>
      </c>
      <c r="O2326" s="116">
        <v>8385.0499999999993</v>
      </c>
      <c r="P2326" s="116">
        <v>8430.0499999999993</v>
      </c>
      <c r="Q2326" s="116">
        <v>8416.65</v>
      </c>
      <c r="R2326">
        <v>31642</v>
      </c>
    </row>
    <row r="2327" spans="1:18" x14ac:dyDescent="0.25">
      <c r="A2327" s="170">
        <v>45433</v>
      </c>
      <c r="B2327" s="116">
        <v>8600</v>
      </c>
      <c r="C2327" s="116">
        <v>8571.35</v>
      </c>
      <c r="D2327" s="116">
        <v>8350</v>
      </c>
      <c r="E2327" s="116">
        <v>8415.35</v>
      </c>
      <c r="F2327" s="116">
        <v>8571.35</v>
      </c>
      <c r="G2327">
        <v>9270</v>
      </c>
      <c r="H2327" s="116"/>
      <c r="I2327" s="116"/>
      <c r="L2327" s="170">
        <v>45433</v>
      </c>
      <c r="M2327" s="116">
        <v>8549.2999999999993</v>
      </c>
      <c r="N2327" s="116">
        <v>8599.7999999999993</v>
      </c>
      <c r="O2327" s="116">
        <v>8350</v>
      </c>
      <c r="P2327" s="116">
        <v>8350</v>
      </c>
      <c r="Q2327" s="116">
        <v>8549.2999999999993</v>
      </c>
      <c r="R2327">
        <v>375839</v>
      </c>
    </row>
    <row r="2328" spans="1:18" x14ac:dyDescent="0.25">
      <c r="A2328" s="170">
        <v>45434</v>
      </c>
      <c r="B2328" s="116">
        <v>8590</v>
      </c>
      <c r="C2328" s="116">
        <v>8409.85</v>
      </c>
      <c r="D2328" s="116">
        <v>8383.9500000000007</v>
      </c>
      <c r="E2328" s="116">
        <v>8584.85</v>
      </c>
      <c r="F2328" s="116">
        <v>8409.85</v>
      </c>
      <c r="G2328">
        <v>15273</v>
      </c>
      <c r="H2328" s="116"/>
      <c r="I2328" s="116"/>
      <c r="L2328" s="170">
        <v>45434</v>
      </c>
      <c r="M2328" s="116">
        <v>8413.2000000000007</v>
      </c>
      <c r="N2328" s="116">
        <v>8590</v>
      </c>
      <c r="O2328" s="116">
        <v>8384.5499999999993</v>
      </c>
      <c r="P2328" s="116">
        <v>8555</v>
      </c>
      <c r="Q2328" s="116">
        <v>8413.2000000000007</v>
      </c>
      <c r="R2328">
        <v>326374</v>
      </c>
    </row>
    <row r="2329" spans="1:18" x14ac:dyDescent="0.25">
      <c r="A2329" s="170">
        <v>45435</v>
      </c>
      <c r="B2329" s="116">
        <v>8489.9</v>
      </c>
      <c r="C2329" s="116">
        <v>8417.6</v>
      </c>
      <c r="D2329" s="116">
        <v>8366.5</v>
      </c>
      <c r="E2329" s="116">
        <v>8460</v>
      </c>
      <c r="F2329" s="116">
        <v>8417.6</v>
      </c>
      <c r="G2329">
        <v>4389</v>
      </c>
      <c r="H2329" s="116"/>
      <c r="I2329" s="116"/>
      <c r="L2329" s="170">
        <v>45435</v>
      </c>
      <c r="M2329" s="116">
        <v>8423.5499999999993</v>
      </c>
      <c r="N2329" s="116">
        <v>8490</v>
      </c>
      <c r="O2329" s="116">
        <v>8356.5499999999993</v>
      </c>
      <c r="P2329" s="116">
        <v>8460</v>
      </c>
      <c r="Q2329" s="116">
        <v>8423.5499999999993</v>
      </c>
      <c r="R2329">
        <v>203242</v>
      </c>
    </row>
    <row r="2330" spans="1:18" x14ac:dyDescent="0.25">
      <c r="A2330" s="170">
        <v>45436</v>
      </c>
      <c r="B2330" s="116">
        <v>8505</v>
      </c>
      <c r="C2330" s="116">
        <v>8417.7000000000007</v>
      </c>
      <c r="D2330" s="116">
        <v>8381.0499999999993</v>
      </c>
      <c r="E2330" s="116">
        <v>8430.2000000000007</v>
      </c>
      <c r="F2330" s="116">
        <v>8417.7000000000007</v>
      </c>
      <c r="G2330">
        <v>3256</v>
      </c>
      <c r="H2330" s="116"/>
      <c r="I2330" s="116"/>
      <c r="L2330" s="170">
        <v>45436</v>
      </c>
      <c r="M2330" s="116">
        <v>8422.2000000000007</v>
      </c>
      <c r="N2330" s="116">
        <v>8508.75</v>
      </c>
      <c r="O2330" s="116">
        <v>8375.7999999999993</v>
      </c>
      <c r="P2330" s="116">
        <v>8477.7999999999993</v>
      </c>
      <c r="Q2330" s="116">
        <v>8422.2000000000007</v>
      </c>
      <c r="R2330">
        <v>163314</v>
      </c>
    </row>
    <row r="2331" spans="1:18" x14ac:dyDescent="0.25">
      <c r="A2331" s="170">
        <v>45439</v>
      </c>
      <c r="B2331" s="116">
        <v>8549.15</v>
      </c>
      <c r="C2331" s="116">
        <v>8396.0499999999993</v>
      </c>
      <c r="D2331" s="116">
        <v>8267.85</v>
      </c>
      <c r="E2331" s="116">
        <v>8549.15</v>
      </c>
      <c r="F2331" s="116">
        <v>8396.0499999999993</v>
      </c>
      <c r="G2331">
        <v>5691</v>
      </c>
      <c r="H2331" s="116"/>
      <c r="I2331" s="116"/>
      <c r="L2331" s="170">
        <v>45439</v>
      </c>
      <c r="M2331" s="116">
        <v>8398.35</v>
      </c>
      <c r="N2331" s="116">
        <v>8470</v>
      </c>
      <c r="O2331" s="116">
        <v>8261.1</v>
      </c>
      <c r="P2331" s="116">
        <v>8459.9500000000007</v>
      </c>
      <c r="Q2331" s="116">
        <v>8398.35</v>
      </c>
      <c r="R2331">
        <v>229846</v>
      </c>
    </row>
    <row r="2332" spans="1:18" x14ac:dyDescent="0.25">
      <c r="A2332" s="170">
        <v>45440</v>
      </c>
      <c r="B2332" s="116">
        <v>8352.6</v>
      </c>
      <c r="C2332" s="116">
        <v>8232.9</v>
      </c>
      <c r="D2332" s="116">
        <v>8158.85</v>
      </c>
      <c r="E2332" s="116">
        <v>8339.85</v>
      </c>
      <c r="F2332" s="116">
        <v>8232.9</v>
      </c>
      <c r="G2332">
        <v>7902</v>
      </c>
      <c r="H2332" s="116"/>
      <c r="I2332" s="116"/>
      <c r="L2332" s="170">
        <v>45440</v>
      </c>
      <c r="M2332" s="116">
        <v>8233.65</v>
      </c>
      <c r="N2332" s="116">
        <v>8374.7000000000007</v>
      </c>
      <c r="O2332" s="116">
        <v>8177.15</v>
      </c>
      <c r="P2332" s="116">
        <v>8365.1</v>
      </c>
      <c r="Q2332" s="116">
        <v>8233.65</v>
      </c>
      <c r="R2332">
        <v>328008</v>
      </c>
    </row>
    <row r="2333" spans="1:18" x14ac:dyDescent="0.25">
      <c r="A2333" s="170">
        <v>45441</v>
      </c>
      <c r="B2333" s="116">
        <v>8247.1</v>
      </c>
      <c r="C2333" s="116">
        <v>8197.75</v>
      </c>
      <c r="D2333" s="116">
        <v>8120.2</v>
      </c>
      <c r="E2333" s="116">
        <v>8120.2</v>
      </c>
      <c r="F2333" s="116">
        <v>8197.75</v>
      </c>
      <c r="G2333">
        <v>5423</v>
      </c>
      <c r="H2333" s="116"/>
      <c r="I2333" s="116"/>
      <c r="L2333" s="170">
        <v>45441</v>
      </c>
      <c r="M2333" s="116">
        <v>8198.35</v>
      </c>
      <c r="N2333" s="116">
        <v>8248.4500000000007</v>
      </c>
      <c r="O2333" s="116">
        <v>8124.95</v>
      </c>
      <c r="P2333" s="116">
        <v>8133</v>
      </c>
      <c r="Q2333" s="116">
        <v>8198.35</v>
      </c>
      <c r="R2333">
        <v>226167</v>
      </c>
    </row>
    <row r="2334" spans="1:18" x14ac:dyDescent="0.25">
      <c r="A2334" s="170">
        <v>45442</v>
      </c>
      <c r="B2334" s="116">
        <v>8284.6</v>
      </c>
      <c r="C2334" s="116">
        <v>8255.0499999999993</v>
      </c>
      <c r="D2334" s="116">
        <v>8111</v>
      </c>
      <c r="E2334" s="116">
        <v>8120.05</v>
      </c>
      <c r="F2334" s="116">
        <v>8255.0499999999993</v>
      </c>
      <c r="G2334">
        <v>4339</v>
      </c>
      <c r="H2334" s="116"/>
      <c r="I2334" s="116"/>
      <c r="L2334" s="170">
        <v>45442</v>
      </c>
      <c r="M2334" s="116">
        <v>8264.65</v>
      </c>
      <c r="N2334" s="116">
        <v>8291.65</v>
      </c>
      <c r="O2334" s="116">
        <v>8109.15</v>
      </c>
      <c r="P2334" s="116">
        <v>8142.3</v>
      </c>
      <c r="Q2334" s="116">
        <v>8264.65</v>
      </c>
      <c r="R2334">
        <v>319976</v>
      </c>
    </row>
    <row r="2335" spans="1:18" x14ac:dyDescent="0.25">
      <c r="A2335" s="170">
        <v>45443</v>
      </c>
      <c r="B2335" s="116">
        <v>8349.65</v>
      </c>
      <c r="C2335" s="116">
        <v>8316.85</v>
      </c>
      <c r="D2335" s="116">
        <v>8170</v>
      </c>
      <c r="E2335" s="116">
        <v>8349.65</v>
      </c>
      <c r="F2335" s="116">
        <v>8316.85</v>
      </c>
      <c r="G2335">
        <v>3876</v>
      </c>
      <c r="H2335" s="116"/>
      <c r="I2335" s="116"/>
      <c r="L2335" s="170">
        <v>45443</v>
      </c>
      <c r="M2335" s="116">
        <v>8317.9500000000007</v>
      </c>
      <c r="N2335" s="116">
        <v>8351</v>
      </c>
      <c r="O2335" s="116">
        <v>8166.9</v>
      </c>
      <c r="P2335" s="116">
        <v>8328</v>
      </c>
      <c r="Q2335" s="116">
        <v>8317.9500000000007</v>
      </c>
      <c r="R2335">
        <v>516112</v>
      </c>
    </row>
    <row r="2336" spans="1:18" x14ac:dyDescent="0.25">
      <c r="A2336" s="170">
        <v>45446</v>
      </c>
      <c r="B2336" s="116">
        <v>8766.6</v>
      </c>
      <c r="C2336" s="116">
        <v>8724.7000000000007</v>
      </c>
      <c r="D2336" s="116">
        <v>8398</v>
      </c>
      <c r="E2336" s="116">
        <v>8597.9</v>
      </c>
      <c r="F2336" s="116">
        <v>8724.7000000000007</v>
      </c>
      <c r="G2336">
        <v>13974</v>
      </c>
      <c r="H2336" s="116"/>
      <c r="I2336" s="116"/>
      <c r="L2336" s="170">
        <v>45446</v>
      </c>
      <c r="M2336" s="116">
        <v>8728</v>
      </c>
      <c r="N2336" s="116">
        <v>8765</v>
      </c>
      <c r="O2336" s="116">
        <v>8395.25</v>
      </c>
      <c r="P2336" s="116">
        <v>8500.5</v>
      </c>
      <c r="Q2336" s="116">
        <v>8728</v>
      </c>
      <c r="R2336">
        <v>537121</v>
      </c>
    </row>
    <row r="2337" spans="1:18" x14ac:dyDescent="0.25">
      <c r="A2337" s="170">
        <v>45447</v>
      </c>
      <c r="B2337" s="116">
        <v>8817.9500000000007</v>
      </c>
      <c r="C2337" s="116">
        <v>7668.85</v>
      </c>
      <c r="D2337" s="116">
        <v>6989.75</v>
      </c>
      <c r="E2337" s="116">
        <v>8817.9500000000007</v>
      </c>
      <c r="F2337" s="116">
        <v>7668.85</v>
      </c>
      <c r="G2337">
        <v>38778</v>
      </c>
      <c r="H2337" s="116"/>
      <c r="I2337" s="116"/>
      <c r="L2337" s="170">
        <v>45447</v>
      </c>
      <c r="M2337" s="116">
        <v>7666.75</v>
      </c>
      <c r="N2337" s="116">
        <v>8750</v>
      </c>
      <c r="O2337" s="116">
        <v>6982.4</v>
      </c>
      <c r="P2337" s="116">
        <v>8750</v>
      </c>
      <c r="Q2337" s="116">
        <v>7666.75</v>
      </c>
      <c r="R2337">
        <v>1346607</v>
      </c>
    </row>
    <row r="2338" spans="1:18" x14ac:dyDescent="0.25">
      <c r="A2338" s="170">
        <v>45448</v>
      </c>
      <c r="B2338" s="116">
        <v>7897</v>
      </c>
      <c r="C2338" s="116">
        <v>7814.5</v>
      </c>
      <c r="D2338" s="116">
        <v>7239.75</v>
      </c>
      <c r="E2338" s="116">
        <v>7822.3</v>
      </c>
      <c r="F2338" s="116">
        <v>7814.5</v>
      </c>
      <c r="G2338">
        <v>23196</v>
      </c>
      <c r="H2338" s="116"/>
      <c r="I2338" s="116"/>
      <c r="L2338" s="170">
        <v>45448</v>
      </c>
      <c r="M2338" s="116">
        <v>7812.7</v>
      </c>
      <c r="N2338" s="116">
        <v>7899.95</v>
      </c>
      <c r="O2338" s="116">
        <v>7238.15</v>
      </c>
      <c r="P2338" s="116">
        <v>7850</v>
      </c>
      <c r="Q2338" s="116">
        <v>7812.7</v>
      </c>
      <c r="R2338">
        <v>1097810</v>
      </c>
    </row>
    <row r="2339" spans="1:18" x14ac:dyDescent="0.25">
      <c r="A2339" s="170">
        <v>45449</v>
      </c>
      <c r="B2339" s="116">
        <v>8146</v>
      </c>
      <c r="C2339" s="116">
        <v>7987.8</v>
      </c>
      <c r="D2339" s="116">
        <v>7818</v>
      </c>
      <c r="E2339" s="116">
        <v>7837.4</v>
      </c>
      <c r="F2339" s="116">
        <v>7987.8</v>
      </c>
      <c r="G2339">
        <v>15915</v>
      </c>
      <c r="H2339" s="116"/>
      <c r="I2339" s="116"/>
      <c r="L2339" s="170">
        <v>45449</v>
      </c>
      <c r="M2339" s="116">
        <v>7987.5</v>
      </c>
      <c r="N2339" s="116">
        <v>8144.7</v>
      </c>
      <c r="O2339" s="116">
        <v>7801.05</v>
      </c>
      <c r="P2339" s="116">
        <v>7801.05</v>
      </c>
      <c r="Q2339" s="116">
        <v>7987.5</v>
      </c>
      <c r="R2339">
        <v>483840</v>
      </c>
    </row>
    <row r="2340" spans="1:18" x14ac:dyDescent="0.25">
      <c r="A2340" s="170">
        <v>45450</v>
      </c>
      <c r="B2340" s="116">
        <v>8098.45</v>
      </c>
      <c r="C2340" s="116">
        <v>8071.7</v>
      </c>
      <c r="D2340" s="116">
        <v>7918.45</v>
      </c>
      <c r="E2340" s="116">
        <v>8000.8</v>
      </c>
      <c r="F2340" s="116">
        <v>8071.7</v>
      </c>
      <c r="G2340">
        <v>9131</v>
      </c>
      <c r="H2340" s="116"/>
      <c r="I2340" s="116"/>
      <c r="L2340" s="170">
        <v>45450</v>
      </c>
      <c r="M2340" s="116">
        <v>8073.25</v>
      </c>
      <c r="N2340" s="116">
        <v>8101.2</v>
      </c>
      <c r="O2340" s="116">
        <v>7920</v>
      </c>
      <c r="P2340" s="116">
        <v>8049.95</v>
      </c>
      <c r="Q2340" s="116">
        <v>8073.25</v>
      </c>
      <c r="R2340">
        <v>323673</v>
      </c>
    </row>
    <row r="2341" spans="1:18" x14ac:dyDescent="0.25">
      <c r="A2341" s="170">
        <v>45453</v>
      </c>
      <c r="B2341" s="116">
        <v>8193.4</v>
      </c>
      <c r="C2341" s="116">
        <v>8054.6</v>
      </c>
      <c r="D2341" s="116">
        <v>7996.35</v>
      </c>
      <c r="E2341" s="116">
        <v>8190.9</v>
      </c>
      <c r="F2341" s="116">
        <v>8054.6</v>
      </c>
      <c r="G2341">
        <v>4315</v>
      </c>
      <c r="H2341" s="116"/>
      <c r="I2341" s="116"/>
      <c r="L2341" s="170">
        <v>45453</v>
      </c>
      <c r="M2341" s="116">
        <v>8061.95</v>
      </c>
      <c r="N2341" s="116">
        <v>8200</v>
      </c>
      <c r="O2341" s="116">
        <v>7994.3</v>
      </c>
      <c r="P2341" s="116">
        <v>8178.05</v>
      </c>
      <c r="Q2341" s="116">
        <v>8061.95</v>
      </c>
      <c r="R2341">
        <v>271789</v>
      </c>
    </row>
    <row r="2342" spans="1:18" x14ac:dyDescent="0.25">
      <c r="A2342" s="170">
        <v>45454</v>
      </c>
      <c r="B2342" s="116">
        <v>8332.9500000000007</v>
      </c>
      <c r="C2342" s="116">
        <v>8099.75</v>
      </c>
      <c r="D2342" s="116">
        <v>8070.35</v>
      </c>
      <c r="E2342" s="116">
        <v>8133.6</v>
      </c>
      <c r="F2342" s="116">
        <v>8099.75</v>
      </c>
      <c r="G2342">
        <v>8179</v>
      </c>
      <c r="H2342" s="116"/>
      <c r="I2342" s="116"/>
      <c r="L2342" s="170">
        <v>45454</v>
      </c>
      <c r="M2342" s="116">
        <v>8095.25</v>
      </c>
      <c r="N2342" s="116">
        <v>8334.4</v>
      </c>
      <c r="O2342" s="116">
        <v>8072.1</v>
      </c>
      <c r="P2342" s="116">
        <v>8145</v>
      </c>
      <c r="Q2342" s="116">
        <v>8095.25</v>
      </c>
      <c r="R2342">
        <v>434290</v>
      </c>
    </row>
    <row r="2343" spans="1:18" x14ac:dyDescent="0.25">
      <c r="A2343" s="170">
        <v>45455</v>
      </c>
      <c r="B2343" s="116">
        <v>8321</v>
      </c>
      <c r="C2343" s="116">
        <v>8280.6</v>
      </c>
      <c r="D2343" s="116">
        <v>8126.25</v>
      </c>
      <c r="E2343" s="116">
        <v>8174.85</v>
      </c>
      <c r="F2343" s="116">
        <v>8280.6</v>
      </c>
      <c r="G2343">
        <v>13262</v>
      </c>
      <c r="H2343" s="116"/>
      <c r="I2343" s="116"/>
      <c r="L2343" s="170">
        <v>45455</v>
      </c>
      <c r="M2343" s="116">
        <v>8281</v>
      </c>
      <c r="N2343" s="116">
        <v>8325</v>
      </c>
      <c r="O2343" s="116">
        <v>8120</v>
      </c>
      <c r="P2343" s="116">
        <v>8120.15</v>
      </c>
      <c r="Q2343" s="116">
        <v>8281</v>
      </c>
      <c r="R2343">
        <v>436181</v>
      </c>
    </row>
    <row r="2344" spans="1:18" x14ac:dyDescent="0.25">
      <c r="A2344" s="170">
        <v>45456</v>
      </c>
      <c r="B2344" s="116">
        <v>8488.1</v>
      </c>
      <c r="C2344" s="116">
        <v>8443</v>
      </c>
      <c r="D2344" s="116">
        <v>8320.65</v>
      </c>
      <c r="E2344" s="116">
        <v>8379.4500000000007</v>
      </c>
      <c r="F2344" s="116">
        <v>8443</v>
      </c>
      <c r="G2344">
        <v>7214</v>
      </c>
      <c r="H2344" s="116"/>
      <c r="I2344" s="116"/>
      <c r="L2344" s="170">
        <v>45456</v>
      </c>
      <c r="M2344" s="116">
        <v>8446.6</v>
      </c>
      <c r="N2344" s="116">
        <v>8489.9</v>
      </c>
      <c r="O2344" s="116">
        <v>8305.0499999999993</v>
      </c>
      <c r="P2344" s="116">
        <v>8350</v>
      </c>
      <c r="Q2344" s="116">
        <v>8446.6</v>
      </c>
      <c r="R2344">
        <v>386195</v>
      </c>
    </row>
    <row r="2345" spans="1:18" x14ac:dyDescent="0.25">
      <c r="A2345" s="170">
        <v>45457</v>
      </c>
      <c r="B2345" s="116">
        <v>9143.9500000000007</v>
      </c>
      <c r="C2345" s="116">
        <v>9021.85</v>
      </c>
      <c r="D2345" s="116">
        <v>8450.25</v>
      </c>
      <c r="E2345" s="116">
        <v>8450.25</v>
      </c>
      <c r="F2345" s="116">
        <v>9021.85</v>
      </c>
      <c r="G2345">
        <v>36714</v>
      </c>
      <c r="H2345" s="116"/>
      <c r="I2345" s="116"/>
      <c r="L2345" s="170">
        <v>45457</v>
      </c>
      <c r="M2345" s="116">
        <v>9020</v>
      </c>
      <c r="N2345" s="116">
        <v>9145</v>
      </c>
      <c r="O2345" s="116">
        <v>8453.0499999999993</v>
      </c>
      <c r="P2345" s="116">
        <v>8506.65</v>
      </c>
      <c r="Q2345" s="116">
        <v>9020</v>
      </c>
      <c r="R2345">
        <v>1242412</v>
      </c>
    </row>
    <row r="2346" spans="1:18" x14ac:dyDescent="0.25">
      <c r="A2346" s="170">
        <v>45461</v>
      </c>
      <c r="B2346" s="116">
        <v>9200</v>
      </c>
      <c r="C2346" s="116">
        <v>8866.2999999999993</v>
      </c>
      <c r="D2346" s="116">
        <v>8796.65</v>
      </c>
      <c r="E2346" s="116">
        <v>9200</v>
      </c>
      <c r="F2346" s="116">
        <v>8866.2999999999993</v>
      </c>
      <c r="G2346">
        <v>17222</v>
      </c>
      <c r="H2346" s="116"/>
      <c r="I2346" s="116"/>
      <c r="L2346" s="170">
        <v>45461</v>
      </c>
      <c r="M2346" s="116">
        <v>8867</v>
      </c>
      <c r="N2346" s="116">
        <v>9149.9500000000007</v>
      </c>
      <c r="O2346" s="116">
        <v>8801.1</v>
      </c>
      <c r="P2346" s="116">
        <v>9149.9500000000007</v>
      </c>
      <c r="Q2346" s="116">
        <v>8867</v>
      </c>
      <c r="R2346">
        <v>517839</v>
      </c>
    </row>
    <row r="2347" spans="1:18" x14ac:dyDescent="0.25">
      <c r="A2347" s="170">
        <v>45462</v>
      </c>
      <c r="B2347" s="116">
        <v>8919.0499999999993</v>
      </c>
      <c r="C2347" s="116">
        <v>8541.4500000000007</v>
      </c>
      <c r="D2347" s="116">
        <v>8520</v>
      </c>
      <c r="E2347" s="116">
        <v>8919.0499999999993</v>
      </c>
      <c r="F2347" s="116">
        <v>8541.4500000000007</v>
      </c>
      <c r="G2347">
        <v>13403</v>
      </c>
      <c r="H2347" s="116"/>
      <c r="I2347" s="116"/>
      <c r="L2347" s="170">
        <v>45462</v>
      </c>
      <c r="M2347" s="116">
        <v>8544</v>
      </c>
      <c r="N2347" s="116">
        <v>8913.75</v>
      </c>
      <c r="O2347" s="116">
        <v>8521</v>
      </c>
      <c r="P2347" s="116">
        <v>8904</v>
      </c>
      <c r="Q2347" s="116">
        <v>8544</v>
      </c>
      <c r="R2347">
        <v>601292</v>
      </c>
    </row>
    <row r="2348" spans="1:18" x14ac:dyDescent="0.25">
      <c r="A2348" s="170">
        <v>45463</v>
      </c>
      <c r="B2348" s="116">
        <v>8660</v>
      </c>
      <c r="C2348" s="116">
        <v>8542.9</v>
      </c>
      <c r="D2348" s="116">
        <v>8391.6</v>
      </c>
      <c r="E2348" s="116">
        <v>8560.0499999999993</v>
      </c>
      <c r="F2348" s="116">
        <v>8542.9</v>
      </c>
      <c r="G2348">
        <v>7129</v>
      </c>
      <c r="H2348" s="116"/>
      <c r="I2348" s="116"/>
      <c r="L2348" s="170">
        <v>45463</v>
      </c>
      <c r="M2348" s="116">
        <v>8539.2999999999993</v>
      </c>
      <c r="N2348" s="116">
        <v>8665.6</v>
      </c>
      <c r="O2348" s="116">
        <v>8385.6</v>
      </c>
      <c r="P2348" s="116">
        <v>8600</v>
      </c>
      <c r="Q2348" s="116">
        <v>8539.2999999999993</v>
      </c>
      <c r="R2348">
        <v>409555</v>
      </c>
    </row>
    <row r="2349" spans="1:18" x14ac:dyDescent="0.25">
      <c r="A2349" s="170">
        <v>45464</v>
      </c>
      <c r="B2349" s="116">
        <v>8642.2000000000007</v>
      </c>
      <c r="C2349" s="116">
        <v>8397.25</v>
      </c>
      <c r="D2349" s="116">
        <v>8363.9500000000007</v>
      </c>
      <c r="E2349" s="116">
        <v>8564.2999999999993</v>
      </c>
      <c r="F2349" s="116">
        <v>8397.25</v>
      </c>
      <c r="G2349">
        <v>9622</v>
      </c>
      <c r="H2349" s="116"/>
      <c r="I2349" s="116"/>
      <c r="L2349" s="170">
        <v>45464</v>
      </c>
      <c r="M2349" s="116">
        <v>8399.4</v>
      </c>
      <c r="N2349" s="116">
        <v>8640.5</v>
      </c>
      <c r="O2349" s="116">
        <v>8355</v>
      </c>
      <c r="P2349" s="116">
        <v>8590</v>
      </c>
      <c r="Q2349" s="116">
        <v>8399.4</v>
      </c>
      <c r="R2349">
        <v>318529</v>
      </c>
    </row>
    <row r="2350" spans="1:18" x14ac:dyDescent="0.25">
      <c r="A2350" s="170">
        <v>45467</v>
      </c>
      <c r="B2350" s="116">
        <v>8564.6</v>
      </c>
      <c r="C2350" s="116">
        <v>8459.4</v>
      </c>
      <c r="D2350" s="116">
        <v>8278.1</v>
      </c>
      <c r="E2350" s="116">
        <v>8424.9500000000007</v>
      </c>
      <c r="F2350" s="116">
        <v>8459.4</v>
      </c>
      <c r="G2350">
        <v>6976</v>
      </c>
      <c r="H2350" s="116"/>
      <c r="I2350" s="116"/>
      <c r="L2350" s="170">
        <v>45467</v>
      </c>
      <c r="M2350" s="116">
        <v>8465.2999999999993</v>
      </c>
      <c r="N2350" s="116">
        <v>8565.35</v>
      </c>
      <c r="O2350" s="116">
        <v>8250.75</v>
      </c>
      <c r="P2350" s="116">
        <v>8389.0499999999993</v>
      </c>
      <c r="Q2350" s="116">
        <v>8465.2999999999993</v>
      </c>
      <c r="R2350">
        <v>435447</v>
      </c>
    </row>
    <row r="2351" spans="1:18" x14ac:dyDescent="0.25">
      <c r="A2351" s="170">
        <v>45468</v>
      </c>
      <c r="B2351" s="116">
        <v>8598.75</v>
      </c>
      <c r="C2351" s="116">
        <v>8400.2999999999993</v>
      </c>
      <c r="D2351" s="116">
        <v>8384</v>
      </c>
      <c r="E2351" s="116">
        <v>8463.0499999999993</v>
      </c>
      <c r="F2351" s="116">
        <v>8400.2999999999993</v>
      </c>
      <c r="G2351">
        <v>3644</v>
      </c>
      <c r="H2351" s="116"/>
      <c r="I2351" s="116"/>
      <c r="L2351" s="170">
        <v>45468</v>
      </c>
      <c r="M2351" s="116">
        <v>8399.65</v>
      </c>
      <c r="N2351" s="116">
        <v>8597.85</v>
      </c>
      <c r="O2351" s="116">
        <v>8385.0499999999993</v>
      </c>
      <c r="P2351" s="116">
        <v>8494.9500000000007</v>
      </c>
      <c r="Q2351" s="116">
        <v>8399.65</v>
      </c>
      <c r="R2351">
        <v>244800</v>
      </c>
    </row>
    <row r="2352" spans="1:18" x14ac:dyDescent="0.25">
      <c r="A2352" s="170">
        <v>45469</v>
      </c>
      <c r="B2352" s="116">
        <v>8439.9500000000007</v>
      </c>
      <c r="C2352" s="116">
        <v>8390.9500000000007</v>
      </c>
      <c r="D2352" s="116">
        <v>8228.85</v>
      </c>
      <c r="E2352" s="116">
        <v>8439.9500000000007</v>
      </c>
      <c r="F2352" s="116">
        <v>8390.9500000000007</v>
      </c>
      <c r="G2352">
        <v>8706</v>
      </c>
      <c r="H2352" s="116"/>
      <c r="I2352" s="116"/>
      <c r="L2352" s="170">
        <v>45469</v>
      </c>
      <c r="M2352" s="116">
        <v>8390.85</v>
      </c>
      <c r="N2352" s="116">
        <v>8435</v>
      </c>
      <c r="O2352" s="116">
        <v>8235.7000000000007</v>
      </c>
      <c r="P2352" s="116">
        <v>8426</v>
      </c>
      <c r="Q2352" s="116">
        <v>8390.85</v>
      </c>
      <c r="R2352">
        <v>336425</v>
      </c>
    </row>
    <row r="2353" spans="1:18" x14ac:dyDescent="0.25">
      <c r="A2353" s="170">
        <v>45470</v>
      </c>
      <c r="B2353" s="116">
        <v>8689</v>
      </c>
      <c r="C2353" s="116">
        <v>8636</v>
      </c>
      <c r="D2353" s="116">
        <v>8332.85</v>
      </c>
      <c r="E2353" s="116">
        <v>8343.75</v>
      </c>
      <c r="F2353" s="116">
        <v>8636</v>
      </c>
      <c r="G2353">
        <v>15611</v>
      </c>
      <c r="H2353" s="116"/>
      <c r="I2353" s="116"/>
      <c r="L2353" s="170">
        <v>45470</v>
      </c>
      <c r="M2353" s="116">
        <v>8643.0499999999993</v>
      </c>
      <c r="N2353" s="116">
        <v>8690.85</v>
      </c>
      <c r="O2353" s="116">
        <v>8327.5499999999993</v>
      </c>
      <c r="P2353" s="116">
        <v>8380.5</v>
      </c>
      <c r="Q2353" s="116">
        <v>8643.0499999999993</v>
      </c>
      <c r="R2353">
        <v>654170</v>
      </c>
    </row>
    <row r="2354" spans="1:18" x14ac:dyDescent="0.25">
      <c r="A2354" s="170">
        <v>45471</v>
      </c>
      <c r="B2354" s="116">
        <v>8710</v>
      </c>
      <c r="C2354" s="116">
        <v>8492.6</v>
      </c>
      <c r="D2354" s="116">
        <v>8440</v>
      </c>
      <c r="E2354" s="116">
        <v>8710</v>
      </c>
      <c r="F2354" s="116">
        <v>8492.6</v>
      </c>
      <c r="G2354">
        <v>8282</v>
      </c>
      <c r="H2354" s="116"/>
      <c r="I2354" s="116"/>
      <c r="L2354" s="170">
        <v>45471</v>
      </c>
      <c r="M2354" s="116">
        <v>8490.9</v>
      </c>
      <c r="N2354" s="116">
        <v>8720.15</v>
      </c>
      <c r="O2354" s="116">
        <v>8437</v>
      </c>
      <c r="P2354" s="116">
        <v>8720</v>
      </c>
      <c r="Q2354" s="116">
        <v>8490.9</v>
      </c>
      <c r="R2354">
        <v>400414</v>
      </c>
    </row>
    <row r="2355" spans="1:18" x14ac:dyDescent="0.25">
      <c r="A2355" s="170">
        <v>45474</v>
      </c>
      <c r="B2355" s="116">
        <v>8640</v>
      </c>
      <c r="C2355" s="116">
        <v>8581.7000000000007</v>
      </c>
      <c r="D2355" s="116">
        <v>8458.15</v>
      </c>
      <c r="E2355" s="116">
        <v>8515.9500000000007</v>
      </c>
      <c r="F2355" s="116">
        <v>8581.7000000000007</v>
      </c>
      <c r="G2355">
        <v>12215</v>
      </c>
      <c r="H2355" s="116"/>
      <c r="I2355" s="116"/>
      <c r="L2355" s="170">
        <v>45474</v>
      </c>
      <c r="M2355" s="116">
        <v>8587.4</v>
      </c>
      <c r="N2355" s="116">
        <v>8645.85</v>
      </c>
      <c r="O2355" s="116">
        <v>8461.35</v>
      </c>
      <c r="P2355" s="116">
        <v>8490.9</v>
      </c>
      <c r="Q2355" s="116">
        <v>8587.4</v>
      </c>
      <c r="R2355">
        <v>251582</v>
      </c>
    </row>
    <row r="2356" spans="1:18" x14ac:dyDescent="0.25">
      <c r="A2356" s="170">
        <v>45475</v>
      </c>
      <c r="B2356" s="116">
        <v>8666.6</v>
      </c>
      <c r="C2356" s="116">
        <v>8514.5</v>
      </c>
      <c r="D2356" s="116">
        <v>8410.0499999999993</v>
      </c>
      <c r="E2356" s="116">
        <v>8580.2999999999993</v>
      </c>
      <c r="F2356" s="116">
        <v>8514.5</v>
      </c>
      <c r="G2356">
        <v>5913</v>
      </c>
      <c r="H2356" s="116"/>
      <c r="I2356" s="116"/>
      <c r="L2356" s="170">
        <v>45475</v>
      </c>
      <c r="M2356" s="116">
        <v>8514.2000000000007</v>
      </c>
      <c r="N2356" s="116">
        <v>8670</v>
      </c>
      <c r="O2356" s="116">
        <v>8414.0499999999993</v>
      </c>
      <c r="P2356" s="116">
        <v>8589.9500000000007</v>
      </c>
      <c r="Q2356" s="116">
        <v>8514.2000000000007</v>
      </c>
      <c r="R2356">
        <v>240074</v>
      </c>
    </row>
    <row r="2357" spans="1:18" x14ac:dyDescent="0.25">
      <c r="A2357" s="170">
        <v>45476</v>
      </c>
      <c r="B2357" s="116">
        <v>8650</v>
      </c>
      <c r="C2357" s="116">
        <v>8614.9</v>
      </c>
      <c r="D2357" s="116">
        <v>8528</v>
      </c>
      <c r="E2357" s="116">
        <v>8528</v>
      </c>
      <c r="F2357" s="116">
        <v>8614.9</v>
      </c>
      <c r="G2357">
        <v>9102</v>
      </c>
      <c r="H2357" s="116"/>
      <c r="I2357" s="116"/>
      <c r="L2357" s="170">
        <v>45476</v>
      </c>
      <c r="M2357" s="116">
        <v>8617.85</v>
      </c>
      <c r="N2357" s="116">
        <v>8642.7000000000007</v>
      </c>
      <c r="O2357" s="116">
        <v>8530</v>
      </c>
      <c r="P2357" s="116">
        <v>8536</v>
      </c>
      <c r="Q2357" s="116">
        <v>8617.85</v>
      </c>
      <c r="R2357">
        <v>235527</v>
      </c>
    </row>
    <row r="2358" spans="1:18" x14ac:dyDescent="0.25">
      <c r="A2358" s="170">
        <v>45477</v>
      </c>
      <c r="B2358" s="116">
        <v>8809</v>
      </c>
      <c r="C2358" s="116">
        <v>8708.35</v>
      </c>
      <c r="D2358" s="116">
        <v>8584.0499999999993</v>
      </c>
      <c r="E2358" s="116">
        <v>8669</v>
      </c>
      <c r="F2358" s="116">
        <v>8708.35</v>
      </c>
      <c r="G2358">
        <v>15882</v>
      </c>
      <c r="H2358" s="116"/>
      <c r="I2358" s="116"/>
      <c r="L2358" s="170">
        <v>45477</v>
      </c>
      <c r="M2358" s="116">
        <v>8715.7999999999993</v>
      </c>
      <c r="N2358" s="116">
        <v>8808.7000000000007</v>
      </c>
      <c r="O2358" s="116">
        <v>8580.15</v>
      </c>
      <c r="P2358" s="116">
        <v>8680</v>
      </c>
      <c r="Q2358" s="116">
        <v>8715.7999999999993</v>
      </c>
      <c r="R2358">
        <v>329126</v>
      </c>
    </row>
    <row r="2359" spans="1:18" x14ac:dyDescent="0.25">
      <c r="A2359" s="170">
        <v>45478</v>
      </c>
      <c r="B2359" s="116">
        <v>8708.5499999999993</v>
      </c>
      <c r="C2359" s="116">
        <v>8680.85</v>
      </c>
      <c r="D2359" s="116">
        <v>8607.7999999999993</v>
      </c>
      <c r="E2359" s="116">
        <v>8701.7000000000007</v>
      </c>
      <c r="F2359" s="116">
        <v>8680.85</v>
      </c>
      <c r="G2359">
        <v>3315</v>
      </c>
      <c r="H2359" s="116"/>
      <c r="I2359" s="116"/>
      <c r="L2359" s="170">
        <v>45478</v>
      </c>
      <c r="M2359" s="116">
        <v>8679.4</v>
      </c>
      <c r="N2359" s="116">
        <v>8715.9500000000007</v>
      </c>
      <c r="O2359" s="116">
        <v>8604.4500000000007</v>
      </c>
      <c r="P2359" s="116">
        <v>8715.9500000000007</v>
      </c>
      <c r="Q2359" s="116">
        <v>8679.4</v>
      </c>
      <c r="R2359">
        <v>222477</v>
      </c>
    </row>
    <row r="2360" spans="1:18" x14ac:dyDescent="0.25">
      <c r="A2360" s="170">
        <v>45481</v>
      </c>
      <c r="B2360" s="116">
        <v>8688.35</v>
      </c>
      <c r="C2360" s="116">
        <v>8558.85</v>
      </c>
      <c r="D2360" s="116">
        <v>8494.15</v>
      </c>
      <c r="E2360" s="116">
        <v>8682.1</v>
      </c>
      <c r="F2360" s="116">
        <v>8558.85</v>
      </c>
      <c r="G2360">
        <v>7430</v>
      </c>
      <c r="H2360" s="116"/>
      <c r="I2360" s="116"/>
      <c r="L2360" s="170">
        <v>45481</v>
      </c>
      <c r="M2360" s="116">
        <v>8559.5499999999993</v>
      </c>
      <c r="N2360" s="116">
        <v>8700</v>
      </c>
      <c r="O2360" s="116">
        <v>8492</v>
      </c>
      <c r="P2360" s="116">
        <v>8700</v>
      </c>
      <c r="Q2360" s="116">
        <v>8559.5499999999993</v>
      </c>
      <c r="R2360">
        <v>161299</v>
      </c>
    </row>
    <row r="2361" spans="1:18" x14ac:dyDescent="0.25">
      <c r="A2361" s="170">
        <v>45482</v>
      </c>
      <c r="B2361" s="116">
        <v>8715.9</v>
      </c>
      <c r="C2361" s="116">
        <v>8572.4500000000007</v>
      </c>
      <c r="D2361" s="116">
        <v>8554.75</v>
      </c>
      <c r="E2361" s="116">
        <v>8560.0499999999993</v>
      </c>
      <c r="F2361" s="116">
        <v>8572.4500000000007</v>
      </c>
      <c r="G2361">
        <v>3824</v>
      </c>
      <c r="H2361" s="116"/>
      <c r="I2361" s="116"/>
      <c r="L2361" s="170">
        <v>45482</v>
      </c>
      <c r="M2361" s="116">
        <v>8591</v>
      </c>
      <c r="N2361" s="116">
        <v>8714.9500000000007</v>
      </c>
      <c r="O2361" s="116">
        <v>8567.15</v>
      </c>
      <c r="P2361" s="116">
        <v>8615</v>
      </c>
      <c r="Q2361" s="116">
        <v>8591</v>
      </c>
      <c r="R2361">
        <v>195613</v>
      </c>
    </row>
    <row r="2362" spans="1:18" x14ac:dyDescent="0.25">
      <c r="A2362" s="170">
        <v>45483</v>
      </c>
      <c r="B2362" s="116">
        <v>8611.35</v>
      </c>
      <c r="C2362" s="116">
        <v>8544.75</v>
      </c>
      <c r="D2362" s="116">
        <v>8385.4500000000007</v>
      </c>
      <c r="E2362" s="116">
        <v>8505.0499999999993</v>
      </c>
      <c r="F2362" s="116">
        <v>8544.75</v>
      </c>
      <c r="G2362">
        <v>3266</v>
      </c>
      <c r="H2362" s="116"/>
      <c r="I2362" s="116"/>
      <c r="L2362" s="170">
        <v>45483</v>
      </c>
      <c r="M2362" s="116">
        <v>8542.85</v>
      </c>
      <c r="N2362" s="116">
        <v>8624.9500000000007</v>
      </c>
      <c r="O2362" s="116">
        <v>8381.6</v>
      </c>
      <c r="P2362" s="116">
        <v>8624.9500000000007</v>
      </c>
      <c r="Q2362" s="116">
        <v>8542.85</v>
      </c>
      <c r="R2362">
        <v>178905</v>
      </c>
    </row>
    <row r="2363" spans="1:18" x14ac:dyDescent="0.25">
      <c r="A2363" s="170">
        <v>45484</v>
      </c>
      <c r="B2363" s="116">
        <v>8598.9500000000007</v>
      </c>
      <c r="C2363" s="116">
        <v>8454.4500000000007</v>
      </c>
      <c r="D2363" s="116">
        <v>8430</v>
      </c>
      <c r="E2363" s="116">
        <v>8598.9500000000007</v>
      </c>
      <c r="F2363" s="116">
        <v>8454.4500000000007</v>
      </c>
      <c r="G2363">
        <v>4730</v>
      </c>
      <c r="H2363" s="116"/>
      <c r="I2363" s="116"/>
      <c r="L2363" s="170">
        <v>45484</v>
      </c>
      <c r="M2363" s="116">
        <v>8457.9500000000007</v>
      </c>
      <c r="N2363" s="116">
        <v>8590</v>
      </c>
      <c r="O2363" s="116">
        <v>8427</v>
      </c>
      <c r="P2363" s="116">
        <v>8585.0499999999993</v>
      </c>
      <c r="Q2363" s="116">
        <v>8457.9500000000007</v>
      </c>
      <c r="R2363">
        <v>134239</v>
      </c>
    </row>
    <row r="2364" spans="1:18" x14ac:dyDescent="0.25">
      <c r="A2364" s="170">
        <v>45485</v>
      </c>
      <c r="B2364" s="116">
        <v>8469.4500000000007</v>
      </c>
      <c r="C2364" s="116">
        <v>8207.4500000000007</v>
      </c>
      <c r="D2364" s="116">
        <v>8195</v>
      </c>
      <c r="E2364" s="116">
        <v>8454.4500000000007</v>
      </c>
      <c r="F2364" s="116">
        <v>8207.4500000000007</v>
      </c>
      <c r="G2364">
        <v>12595</v>
      </c>
      <c r="H2364" s="116"/>
      <c r="I2364" s="116"/>
      <c r="L2364" s="170">
        <v>45485</v>
      </c>
      <c r="M2364" s="116">
        <v>8209.25</v>
      </c>
      <c r="N2364" s="116">
        <v>8500</v>
      </c>
      <c r="O2364" s="116">
        <v>8191</v>
      </c>
      <c r="P2364" s="116">
        <v>8400</v>
      </c>
      <c r="Q2364" s="116">
        <v>8209.25</v>
      </c>
      <c r="R2364">
        <v>406193</v>
      </c>
    </row>
    <row r="2365" spans="1:18" x14ac:dyDescent="0.25">
      <c r="A2365" s="170">
        <v>45488</v>
      </c>
      <c r="B2365" s="116">
        <v>8263.2000000000007</v>
      </c>
      <c r="C2365" s="116">
        <v>8249.35</v>
      </c>
      <c r="D2365" s="116">
        <v>8113.55</v>
      </c>
      <c r="E2365" s="116">
        <v>8220.6</v>
      </c>
      <c r="F2365" s="116">
        <v>8249.35</v>
      </c>
      <c r="G2365">
        <v>4041</v>
      </c>
      <c r="H2365" s="116"/>
      <c r="I2365" s="116"/>
      <c r="L2365" s="170">
        <v>45488</v>
      </c>
      <c r="M2365" s="116">
        <v>8251.15</v>
      </c>
      <c r="N2365" s="116">
        <v>8265</v>
      </c>
      <c r="O2365" s="116">
        <v>8114.75</v>
      </c>
      <c r="P2365" s="116">
        <v>8210.2999999999993</v>
      </c>
      <c r="Q2365" s="116">
        <v>8251.15</v>
      </c>
      <c r="R2365">
        <v>279190</v>
      </c>
    </row>
    <row r="2366" spans="1:18" x14ac:dyDescent="0.25">
      <c r="A2366" s="170">
        <v>45489</v>
      </c>
      <c r="B2366" s="116">
        <v>8299.85</v>
      </c>
      <c r="C2366" s="116">
        <v>8234.1</v>
      </c>
      <c r="D2366" s="116">
        <v>8181</v>
      </c>
      <c r="E2366" s="116">
        <v>8299.85</v>
      </c>
      <c r="F2366" s="116">
        <v>8234.1</v>
      </c>
      <c r="G2366">
        <v>1787</v>
      </c>
      <c r="H2366" s="116"/>
      <c r="I2366" s="116"/>
      <c r="L2366" s="170">
        <v>45489</v>
      </c>
      <c r="M2366" s="116">
        <v>8232.2999999999993</v>
      </c>
      <c r="N2366" s="116">
        <v>8299.9500000000007</v>
      </c>
      <c r="O2366" s="116">
        <v>8184.95</v>
      </c>
      <c r="P2366" s="116">
        <v>8289</v>
      </c>
      <c r="Q2366" s="116">
        <v>8232.2999999999993</v>
      </c>
      <c r="R2366">
        <v>212920</v>
      </c>
    </row>
    <row r="2367" spans="1:18" x14ac:dyDescent="0.25">
      <c r="A2367" s="170">
        <v>45491</v>
      </c>
      <c r="B2367" s="116">
        <v>8246.0499999999993</v>
      </c>
      <c r="C2367" s="116">
        <v>7895.65</v>
      </c>
      <c r="D2367" s="116">
        <v>7720</v>
      </c>
      <c r="E2367" s="116">
        <v>8185.05</v>
      </c>
      <c r="F2367" s="116">
        <v>7895.65</v>
      </c>
      <c r="G2367">
        <v>25686</v>
      </c>
      <c r="H2367" s="116"/>
      <c r="I2367" s="116"/>
      <c r="L2367" s="170">
        <v>45491</v>
      </c>
      <c r="M2367" s="116">
        <v>7893.15</v>
      </c>
      <c r="N2367" s="116">
        <v>8249.9</v>
      </c>
      <c r="O2367" s="116">
        <v>7713.35</v>
      </c>
      <c r="P2367" s="116">
        <v>8234.7000000000007</v>
      </c>
      <c r="Q2367" s="116">
        <v>7893.15</v>
      </c>
      <c r="R2367">
        <v>715249</v>
      </c>
    </row>
    <row r="2368" spans="1:18" x14ac:dyDescent="0.25">
      <c r="A2368" s="170">
        <v>45492</v>
      </c>
      <c r="B2368" s="116">
        <v>7907.05</v>
      </c>
      <c r="C2368" s="116">
        <v>7619</v>
      </c>
      <c r="D2368" s="116">
        <v>7602.3</v>
      </c>
      <c r="E2368" s="116">
        <v>7895.65</v>
      </c>
      <c r="F2368" s="116">
        <v>7619</v>
      </c>
      <c r="G2368">
        <v>14610</v>
      </c>
      <c r="H2368" s="116"/>
      <c r="I2368" s="116"/>
      <c r="L2368" s="170">
        <v>45492</v>
      </c>
      <c r="M2368" s="116">
        <v>7620.5</v>
      </c>
      <c r="N2368" s="116">
        <v>7909.7</v>
      </c>
      <c r="O2368" s="116">
        <v>7600</v>
      </c>
      <c r="P2368" s="116">
        <v>7900</v>
      </c>
      <c r="Q2368" s="116">
        <v>7620.5</v>
      </c>
      <c r="R2368">
        <v>355166</v>
      </c>
    </row>
    <row r="2369" spans="1:18" x14ac:dyDescent="0.25">
      <c r="A2369" s="170">
        <v>45495</v>
      </c>
      <c r="B2369" s="116">
        <v>7753.45</v>
      </c>
      <c r="C2369" s="116">
        <v>7709.3</v>
      </c>
      <c r="D2369" s="116">
        <v>7447.7</v>
      </c>
      <c r="E2369" s="116">
        <v>7501.1</v>
      </c>
      <c r="F2369" s="116">
        <v>7709.3</v>
      </c>
      <c r="G2369">
        <v>4913</v>
      </c>
      <c r="H2369" s="116"/>
      <c r="I2369" s="116"/>
      <c r="L2369" s="170">
        <v>45495</v>
      </c>
      <c r="M2369" s="116">
        <v>7716.95</v>
      </c>
      <c r="N2369" s="116">
        <v>7759.85</v>
      </c>
      <c r="O2369" s="116">
        <v>7425</v>
      </c>
      <c r="P2369" s="116">
        <v>7525.15</v>
      </c>
      <c r="Q2369" s="116">
        <v>7716.95</v>
      </c>
      <c r="R2369">
        <v>363722</v>
      </c>
    </row>
    <row r="2370" spans="1:18" x14ac:dyDescent="0.25">
      <c r="A2370" s="170">
        <v>45496</v>
      </c>
      <c r="B2370" s="116">
        <v>7814</v>
      </c>
      <c r="C2370" s="116">
        <v>7502.95</v>
      </c>
      <c r="D2370" s="116">
        <v>7067.8</v>
      </c>
      <c r="E2370" s="116">
        <v>7730.05</v>
      </c>
      <c r="F2370" s="116">
        <v>7502.95</v>
      </c>
      <c r="G2370">
        <v>10479</v>
      </c>
      <c r="H2370" s="116"/>
      <c r="I2370" s="116"/>
      <c r="L2370" s="170">
        <v>45496</v>
      </c>
      <c r="M2370" s="116">
        <v>7503.05</v>
      </c>
      <c r="N2370" s="116">
        <v>7812.05</v>
      </c>
      <c r="O2370" s="116">
        <v>7053.2</v>
      </c>
      <c r="P2370" s="116">
        <v>7766.95</v>
      </c>
      <c r="Q2370" s="116">
        <v>7503.05</v>
      </c>
      <c r="R2370">
        <v>714300</v>
      </c>
    </row>
    <row r="2371" spans="1:18" x14ac:dyDescent="0.25">
      <c r="A2371" s="170">
        <v>45497</v>
      </c>
      <c r="B2371" s="116">
        <v>7633.65</v>
      </c>
      <c r="C2371" s="116">
        <v>7526</v>
      </c>
      <c r="D2371" s="116">
        <v>7436.3</v>
      </c>
      <c r="E2371" s="116">
        <v>7520</v>
      </c>
      <c r="F2371" s="116">
        <v>7526</v>
      </c>
      <c r="G2371">
        <v>3951</v>
      </c>
      <c r="H2371" s="116"/>
      <c r="I2371" s="116"/>
      <c r="L2371" s="170">
        <v>45497</v>
      </c>
      <c r="M2371" s="116">
        <v>7522.6</v>
      </c>
      <c r="N2371" s="116">
        <v>7637.95</v>
      </c>
      <c r="O2371" s="116">
        <v>7435</v>
      </c>
      <c r="P2371" s="116">
        <v>7549.95</v>
      </c>
      <c r="Q2371" s="116">
        <v>7522.6</v>
      </c>
      <c r="R2371">
        <v>388681</v>
      </c>
    </row>
    <row r="2372" spans="1:18" x14ac:dyDescent="0.25">
      <c r="A2372" s="170">
        <v>45498</v>
      </c>
      <c r="B2372" s="116">
        <v>7761.2</v>
      </c>
      <c r="C2372" s="116">
        <v>7627.55</v>
      </c>
      <c r="D2372" s="116">
        <v>7408.95</v>
      </c>
      <c r="E2372" s="116">
        <v>7479.5</v>
      </c>
      <c r="F2372" s="116">
        <v>7627.55</v>
      </c>
      <c r="G2372">
        <v>17712</v>
      </c>
      <c r="H2372" s="116"/>
      <c r="I2372" s="116"/>
      <c r="L2372" s="170">
        <v>45498</v>
      </c>
      <c r="M2372" s="116">
        <v>7623.8</v>
      </c>
      <c r="N2372" s="116">
        <v>7766</v>
      </c>
      <c r="O2372" s="116">
        <v>7410.05</v>
      </c>
      <c r="P2372" s="116">
        <v>7450</v>
      </c>
      <c r="Q2372" s="116">
        <v>7623.8</v>
      </c>
      <c r="R2372">
        <v>304924</v>
      </c>
    </row>
    <row r="2373" spans="1:18" x14ac:dyDescent="0.25">
      <c r="A2373" s="170">
        <v>45499</v>
      </c>
      <c r="B2373" s="116">
        <v>7865.95</v>
      </c>
      <c r="C2373" s="116">
        <v>7844.9</v>
      </c>
      <c r="D2373" s="116">
        <v>7630.05</v>
      </c>
      <c r="E2373" s="116">
        <v>7630.05</v>
      </c>
      <c r="F2373" s="116">
        <v>7844.9</v>
      </c>
      <c r="G2373">
        <v>9540</v>
      </c>
      <c r="H2373" s="116"/>
      <c r="I2373" s="116"/>
      <c r="L2373" s="170">
        <v>45499</v>
      </c>
      <c r="M2373" s="116">
        <v>7851.25</v>
      </c>
      <c r="N2373" s="116">
        <v>7870</v>
      </c>
      <c r="O2373" s="116">
        <v>7649.35</v>
      </c>
      <c r="P2373" s="116">
        <v>7698.95</v>
      </c>
      <c r="Q2373" s="116">
        <v>7851.25</v>
      </c>
      <c r="R2373">
        <v>237187</v>
      </c>
    </row>
    <row r="2374" spans="1:18" x14ac:dyDescent="0.25">
      <c r="A2374" s="170">
        <v>45502</v>
      </c>
      <c r="B2374" s="116">
        <v>7993.85</v>
      </c>
      <c r="C2374" s="116">
        <v>7973.35</v>
      </c>
      <c r="D2374" s="116">
        <v>7814</v>
      </c>
      <c r="E2374" s="116">
        <v>7944.85</v>
      </c>
      <c r="F2374" s="116">
        <v>7973.35</v>
      </c>
      <c r="G2374">
        <v>3947</v>
      </c>
      <c r="H2374" s="116"/>
      <c r="I2374" s="116"/>
      <c r="L2374" s="170">
        <v>45502</v>
      </c>
      <c r="M2374" s="116">
        <v>7974.3</v>
      </c>
      <c r="N2374" s="116">
        <v>7994.5</v>
      </c>
      <c r="O2374" s="116">
        <v>7812.05</v>
      </c>
      <c r="P2374" s="116">
        <v>7899</v>
      </c>
      <c r="Q2374" s="116">
        <v>7974.3</v>
      </c>
      <c r="R2374">
        <v>207473</v>
      </c>
    </row>
    <row r="2375" spans="1:18" x14ac:dyDescent="0.25">
      <c r="A2375" s="170">
        <v>45503</v>
      </c>
      <c r="B2375" s="116">
        <v>8035</v>
      </c>
      <c r="C2375" s="116">
        <v>7841.95</v>
      </c>
      <c r="D2375" s="116">
        <v>7822.85</v>
      </c>
      <c r="E2375" s="116">
        <v>8013.9</v>
      </c>
      <c r="F2375" s="116">
        <v>7841.95</v>
      </c>
      <c r="G2375">
        <v>3097</v>
      </c>
      <c r="H2375" s="116"/>
      <c r="I2375" s="116"/>
      <c r="L2375" s="170">
        <v>45503</v>
      </c>
      <c r="M2375" s="116">
        <v>7843.45</v>
      </c>
      <c r="N2375" s="116">
        <v>8049</v>
      </c>
      <c r="O2375" s="116">
        <v>7830</v>
      </c>
      <c r="P2375" s="116">
        <v>7990</v>
      </c>
      <c r="Q2375" s="116">
        <v>7843.45</v>
      </c>
      <c r="R2375">
        <v>136915</v>
      </c>
    </row>
    <row r="2376" spans="1:18" x14ac:dyDescent="0.25">
      <c r="A2376" s="170">
        <v>45504</v>
      </c>
      <c r="B2376" s="116">
        <v>7945.95</v>
      </c>
      <c r="C2376" s="116">
        <v>7891.15</v>
      </c>
      <c r="D2376" s="116">
        <v>7800</v>
      </c>
      <c r="E2376" s="116">
        <v>7821.95</v>
      </c>
      <c r="F2376" s="116">
        <v>7891.15</v>
      </c>
      <c r="G2376">
        <v>2525</v>
      </c>
      <c r="H2376" s="116"/>
      <c r="I2376" s="116"/>
      <c r="L2376" s="170">
        <v>45504</v>
      </c>
      <c r="M2376" s="116">
        <v>7896.85</v>
      </c>
      <c r="N2376" s="116">
        <v>7948</v>
      </c>
      <c r="O2376" s="116">
        <v>7790</v>
      </c>
      <c r="P2376" s="116">
        <v>7798.2</v>
      </c>
      <c r="Q2376" s="116">
        <v>7896.85</v>
      </c>
      <c r="R2376">
        <v>274082</v>
      </c>
    </row>
    <row r="2377" spans="1:18" x14ac:dyDescent="0.25">
      <c r="A2377" s="170">
        <v>45505</v>
      </c>
      <c r="B2377" s="116">
        <v>7943.95</v>
      </c>
      <c r="C2377" s="116">
        <v>7767.45</v>
      </c>
      <c r="D2377" s="116">
        <v>7737.05</v>
      </c>
      <c r="E2377" s="116">
        <v>7920</v>
      </c>
      <c r="F2377" s="116">
        <v>7767.45</v>
      </c>
      <c r="G2377">
        <v>3626</v>
      </c>
      <c r="H2377" s="116"/>
      <c r="I2377" s="116"/>
      <c r="L2377" s="170">
        <v>45505</v>
      </c>
      <c r="M2377" s="116">
        <v>7769.8</v>
      </c>
      <c r="N2377" s="116">
        <v>7948</v>
      </c>
      <c r="O2377" s="116">
        <v>7735</v>
      </c>
      <c r="P2377" s="116">
        <v>7896.85</v>
      </c>
      <c r="Q2377" s="116">
        <v>7769.8</v>
      </c>
      <c r="R2377">
        <v>143518</v>
      </c>
    </row>
    <row r="2378" spans="1:18" x14ac:dyDescent="0.25">
      <c r="A2378" s="170">
        <v>45506</v>
      </c>
      <c r="B2378" s="116">
        <v>7770.75</v>
      </c>
      <c r="C2378" s="116">
        <v>7579.65</v>
      </c>
      <c r="D2378" s="116">
        <v>7553</v>
      </c>
      <c r="E2378" s="116">
        <v>7756.85</v>
      </c>
      <c r="F2378" s="116">
        <v>7579.65</v>
      </c>
      <c r="G2378">
        <v>3268</v>
      </c>
      <c r="H2378" s="116"/>
      <c r="I2378" s="116"/>
      <c r="L2378" s="170">
        <v>45506</v>
      </c>
      <c r="M2378" s="116">
        <v>7578.8</v>
      </c>
      <c r="N2378" s="116">
        <v>7779.95</v>
      </c>
      <c r="O2378" s="116">
        <v>7547.55</v>
      </c>
      <c r="P2378" s="116">
        <v>7695.05</v>
      </c>
      <c r="Q2378" s="116">
        <v>7578.8</v>
      </c>
      <c r="R2378">
        <v>195829</v>
      </c>
    </row>
    <row r="2379" spans="1:18" x14ac:dyDescent="0.25">
      <c r="A2379" s="170">
        <v>45509</v>
      </c>
      <c r="B2379" s="116">
        <v>7599.9</v>
      </c>
      <c r="C2379" s="116">
        <v>7460.75</v>
      </c>
      <c r="D2379" s="116">
        <v>7235.15</v>
      </c>
      <c r="E2379" s="116">
        <v>7250.05</v>
      </c>
      <c r="F2379" s="116">
        <v>7460.75</v>
      </c>
      <c r="G2379">
        <v>22103</v>
      </c>
      <c r="H2379" s="116"/>
      <c r="I2379" s="116"/>
      <c r="L2379" s="170">
        <v>45509</v>
      </c>
      <c r="M2379" s="116">
        <v>7465.7</v>
      </c>
      <c r="N2379" s="116">
        <v>7597.9</v>
      </c>
      <c r="O2379" s="116">
        <v>7236.8</v>
      </c>
      <c r="P2379" s="116">
        <v>7402.1</v>
      </c>
      <c r="Q2379" s="116">
        <v>7465.7</v>
      </c>
      <c r="R2379">
        <v>335130</v>
      </c>
    </row>
    <row r="2380" spans="1:18" x14ac:dyDescent="0.25">
      <c r="A2380" s="170">
        <v>45510</v>
      </c>
      <c r="B2380" s="116">
        <v>7655.65</v>
      </c>
      <c r="C2380" s="116">
        <v>7470</v>
      </c>
      <c r="D2380" s="116">
        <v>7412.1</v>
      </c>
      <c r="E2380" s="116">
        <v>7412.1</v>
      </c>
      <c r="F2380" s="116">
        <v>7470</v>
      </c>
      <c r="G2380">
        <v>3436</v>
      </c>
      <c r="H2380" s="116"/>
      <c r="I2380" s="116"/>
      <c r="L2380" s="170">
        <v>45510</v>
      </c>
      <c r="M2380" s="116">
        <v>7465.7</v>
      </c>
      <c r="N2380" s="116">
        <v>7650</v>
      </c>
      <c r="O2380" s="116">
        <v>7428</v>
      </c>
      <c r="P2380" s="116">
        <v>7446.75</v>
      </c>
      <c r="Q2380" s="116">
        <v>7465.7</v>
      </c>
      <c r="R2380">
        <v>271285</v>
      </c>
    </row>
    <row r="2381" spans="1:18" x14ac:dyDescent="0.25">
      <c r="A2381" s="170">
        <v>45511</v>
      </c>
      <c r="B2381" s="116">
        <v>7914</v>
      </c>
      <c r="C2381" s="116">
        <v>7872.55</v>
      </c>
      <c r="D2381" s="116">
        <v>7475</v>
      </c>
      <c r="E2381" s="116">
        <v>7569.95</v>
      </c>
      <c r="F2381" s="116">
        <v>7872.55</v>
      </c>
      <c r="G2381">
        <v>20451</v>
      </c>
      <c r="H2381" s="116"/>
      <c r="I2381" s="116"/>
      <c r="L2381" s="170">
        <v>45511</v>
      </c>
      <c r="M2381" s="116">
        <v>7870.4</v>
      </c>
      <c r="N2381" s="116">
        <v>7915</v>
      </c>
      <c r="O2381" s="116">
        <v>7470.35</v>
      </c>
      <c r="P2381" s="116">
        <v>7556</v>
      </c>
      <c r="Q2381" s="116">
        <v>7870.4</v>
      </c>
      <c r="R2381">
        <v>470318</v>
      </c>
    </row>
    <row r="2382" spans="1:18" x14ac:dyDescent="0.25">
      <c r="A2382" s="170">
        <v>45512</v>
      </c>
      <c r="B2382" s="116">
        <v>8149</v>
      </c>
      <c r="C2382" s="116">
        <v>7936.2</v>
      </c>
      <c r="D2382" s="116">
        <v>7781</v>
      </c>
      <c r="E2382" s="116">
        <v>7939.15</v>
      </c>
      <c r="F2382" s="116">
        <v>7936.2</v>
      </c>
      <c r="G2382">
        <v>26831</v>
      </c>
      <c r="H2382" s="116"/>
      <c r="I2382" s="116"/>
      <c r="L2382" s="170">
        <v>45512</v>
      </c>
      <c r="M2382" s="116">
        <v>7942.3</v>
      </c>
      <c r="N2382" s="116">
        <v>8154</v>
      </c>
      <c r="O2382" s="116">
        <v>7776</v>
      </c>
      <c r="P2382" s="116">
        <v>7881</v>
      </c>
      <c r="Q2382" s="116">
        <v>7942.3</v>
      </c>
      <c r="R2382">
        <v>630662</v>
      </c>
    </row>
    <row r="2383" spans="1:18" x14ac:dyDescent="0.25">
      <c r="A2383" s="170">
        <v>45513</v>
      </c>
      <c r="B2383" s="116">
        <v>8273.9</v>
      </c>
      <c r="C2383" s="116">
        <v>7970.35</v>
      </c>
      <c r="D2383" s="116">
        <v>7923.45</v>
      </c>
      <c r="E2383" s="116">
        <v>8189.9</v>
      </c>
      <c r="F2383" s="116">
        <v>7970.35</v>
      </c>
      <c r="G2383">
        <v>29923</v>
      </c>
      <c r="H2383" s="116"/>
      <c r="I2383" s="116"/>
      <c r="L2383" s="170">
        <v>45513</v>
      </c>
      <c r="M2383" s="116">
        <v>7972.1</v>
      </c>
      <c r="N2383" s="116">
        <v>8263.75</v>
      </c>
      <c r="O2383" s="116">
        <v>7921</v>
      </c>
      <c r="P2383" s="116">
        <v>8150</v>
      </c>
      <c r="Q2383" s="116">
        <v>7972.1</v>
      </c>
      <c r="R2383">
        <v>1288936</v>
      </c>
    </row>
    <row r="2384" spans="1:18" x14ac:dyDescent="0.25">
      <c r="A2384" s="170">
        <v>45516</v>
      </c>
      <c r="B2384" s="116">
        <v>7980.95</v>
      </c>
      <c r="C2384" s="116">
        <v>7671.8</v>
      </c>
      <c r="D2384" s="116">
        <v>7640</v>
      </c>
      <c r="E2384" s="116">
        <v>7972.15</v>
      </c>
      <c r="F2384" s="116">
        <v>7671.8</v>
      </c>
      <c r="G2384">
        <v>11779</v>
      </c>
      <c r="H2384" s="116"/>
      <c r="I2384" s="116"/>
      <c r="L2384" s="170">
        <v>45516</v>
      </c>
      <c r="M2384" s="116">
        <v>7674.7</v>
      </c>
      <c r="N2384" s="116">
        <v>7989.95</v>
      </c>
      <c r="O2384" s="116">
        <v>7630.85</v>
      </c>
      <c r="P2384" s="116">
        <v>7989.95</v>
      </c>
      <c r="Q2384" s="116">
        <v>7674.7</v>
      </c>
      <c r="R2384">
        <v>499233</v>
      </c>
    </row>
    <row r="2385" spans="1:18" x14ac:dyDescent="0.25">
      <c r="A2385" s="170">
        <v>45517</v>
      </c>
      <c r="B2385" s="116">
        <v>7806.1</v>
      </c>
      <c r="C2385" s="116">
        <v>7545.6</v>
      </c>
      <c r="D2385" s="116">
        <v>7527</v>
      </c>
      <c r="E2385" s="116">
        <v>7806.1</v>
      </c>
      <c r="F2385" s="116">
        <v>7545.6</v>
      </c>
      <c r="G2385">
        <v>8929</v>
      </c>
      <c r="H2385" s="116"/>
      <c r="I2385" s="116"/>
      <c r="L2385" s="170">
        <v>45517</v>
      </c>
      <c r="M2385" s="116">
        <v>7544.8</v>
      </c>
      <c r="N2385" s="116">
        <v>7788.75</v>
      </c>
      <c r="O2385" s="116">
        <v>7525</v>
      </c>
      <c r="P2385" s="116">
        <v>7788.75</v>
      </c>
      <c r="Q2385" s="116">
        <v>7544.8</v>
      </c>
      <c r="R2385">
        <v>485092</v>
      </c>
    </row>
    <row r="2386" spans="1:18" x14ac:dyDescent="0.25">
      <c r="A2386" s="170">
        <v>45518</v>
      </c>
      <c r="B2386" s="116">
        <v>7811.95</v>
      </c>
      <c r="C2386" s="116">
        <v>7752.75</v>
      </c>
      <c r="D2386" s="116">
        <v>7454</v>
      </c>
      <c r="E2386" s="116">
        <v>7600</v>
      </c>
      <c r="F2386" s="116">
        <v>7752.75</v>
      </c>
      <c r="G2386">
        <v>19785</v>
      </c>
      <c r="H2386" s="116"/>
      <c r="I2386" s="116"/>
      <c r="L2386" s="170">
        <v>45518</v>
      </c>
      <c r="M2386" s="116">
        <v>7756.95</v>
      </c>
      <c r="N2386" s="116">
        <v>7815</v>
      </c>
      <c r="O2386" s="116">
        <v>7451</v>
      </c>
      <c r="P2386" s="116">
        <v>7600</v>
      </c>
      <c r="Q2386" s="116">
        <v>7756.95</v>
      </c>
      <c r="R2386">
        <v>505429</v>
      </c>
    </row>
    <row r="2387" spans="1:18" x14ac:dyDescent="0.25">
      <c r="A2387" s="170">
        <v>45520</v>
      </c>
      <c r="B2387" s="116">
        <v>7921</v>
      </c>
      <c r="C2387" s="116">
        <v>7913.8</v>
      </c>
      <c r="D2387" s="116">
        <v>7730</v>
      </c>
      <c r="E2387" s="116">
        <v>7824</v>
      </c>
      <c r="F2387" s="116">
        <v>7913.8</v>
      </c>
      <c r="G2387">
        <v>4300</v>
      </c>
      <c r="H2387" s="116"/>
      <c r="I2387" s="116"/>
      <c r="L2387" s="170">
        <v>45520</v>
      </c>
      <c r="M2387" s="116">
        <v>7911.2</v>
      </c>
      <c r="N2387" s="116">
        <v>7925</v>
      </c>
      <c r="O2387" s="116">
        <v>7724.35</v>
      </c>
      <c r="P2387" s="116">
        <v>7841</v>
      </c>
      <c r="Q2387" s="116">
        <v>7911.2</v>
      </c>
      <c r="R2387">
        <v>383686</v>
      </c>
    </row>
    <row r="2388" spans="1:18" x14ac:dyDescent="0.25">
      <c r="A2388" s="170">
        <v>45523</v>
      </c>
      <c r="B2388" s="116">
        <v>7978</v>
      </c>
      <c r="C2388" s="116">
        <v>7818.3</v>
      </c>
      <c r="D2388" s="116">
        <v>7807.1</v>
      </c>
      <c r="E2388" s="116">
        <v>7916</v>
      </c>
      <c r="F2388" s="116">
        <v>7818.3</v>
      </c>
      <c r="G2388">
        <v>6124</v>
      </c>
      <c r="H2388" s="116"/>
      <c r="I2388" s="116"/>
      <c r="L2388" s="170">
        <v>45523</v>
      </c>
      <c r="M2388" s="116">
        <v>7822.6</v>
      </c>
      <c r="N2388" s="116">
        <v>7984.4</v>
      </c>
      <c r="O2388" s="116">
        <v>7808.95</v>
      </c>
      <c r="P2388" s="116">
        <v>7954.95</v>
      </c>
      <c r="Q2388" s="116">
        <v>7822.6</v>
      </c>
      <c r="R2388">
        <v>140445</v>
      </c>
    </row>
    <row r="2389" spans="1:18" x14ac:dyDescent="0.25">
      <c r="A2389" s="170">
        <v>45524</v>
      </c>
      <c r="B2389" s="116">
        <v>7883.15</v>
      </c>
      <c r="C2389" s="116">
        <v>7799.9</v>
      </c>
      <c r="D2389" s="116">
        <v>7738</v>
      </c>
      <c r="E2389" s="116">
        <v>7851</v>
      </c>
      <c r="F2389" s="116">
        <v>7799.9</v>
      </c>
      <c r="G2389">
        <v>2658</v>
      </c>
      <c r="H2389" s="116"/>
      <c r="I2389" s="116"/>
      <c r="L2389" s="170">
        <v>45524</v>
      </c>
      <c r="M2389" s="116">
        <v>7800.75</v>
      </c>
      <c r="N2389" s="116">
        <v>7881</v>
      </c>
      <c r="O2389" s="116">
        <v>7735.55</v>
      </c>
      <c r="P2389" s="116">
        <v>7868.95</v>
      </c>
      <c r="Q2389" s="116">
        <v>7800.75</v>
      </c>
      <c r="R2389">
        <v>180753</v>
      </c>
    </row>
    <row r="2390" spans="1:18" x14ac:dyDescent="0.25">
      <c r="A2390" s="170">
        <v>45525</v>
      </c>
      <c r="B2390" s="116">
        <v>7930</v>
      </c>
      <c r="C2390" s="116">
        <v>7915.6</v>
      </c>
      <c r="D2390" s="116">
        <v>7776</v>
      </c>
      <c r="E2390" s="116">
        <v>7843.4</v>
      </c>
      <c r="F2390" s="116">
        <v>7915.6</v>
      </c>
      <c r="G2390">
        <v>3118</v>
      </c>
      <c r="H2390" s="116"/>
      <c r="I2390" s="116"/>
      <c r="L2390" s="170">
        <v>45525</v>
      </c>
      <c r="M2390" s="116">
        <v>7921.55</v>
      </c>
      <c r="N2390" s="116">
        <v>7930</v>
      </c>
      <c r="O2390" s="116">
        <v>7765.8</v>
      </c>
      <c r="P2390" s="116">
        <v>7825</v>
      </c>
      <c r="Q2390" s="116">
        <v>7921.55</v>
      </c>
      <c r="R2390">
        <v>139006</v>
      </c>
    </row>
    <row r="2391" spans="1:18" x14ac:dyDescent="0.25">
      <c r="A2391" s="170">
        <v>45526</v>
      </c>
      <c r="B2391" s="116">
        <v>7951.05</v>
      </c>
      <c r="C2391" s="116">
        <v>7849.1</v>
      </c>
      <c r="D2391" s="116">
        <v>7834</v>
      </c>
      <c r="E2391" s="116">
        <v>7951.05</v>
      </c>
      <c r="F2391" s="116">
        <v>7849.1</v>
      </c>
      <c r="G2391">
        <v>2631</v>
      </c>
      <c r="H2391" s="116"/>
      <c r="I2391" s="116"/>
      <c r="L2391" s="170">
        <v>45526</v>
      </c>
      <c r="M2391" s="116">
        <v>7859.55</v>
      </c>
      <c r="N2391" s="116">
        <v>7950</v>
      </c>
      <c r="O2391" s="116">
        <v>7830.6</v>
      </c>
      <c r="P2391" s="116">
        <v>7950</v>
      </c>
      <c r="Q2391" s="116">
        <v>7859.55</v>
      </c>
      <c r="R2391">
        <v>112842</v>
      </c>
    </row>
    <row r="2392" spans="1:18" x14ac:dyDescent="0.25">
      <c r="A2392" s="170">
        <v>45527</v>
      </c>
      <c r="B2392" s="116">
        <v>7901.7</v>
      </c>
      <c r="C2392" s="116">
        <v>7798.95</v>
      </c>
      <c r="D2392" s="116">
        <v>7779.8</v>
      </c>
      <c r="E2392" s="116">
        <v>7869.95</v>
      </c>
      <c r="F2392" s="116">
        <v>7798.95</v>
      </c>
      <c r="G2392">
        <v>1292</v>
      </c>
      <c r="H2392" s="116"/>
      <c r="I2392" s="116"/>
      <c r="L2392" s="170">
        <v>45527</v>
      </c>
      <c r="M2392" s="116">
        <v>7795.75</v>
      </c>
      <c r="N2392" s="116">
        <v>7914.6</v>
      </c>
      <c r="O2392" s="116">
        <v>7768.9</v>
      </c>
      <c r="P2392" s="116">
        <v>7859.8</v>
      </c>
      <c r="Q2392" s="116">
        <v>7795.75</v>
      </c>
      <c r="R2392">
        <v>141683</v>
      </c>
    </row>
    <row r="2393" spans="1:18" x14ac:dyDescent="0.25">
      <c r="A2393" s="170">
        <v>45530</v>
      </c>
      <c r="B2393" s="116">
        <v>7848.65</v>
      </c>
      <c r="C2393" s="116">
        <v>7790.95</v>
      </c>
      <c r="D2393" s="116">
        <v>7704</v>
      </c>
      <c r="E2393" s="116">
        <v>7848.65</v>
      </c>
      <c r="F2393" s="116">
        <v>7790.95</v>
      </c>
      <c r="G2393">
        <v>4484</v>
      </c>
      <c r="H2393" s="116"/>
      <c r="I2393" s="116"/>
      <c r="L2393" s="170">
        <v>45530</v>
      </c>
      <c r="M2393" s="116">
        <v>7790.4</v>
      </c>
      <c r="N2393" s="116">
        <v>7832.6</v>
      </c>
      <c r="O2393" s="116">
        <v>7700</v>
      </c>
      <c r="P2393" s="116">
        <v>7820</v>
      </c>
      <c r="Q2393" s="116">
        <v>7790.4</v>
      </c>
      <c r="R2393">
        <v>186052</v>
      </c>
    </row>
    <row r="2394" spans="1:18" x14ac:dyDescent="0.25">
      <c r="A2394" s="170">
        <v>45531</v>
      </c>
      <c r="B2394" s="116">
        <v>8020</v>
      </c>
      <c r="C2394" s="116">
        <v>7901.95</v>
      </c>
      <c r="D2394" s="116">
        <v>7795.8</v>
      </c>
      <c r="E2394" s="116">
        <v>7795.8</v>
      </c>
      <c r="F2394" s="116">
        <v>7901.95</v>
      </c>
      <c r="G2394">
        <v>22792</v>
      </c>
      <c r="H2394" s="116"/>
      <c r="I2394" s="116"/>
      <c r="L2394" s="170">
        <v>45531</v>
      </c>
      <c r="M2394" s="116">
        <v>7906.95</v>
      </c>
      <c r="N2394" s="116">
        <v>8024.25</v>
      </c>
      <c r="O2394" s="116">
        <v>7828.7</v>
      </c>
      <c r="P2394" s="116">
        <v>7828.7</v>
      </c>
      <c r="Q2394" s="116">
        <v>7906.95</v>
      </c>
      <c r="R2394">
        <v>465311</v>
      </c>
    </row>
    <row r="2395" spans="1:18" x14ac:dyDescent="0.25">
      <c r="A2395" s="170">
        <v>45532</v>
      </c>
      <c r="B2395" s="116">
        <v>7954.95</v>
      </c>
      <c r="C2395" s="116">
        <v>7936.8</v>
      </c>
      <c r="D2395" s="116">
        <v>7843.45</v>
      </c>
      <c r="E2395" s="116">
        <v>7902.45</v>
      </c>
      <c r="F2395" s="116">
        <v>7936.8</v>
      </c>
      <c r="G2395">
        <v>2027</v>
      </c>
      <c r="H2395" s="116"/>
      <c r="I2395" s="116"/>
      <c r="L2395" s="170">
        <v>45532</v>
      </c>
      <c r="M2395" s="116">
        <v>7938.4</v>
      </c>
      <c r="N2395" s="116">
        <v>7955.95</v>
      </c>
      <c r="O2395" s="116">
        <v>7845.05</v>
      </c>
      <c r="P2395" s="116">
        <v>7929.95</v>
      </c>
      <c r="Q2395" s="116">
        <v>7938.4</v>
      </c>
      <c r="R2395">
        <v>153307</v>
      </c>
    </row>
    <row r="2396" spans="1:18" x14ac:dyDescent="0.25">
      <c r="A2396" s="170">
        <v>45533</v>
      </c>
      <c r="B2396" s="116">
        <v>8018.2</v>
      </c>
      <c r="C2396" s="116">
        <v>7876.75</v>
      </c>
      <c r="D2396" s="116">
        <v>7790</v>
      </c>
      <c r="E2396" s="116">
        <v>7950</v>
      </c>
      <c r="F2396" s="116">
        <v>7876.75</v>
      </c>
      <c r="G2396">
        <v>4488</v>
      </c>
      <c r="H2396" s="116"/>
      <c r="I2396" s="116"/>
      <c r="L2396" s="170">
        <v>45533</v>
      </c>
      <c r="M2396" s="116">
        <v>7876.5</v>
      </c>
      <c r="N2396" s="116">
        <v>8014.45</v>
      </c>
      <c r="O2396" s="116">
        <v>7789.3</v>
      </c>
      <c r="P2396" s="116">
        <v>7953.5</v>
      </c>
      <c r="Q2396" s="116">
        <v>7876.5</v>
      </c>
      <c r="R2396">
        <v>261097</v>
      </c>
    </row>
    <row r="2397" spans="1:18" x14ac:dyDescent="0.25">
      <c r="A2397" s="170">
        <v>45534</v>
      </c>
      <c r="B2397" s="116">
        <v>7959.5</v>
      </c>
      <c r="C2397" s="116">
        <v>7942.4</v>
      </c>
      <c r="D2397" s="116">
        <v>7844.25</v>
      </c>
      <c r="E2397" s="116">
        <v>7880.1</v>
      </c>
      <c r="F2397" s="116">
        <v>7942.4</v>
      </c>
      <c r="G2397">
        <v>6348</v>
      </c>
      <c r="H2397" s="116"/>
      <c r="I2397" s="116"/>
      <c r="L2397" s="170">
        <v>45534</v>
      </c>
      <c r="M2397" s="116">
        <v>7936.05</v>
      </c>
      <c r="N2397" s="116">
        <v>7960</v>
      </c>
      <c r="O2397" s="116">
        <v>7843.3</v>
      </c>
      <c r="P2397" s="116">
        <v>7931.65</v>
      </c>
      <c r="Q2397" s="116">
        <v>7936.05</v>
      </c>
      <c r="R2397">
        <v>328066</v>
      </c>
    </row>
    <row r="2398" spans="1:18" x14ac:dyDescent="0.25">
      <c r="A2398" s="170">
        <v>45537</v>
      </c>
      <c r="B2398" s="116">
        <v>7947.7</v>
      </c>
      <c r="C2398" s="116">
        <v>7698.55</v>
      </c>
      <c r="D2398" s="116">
        <v>7645</v>
      </c>
      <c r="E2398" s="116">
        <v>7935.3</v>
      </c>
      <c r="F2398" s="116">
        <v>7698.55</v>
      </c>
      <c r="G2398">
        <v>13924</v>
      </c>
      <c r="H2398" s="116"/>
      <c r="I2398" s="116"/>
      <c r="L2398" s="170">
        <v>45537</v>
      </c>
      <c r="M2398" s="116">
        <v>7699.25</v>
      </c>
      <c r="N2398" s="116">
        <v>7947.35</v>
      </c>
      <c r="O2398" s="116">
        <v>7636.65</v>
      </c>
      <c r="P2398" s="116">
        <v>7945</v>
      </c>
      <c r="Q2398" s="116">
        <v>7699.25</v>
      </c>
      <c r="R2398">
        <v>278992</v>
      </c>
    </row>
    <row r="2399" spans="1:18" x14ac:dyDescent="0.25">
      <c r="A2399" s="170">
        <v>45538</v>
      </c>
      <c r="B2399" s="116">
        <v>7827.25</v>
      </c>
      <c r="C2399" s="116">
        <v>7769</v>
      </c>
      <c r="D2399" s="116">
        <v>7683</v>
      </c>
      <c r="E2399" s="116">
        <v>7742</v>
      </c>
      <c r="F2399" s="116">
        <v>7769</v>
      </c>
      <c r="G2399">
        <v>3962</v>
      </c>
      <c r="H2399" s="116"/>
      <c r="I2399" s="116"/>
      <c r="L2399" s="170">
        <v>45538</v>
      </c>
      <c r="M2399" s="116">
        <v>7767.9</v>
      </c>
      <c r="N2399" s="116">
        <v>7828.8</v>
      </c>
      <c r="O2399" s="116">
        <v>7680.7</v>
      </c>
      <c r="P2399" s="116">
        <v>7748.65</v>
      </c>
      <c r="Q2399" s="116">
        <v>7767.9</v>
      </c>
      <c r="R2399">
        <v>199718</v>
      </c>
    </row>
    <row r="2400" spans="1:18" x14ac:dyDescent="0.25">
      <c r="A2400" s="170">
        <v>45539</v>
      </c>
      <c r="B2400" s="116">
        <v>7762.45</v>
      </c>
      <c r="C2400" s="116">
        <v>7642.25</v>
      </c>
      <c r="D2400" s="116">
        <v>7580</v>
      </c>
      <c r="E2400" s="116">
        <v>7759</v>
      </c>
      <c r="F2400" s="116">
        <v>7642.25</v>
      </c>
      <c r="G2400">
        <v>6853</v>
      </c>
      <c r="H2400" s="116"/>
      <c r="I2400" s="116"/>
      <c r="L2400" s="170">
        <v>45539</v>
      </c>
      <c r="M2400" s="116">
        <v>7639.05</v>
      </c>
      <c r="N2400" s="116">
        <v>7765</v>
      </c>
      <c r="O2400" s="116">
        <v>7575</v>
      </c>
      <c r="P2400" s="116">
        <v>7754.9</v>
      </c>
      <c r="Q2400" s="116">
        <v>7639.05</v>
      </c>
      <c r="R2400">
        <v>301420</v>
      </c>
    </row>
    <row r="2401" spans="1:18" x14ac:dyDescent="0.25">
      <c r="A2401" s="170">
        <v>45540</v>
      </c>
      <c r="B2401" s="116">
        <v>7679.85</v>
      </c>
      <c r="C2401" s="116">
        <v>7649.95</v>
      </c>
      <c r="D2401" s="116">
        <v>7601.05</v>
      </c>
      <c r="E2401" s="116">
        <v>7674.9</v>
      </c>
      <c r="F2401" s="116">
        <v>7649.95</v>
      </c>
      <c r="G2401">
        <v>7285</v>
      </c>
      <c r="H2401" s="116"/>
      <c r="I2401" s="116"/>
      <c r="L2401" s="170">
        <v>45540</v>
      </c>
      <c r="M2401" s="116">
        <v>7650.1</v>
      </c>
      <c r="N2401" s="116">
        <v>7678</v>
      </c>
      <c r="O2401" s="116">
        <v>7611.4</v>
      </c>
      <c r="P2401" s="116">
        <v>7655</v>
      </c>
      <c r="Q2401" s="116">
        <v>7650.1</v>
      </c>
      <c r="R2401">
        <v>165098</v>
      </c>
    </row>
    <row r="2402" spans="1:18" x14ac:dyDescent="0.25">
      <c r="A2402" s="170">
        <v>45541</v>
      </c>
      <c r="B2402" s="116">
        <v>7697.95</v>
      </c>
      <c r="C2402" s="116">
        <v>7518.2</v>
      </c>
      <c r="D2402" s="116">
        <v>7505</v>
      </c>
      <c r="E2402" s="116">
        <v>7697.95</v>
      </c>
      <c r="F2402" s="116">
        <v>7518.2</v>
      </c>
      <c r="G2402">
        <v>2971</v>
      </c>
      <c r="H2402" s="116"/>
      <c r="I2402" s="116"/>
      <c r="L2402" s="170">
        <v>45541</v>
      </c>
      <c r="M2402" s="116">
        <v>7516.4</v>
      </c>
      <c r="N2402" s="116">
        <v>7650</v>
      </c>
      <c r="O2402" s="116">
        <v>7500.05</v>
      </c>
      <c r="P2402" s="116">
        <v>7650</v>
      </c>
      <c r="Q2402" s="116">
        <v>7516.4</v>
      </c>
      <c r="R2402">
        <v>170226</v>
      </c>
    </row>
    <row r="2403" spans="1:18" x14ac:dyDescent="0.25">
      <c r="A2403" s="170">
        <v>45544</v>
      </c>
      <c r="B2403" s="116">
        <v>7620.95</v>
      </c>
      <c r="C2403" s="116">
        <v>7599.25</v>
      </c>
      <c r="D2403" s="116">
        <v>7430.7</v>
      </c>
      <c r="E2403" s="116">
        <v>7478.05</v>
      </c>
      <c r="F2403" s="116">
        <v>7599.25</v>
      </c>
      <c r="G2403">
        <v>4629</v>
      </c>
      <c r="H2403" s="116"/>
      <c r="I2403" s="116"/>
      <c r="L2403" s="170">
        <v>45544</v>
      </c>
      <c r="M2403" s="116">
        <v>7600.9</v>
      </c>
      <c r="N2403" s="116">
        <v>7630</v>
      </c>
      <c r="O2403" s="116">
        <v>7431.55</v>
      </c>
      <c r="P2403" s="116">
        <v>7500</v>
      </c>
      <c r="Q2403" s="116">
        <v>7600.9</v>
      </c>
      <c r="R2403">
        <v>197525</v>
      </c>
    </row>
    <row r="2404" spans="1:18" x14ac:dyDescent="0.25">
      <c r="A2404" s="170">
        <v>45545</v>
      </c>
      <c r="B2404" s="116">
        <v>7620</v>
      </c>
      <c r="C2404" s="116">
        <v>7536.45</v>
      </c>
      <c r="D2404" s="116">
        <v>7511.5</v>
      </c>
      <c r="E2404" s="116">
        <v>7604</v>
      </c>
      <c r="F2404" s="116">
        <v>7536.45</v>
      </c>
      <c r="G2404">
        <v>3058</v>
      </c>
      <c r="H2404" s="116"/>
      <c r="I2404" s="116"/>
      <c r="L2404" s="170">
        <v>45545</v>
      </c>
      <c r="M2404" s="116">
        <v>7535.7</v>
      </c>
      <c r="N2404" s="116">
        <v>7640.85</v>
      </c>
      <c r="O2404" s="116">
        <v>7510</v>
      </c>
      <c r="P2404" s="116">
        <v>7600.9</v>
      </c>
      <c r="Q2404" s="116">
        <v>7535.7</v>
      </c>
      <c r="R2404">
        <v>175153</v>
      </c>
    </row>
    <row r="2405" spans="1:18" x14ac:dyDescent="0.25">
      <c r="A2405" s="170">
        <v>45546</v>
      </c>
      <c r="B2405" s="116">
        <v>7650</v>
      </c>
      <c r="C2405" s="116">
        <v>7568.05</v>
      </c>
      <c r="D2405" s="116">
        <v>7532.15</v>
      </c>
      <c r="E2405" s="116">
        <v>7536.6</v>
      </c>
      <c r="F2405" s="116">
        <v>7568.05</v>
      </c>
      <c r="G2405">
        <v>5480</v>
      </c>
      <c r="H2405" s="116"/>
      <c r="I2405" s="116"/>
      <c r="L2405" s="170">
        <v>45546</v>
      </c>
      <c r="M2405" s="116">
        <v>7568.95</v>
      </c>
      <c r="N2405" s="116">
        <v>7654.9</v>
      </c>
      <c r="O2405" s="116">
        <v>7532.55</v>
      </c>
      <c r="P2405" s="116">
        <v>7559.9</v>
      </c>
      <c r="Q2405" s="116">
        <v>7568.95</v>
      </c>
      <c r="R2405">
        <v>137928</v>
      </c>
    </row>
    <row r="2406" spans="1:18" x14ac:dyDescent="0.25">
      <c r="A2406" s="170">
        <v>45547</v>
      </c>
      <c r="B2406" s="116">
        <v>7750</v>
      </c>
      <c r="C2406" s="116">
        <v>7717.55</v>
      </c>
      <c r="D2406" s="116">
        <v>7621</v>
      </c>
      <c r="E2406" s="116">
        <v>7648.6</v>
      </c>
      <c r="F2406" s="116">
        <v>7717.55</v>
      </c>
      <c r="G2406">
        <v>2186</v>
      </c>
      <c r="H2406" s="116"/>
      <c r="I2406" s="116"/>
      <c r="L2406" s="170">
        <v>45547</v>
      </c>
      <c r="M2406" s="116">
        <v>7720.2</v>
      </c>
      <c r="N2406" s="116">
        <v>7756</v>
      </c>
      <c r="O2406" s="116">
        <v>7615.05</v>
      </c>
      <c r="P2406" s="116">
        <v>7622.1</v>
      </c>
      <c r="Q2406" s="116">
        <v>7720.2</v>
      </c>
      <c r="R2406">
        <v>267442</v>
      </c>
    </row>
    <row r="2407" spans="1:18" x14ac:dyDescent="0.25">
      <c r="A2407" s="170">
        <v>45548</v>
      </c>
      <c r="B2407" s="116">
        <v>7869.05</v>
      </c>
      <c r="C2407" s="116">
        <v>7687.45</v>
      </c>
      <c r="D2407" s="116">
        <v>7660</v>
      </c>
      <c r="E2407" s="116">
        <v>7797.05</v>
      </c>
      <c r="F2407" s="116">
        <v>7687.45</v>
      </c>
      <c r="G2407">
        <v>4759</v>
      </c>
      <c r="H2407" s="116"/>
      <c r="I2407" s="116"/>
      <c r="L2407" s="170">
        <v>45548</v>
      </c>
      <c r="M2407" s="116">
        <v>7684.4</v>
      </c>
      <c r="N2407" s="116">
        <v>7869.9</v>
      </c>
      <c r="O2407" s="116">
        <v>7652.3</v>
      </c>
      <c r="P2407" s="116">
        <v>7774.25</v>
      </c>
      <c r="Q2407" s="116">
        <v>7684.4</v>
      </c>
      <c r="R2407">
        <v>282303</v>
      </c>
    </row>
    <row r="2408" spans="1:18" x14ac:dyDescent="0.25">
      <c r="A2408" s="170">
        <v>45551</v>
      </c>
      <c r="B2408" s="116">
        <v>7896</v>
      </c>
      <c r="C2408" s="116">
        <v>7767.8</v>
      </c>
      <c r="D2408" s="116">
        <v>7700.45</v>
      </c>
      <c r="E2408" s="116">
        <v>7747.15</v>
      </c>
      <c r="F2408" s="116">
        <v>7767.8</v>
      </c>
      <c r="G2408">
        <v>14469</v>
      </c>
      <c r="H2408" s="116"/>
      <c r="I2408" s="116"/>
      <c r="L2408" s="170">
        <v>45551</v>
      </c>
      <c r="M2408" s="116">
        <v>7765.2</v>
      </c>
      <c r="N2408" s="116">
        <v>7897</v>
      </c>
      <c r="O2408" s="116">
        <v>7699.1</v>
      </c>
      <c r="P2408" s="116">
        <v>7730</v>
      </c>
      <c r="Q2408" s="116">
        <v>7765.2</v>
      </c>
      <c r="R2408">
        <v>355094</v>
      </c>
    </row>
    <row r="2409" spans="1:18" x14ac:dyDescent="0.25">
      <c r="A2409" s="170">
        <v>45552</v>
      </c>
      <c r="B2409" s="116">
        <v>7884</v>
      </c>
      <c r="C2409" s="116">
        <v>7870.7</v>
      </c>
      <c r="D2409" s="116">
        <v>7768</v>
      </c>
      <c r="E2409" s="116">
        <v>7780.45</v>
      </c>
      <c r="F2409" s="116">
        <v>7870.7</v>
      </c>
      <c r="G2409">
        <v>6236</v>
      </c>
      <c r="H2409" s="116"/>
      <c r="I2409" s="116"/>
      <c r="L2409" s="170">
        <v>45552</v>
      </c>
      <c r="M2409" s="116">
        <v>7873.65</v>
      </c>
      <c r="N2409" s="116">
        <v>7883.65</v>
      </c>
      <c r="O2409" s="116">
        <v>7762.55</v>
      </c>
      <c r="P2409" s="116">
        <v>7819.5</v>
      </c>
      <c r="Q2409" s="116">
        <v>7873.65</v>
      </c>
      <c r="R2409">
        <v>157996</v>
      </c>
    </row>
    <row r="2410" spans="1:18" x14ac:dyDescent="0.25">
      <c r="A2410" s="170">
        <v>45553</v>
      </c>
      <c r="B2410" s="116">
        <v>7920.6</v>
      </c>
      <c r="C2410" s="116">
        <v>7785.5</v>
      </c>
      <c r="D2410" s="116">
        <v>7760</v>
      </c>
      <c r="E2410" s="116">
        <v>7870.7</v>
      </c>
      <c r="F2410" s="116">
        <v>7785.5</v>
      </c>
      <c r="G2410">
        <v>2674</v>
      </c>
      <c r="H2410" s="116"/>
      <c r="I2410" s="116"/>
      <c r="L2410" s="170">
        <v>45553</v>
      </c>
      <c r="M2410" s="116">
        <v>7785.25</v>
      </c>
      <c r="N2410" s="116">
        <v>7917.5</v>
      </c>
      <c r="O2410" s="116">
        <v>7760</v>
      </c>
      <c r="P2410" s="116">
        <v>7873.65</v>
      </c>
      <c r="Q2410" s="116">
        <v>7785.25</v>
      </c>
      <c r="R2410">
        <v>164835</v>
      </c>
    </row>
    <row r="2411" spans="1:18" x14ac:dyDescent="0.25">
      <c r="A2411" s="170">
        <v>45554</v>
      </c>
      <c r="B2411" s="116">
        <v>7812</v>
      </c>
      <c r="C2411" s="116">
        <v>7502.65</v>
      </c>
      <c r="D2411" s="116">
        <v>7350.05</v>
      </c>
      <c r="E2411" s="116">
        <v>7787.35</v>
      </c>
      <c r="F2411" s="116">
        <v>7502.65</v>
      </c>
      <c r="G2411">
        <v>14740</v>
      </c>
      <c r="H2411" s="116"/>
      <c r="I2411" s="116"/>
      <c r="L2411" s="170">
        <v>45554</v>
      </c>
      <c r="M2411" s="116">
        <v>7502.7</v>
      </c>
      <c r="N2411" s="116">
        <v>7832.85</v>
      </c>
      <c r="O2411" s="116">
        <v>7350.05</v>
      </c>
      <c r="P2411" s="116">
        <v>7830</v>
      </c>
      <c r="Q2411" s="116">
        <v>7502.7</v>
      </c>
      <c r="R2411">
        <v>438617</v>
      </c>
    </row>
    <row r="2412" spans="1:18" x14ac:dyDescent="0.25">
      <c r="A2412" s="170">
        <v>45555</v>
      </c>
      <c r="B2412" s="116">
        <v>7769.95</v>
      </c>
      <c r="C2412" s="116">
        <v>7708.95</v>
      </c>
      <c r="D2412" s="116">
        <v>7510.55</v>
      </c>
      <c r="E2412" s="116">
        <v>7510.55</v>
      </c>
      <c r="F2412" s="116">
        <v>7708.95</v>
      </c>
      <c r="G2412">
        <v>5050</v>
      </c>
      <c r="H2412" s="116"/>
      <c r="I2412" s="116"/>
      <c r="L2412" s="170">
        <v>45555</v>
      </c>
      <c r="M2412" s="116">
        <v>7695.75</v>
      </c>
      <c r="N2412" s="116">
        <v>7769.8</v>
      </c>
      <c r="O2412" s="116">
        <v>7516.6</v>
      </c>
      <c r="P2412" s="116">
        <v>7560</v>
      </c>
      <c r="Q2412" s="116">
        <v>7695.75</v>
      </c>
      <c r="R2412">
        <v>474901</v>
      </c>
    </row>
    <row r="2413" spans="1:18" x14ac:dyDescent="0.25">
      <c r="A2413" s="170">
        <v>45558</v>
      </c>
      <c r="B2413" s="116">
        <v>7955</v>
      </c>
      <c r="C2413" s="116">
        <v>7936.25</v>
      </c>
      <c r="D2413" s="116">
        <v>7739</v>
      </c>
      <c r="E2413" s="116">
        <v>7739</v>
      </c>
      <c r="F2413" s="116">
        <v>7936.25</v>
      </c>
      <c r="G2413">
        <v>13028</v>
      </c>
      <c r="H2413" s="116"/>
      <c r="I2413" s="116"/>
      <c r="L2413" s="170">
        <v>45558</v>
      </c>
      <c r="M2413" s="116">
        <v>7939.65</v>
      </c>
      <c r="N2413" s="116">
        <v>7959</v>
      </c>
      <c r="O2413" s="116">
        <v>7750</v>
      </c>
      <c r="P2413" s="116">
        <v>7750</v>
      </c>
      <c r="Q2413" s="116">
        <v>7939.65</v>
      </c>
      <c r="R2413">
        <v>267031</v>
      </c>
    </row>
    <row r="2414" spans="1:18" x14ac:dyDescent="0.25">
      <c r="A2414" s="170">
        <v>45559</v>
      </c>
      <c r="B2414" s="116">
        <v>8100</v>
      </c>
      <c r="C2414" s="116">
        <v>8079</v>
      </c>
      <c r="D2414" s="116">
        <v>7888</v>
      </c>
      <c r="E2414" s="116">
        <v>7901.05</v>
      </c>
      <c r="F2414" s="116">
        <v>8079</v>
      </c>
      <c r="G2414">
        <v>6330</v>
      </c>
      <c r="H2414" s="116"/>
      <c r="I2414" s="116"/>
      <c r="L2414" s="170">
        <v>45559</v>
      </c>
      <c r="M2414" s="116">
        <v>8078.2</v>
      </c>
      <c r="N2414" s="116">
        <v>8100</v>
      </c>
      <c r="O2414" s="116">
        <v>7870</v>
      </c>
      <c r="P2414" s="116">
        <v>7870</v>
      </c>
      <c r="Q2414" s="116">
        <v>8078.2</v>
      </c>
      <c r="R2414">
        <v>333336</v>
      </c>
    </row>
    <row r="2415" spans="1:18" x14ac:dyDescent="0.25">
      <c r="A2415" s="170">
        <v>45560</v>
      </c>
      <c r="B2415" s="116">
        <v>8198</v>
      </c>
      <c r="C2415" s="116">
        <v>8173.95</v>
      </c>
      <c r="D2415" s="116">
        <v>7990.35</v>
      </c>
      <c r="E2415" s="116">
        <v>8078.45</v>
      </c>
      <c r="F2415" s="116">
        <v>8173.95</v>
      </c>
      <c r="G2415">
        <v>15631</v>
      </c>
      <c r="H2415" s="116"/>
      <c r="I2415" s="116"/>
      <c r="L2415" s="170">
        <v>45560</v>
      </c>
      <c r="M2415" s="116">
        <v>8178.35</v>
      </c>
      <c r="N2415" s="116">
        <v>8194.6</v>
      </c>
      <c r="O2415" s="116">
        <v>7992.45</v>
      </c>
      <c r="P2415" s="116">
        <v>8099</v>
      </c>
      <c r="Q2415" s="116">
        <v>8178.35</v>
      </c>
      <c r="R2415">
        <v>302067</v>
      </c>
    </row>
    <row r="2416" spans="1:18" x14ac:dyDescent="0.25">
      <c r="A2416" s="170">
        <v>45561</v>
      </c>
      <c r="B2416" s="116">
        <v>8214.9500000000007</v>
      </c>
      <c r="C2416" s="116">
        <v>8068.85</v>
      </c>
      <c r="D2416" s="116">
        <v>7968.7</v>
      </c>
      <c r="E2416" s="116">
        <v>8202</v>
      </c>
      <c r="F2416" s="116">
        <v>8068.85</v>
      </c>
      <c r="G2416">
        <v>5844</v>
      </c>
      <c r="H2416" s="116"/>
      <c r="I2416" s="116"/>
      <c r="L2416" s="170">
        <v>45561</v>
      </c>
      <c r="M2416" s="116">
        <v>8070.4</v>
      </c>
      <c r="N2416" s="116">
        <v>8214</v>
      </c>
      <c r="O2416" s="116">
        <v>7962.55</v>
      </c>
      <c r="P2416" s="116">
        <v>8214</v>
      </c>
      <c r="Q2416" s="116">
        <v>8070.4</v>
      </c>
      <c r="R2416">
        <v>231382</v>
      </c>
    </row>
    <row r="2417" spans="1:18" x14ac:dyDescent="0.25">
      <c r="A2417" s="170">
        <v>45562</v>
      </c>
      <c r="B2417" s="116">
        <v>8186.85</v>
      </c>
      <c r="C2417" s="116">
        <v>8129.7</v>
      </c>
      <c r="D2417" s="116">
        <v>8066.45</v>
      </c>
      <c r="E2417" s="116">
        <v>8114.2</v>
      </c>
      <c r="F2417" s="116">
        <v>8129.7</v>
      </c>
      <c r="G2417">
        <v>3771</v>
      </c>
      <c r="H2417" s="116"/>
      <c r="I2417" s="116"/>
      <c r="L2417" s="170">
        <v>45562</v>
      </c>
      <c r="M2417" s="116">
        <v>8133.45</v>
      </c>
      <c r="N2417" s="116">
        <v>8187.25</v>
      </c>
      <c r="O2417" s="116">
        <v>8065</v>
      </c>
      <c r="P2417" s="116">
        <v>8090</v>
      </c>
      <c r="Q2417" s="116">
        <v>8133.45</v>
      </c>
      <c r="R2417">
        <v>339640</v>
      </c>
    </row>
    <row r="2418" spans="1:18" x14ac:dyDescent="0.25">
      <c r="A2418" s="170">
        <v>45565</v>
      </c>
      <c r="B2418" s="116">
        <v>8188.75</v>
      </c>
      <c r="C2418" s="116">
        <v>8061.5</v>
      </c>
      <c r="D2418" s="116">
        <v>8010</v>
      </c>
      <c r="E2418" s="116">
        <v>8010</v>
      </c>
      <c r="F2418" s="116">
        <v>8061.5</v>
      </c>
      <c r="G2418">
        <v>2659</v>
      </c>
      <c r="H2418" s="116"/>
      <c r="I2418" s="116"/>
      <c r="L2418" s="170">
        <v>45565</v>
      </c>
      <c r="M2418" s="116">
        <v>8055</v>
      </c>
      <c r="N2418" s="116">
        <v>8196</v>
      </c>
      <c r="O2418" s="116">
        <v>7975</v>
      </c>
      <c r="P2418" s="116">
        <v>7975</v>
      </c>
      <c r="Q2418" s="116">
        <v>8055</v>
      </c>
      <c r="R2418">
        <v>266470</v>
      </c>
    </row>
    <row r="2419" spans="1:18" x14ac:dyDescent="0.25">
      <c r="A2419" s="170">
        <v>45566</v>
      </c>
      <c r="B2419" s="116">
        <v>8300</v>
      </c>
      <c r="C2419" s="116">
        <v>8265.6</v>
      </c>
      <c r="D2419" s="116">
        <v>8061.55</v>
      </c>
      <c r="E2419" s="116">
        <v>8061.55</v>
      </c>
      <c r="F2419" s="116">
        <v>8265.6</v>
      </c>
      <c r="G2419">
        <v>19291</v>
      </c>
      <c r="H2419" s="116"/>
      <c r="I2419" s="116"/>
      <c r="L2419" s="170">
        <v>45566</v>
      </c>
      <c r="M2419" s="116">
        <v>8268.1</v>
      </c>
      <c r="N2419" s="116">
        <v>8303.25</v>
      </c>
      <c r="O2419" s="116">
        <v>8085.05</v>
      </c>
      <c r="P2419" s="116">
        <v>8100</v>
      </c>
      <c r="Q2419" s="116">
        <v>8268.1</v>
      </c>
      <c r="R2419">
        <v>368953</v>
      </c>
    </row>
    <row r="2420" spans="1:18" x14ac:dyDescent="0.25">
      <c r="A2420" s="170">
        <v>45568</v>
      </c>
      <c r="B2420" s="116">
        <v>8250</v>
      </c>
      <c r="C2420" s="116">
        <v>8107.95</v>
      </c>
      <c r="D2420" s="116">
        <v>8045.85</v>
      </c>
      <c r="E2420" s="116">
        <v>8200</v>
      </c>
      <c r="F2420" s="116">
        <v>8107.95</v>
      </c>
      <c r="G2420">
        <v>11191</v>
      </c>
      <c r="H2420" s="116"/>
      <c r="I2420" s="116"/>
      <c r="L2420" s="170">
        <v>45568</v>
      </c>
      <c r="M2420" s="116">
        <v>8110.3</v>
      </c>
      <c r="N2420" s="116">
        <v>8260</v>
      </c>
      <c r="O2420" s="116">
        <v>8045.8</v>
      </c>
      <c r="P2420" s="116">
        <v>8201</v>
      </c>
      <c r="Q2420" s="116">
        <v>8110.3</v>
      </c>
      <c r="R2420">
        <v>320792</v>
      </c>
    </row>
    <row r="2421" spans="1:18" x14ac:dyDescent="0.25">
      <c r="A2421" s="170">
        <v>45569</v>
      </c>
      <c r="B2421" s="116">
        <v>8109.95</v>
      </c>
      <c r="C2421" s="116">
        <v>7937.8</v>
      </c>
      <c r="D2421" s="116">
        <v>7877.85</v>
      </c>
      <c r="E2421" s="116">
        <v>8109.95</v>
      </c>
      <c r="F2421" s="116">
        <v>7937.8</v>
      </c>
      <c r="G2421">
        <v>4333</v>
      </c>
      <c r="H2421" s="116"/>
      <c r="I2421" s="116"/>
      <c r="L2421" s="170">
        <v>45569</v>
      </c>
      <c r="M2421" s="116">
        <v>7930.4</v>
      </c>
      <c r="N2421" s="116">
        <v>8104.2</v>
      </c>
      <c r="O2421" s="116">
        <v>7880</v>
      </c>
      <c r="P2421" s="116">
        <v>8090.05</v>
      </c>
      <c r="Q2421" s="116">
        <v>7930.4</v>
      </c>
      <c r="R2421">
        <v>305714</v>
      </c>
    </row>
    <row r="2422" spans="1:18" x14ac:dyDescent="0.25">
      <c r="A2422" s="170">
        <v>45572</v>
      </c>
      <c r="B2422" s="116">
        <v>8058.3</v>
      </c>
      <c r="C2422" s="116">
        <v>7758.05</v>
      </c>
      <c r="D2422" s="116">
        <v>7671.7</v>
      </c>
      <c r="E2422" s="116">
        <v>7841.85</v>
      </c>
      <c r="F2422" s="116">
        <v>7758.05</v>
      </c>
      <c r="G2422">
        <v>11778</v>
      </c>
      <c r="H2422" s="116"/>
      <c r="I2422" s="116"/>
      <c r="L2422" s="170">
        <v>45572</v>
      </c>
      <c r="M2422" s="116">
        <v>7758.3</v>
      </c>
      <c r="N2422" s="116">
        <v>8060</v>
      </c>
      <c r="O2422" s="116">
        <v>7672.15</v>
      </c>
      <c r="P2422" s="116">
        <v>7903</v>
      </c>
      <c r="Q2422" s="116">
        <v>7758.3</v>
      </c>
      <c r="R2422">
        <v>193223</v>
      </c>
    </row>
    <row r="2423" spans="1:18" x14ac:dyDescent="0.25">
      <c r="A2423" s="170">
        <v>45573</v>
      </c>
      <c r="B2423" s="116">
        <v>8177.95</v>
      </c>
      <c r="C2423" s="116">
        <v>8152</v>
      </c>
      <c r="D2423" s="116">
        <v>7744.75</v>
      </c>
      <c r="E2423" s="116">
        <v>7744.75</v>
      </c>
      <c r="F2423" s="116">
        <v>8152</v>
      </c>
      <c r="G2423">
        <v>5914</v>
      </c>
      <c r="H2423" s="116"/>
      <c r="I2423" s="116"/>
      <c r="L2423" s="170">
        <v>45573</v>
      </c>
      <c r="M2423" s="116">
        <v>8154.65</v>
      </c>
      <c r="N2423" s="116">
        <v>8177</v>
      </c>
      <c r="O2423" s="116">
        <v>7745.05</v>
      </c>
      <c r="P2423" s="116">
        <v>7769.95</v>
      </c>
      <c r="Q2423" s="116">
        <v>8154.65</v>
      </c>
      <c r="R2423">
        <v>190857</v>
      </c>
    </row>
    <row r="2424" spans="1:18" x14ac:dyDescent="0.25">
      <c r="A2424" s="170">
        <v>45574</v>
      </c>
      <c r="B2424" s="116">
        <v>8577.15</v>
      </c>
      <c r="C2424" s="116">
        <v>8460.7000000000007</v>
      </c>
      <c r="D2424" s="116">
        <v>8095.45</v>
      </c>
      <c r="E2424" s="116">
        <v>8178.05</v>
      </c>
      <c r="F2424" s="116">
        <v>8460.7000000000007</v>
      </c>
      <c r="G2424">
        <v>12798</v>
      </c>
      <c r="H2424" s="116"/>
      <c r="I2424" s="116"/>
      <c r="L2424" s="170">
        <v>45574</v>
      </c>
      <c r="M2424" s="116">
        <v>8458.0499999999993</v>
      </c>
      <c r="N2424" s="116">
        <v>8579.7999999999993</v>
      </c>
      <c r="O2424" s="116">
        <v>8080.8</v>
      </c>
      <c r="P2424" s="116">
        <v>8152.75</v>
      </c>
      <c r="Q2424" s="116">
        <v>8458.0499999999993</v>
      </c>
      <c r="R2424">
        <v>567692</v>
      </c>
    </row>
    <row r="2425" spans="1:18" x14ac:dyDescent="0.25">
      <c r="A2425" s="170">
        <v>45575</v>
      </c>
      <c r="B2425" s="116">
        <v>8625</v>
      </c>
      <c r="C2425" s="116">
        <v>8504.9500000000007</v>
      </c>
      <c r="D2425" s="116">
        <v>8441.9500000000007</v>
      </c>
      <c r="E2425" s="116">
        <v>8485.1</v>
      </c>
      <c r="F2425" s="116">
        <v>8504.9500000000007</v>
      </c>
      <c r="G2425">
        <v>13726</v>
      </c>
      <c r="H2425" s="116"/>
      <c r="I2425" s="116"/>
      <c r="L2425" s="170">
        <v>45575</v>
      </c>
      <c r="M2425" s="116">
        <v>8510.2999999999993</v>
      </c>
      <c r="N2425" s="116">
        <v>8619.7000000000007</v>
      </c>
      <c r="O2425" s="116">
        <v>8444</v>
      </c>
      <c r="P2425" s="116">
        <v>8499</v>
      </c>
      <c r="Q2425" s="116">
        <v>8510.2999999999993</v>
      </c>
      <c r="R2425">
        <v>321074</v>
      </c>
    </row>
    <row r="2426" spans="1:18" x14ac:dyDescent="0.25">
      <c r="A2426" s="170">
        <v>45576</v>
      </c>
      <c r="B2426" s="116">
        <v>8605</v>
      </c>
      <c r="C2426" s="116">
        <v>8548.6</v>
      </c>
      <c r="D2426" s="116">
        <v>8430</v>
      </c>
      <c r="E2426" s="116">
        <v>8481.1</v>
      </c>
      <c r="F2426" s="116">
        <v>8548.6</v>
      </c>
      <c r="G2426">
        <v>5800</v>
      </c>
      <c r="H2426" s="116"/>
      <c r="I2426" s="116"/>
      <c r="L2426" s="170">
        <v>45576</v>
      </c>
      <c r="M2426" s="116">
        <v>8553.7000000000007</v>
      </c>
      <c r="N2426" s="116">
        <v>8608</v>
      </c>
      <c r="O2426" s="116">
        <v>8421.35</v>
      </c>
      <c r="P2426" s="116">
        <v>8505.35</v>
      </c>
      <c r="Q2426" s="116">
        <v>8553.7000000000007</v>
      </c>
      <c r="R2426">
        <v>226675</v>
      </c>
    </row>
    <row r="2427" spans="1:18" x14ac:dyDescent="0.25">
      <c r="A2427" s="170">
        <v>45579</v>
      </c>
      <c r="B2427" s="116">
        <v>8692.25</v>
      </c>
      <c r="C2427" s="116">
        <v>8566.2000000000007</v>
      </c>
      <c r="D2427" s="116">
        <v>8556</v>
      </c>
      <c r="E2427" s="116">
        <v>8644.9500000000007</v>
      </c>
      <c r="F2427" s="116">
        <v>8566.2000000000007</v>
      </c>
      <c r="G2427">
        <v>6085</v>
      </c>
      <c r="H2427" s="116"/>
      <c r="I2427" s="116"/>
      <c r="L2427" s="170">
        <v>45579</v>
      </c>
      <c r="M2427" s="116">
        <v>8570.5</v>
      </c>
      <c r="N2427" s="116">
        <v>8689</v>
      </c>
      <c r="O2427" s="116">
        <v>8539.25</v>
      </c>
      <c r="P2427" s="116">
        <v>8592.6</v>
      </c>
      <c r="Q2427" s="116">
        <v>8570.5</v>
      </c>
      <c r="R2427">
        <v>181469</v>
      </c>
    </row>
    <row r="2428" spans="1:18" x14ac:dyDescent="0.25">
      <c r="A2428" s="170">
        <v>45580</v>
      </c>
      <c r="B2428" s="116">
        <v>8675</v>
      </c>
      <c r="C2428" s="116">
        <v>8642.85</v>
      </c>
      <c r="D2428" s="116">
        <v>8548.4</v>
      </c>
      <c r="E2428" s="116">
        <v>8570.5</v>
      </c>
      <c r="F2428" s="116">
        <v>8642.85</v>
      </c>
      <c r="G2428">
        <v>1808</v>
      </c>
      <c r="H2428" s="116"/>
      <c r="I2428" s="116"/>
      <c r="L2428" s="170">
        <v>45580</v>
      </c>
      <c r="M2428" s="116">
        <v>8648.2999999999993</v>
      </c>
      <c r="N2428" s="116">
        <v>8678</v>
      </c>
      <c r="O2428" s="116">
        <v>8545</v>
      </c>
      <c r="P2428" s="116">
        <v>8620</v>
      </c>
      <c r="Q2428" s="116">
        <v>8648.2999999999993</v>
      </c>
      <c r="R2428">
        <v>192358</v>
      </c>
    </row>
    <row r="2429" spans="1:18" x14ac:dyDescent="0.25">
      <c r="A2429" s="170">
        <v>45581</v>
      </c>
      <c r="B2429" s="116">
        <v>8941.4500000000007</v>
      </c>
      <c r="C2429" s="116">
        <v>8769</v>
      </c>
      <c r="D2429" s="116">
        <v>8623.25</v>
      </c>
      <c r="E2429" s="116">
        <v>8623.25</v>
      </c>
      <c r="F2429" s="116">
        <v>8769</v>
      </c>
      <c r="G2429">
        <v>12655</v>
      </c>
      <c r="H2429" s="116"/>
      <c r="I2429" s="116"/>
      <c r="L2429" s="170">
        <v>45581</v>
      </c>
      <c r="M2429" s="116">
        <v>8769.35</v>
      </c>
      <c r="N2429" s="116">
        <v>8940.6</v>
      </c>
      <c r="O2429" s="116">
        <v>8617.5</v>
      </c>
      <c r="P2429" s="116">
        <v>8680</v>
      </c>
      <c r="Q2429" s="116">
        <v>8769.35</v>
      </c>
      <c r="R2429">
        <v>660651</v>
      </c>
    </row>
    <row r="2430" spans="1:18" x14ac:dyDescent="0.25">
      <c r="A2430" s="170">
        <v>45582</v>
      </c>
      <c r="B2430" s="116">
        <v>8810.9500000000007</v>
      </c>
      <c r="C2430" s="116">
        <v>8686.15</v>
      </c>
      <c r="D2430" s="116">
        <v>8417.5499999999993</v>
      </c>
      <c r="E2430" s="116">
        <v>8769</v>
      </c>
      <c r="F2430" s="116">
        <v>8686.15</v>
      </c>
      <c r="G2430">
        <v>8735</v>
      </c>
      <c r="H2430" s="116"/>
      <c r="I2430" s="116"/>
      <c r="L2430" s="170">
        <v>45582</v>
      </c>
      <c r="M2430" s="116">
        <v>8690.7000000000007</v>
      </c>
      <c r="N2430" s="116">
        <v>8815</v>
      </c>
      <c r="O2430" s="116">
        <v>8420.0499999999993</v>
      </c>
      <c r="P2430" s="116">
        <v>8775</v>
      </c>
      <c r="Q2430" s="116">
        <v>8690.7000000000007</v>
      </c>
      <c r="R2430">
        <v>407941</v>
      </c>
    </row>
    <row r="2431" spans="1:18" x14ac:dyDescent="0.25">
      <c r="A2431" s="170">
        <v>45583</v>
      </c>
      <c r="B2431" s="116">
        <v>8851</v>
      </c>
      <c r="C2431" s="116">
        <v>8780.4500000000007</v>
      </c>
      <c r="D2431" s="116">
        <v>8560</v>
      </c>
      <c r="E2431" s="116">
        <v>8680</v>
      </c>
      <c r="F2431" s="116">
        <v>8780.4500000000007</v>
      </c>
      <c r="G2431">
        <v>8019</v>
      </c>
      <c r="H2431" s="116"/>
      <c r="I2431" s="116"/>
      <c r="L2431" s="170">
        <v>45583</v>
      </c>
      <c r="M2431" s="116">
        <v>8783</v>
      </c>
      <c r="N2431" s="116">
        <v>8850</v>
      </c>
      <c r="O2431" s="116">
        <v>8560.0499999999993</v>
      </c>
      <c r="P2431" s="116">
        <v>8669.0499999999993</v>
      </c>
      <c r="Q2431" s="116">
        <v>8783</v>
      </c>
      <c r="R2431">
        <v>197602</v>
      </c>
    </row>
    <row r="2432" spans="1:18" x14ac:dyDescent="0.25">
      <c r="A2432" s="170">
        <v>45586</v>
      </c>
      <c r="B2432" s="116">
        <v>8873.7000000000007</v>
      </c>
      <c r="C2432" s="116">
        <v>8279.9</v>
      </c>
      <c r="D2432" s="116">
        <v>8260.7999999999993</v>
      </c>
      <c r="E2432" s="116">
        <v>8849.9</v>
      </c>
      <c r="F2432" s="116">
        <v>8279.9</v>
      </c>
      <c r="G2432">
        <v>8934</v>
      </c>
      <c r="H2432" s="116"/>
      <c r="I2432" s="116"/>
      <c r="L2432" s="170">
        <v>45586</v>
      </c>
      <c r="M2432" s="116">
        <v>8279.7000000000007</v>
      </c>
      <c r="N2432" s="116">
        <v>8871.2999999999993</v>
      </c>
      <c r="O2432" s="116">
        <v>8260</v>
      </c>
      <c r="P2432" s="116">
        <v>8830.1</v>
      </c>
      <c r="Q2432" s="116">
        <v>8279.7000000000007</v>
      </c>
      <c r="R2432">
        <v>337458</v>
      </c>
    </row>
    <row r="2433" spans="1:18" x14ac:dyDescent="0.25">
      <c r="A2433" s="170">
        <v>45587</v>
      </c>
      <c r="B2433" s="116">
        <v>8380.9</v>
      </c>
      <c r="C2433" s="116">
        <v>8174.45</v>
      </c>
      <c r="D2433" s="116">
        <v>8153.05</v>
      </c>
      <c r="E2433" s="116">
        <v>8265.0499999999993</v>
      </c>
      <c r="F2433" s="116">
        <v>8174.45</v>
      </c>
      <c r="G2433">
        <v>13003</v>
      </c>
      <c r="H2433" s="116"/>
      <c r="I2433" s="116"/>
      <c r="L2433" s="170">
        <v>45587</v>
      </c>
      <c r="M2433" s="116">
        <v>8177.55</v>
      </c>
      <c r="N2433" s="116">
        <v>8378</v>
      </c>
      <c r="O2433" s="116">
        <v>8155.05</v>
      </c>
      <c r="P2433" s="116">
        <v>8271.25</v>
      </c>
      <c r="Q2433" s="116">
        <v>8177.55</v>
      </c>
      <c r="R2433">
        <v>267921</v>
      </c>
    </row>
    <row r="2434" spans="1:18" x14ac:dyDescent="0.25">
      <c r="A2434" s="170">
        <v>45588</v>
      </c>
      <c r="B2434" s="116">
        <v>8186.9</v>
      </c>
      <c r="C2434" s="116">
        <v>7705.4</v>
      </c>
      <c r="D2434" s="116">
        <v>7613.5</v>
      </c>
      <c r="E2434" s="116">
        <v>8174.45</v>
      </c>
      <c r="F2434" s="116">
        <v>7705.4</v>
      </c>
      <c r="G2434">
        <v>13545</v>
      </c>
      <c r="H2434" s="116"/>
      <c r="I2434" s="116"/>
      <c r="L2434" s="170">
        <v>45588</v>
      </c>
      <c r="M2434" s="116">
        <v>7703.8</v>
      </c>
      <c r="N2434" s="116">
        <v>8199.9</v>
      </c>
      <c r="O2434" s="116">
        <v>7620.25</v>
      </c>
      <c r="P2434" s="116">
        <v>8150.05</v>
      </c>
      <c r="Q2434" s="116">
        <v>7703.8</v>
      </c>
      <c r="R2434">
        <v>553732</v>
      </c>
    </row>
    <row r="2435" spans="1:18" x14ac:dyDescent="0.25">
      <c r="A2435" s="170">
        <v>45589</v>
      </c>
      <c r="B2435" s="116">
        <v>7905.8</v>
      </c>
      <c r="C2435" s="116">
        <v>7644.75</v>
      </c>
      <c r="D2435" s="116">
        <v>7581.9</v>
      </c>
      <c r="E2435" s="116">
        <v>7749.75</v>
      </c>
      <c r="F2435" s="116">
        <v>7644.75</v>
      </c>
      <c r="G2435">
        <v>11474</v>
      </c>
      <c r="H2435" s="116"/>
      <c r="I2435" s="116"/>
      <c r="L2435" s="170">
        <v>45589</v>
      </c>
      <c r="M2435" s="116">
        <v>7648.1</v>
      </c>
      <c r="N2435" s="116">
        <v>7905</v>
      </c>
      <c r="O2435" s="116">
        <v>7581.25</v>
      </c>
      <c r="P2435" s="116">
        <v>7775</v>
      </c>
      <c r="Q2435" s="116">
        <v>7648.1</v>
      </c>
      <c r="R2435">
        <v>482630</v>
      </c>
    </row>
    <row r="2436" spans="1:18" x14ac:dyDescent="0.25">
      <c r="A2436" s="170">
        <v>45590</v>
      </c>
      <c r="B2436" s="116">
        <v>7736.2</v>
      </c>
      <c r="C2436" s="116">
        <v>7518.6</v>
      </c>
      <c r="D2436" s="116">
        <v>7415.4</v>
      </c>
      <c r="E2436" s="116">
        <v>7655.05</v>
      </c>
      <c r="F2436" s="116">
        <v>7518.6</v>
      </c>
      <c r="G2436">
        <v>7418</v>
      </c>
      <c r="H2436" s="116"/>
      <c r="I2436" s="116"/>
      <c r="L2436" s="170">
        <v>45590</v>
      </c>
      <c r="M2436" s="116">
        <v>7521.65</v>
      </c>
      <c r="N2436" s="116">
        <v>7737.35</v>
      </c>
      <c r="O2436" s="116">
        <v>7415.1</v>
      </c>
      <c r="P2436" s="116">
        <v>7716.7</v>
      </c>
      <c r="Q2436" s="116">
        <v>7521.65</v>
      </c>
      <c r="R2436">
        <v>287311</v>
      </c>
    </row>
    <row r="2437" spans="1:18" x14ac:dyDescent="0.25">
      <c r="A2437" s="170">
        <v>45593</v>
      </c>
      <c r="B2437" s="116">
        <v>7590.25</v>
      </c>
      <c r="C2437" s="116">
        <v>7337.45</v>
      </c>
      <c r="D2437" s="116">
        <v>7320</v>
      </c>
      <c r="E2437" s="116">
        <v>7518.6</v>
      </c>
      <c r="F2437" s="116">
        <v>7337.45</v>
      </c>
      <c r="G2437">
        <v>6687</v>
      </c>
      <c r="H2437" s="116"/>
      <c r="I2437" s="116"/>
      <c r="L2437" s="170">
        <v>45593</v>
      </c>
      <c r="M2437" s="116">
        <v>7338.95</v>
      </c>
      <c r="N2437" s="116">
        <v>7587.7</v>
      </c>
      <c r="O2437" s="116">
        <v>7317</v>
      </c>
      <c r="P2437" s="116">
        <v>7520</v>
      </c>
      <c r="Q2437" s="116">
        <v>7338.95</v>
      </c>
      <c r="R2437">
        <v>497757</v>
      </c>
    </row>
    <row r="2438" spans="1:18" x14ac:dyDescent="0.25">
      <c r="A2438" s="170">
        <v>45594</v>
      </c>
      <c r="B2438" s="116">
        <v>7510</v>
      </c>
      <c r="C2438" s="116">
        <v>7493.05</v>
      </c>
      <c r="D2438" s="116">
        <v>7198.45</v>
      </c>
      <c r="E2438" s="116">
        <v>7345.05</v>
      </c>
      <c r="F2438" s="116">
        <v>7493.05</v>
      </c>
      <c r="G2438">
        <v>9500</v>
      </c>
      <c r="H2438" s="116"/>
      <c r="I2438" s="116"/>
      <c r="L2438" s="170">
        <v>45594</v>
      </c>
      <c r="M2438" s="116">
        <v>7492.5</v>
      </c>
      <c r="N2438" s="116">
        <v>7507.95</v>
      </c>
      <c r="O2438" s="116">
        <v>7200.05</v>
      </c>
      <c r="P2438" s="116">
        <v>7339.5</v>
      </c>
      <c r="Q2438" s="116">
        <v>7492.5</v>
      </c>
      <c r="R2438">
        <v>352099</v>
      </c>
    </row>
    <row r="2439" spans="1:18" x14ac:dyDescent="0.25">
      <c r="A2439" s="170">
        <v>45595</v>
      </c>
      <c r="B2439" s="116">
        <v>7533.2</v>
      </c>
      <c r="C2439" s="116">
        <v>7421.45</v>
      </c>
      <c r="D2439" s="116">
        <v>7391</v>
      </c>
      <c r="E2439" s="116">
        <v>7500</v>
      </c>
      <c r="F2439" s="116">
        <v>7421.45</v>
      </c>
      <c r="G2439">
        <v>8477</v>
      </c>
      <c r="H2439" s="116"/>
      <c r="I2439" s="116"/>
      <c r="L2439" s="170">
        <v>45595</v>
      </c>
      <c r="M2439" s="116">
        <v>7426.9</v>
      </c>
      <c r="N2439" s="116">
        <v>7531.3</v>
      </c>
      <c r="O2439" s="116">
        <v>7390</v>
      </c>
      <c r="P2439" s="116">
        <v>7503.45</v>
      </c>
      <c r="Q2439" s="116">
        <v>7426.9</v>
      </c>
      <c r="R2439">
        <v>262509</v>
      </c>
    </row>
    <row r="2440" spans="1:18" x14ac:dyDescent="0.25">
      <c r="A2440" s="170">
        <v>45596</v>
      </c>
      <c r="B2440" s="116">
        <v>7479.55</v>
      </c>
      <c r="C2440" s="116">
        <v>7436.8</v>
      </c>
      <c r="D2440" s="116">
        <v>7317.55</v>
      </c>
      <c r="E2440" s="116">
        <v>7479.55</v>
      </c>
      <c r="F2440" s="116">
        <v>7436.8</v>
      </c>
      <c r="G2440">
        <v>7129</v>
      </c>
      <c r="H2440" s="116"/>
      <c r="I2440" s="116"/>
      <c r="L2440" s="170">
        <v>45596</v>
      </c>
      <c r="M2440" s="116">
        <v>7429.45</v>
      </c>
      <c r="N2440" s="116">
        <v>7479.85</v>
      </c>
      <c r="O2440" s="116">
        <v>7318.05</v>
      </c>
      <c r="P2440" s="116">
        <v>7460</v>
      </c>
      <c r="Q2440" s="116">
        <v>7429.45</v>
      </c>
      <c r="R2440">
        <v>520624</v>
      </c>
    </row>
    <row r="2441" spans="1:18" x14ac:dyDescent="0.25">
      <c r="A2441" s="170">
        <v>45597</v>
      </c>
      <c r="B2441" s="116">
        <v>7500</v>
      </c>
      <c r="C2441" s="116">
        <v>7427.85</v>
      </c>
      <c r="D2441" s="116">
        <v>7379.05</v>
      </c>
      <c r="E2441" s="116">
        <v>7436.85</v>
      </c>
      <c r="F2441" s="116">
        <v>7427.85</v>
      </c>
      <c r="G2441">
        <v>2849</v>
      </c>
      <c r="H2441" s="116"/>
      <c r="I2441" s="116"/>
      <c r="L2441" s="170">
        <v>45597</v>
      </c>
      <c r="M2441" s="116">
        <v>7430.4</v>
      </c>
      <c r="N2441" s="116">
        <v>7500</v>
      </c>
      <c r="O2441" s="116">
        <v>7384</v>
      </c>
      <c r="P2441" s="116">
        <v>7474</v>
      </c>
      <c r="Q2441" s="116">
        <v>7430.4</v>
      </c>
      <c r="R2441">
        <v>39200</v>
      </c>
    </row>
    <row r="2442" spans="1:18" x14ac:dyDescent="0.25">
      <c r="A2442" s="170">
        <v>45600</v>
      </c>
      <c r="B2442" s="116">
        <v>7466.3</v>
      </c>
      <c r="C2442" s="116">
        <v>7362.35</v>
      </c>
      <c r="D2442" s="116">
        <v>7261</v>
      </c>
      <c r="E2442" s="116">
        <v>7466.3</v>
      </c>
      <c r="F2442" s="116">
        <v>7362.35</v>
      </c>
      <c r="G2442">
        <v>9507</v>
      </c>
      <c r="H2442" s="116"/>
      <c r="I2442" s="116"/>
      <c r="L2442" s="170">
        <v>45600</v>
      </c>
      <c r="M2442" s="116">
        <v>7360.85</v>
      </c>
      <c r="N2442" s="116">
        <v>7452</v>
      </c>
      <c r="O2442" s="116">
        <v>7261</v>
      </c>
      <c r="P2442" s="116">
        <v>7444</v>
      </c>
      <c r="Q2442" s="116">
        <v>7360.85</v>
      </c>
      <c r="R2442">
        <v>331535</v>
      </c>
    </row>
    <row r="2443" spans="1:18" x14ac:dyDescent="0.25">
      <c r="A2443" s="170">
        <v>45601</v>
      </c>
      <c r="B2443" s="116">
        <v>7439.85</v>
      </c>
      <c r="C2443" s="116">
        <v>7126.45</v>
      </c>
      <c r="D2443" s="116">
        <v>6934.3</v>
      </c>
      <c r="E2443" s="116">
        <v>7401</v>
      </c>
      <c r="F2443" s="116">
        <v>7126.45</v>
      </c>
      <c r="G2443">
        <v>68404</v>
      </c>
      <c r="H2443" s="116"/>
      <c r="I2443" s="116"/>
      <c r="L2443" s="170">
        <v>45601</v>
      </c>
      <c r="M2443" s="116">
        <v>7132.85</v>
      </c>
      <c r="N2443" s="116">
        <v>7438.5</v>
      </c>
      <c r="O2443" s="116">
        <v>6935</v>
      </c>
      <c r="P2443" s="116">
        <v>7400.95</v>
      </c>
      <c r="Q2443" s="116">
        <v>7132.85</v>
      </c>
      <c r="R2443">
        <v>2177411</v>
      </c>
    </row>
    <row r="2444" spans="1:18" x14ac:dyDescent="0.25">
      <c r="A2444" s="170">
        <v>45602</v>
      </c>
      <c r="B2444" s="116">
        <v>7200</v>
      </c>
      <c r="C2444" s="116">
        <v>7168.35</v>
      </c>
      <c r="D2444" s="116">
        <v>7036.75</v>
      </c>
      <c r="E2444" s="116">
        <v>7174.75</v>
      </c>
      <c r="F2444" s="116">
        <v>7168.35</v>
      </c>
      <c r="G2444">
        <v>18131</v>
      </c>
      <c r="H2444" s="116"/>
      <c r="I2444" s="116"/>
      <c r="L2444" s="170">
        <v>45602</v>
      </c>
      <c r="M2444" s="116">
        <v>7164.05</v>
      </c>
      <c r="N2444" s="116">
        <v>7197.95</v>
      </c>
      <c r="O2444" s="116">
        <v>7037.1</v>
      </c>
      <c r="P2444" s="116">
        <v>7150</v>
      </c>
      <c r="Q2444" s="116">
        <v>7164.05</v>
      </c>
      <c r="R2444">
        <v>658234</v>
      </c>
    </row>
    <row r="2445" spans="1:18" x14ac:dyDescent="0.25">
      <c r="A2445" s="170">
        <v>45603</v>
      </c>
      <c r="B2445" s="116">
        <v>7244.9</v>
      </c>
      <c r="C2445" s="116">
        <v>6996.05</v>
      </c>
      <c r="D2445" s="116">
        <v>6975.35</v>
      </c>
      <c r="E2445" s="116">
        <v>7190</v>
      </c>
      <c r="F2445" s="116">
        <v>6996.05</v>
      </c>
      <c r="G2445">
        <v>16903</v>
      </c>
      <c r="H2445" s="116"/>
      <c r="I2445" s="116"/>
      <c r="L2445" s="170">
        <v>45603</v>
      </c>
      <c r="M2445" s="116">
        <v>6999.75</v>
      </c>
      <c r="N2445" s="116">
        <v>7240.55</v>
      </c>
      <c r="O2445" s="116">
        <v>6975.1</v>
      </c>
      <c r="P2445" s="116">
        <v>7190</v>
      </c>
      <c r="Q2445" s="116">
        <v>6999.75</v>
      </c>
      <c r="R2445">
        <v>418991</v>
      </c>
    </row>
    <row r="2446" spans="1:18" x14ac:dyDescent="0.25">
      <c r="A2446" s="170">
        <v>45604</v>
      </c>
      <c r="B2446" s="116">
        <v>7115.85</v>
      </c>
      <c r="C2446" s="116">
        <v>7039.5</v>
      </c>
      <c r="D2446" s="116">
        <v>6948.05</v>
      </c>
      <c r="E2446" s="116">
        <v>6996.1</v>
      </c>
      <c r="F2446" s="116">
        <v>7039.5</v>
      </c>
      <c r="G2446">
        <v>8708</v>
      </c>
      <c r="H2446" s="116"/>
      <c r="I2446" s="116"/>
      <c r="L2446" s="170">
        <v>45604</v>
      </c>
      <c r="M2446" s="116">
        <v>7045.45</v>
      </c>
      <c r="N2446" s="116">
        <v>7118.9</v>
      </c>
      <c r="O2446" s="116">
        <v>6949</v>
      </c>
      <c r="P2446" s="116">
        <v>7030.05</v>
      </c>
      <c r="Q2446" s="116">
        <v>7045.45</v>
      </c>
      <c r="R2446">
        <v>565723</v>
      </c>
    </row>
    <row r="2447" spans="1:18" x14ac:dyDescent="0.25">
      <c r="A2447" s="170">
        <v>45607</v>
      </c>
      <c r="B2447" s="116">
        <v>7264.25</v>
      </c>
      <c r="C2447" s="116">
        <v>7234.05</v>
      </c>
      <c r="D2447" s="116">
        <v>6955.6</v>
      </c>
      <c r="E2447" s="116">
        <v>6955.6</v>
      </c>
      <c r="F2447" s="116">
        <v>7234.05</v>
      </c>
      <c r="G2447">
        <v>8700</v>
      </c>
      <c r="H2447" s="116"/>
      <c r="I2447" s="116"/>
      <c r="L2447" s="170">
        <v>45607</v>
      </c>
      <c r="M2447" s="116">
        <v>7237.8</v>
      </c>
      <c r="N2447" s="116">
        <v>7268.15</v>
      </c>
      <c r="O2447" s="116">
        <v>6995.35</v>
      </c>
      <c r="P2447" s="116">
        <v>7040</v>
      </c>
      <c r="Q2447" s="116">
        <v>7237.8</v>
      </c>
      <c r="R2447">
        <v>408263</v>
      </c>
    </row>
    <row r="2448" spans="1:18" x14ac:dyDescent="0.25">
      <c r="A2448" s="170">
        <v>45608</v>
      </c>
      <c r="B2448" s="116">
        <v>7314.45</v>
      </c>
      <c r="C2448" s="116">
        <v>6961.25</v>
      </c>
      <c r="D2448" s="116">
        <v>6930.7</v>
      </c>
      <c r="E2448" s="116">
        <v>7294.95</v>
      </c>
      <c r="F2448" s="116">
        <v>6961.25</v>
      </c>
      <c r="G2448">
        <v>8170</v>
      </c>
      <c r="H2448" s="116"/>
      <c r="I2448" s="116"/>
      <c r="L2448" s="170">
        <v>45608</v>
      </c>
      <c r="M2448" s="116">
        <v>6964.25</v>
      </c>
      <c r="N2448" s="116">
        <v>7308.75</v>
      </c>
      <c r="O2448" s="116">
        <v>6935.25</v>
      </c>
      <c r="P2448" s="116">
        <v>7296.05</v>
      </c>
      <c r="Q2448" s="116">
        <v>6964.25</v>
      </c>
      <c r="R2448">
        <v>547081</v>
      </c>
    </row>
    <row r="2449" spans="1:18" x14ac:dyDescent="0.25">
      <c r="A2449" s="170">
        <v>45609</v>
      </c>
      <c r="B2449" s="116">
        <v>6990.1</v>
      </c>
      <c r="C2449" s="116">
        <v>6802.25</v>
      </c>
      <c r="D2449" s="116">
        <v>6785</v>
      </c>
      <c r="E2449" s="116">
        <v>6969.15</v>
      </c>
      <c r="F2449" s="116">
        <v>6802.25</v>
      </c>
      <c r="G2449">
        <v>19931</v>
      </c>
      <c r="H2449" s="116"/>
      <c r="I2449" s="116"/>
      <c r="L2449" s="170">
        <v>45609</v>
      </c>
      <c r="M2449" s="116">
        <v>6802</v>
      </c>
      <c r="N2449" s="116">
        <v>6999</v>
      </c>
      <c r="O2449" s="116">
        <v>6782</v>
      </c>
      <c r="P2449" s="116">
        <v>6940</v>
      </c>
      <c r="Q2449" s="116">
        <v>6802</v>
      </c>
      <c r="R2449">
        <v>509564</v>
      </c>
    </row>
    <row r="2450" spans="1:18" x14ac:dyDescent="0.25">
      <c r="A2450" s="170">
        <v>45610</v>
      </c>
      <c r="B2450" s="116">
        <v>6828.05</v>
      </c>
      <c r="C2450" s="116">
        <v>6680.3</v>
      </c>
      <c r="D2450" s="116">
        <v>6627.05</v>
      </c>
      <c r="E2450" s="116">
        <v>6802.25</v>
      </c>
      <c r="F2450" s="116">
        <v>6680.3</v>
      </c>
      <c r="G2450">
        <v>14004</v>
      </c>
      <c r="H2450" s="116"/>
      <c r="I2450" s="116"/>
      <c r="L2450" s="170">
        <v>45610</v>
      </c>
      <c r="M2450" s="116">
        <v>6680.15</v>
      </c>
      <c r="N2450" s="116">
        <v>6834.15</v>
      </c>
      <c r="O2450" s="116">
        <v>6629.85</v>
      </c>
      <c r="P2450" s="116">
        <v>6808</v>
      </c>
      <c r="Q2450" s="116">
        <v>6680.15</v>
      </c>
      <c r="R2450">
        <v>599381</v>
      </c>
    </row>
    <row r="2451" spans="1:18" x14ac:dyDescent="0.25">
      <c r="A2451" s="170">
        <v>45614</v>
      </c>
      <c r="B2451" s="116">
        <v>6746.7</v>
      </c>
      <c r="C2451" s="116">
        <v>6623.75</v>
      </c>
      <c r="D2451" s="116">
        <v>6606.2</v>
      </c>
      <c r="E2451" s="116">
        <v>6685.7</v>
      </c>
      <c r="F2451" s="116">
        <v>6623.75</v>
      </c>
      <c r="G2451">
        <v>7449</v>
      </c>
      <c r="H2451" s="116"/>
      <c r="I2451" s="116"/>
      <c r="L2451" s="170">
        <v>45614</v>
      </c>
      <c r="M2451" s="116">
        <v>6625.9</v>
      </c>
      <c r="N2451" s="116">
        <v>6745.45</v>
      </c>
      <c r="O2451" s="116">
        <v>6605</v>
      </c>
      <c r="P2451" s="116">
        <v>6700.35</v>
      </c>
      <c r="Q2451" s="116">
        <v>6625.9</v>
      </c>
      <c r="R2451">
        <v>327357</v>
      </c>
    </row>
    <row r="2452" spans="1:18" x14ac:dyDescent="0.25">
      <c r="A2452" s="170">
        <v>45615</v>
      </c>
      <c r="B2452" s="116">
        <v>6790.65</v>
      </c>
      <c r="C2452" s="116">
        <v>6696.55</v>
      </c>
      <c r="D2452" s="116">
        <v>6624.15</v>
      </c>
      <c r="E2452" s="116">
        <v>6739.95</v>
      </c>
      <c r="F2452" s="116">
        <v>6696.55</v>
      </c>
      <c r="G2452">
        <v>8906</v>
      </c>
      <c r="H2452" s="116"/>
      <c r="I2452" s="116"/>
      <c r="L2452" s="170">
        <v>45615</v>
      </c>
      <c r="M2452" s="116">
        <v>6701.6</v>
      </c>
      <c r="N2452" s="116">
        <v>6788.4</v>
      </c>
      <c r="O2452" s="116">
        <v>6626.3</v>
      </c>
      <c r="P2452" s="116">
        <v>6672.25</v>
      </c>
      <c r="Q2452" s="116">
        <v>6701.6</v>
      </c>
      <c r="R2452">
        <v>415057</v>
      </c>
    </row>
    <row r="2453" spans="1:18" x14ac:dyDescent="0.25">
      <c r="A2453" s="170">
        <v>45617</v>
      </c>
      <c r="B2453" s="116">
        <v>6835.75</v>
      </c>
      <c r="C2453" s="116">
        <v>6767.15</v>
      </c>
      <c r="D2453" s="116">
        <v>6622.15</v>
      </c>
      <c r="E2453" s="116">
        <v>6700</v>
      </c>
      <c r="F2453" s="116">
        <v>6767.15</v>
      </c>
      <c r="G2453">
        <v>5387</v>
      </c>
      <c r="H2453" s="116"/>
      <c r="I2453" s="116"/>
      <c r="L2453" s="170">
        <v>45617</v>
      </c>
      <c r="M2453" s="116">
        <v>6760.8</v>
      </c>
      <c r="N2453" s="116">
        <v>6830</v>
      </c>
      <c r="O2453" s="116">
        <v>6615.5</v>
      </c>
      <c r="P2453" s="116">
        <v>6701.6</v>
      </c>
      <c r="Q2453" s="116">
        <v>6760.8</v>
      </c>
      <c r="R2453">
        <v>337186</v>
      </c>
    </row>
    <row r="2454" spans="1:18" x14ac:dyDescent="0.25">
      <c r="A2454" s="170">
        <v>45618</v>
      </c>
      <c r="B2454" s="116">
        <v>6935</v>
      </c>
      <c r="C2454" s="116">
        <v>6905.05</v>
      </c>
      <c r="D2454" s="116">
        <v>6767.15</v>
      </c>
      <c r="E2454" s="116">
        <v>6767.7</v>
      </c>
      <c r="F2454" s="116">
        <v>6905.05</v>
      </c>
      <c r="G2454">
        <v>7119</v>
      </c>
      <c r="H2454" s="116"/>
      <c r="I2454" s="116"/>
      <c r="L2454" s="170">
        <v>45618</v>
      </c>
      <c r="M2454" s="116">
        <v>6904.65</v>
      </c>
      <c r="N2454" s="116">
        <v>6939</v>
      </c>
      <c r="O2454" s="116">
        <v>6761.1</v>
      </c>
      <c r="P2454" s="116">
        <v>6774.95</v>
      </c>
      <c r="Q2454" s="116">
        <v>6904.65</v>
      </c>
      <c r="R2454">
        <v>254886</v>
      </c>
    </row>
    <row r="2455" spans="1:18" x14ac:dyDescent="0.25">
      <c r="A2455" s="170">
        <v>45621</v>
      </c>
      <c r="B2455" s="116">
        <v>7299</v>
      </c>
      <c r="C2455" s="116">
        <v>7271.15</v>
      </c>
      <c r="D2455" s="116">
        <v>7045</v>
      </c>
      <c r="E2455" s="116">
        <v>7045</v>
      </c>
      <c r="F2455" s="116">
        <v>7271.15</v>
      </c>
      <c r="G2455">
        <v>19429</v>
      </c>
      <c r="H2455" s="116"/>
      <c r="I2455" s="116"/>
      <c r="L2455" s="170">
        <v>45621</v>
      </c>
      <c r="M2455" s="116">
        <v>7259.85</v>
      </c>
      <c r="N2455" s="116">
        <v>7299.95</v>
      </c>
      <c r="O2455" s="116">
        <v>7051</v>
      </c>
      <c r="P2455" s="116">
        <v>7090</v>
      </c>
      <c r="Q2455" s="116">
        <v>7259.85</v>
      </c>
      <c r="R2455">
        <v>745341</v>
      </c>
    </row>
    <row r="2456" spans="1:18" x14ac:dyDescent="0.25">
      <c r="A2456" s="170">
        <v>45622</v>
      </c>
      <c r="B2456" s="116">
        <v>7389.2</v>
      </c>
      <c r="C2456" s="116">
        <v>7329.15</v>
      </c>
      <c r="D2456" s="116">
        <v>7251.65</v>
      </c>
      <c r="E2456" s="116">
        <v>7299</v>
      </c>
      <c r="F2456" s="116">
        <v>7329.15</v>
      </c>
      <c r="G2456">
        <v>12788</v>
      </c>
      <c r="H2456" s="116"/>
      <c r="I2456" s="116"/>
      <c r="L2456" s="170">
        <v>45622</v>
      </c>
      <c r="M2456" s="116">
        <v>7329.7</v>
      </c>
      <c r="N2456" s="116">
        <v>7390</v>
      </c>
      <c r="O2456" s="116">
        <v>7250.45</v>
      </c>
      <c r="P2456" s="116">
        <v>7300</v>
      </c>
      <c r="Q2456" s="116">
        <v>7329.7</v>
      </c>
      <c r="R2456">
        <v>456499</v>
      </c>
    </row>
    <row r="2457" spans="1:18" x14ac:dyDescent="0.25">
      <c r="A2457" s="170">
        <v>45623</v>
      </c>
      <c r="B2457" s="116">
        <v>7540.45</v>
      </c>
      <c r="C2457" s="116">
        <v>7498.05</v>
      </c>
      <c r="D2457" s="116">
        <v>7315.05</v>
      </c>
      <c r="E2457" s="116">
        <v>7336</v>
      </c>
      <c r="F2457" s="116">
        <v>7498.05</v>
      </c>
      <c r="G2457">
        <v>13815</v>
      </c>
      <c r="H2457" s="116"/>
      <c r="I2457" s="116"/>
      <c r="L2457" s="170">
        <v>45623</v>
      </c>
      <c r="M2457" s="116">
        <v>7496.2</v>
      </c>
      <c r="N2457" s="116">
        <v>7540.1</v>
      </c>
      <c r="O2457" s="116">
        <v>7316.5</v>
      </c>
      <c r="P2457" s="116">
        <v>7329.7</v>
      </c>
      <c r="Q2457" s="116">
        <v>7496.2</v>
      </c>
      <c r="R2457">
        <v>475285</v>
      </c>
    </row>
    <row r="2458" spans="1:18" x14ac:dyDescent="0.25">
      <c r="A2458" s="170">
        <v>45624</v>
      </c>
      <c r="B2458" s="116">
        <v>7522.15</v>
      </c>
      <c r="C2458" s="116">
        <v>7392.4</v>
      </c>
      <c r="D2458" s="116">
        <v>7337.25</v>
      </c>
      <c r="E2458" s="116">
        <v>7500.05</v>
      </c>
      <c r="F2458" s="116">
        <v>7392.4</v>
      </c>
      <c r="G2458">
        <v>9658</v>
      </c>
      <c r="H2458" s="116"/>
      <c r="I2458" s="116"/>
      <c r="L2458" s="170">
        <v>45624</v>
      </c>
      <c r="M2458" s="116">
        <v>7394.85</v>
      </c>
      <c r="N2458" s="116">
        <v>7520</v>
      </c>
      <c r="O2458" s="116">
        <v>7340.7</v>
      </c>
      <c r="P2458" s="116">
        <v>7520</v>
      </c>
      <c r="Q2458" s="116">
        <v>7394.85</v>
      </c>
      <c r="R2458">
        <v>358113</v>
      </c>
    </row>
    <row r="2459" spans="1:18" x14ac:dyDescent="0.25">
      <c r="A2459" s="170">
        <v>45625</v>
      </c>
      <c r="B2459" s="116">
        <v>7469</v>
      </c>
      <c r="C2459" s="116">
        <v>7427.3</v>
      </c>
      <c r="D2459" s="116">
        <v>7380.1</v>
      </c>
      <c r="E2459" s="116">
        <v>7400</v>
      </c>
      <c r="F2459" s="116">
        <v>7427.3</v>
      </c>
      <c r="G2459">
        <v>2285</v>
      </c>
      <c r="H2459" s="116"/>
      <c r="I2459" s="116"/>
      <c r="L2459" s="170">
        <v>45625</v>
      </c>
      <c r="M2459" s="116">
        <v>7421.25</v>
      </c>
      <c r="N2459" s="116">
        <v>7471.95</v>
      </c>
      <c r="O2459" s="116">
        <v>7375</v>
      </c>
      <c r="P2459" s="116">
        <v>7435</v>
      </c>
      <c r="Q2459" s="116">
        <v>7421.25</v>
      </c>
      <c r="R2459">
        <v>191937</v>
      </c>
    </row>
    <row r="2460" spans="1:18" x14ac:dyDescent="0.25">
      <c r="A2460" s="170">
        <v>45628</v>
      </c>
      <c r="B2460" s="116">
        <v>7505</v>
      </c>
      <c r="C2460" s="116">
        <v>7486.55</v>
      </c>
      <c r="D2460" s="116">
        <v>7306.65</v>
      </c>
      <c r="E2460" s="116">
        <v>7306.65</v>
      </c>
      <c r="F2460" s="116">
        <v>7486.55</v>
      </c>
      <c r="G2460">
        <v>9662</v>
      </c>
      <c r="H2460" s="116"/>
      <c r="I2460" s="116"/>
      <c r="L2460" s="170">
        <v>45628</v>
      </c>
      <c r="M2460" s="116">
        <v>7490.75</v>
      </c>
      <c r="N2460" s="116">
        <v>7508.95</v>
      </c>
      <c r="O2460" s="116">
        <v>7340.05</v>
      </c>
      <c r="P2460" s="116">
        <v>7378</v>
      </c>
      <c r="Q2460" s="116">
        <v>7490.75</v>
      </c>
      <c r="R2460">
        <v>353136</v>
      </c>
    </row>
    <row r="2461" spans="1:18" x14ac:dyDescent="0.25">
      <c r="A2461" s="170">
        <v>45629</v>
      </c>
      <c r="B2461" s="116">
        <v>7633.25</v>
      </c>
      <c r="C2461" s="116">
        <v>7538.7</v>
      </c>
      <c r="D2461" s="116">
        <v>7480.5</v>
      </c>
      <c r="E2461" s="116">
        <v>7492.45</v>
      </c>
      <c r="F2461" s="116">
        <v>7538.7</v>
      </c>
      <c r="G2461">
        <v>5583</v>
      </c>
      <c r="H2461" s="116"/>
      <c r="I2461" s="116"/>
      <c r="L2461" s="170">
        <v>45629</v>
      </c>
      <c r="M2461" s="116">
        <v>7537.55</v>
      </c>
      <c r="N2461" s="116">
        <v>7635</v>
      </c>
      <c r="O2461" s="116">
        <v>7480.05</v>
      </c>
      <c r="P2461" s="116">
        <v>7533</v>
      </c>
      <c r="Q2461" s="116">
        <v>7537.55</v>
      </c>
      <c r="R2461">
        <v>339612</v>
      </c>
    </row>
    <row r="2462" spans="1:18" x14ac:dyDescent="0.25">
      <c r="A2462" s="170">
        <v>45630</v>
      </c>
      <c r="B2462" s="116">
        <v>7719.9</v>
      </c>
      <c r="C2462" s="116">
        <v>7664.2</v>
      </c>
      <c r="D2462" s="116">
        <v>7558</v>
      </c>
      <c r="E2462" s="116">
        <v>7558</v>
      </c>
      <c r="F2462" s="116">
        <v>7664.2</v>
      </c>
      <c r="G2462">
        <v>10288</v>
      </c>
      <c r="H2462" s="116"/>
      <c r="I2462" s="116"/>
      <c r="L2462" s="170">
        <v>45630</v>
      </c>
      <c r="M2462" s="116">
        <v>7664.2</v>
      </c>
      <c r="N2462" s="116">
        <v>7722.5</v>
      </c>
      <c r="O2462" s="116">
        <v>7575</v>
      </c>
      <c r="P2462" s="116">
        <v>7575</v>
      </c>
      <c r="Q2462" s="116">
        <v>7664.2</v>
      </c>
      <c r="R2462">
        <v>395551</v>
      </c>
    </row>
    <row r="2463" spans="1:18" x14ac:dyDescent="0.25">
      <c r="A2463" s="170">
        <v>45631</v>
      </c>
      <c r="B2463" s="116">
        <v>7676.55</v>
      </c>
      <c r="C2463" s="116">
        <v>7486.05</v>
      </c>
      <c r="D2463" s="116">
        <v>7420</v>
      </c>
      <c r="E2463" s="116">
        <v>7644.15</v>
      </c>
      <c r="F2463" s="116">
        <v>7486.05</v>
      </c>
      <c r="G2463">
        <v>12724</v>
      </c>
      <c r="H2463" s="116"/>
      <c r="I2463" s="116"/>
      <c r="L2463" s="170">
        <v>45631</v>
      </c>
      <c r="M2463" s="116">
        <v>7488.4</v>
      </c>
      <c r="N2463" s="116">
        <v>7682</v>
      </c>
      <c r="O2463" s="116">
        <v>7420</v>
      </c>
      <c r="P2463" s="116">
        <v>7650</v>
      </c>
      <c r="Q2463" s="116">
        <v>7488.4</v>
      </c>
      <c r="R2463">
        <v>424954</v>
      </c>
    </row>
    <row r="2464" spans="1:18" x14ac:dyDescent="0.25">
      <c r="A2464" s="170">
        <v>45632</v>
      </c>
      <c r="B2464" s="116">
        <v>7571.2</v>
      </c>
      <c r="C2464" s="116">
        <v>7546.3</v>
      </c>
      <c r="D2464" s="116">
        <v>7491.05</v>
      </c>
      <c r="E2464" s="116">
        <v>7559.75</v>
      </c>
      <c r="F2464" s="116">
        <v>7546.3</v>
      </c>
      <c r="G2464">
        <v>2878</v>
      </c>
      <c r="H2464" s="116"/>
      <c r="I2464" s="116"/>
      <c r="L2464" s="170">
        <v>45632</v>
      </c>
      <c r="M2464" s="116">
        <v>7552.4</v>
      </c>
      <c r="N2464" s="116">
        <v>7574</v>
      </c>
      <c r="O2464" s="116">
        <v>7490</v>
      </c>
      <c r="P2464" s="116">
        <v>7540</v>
      </c>
      <c r="Q2464" s="116">
        <v>7552.4</v>
      </c>
      <c r="R2464">
        <v>228818</v>
      </c>
    </row>
    <row r="2465" spans="1:18" x14ac:dyDescent="0.25">
      <c r="A2465" s="170">
        <v>45635</v>
      </c>
      <c r="B2465" s="116">
        <v>7649.95</v>
      </c>
      <c r="C2465" s="116">
        <v>7564.55</v>
      </c>
      <c r="D2465" s="116">
        <v>7540</v>
      </c>
      <c r="E2465" s="116">
        <v>7649.95</v>
      </c>
      <c r="F2465" s="116">
        <v>7564.55</v>
      </c>
      <c r="G2465">
        <v>3683</v>
      </c>
      <c r="H2465" s="116"/>
      <c r="I2465" s="116"/>
      <c r="L2465" s="170">
        <v>45635</v>
      </c>
      <c r="M2465" s="116">
        <v>7569.75</v>
      </c>
      <c r="N2465" s="116">
        <v>7640</v>
      </c>
      <c r="O2465" s="116">
        <v>7532.55</v>
      </c>
      <c r="P2465" s="116">
        <v>7575.95</v>
      </c>
      <c r="Q2465" s="116">
        <v>7569.75</v>
      </c>
      <c r="R2465">
        <v>209644</v>
      </c>
    </row>
    <row r="2466" spans="1:18" x14ac:dyDescent="0.25">
      <c r="A2466" s="170">
        <v>45636</v>
      </c>
      <c r="B2466" s="116">
        <v>7710</v>
      </c>
      <c r="C2466" s="116">
        <v>7694.1</v>
      </c>
      <c r="D2466" s="116">
        <v>7572.25</v>
      </c>
      <c r="E2466" s="116">
        <v>7585</v>
      </c>
      <c r="F2466" s="116">
        <v>7694.1</v>
      </c>
      <c r="G2466">
        <v>5208</v>
      </c>
      <c r="H2466" s="116"/>
      <c r="I2466" s="116"/>
      <c r="L2466" s="170">
        <v>45636</v>
      </c>
      <c r="M2466" s="116">
        <v>7693.25</v>
      </c>
      <c r="N2466" s="116">
        <v>7710</v>
      </c>
      <c r="O2466" s="116">
        <v>7570.2</v>
      </c>
      <c r="P2466" s="116">
        <v>7636</v>
      </c>
      <c r="Q2466" s="116">
        <v>7693.25</v>
      </c>
      <c r="R2466">
        <v>265407</v>
      </c>
    </row>
    <row r="2467" spans="1:18" x14ac:dyDescent="0.25">
      <c r="A2467" s="170">
        <v>45637</v>
      </c>
      <c r="B2467" s="116">
        <v>7785</v>
      </c>
      <c r="C2467" s="116">
        <v>7725.8</v>
      </c>
      <c r="D2467" s="116">
        <v>7667.85</v>
      </c>
      <c r="E2467" s="116">
        <v>7700</v>
      </c>
      <c r="F2467" s="116">
        <v>7725.8</v>
      </c>
      <c r="G2467">
        <v>5516</v>
      </c>
      <c r="H2467" s="116"/>
      <c r="I2467" s="116"/>
      <c r="L2467" s="170">
        <v>45637</v>
      </c>
      <c r="M2467" s="116">
        <v>7728.75</v>
      </c>
      <c r="N2467" s="116">
        <v>7787</v>
      </c>
      <c r="O2467" s="116">
        <v>7650</v>
      </c>
      <c r="P2467" s="116">
        <v>7703</v>
      </c>
      <c r="Q2467" s="116">
        <v>7728.75</v>
      </c>
      <c r="R2467">
        <v>173332</v>
      </c>
    </row>
    <row r="2468" spans="1:18" x14ac:dyDescent="0.25">
      <c r="A2468" s="170">
        <v>45638</v>
      </c>
      <c r="B2468" s="116">
        <v>7799.95</v>
      </c>
      <c r="C2468" s="116">
        <v>7654.95</v>
      </c>
      <c r="D2468" s="116">
        <v>7635.05</v>
      </c>
      <c r="E2468" s="116">
        <v>7799.95</v>
      </c>
      <c r="F2468" s="116">
        <v>7654.95</v>
      </c>
      <c r="G2468">
        <v>3840</v>
      </c>
      <c r="H2468" s="116"/>
      <c r="I2468" s="116"/>
      <c r="L2468" s="170">
        <v>45638</v>
      </c>
      <c r="M2468" s="116">
        <v>7657.05</v>
      </c>
      <c r="N2468" s="116">
        <v>7755</v>
      </c>
      <c r="O2468" s="116">
        <v>7634.25</v>
      </c>
      <c r="P2468" s="116">
        <v>7744</v>
      </c>
      <c r="Q2468" s="116">
        <v>7657.05</v>
      </c>
      <c r="R2468">
        <v>118184</v>
      </c>
    </row>
    <row r="2469" spans="1:18" x14ac:dyDescent="0.25">
      <c r="A2469" s="170">
        <v>45639</v>
      </c>
      <c r="B2469" s="116">
        <v>7713.75</v>
      </c>
      <c r="C2469" s="116">
        <v>7697.45</v>
      </c>
      <c r="D2469" s="116">
        <v>7561.4</v>
      </c>
      <c r="E2469" s="116">
        <v>7656</v>
      </c>
      <c r="F2469" s="116">
        <v>7697.45</v>
      </c>
      <c r="G2469">
        <v>2310</v>
      </c>
      <c r="H2469" s="116"/>
      <c r="I2469" s="116"/>
      <c r="L2469" s="170">
        <v>45639</v>
      </c>
      <c r="M2469" s="116">
        <v>7703.25</v>
      </c>
      <c r="N2469" s="116">
        <v>7718.6</v>
      </c>
      <c r="O2469" s="116">
        <v>7561.35</v>
      </c>
      <c r="P2469" s="116">
        <v>7615</v>
      </c>
      <c r="Q2469" s="116">
        <v>7703.25</v>
      </c>
      <c r="R2469">
        <v>132883</v>
      </c>
    </row>
    <row r="2470" spans="1:18" x14ac:dyDescent="0.25">
      <c r="A2470" s="170">
        <v>45642</v>
      </c>
      <c r="B2470" s="116">
        <v>7945</v>
      </c>
      <c r="C2470" s="116">
        <v>7893.4</v>
      </c>
      <c r="D2470" s="116">
        <v>7709</v>
      </c>
      <c r="E2470" s="116">
        <v>7726.3</v>
      </c>
      <c r="F2470" s="116">
        <v>7893.4</v>
      </c>
      <c r="G2470">
        <v>10909</v>
      </c>
      <c r="H2470" s="116"/>
      <c r="I2470" s="116"/>
      <c r="L2470" s="170">
        <v>45642</v>
      </c>
      <c r="M2470" s="116">
        <v>7890.35</v>
      </c>
      <c r="N2470" s="116">
        <v>7943.75</v>
      </c>
      <c r="O2470" s="116">
        <v>7689.3</v>
      </c>
      <c r="P2470" s="116">
        <v>7703.25</v>
      </c>
      <c r="Q2470" s="116">
        <v>7890.35</v>
      </c>
      <c r="R2470">
        <v>340801</v>
      </c>
    </row>
    <row r="2471" spans="1:18" x14ac:dyDescent="0.25">
      <c r="A2471" s="170">
        <v>45643</v>
      </c>
      <c r="B2471" s="116">
        <v>7959.9</v>
      </c>
      <c r="C2471" s="116">
        <v>7814.4</v>
      </c>
      <c r="D2471" s="116">
        <v>7782.45</v>
      </c>
      <c r="E2471" s="116">
        <v>7899.45</v>
      </c>
      <c r="F2471" s="116">
        <v>7814.4</v>
      </c>
      <c r="G2471">
        <v>5355</v>
      </c>
      <c r="H2471" s="116"/>
      <c r="I2471" s="116"/>
      <c r="L2471" s="170">
        <v>45643</v>
      </c>
      <c r="M2471" s="116">
        <v>7817.45</v>
      </c>
      <c r="N2471" s="116">
        <v>7960</v>
      </c>
      <c r="O2471" s="116">
        <v>7781</v>
      </c>
      <c r="P2471" s="116">
        <v>7890.35</v>
      </c>
      <c r="Q2471" s="116">
        <v>7817.45</v>
      </c>
      <c r="R2471">
        <v>213086</v>
      </c>
    </row>
    <row r="2472" spans="1:18" x14ac:dyDescent="0.25">
      <c r="A2472" s="170">
        <v>45644</v>
      </c>
      <c r="B2472" s="116">
        <v>7819.9</v>
      </c>
      <c r="C2472" s="116">
        <v>7655.45</v>
      </c>
      <c r="D2472" s="116">
        <v>7624.15</v>
      </c>
      <c r="E2472" s="116">
        <v>7819.9</v>
      </c>
      <c r="F2472" s="116">
        <v>7655.45</v>
      </c>
      <c r="G2472">
        <v>10821</v>
      </c>
      <c r="H2472" s="116"/>
      <c r="I2472" s="116"/>
      <c r="L2472" s="170">
        <v>45644</v>
      </c>
      <c r="M2472" s="116">
        <v>7657.15</v>
      </c>
      <c r="N2472" s="116">
        <v>7814.75</v>
      </c>
      <c r="O2472" s="116">
        <v>7620.5</v>
      </c>
      <c r="P2472" s="116">
        <v>7812.05</v>
      </c>
      <c r="Q2472" s="116">
        <v>7657.15</v>
      </c>
      <c r="R2472">
        <v>201768</v>
      </c>
    </row>
    <row r="2473" spans="1:18" x14ac:dyDescent="0.25">
      <c r="A2473" s="170">
        <v>45645</v>
      </c>
      <c r="B2473" s="116">
        <v>7602</v>
      </c>
      <c r="C2473" s="116">
        <v>7349.35</v>
      </c>
      <c r="D2473" s="116">
        <v>7334.4</v>
      </c>
      <c r="E2473" s="116">
        <v>7504.3</v>
      </c>
      <c r="F2473" s="116">
        <v>7349.35</v>
      </c>
      <c r="G2473">
        <v>6702</v>
      </c>
      <c r="H2473" s="116"/>
      <c r="I2473" s="116"/>
      <c r="L2473" s="170">
        <v>45645</v>
      </c>
      <c r="M2473" s="116">
        <v>7351.9</v>
      </c>
      <c r="N2473" s="116">
        <v>7620</v>
      </c>
      <c r="O2473" s="116">
        <v>7335.1</v>
      </c>
      <c r="P2473" s="116">
        <v>7620</v>
      </c>
      <c r="Q2473" s="116">
        <v>7351.9</v>
      </c>
      <c r="R2473">
        <v>233391</v>
      </c>
    </row>
    <row r="2474" spans="1:18" x14ac:dyDescent="0.25">
      <c r="A2474" s="170">
        <v>45646</v>
      </c>
      <c r="B2474" s="116">
        <v>7449.7</v>
      </c>
      <c r="C2474" s="116">
        <v>6923.8</v>
      </c>
      <c r="D2474" s="116">
        <v>6890</v>
      </c>
      <c r="E2474" s="116">
        <v>7449.7</v>
      </c>
      <c r="F2474" s="116">
        <v>6923.8</v>
      </c>
      <c r="G2474">
        <v>24866</v>
      </c>
      <c r="H2474" s="116"/>
      <c r="I2474" s="116"/>
      <c r="L2474" s="170">
        <v>45646</v>
      </c>
      <c r="M2474" s="116">
        <v>6921.25</v>
      </c>
      <c r="N2474" s="116">
        <v>7407.45</v>
      </c>
      <c r="O2474" s="116">
        <v>6886</v>
      </c>
      <c r="P2474" s="116">
        <v>7359.8</v>
      </c>
      <c r="Q2474" s="116">
        <v>6921.25</v>
      </c>
      <c r="R2474">
        <v>557249</v>
      </c>
    </row>
    <row r="2475" spans="1:18" x14ac:dyDescent="0.25">
      <c r="A2475" s="170">
        <v>45649</v>
      </c>
      <c r="B2475" s="116">
        <v>7058.7</v>
      </c>
      <c r="C2475" s="116">
        <v>6960</v>
      </c>
      <c r="D2475" s="116">
        <v>6893.15</v>
      </c>
      <c r="E2475" s="116">
        <v>6985.85</v>
      </c>
      <c r="F2475" s="116">
        <v>6960</v>
      </c>
      <c r="G2475">
        <v>9003</v>
      </c>
      <c r="H2475" s="116"/>
      <c r="I2475" s="116"/>
      <c r="L2475" s="170">
        <v>45649</v>
      </c>
      <c r="M2475" s="116">
        <v>6959.2</v>
      </c>
      <c r="N2475" s="116">
        <v>7056</v>
      </c>
      <c r="O2475" s="116">
        <v>6893</v>
      </c>
      <c r="P2475" s="116">
        <v>6966</v>
      </c>
      <c r="Q2475" s="116">
        <v>6959.2</v>
      </c>
      <c r="R2475">
        <v>167980</v>
      </c>
    </row>
    <row r="2476" spans="1:18" x14ac:dyDescent="0.25">
      <c r="A2476" s="170">
        <v>45650</v>
      </c>
      <c r="B2476" s="116">
        <v>7009.95</v>
      </c>
      <c r="C2476" s="116">
        <v>6877.45</v>
      </c>
      <c r="D2476" s="116">
        <v>6840.95</v>
      </c>
      <c r="E2476" s="116">
        <v>6960.15</v>
      </c>
      <c r="F2476" s="116">
        <v>6877.45</v>
      </c>
      <c r="G2476">
        <v>6836</v>
      </c>
      <c r="H2476" s="116"/>
      <c r="I2476" s="116"/>
      <c r="L2476" s="170">
        <v>45650</v>
      </c>
      <c r="M2476" s="116">
        <v>6878.2</v>
      </c>
      <c r="N2476" s="116">
        <v>7015.95</v>
      </c>
      <c r="O2476" s="116">
        <v>6841.85</v>
      </c>
      <c r="P2476" s="116">
        <v>7007.9</v>
      </c>
      <c r="Q2476" s="116">
        <v>6878.2</v>
      </c>
      <c r="R2476">
        <v>159850</v>
      </c>
    </row>
    <row r="2477" spans="1:18" x14ac:dyDescent="0.25">
      <c r="A2477" s="170">
        <v>45652</v>
      </c>
      <c r="B2477" s="116">
        <v>6955.15</v>
      </c>
      <c r="C2477" s="116">
        <v>6945.1</v>
      </c>
      <c r="D2477" s="116">
        <v>6845</v>
      </c>
      <c r="E2477" s="116">
        <v>6898.8</v>
      </c>
      <c r="F2477" s="116">
        <v>6945.1</v>
      </c>
      <c r="G2477">
        <v>3903</v>
      </c>
      <c r="H2477" s="116"/>
      <c r="I2477" s="116"/>
      <c r="L2477" s="170">
        <v>45652</v>
      </c>
      <c r="M2477" s="116">
        <v>6945.3</v>
      </c>
      <c r="N2477" s="116">
        <v>6955.45</v>
      </c>
      <c r="O2477" s="116">
        <v>6843.05</v>
      </c>
      <c r="P2477" s="116">
        <v>6880</v>
      </c>
      <c r="Q2477" s="116">
        <v>6945.3</v>
      </c>
      <c r="R2477">
        <v>119925</v>
      </c>
    </row>
    <row r="2478" spans="1:18" x14ac:dyDescent="0.25">
      <c r="A2478" s="170">
        <v>45653</v>
      </c>
      <c r="B2478" s="116">
        <v>7005.2</v>
      </c>
      <c r="C2478" s="116">
        <v>6857.35</v>
      </c>
      <c r="D2478" s="116">
        <v>6826.85</v>
      </c>
      <c r="E2478" s="116">
        <v>6983.85</v>
      </c>
      <c r="F2478" s="116">
        <v>6857.35</v>
      </c>
      <c r="G2478">
        <v>5680</v>
      </c>
      <c r="H2478" s="116"/>
      <c r="I2478" s="116"/>
      <c r="L2478" s="170">
        <v>45653</v>
      </c>
      <c r="M2478" s="116">
        <v>6846.9</v>
      </c>
      <c r="N2478" s="116">
        <v>7006.95</v>
      </c>
      <c r="O2478" s="116">
        <v>6822.05</v>
      </c>
      <c r="P2478" s="116">
        <v>6968.8</v>
      </c>
      <c r="Q2478" s="116">
        <v>6846.9</v>
      </c>
      <c r="R2478">
        <v>155724</v>
      </c>
    </row>
    <row r="2479" spans="1:18" x14ac:dyDescent="0.25">
      <c r="A2479" s="170">
        <v>45656</v>
      </c>
      <c r="B2479" s="116">
        <v>6880.9</v>
      </c>
      <c r="C2479" s="116">
        <v>6721.05</v>
      </c>
      <c r="D2479" s="116">
        <v>6671.1</v>
      </c>
      <c r="E2479" s="116">
        <v>6815</v>
      </c>
      <c r="F2479" s="116">
        <v>6721.05</v>
      </c>
      <c r="G2479">
        <v>8030</v>
      </c>
      <c r="H2479" s="116"/>
      <c r="I2479" s="116"/>
      <c r="L2479" s="170">
        <v>45656</v>
      </c>
      <c r="M2479" s="116">
        <v>6701.95</v>
      </c>
      <c r="N2479" s="116">
        <v>6885.35</v>
      </c>
      <c r="O2479" s="116">
        <v>6668.1</v>
      </c>
      <c r="P2479" s="116">
        <v>6812</v>
      </c>
      <c r="Q2479" s="116">
        <v>6701.95</v>
      </c>
      <c r="R2479">
        <v>901044</v>
      </c>
    </row>
    <row r="2480" spans="1:18" x14ac:dyDescent="0.25">
      <c r="A2480" s="170">
        <v>45657</v>
      </c>
      <c r="B2480" s="116">
        <v>6945.9</v>
      </c>
      <c r="C2480" s="116">
        <v>6913.95</v>
      </c>
      <c r="D2480" s="116">
        <v>6680.3</v>
      </c>
      <c r="E2480" s="116">
        <v>6680.3</v>
      </c>
      <c r="F2480" s="116">
        <v>6913.95</v>
      </c>
      <c r="G2480">
        <v>12703</v>
      </c>
      <c r="H2480" s="116"/>
      <c r="I2480" s="116"/>
      <c r="L2480" s="170">
        <v>45657</v>
      </c>
      <c r="M2480" s="116">
        <v>6912.25</v>
      </c>
      <c r="N2480" s="116">
        <v>6948.4</v>
      </c>
      <c r="O2480" s="116">
        <v>6701.95</v>
      </c>
      <c r="P2480" s="116">
        <v>6701.95</v>
      </c>
      <c r="Q2480" s="116">
        <v>6912.25</v>
      </c>
      <c r="R2480">
        <v>362642</v>
      </c>
    </row>
    <row r="2481" spans="1:18" x14ac:dyDescent="0.25">
      <c r="A2481" s="170">
        <v>45658</v>
      </c>
      <c r="B2481" s="116">
        <v>6947.45</v>
      </c>
      <c r="C2481" s="116">
        <v>6929.05</v>
      </c>
      <c r="D2481" s="116">
        <v>6845.1</v>
      </c>
      <c r="E2481" s="116">
        <v>6932.7</v>
      </c>
      <c r="F2481" s="116">
        <v>6929.05</v>
      </c>
      <c r="G2481">
        <v>3430</v>
      </c>
      <c r="H2481" s="116"/>
      <c r="I2481" s="116"/>
      <c r="L2481" s="170">
        <v>45658</v>
      </c>
      <c r="M2481" s="116">
        <v>6928.45</v>
      </c>
      <c r="N2481" s="116">
        <v>6947.7</v>
      </c>
      <c r="O2481" s="116">
        <v>6846.25</v>
      </c>
      <c r="P2481" s="116">
        <v>6912</v>
      </c>
      <c r="Q2481" s="116">
        <v>6928.45</v>
      </c>
      <c r="R2481">
        <v>74460</v>
      </c>
    </row>
    <row r="2482" spans="1:18" x14ac:dyDescent="0.25">
      <c r="A2482" s="170">
        <v>45659</v>
      </c>
      <c r="B2482" s="116">
        <v>6935.25</v>
      </c>
      <c r="C2482" s="116">
        <v>6890.55</v>
      </c>
      <c r="D2482" s="116">
        <v>6799.45</v>
      </c>
      <c r="E2482" s="116">
        <v>6924.9</v>
      </c>
      <c r="F2482" s="116">
        <v>6890.55</v>
      </c>
      <c r="G2482">
        <v>7016</v>
      </c>
      <c r="H2482" s="116"/>
      <c r="I2482" s="116"/>
      <c r="L2482" s="170">
        <v>45659</v>
      </c>
      <c r="M2482" s="116">
        <v>6891.7</v>
      </c>
      <c r="N2482" s="116">
        <v>6937.9</v>
      </c>
      <c r="O2482" s="116">
        <v>6795</v>
      </c>
      <c r="P2482" s="116">
        <v>6910.5</v>
      </c>
      <c r="Q2482" s="116">
        <v>6891.7</v>
      </c>
      <c r="R2482">
        <v>323524</v>
      </c>
    </row>
    <row r="2483" spans="1:18" x14ac:dyDescent="0.25">
      <c r="A2483" s="170">
        <v>45660</v>
      </c>
      <c r="B2483" s="116">
        <v>6932.15</v>
      </c>
      <c r="C2483" s="116">
        <v>6792.3</v>
      </c>
      <c r="D2483" s="116">
        <v>6765.4</v>
      </c>
      <c r="E2483" s="116">
        <v>6919.65</v>
      </c>
      <c r="F2483" s="116">
        <v>6792.3</v>
      </c>
      <c r="G2483">
        <v>3486</v>
      </c>
      <c r="H2483" s="116"/>
      <c r="I2483" s="116"/>
      <c r="L2483" s="170">
        <v>45660</v>
      </c>
      <c r="M2483" s="116">
        <v>6800.15</v>
      </c>
      <c r="N2483" s="116">
        <v>6931.9</v>
      </c>
      <c r="O2483" s="116">
        <v>6767</v>
      </c>
      <c r="P2483" s="116">
        <v>6900</v>
      </c>
      <c r="Q2483" s="116">
        <v>6800.15</v>
      </c>
      <c r="R2483">
        <v>149381</v>
      </c>
    </row>
    <row r="2484" spans="1:18" x14ac:dyDescent="0.25">
      <c r="A2484" s="170">
        <v>45663</v>
      </c>
      <c r="B2484" s="116">
        <v>6849.95</v>
      </c>
      <c r="C2484" s="116">
        <v>6618.85</v>
      </c>
      <c r="D2484" s="116">
        <v>6568.8</v>
      </c>
      <c r="E2484" s="116">
        <v>6849.95</v>
      </c>
      <c r="F2484" s="116">
        <v>6618.85</v>
      </c>
      <c r="G2484">
        <v>8198</v>
      </c>
      <c r="H2484" s="116"/>
      <c r="I2484" s="116"/>
      <c r="L2484" s="170">
        <v>45663</v>
      </c>
      <c r="M2484" s="116">
        <v>6620.3</v>
      </c>
      <c r="N2484" s="116">
        <v>6826.95</v>
      </c>
      <c r="O2484" s="116">
        <v>6573.8</v>
      </c>
      <c r="P2484" s="116">
        <v>6800.05</v>
      </c>
      <c r="Q2484" s="116">
        <v>6620.3</v>
      </c>
      <c r="R2484">
        <v>208851</v>
      </c>
    </row>
    <row r="2485" spans="1:18" x14ac:dyDescent="0.25">
      <c r="A2485" s="170">
        <v>45664</v>
      </c>
      <c r="B2485" s="116">
        <v>6742.6</v>
      </c>
      <c r="C2485" s="116">
        <v>6704.5</v>
      </c>
      <c r="D2485" s="116">
        <v>6618.25</v>
      </c>
      <c r="E2485" s="116">
        <v>6618.25</v>
      </c>
      <c r="F2485" s="116">
        <v>6704.5</v>
      </c>
      <c r="G2485">
        <v>4261</v>
      </c>
      <c r="H2485" s="116"/>
      <c r="I2485" s="116"/>
      <c r="L2485" s="170">
        <v>45664</v>
      </c>
      <c r="M2485" s="116">
        <v>6706.2</v>
      </c>
      <c r="N2485" s="116">
        <v>6741.9</v>
      </c>
      <c r="O2485" s="116">
        <v>6627.65</v>
      </c>
      <c r="P2485" s="116">
        <v>6627.65</v>
      </c>
      <c r="Q2485" s="116">
        <v>6706.2</v>
      </c>
      <c r="R2485">
        <v>207775</v>
      </c>
    </row>
    <row r="2486" spans="1:18" x14ac:dyDescent="0.25">
      <c r="A2486" s="170">
        <v>45665</v>
      </c>
      <c r="B2486" s="116">
        <v>6711.95</v>
      </c>
      <c r="C2486" s="116">
        <v>6660.05</v>
      </c>
      <c r="D2486" s="116">
        <v>6567.7</v>
      </c>
      <c r="E2486" s="116">
        <v>6706.7</v>
      </c>
      <c r="F2486" s="116">
        <v>6660.05</v>
      </c>
      <c r="G2486">
        <v>2715</v>
      </c>
      <c r="H2486" s="116"/>
      <c r="I2486" s="116"/>
      <c r="L2486" s="170">
        <v>45665</v>
      </c>
      <c r="M2486" s="116">
        <v>6657</v>
      </c>
      <c r="N2486" s="116">
        <v>6717.95</v>
      </c>
      <c r="O2486" s="116">
        <v>6567.45</v>
      </c>
      <c r="P2486" s="116">
        <v>6699.95</v>
      </c>
      <c r="Q2486" s="116">
        <v>6657</v>
      </c>
      <c r="R2486">
        <v>162710</v>
      </c>
    </row>
    <row r="2487" spans="1:18" x14ac:dyDescent="0.25">
      <c r="A2487" s="170">
        <v>45666</v>
      </c>
      <c r="B2487" s="116">
        <v>6690.75</v>
      </c>
      <c r="C2487" s="116">
        <v>6482.3</v>
      </c>
      <c r="D2487" s="116">
        <v>6462</v>
      </c>
      <c r="E2487" s="116">
        <v>6659.8</v>
      </c>
      <c r="F2487" s="116">
        <v>6482.3</v>
      </c>
      <c r="G2487">
        <v>7500</v>
      </c>
      <c r="H2487" s="116"/>
      <c r="I2487" s="116"/>
      <c r="L2487" s="170">
        <v>45666</v>
      </c>
      <c r="M2487" s="116">
        <v>6482.45</v>
      </c>
      <c r="N2487" s="116">
        <v>6692</v>
      </c>
      <c r="O2487" s="116">
        <v>6457.5</v>
      </c>
      <c r="P2487" s="116">
        <v>6638</v>
      </c>
      <c r="Q2487" s="116">
        <v>6482.45</v>
      </c>
      <c r="R2487">
        <v>193962</v>
      </c>
    </row>
    <row r="2488" spans="1:18" x14ac:dyDescent="0.25">
      <c r="A2488" s="170">
        <v>45667</v>
      </c>
      <c r="B2488" s="116">
        <v>6539.95</v>
      </c>
      <c r="C2488" s="116">
        <v>6406.25</v>
      </c>
      <c r="D2488" s="116">
        <v>6364.55</v>
      </c>
      <c r="E2488" s="116">
        <v>6519.8</v>
      </c>
      <c r="F2488" s="116">
        <v>6406.25</v>
      </c>
      <c r="G2488">
        <v>6865</v>
      </c>
      <c r="H2488" s="116"/>
      <c r="I2488" s="116"/>
      <c r="L2488" s="170">
        <v>45667</v>
      </c>
      <c r="M2488" s="116">
        <v>6415.65</v>
      </c>
      <c r="N2488" s="116">
        <v>6545.95</v>
      </c>
      <c r="O2488" s="116">
        <v>6363</v>
      </c>
      <c r="P2488" s="116">
        <v>6480</v>
      </c>
      <c r="Q2488" s="116">
        <v>6415.65</v>
      </c>
      <c r="R2488">
        <v>259956</v>
      </c>
    </row>
    <row r="2489" spans="1:18" x14ac:dyDescent="0.25">
      <c r="A2489" s="170">
        <v>45670</v>
      </c>
      <c r="B2489" s="116">
        <v>6399.8</v>
      </c>
      <c r="C2489" s="116">
        <v>6105.25</v>
      </c>
      <c r="D2489" s="116">
        <v>6090</v>
      </c>
      <c r="E2489" s="116">
        <v>6399.8</v>
      </c>
      <c r="F2489" s="116">
        <v>6105.25</v>
      </c>
      <c r="G2489">
        <v>5048</v>
      </c>
      <c r="H2489" s="116"/>
      <c r="I2489" s="116"/>
      <c r="L2489" s="170">
        <v>45670</v>
      </c>
      <c r="M2489" s="116">
        <v>6109.25</v>
      </c>
      <c r="N2489" s="116">
        <v>6383.9</v>
      </c>
      <c r="O2489" s="116">
        <v>6080</v>
      </c>
      <c r="P2489" s="116">
        <v>6352</v>
      </c>
      <c r="Q2489" s="116">
        <v>6109.25</v>
      </c>
      <c r="R2489">
        <v>389091</v>
      </c>
    </row>
    <row r="2490" spans="1:18" x14ac:dyDescent="0.25">
      <c r="A2490" s="170">
        <v>45671</v>
      </c>
      <c r="B2490" s="116">
        <v>6254.75</v>
      </c>
      <c r="C2490" s="116">
        <v>6150.95</v>
      </c>
      <c r="D2490" s="116">
        <v>6061.05</v>
      </c>
      <c r="E2490" s="116">
        <v>6108.05</v>
      </c>
      <c r="F2490" s="116">
        <v>6150.95</v>
      </c>
      <c r="G2490">
        <v>2877</v>
      </c>
      <c r="H2490" s="116"/>
      <c r="I2490" s="116"/>
      <c r="L2490" s="170">
        <v>45671</v>
      </c>
      <c r="M2490" s="116">
        <v>6146.6</v>
      </c>
      <c r="N2490" s="116">
        <v>6255.4</v>
      </c>
      <c r="O2490" s="116">
        <v>6061.05</v>
      </c>
      <c r="P2490" s="116">
        <v>6134.95</v>
      </c>
      <c r="Q2490" s="116">
        <v>6146.6</v>
      </c>
      <c r="R2490">
        <v>254776</v>
      </c>
    </row>
    <row r="2491" spans="1:18" x14ac:dyDescent="0.25">
      <c r="A2491" s="170">
        <v>45672</v>
      </c>
      <c r="B2491" s="116">
        <v>6227</v>
      </c>
      <c r="C2491" s="116">
        <v>6190.15</v>
      </c>
      <c r="D2491" s="116">
        <v>6109</v>
      </c>
      <c r="E2491" s="116">
        <v>6155.95</v>
      </c>
      <c r="F2491" s="116">
        <v>6190.15</v>
      </c>
      <c r="G2491">
        <v>5291</v>
      </c>
      <c r="H2491" s="116"/>
      <c r="I2491" s="116"/>
      <c r="L2491" s="170">
        <v>45672</v>
      </c>
      <c r="M2491" s="116">
        <v>6193.75</v>
      </c>
      <c r="N2491" s="116">
        <v>6229.95</v>
      </c>
      <c r="O2491" s="116">
        <v>6106.7</v>
      </c>
      <c r="P2491" s="116">
        <v>6190.45</v>
      </c>
      <c r="Q2491" s="116">
        <v>6193.75</v>
      </c>
      <c r="R2491">
        <v>252993</v>
      </c>
    </row>
    <row r="2492" spans="1:18" x14ac:dyDescent="0.25">
      <c r="A2492" s="170">
        <v>45673</v>
      </c>
      <c r="B2492" s="116">
        <v>6353.3</v>
      </c>
      <c r="C2492" s="116">
        <v>6311.15</v>
      </c>
      <c r="D2492" s="116">
        <v>6227.05</v>
      </c>
      <c r="E2492" s="116">
        <v>6273.7</v>
      </c>
      <c r="F2492" s="116">
        <v>6311.15</v>
      </c>
      <c r="G2492">
        <v>4700</v>
      </c>
      <c r="H2492" s="116"/>
      <c r="I2492" s="116"/>
      <c r="L2492" s="170">
        <v>45673</v>
      </c>
      <c r="M2492" s="116">
        <v>6308.25</v>
      </c>
      <c r="N2492" s="116">
        <v>6353.05</v>
      </c>
      <c r="O2492" s="116">
        <v>6220.2</v>
      </c>
      <c r="P2492" s="116">
        <v>6238.1</v>
      </c>
      <c r="Q2492" s="116">
        <v>6308.25</v>
      </c>
      <c r="R2492">
        <v>170841</v>
      </c>
    </row>
    <row r="2493" spans="1:18" x14ac:dyDescent="0.25">
      <c r="A2493" s="170">
        <v>45674</v>
      </c>
      <c r="B2493" s="116">
        <v>6550.95</v>
      </c>
      <c r="C2493" s="116">
        <v>6533.05</v>
      </c>
      <c r="D2493" s="116">
        <v>6256</v>
      </c>
      <c r="E2493" s="116">
        <v>6311.15</v>
      </c>
      <c r="F2493" s="116">
        <v>6533.05</v>
      </c>
      <c r="G2493">
        <v>10733</v>
      </c>
      <c r="H2493" s="116"/>
      <c r="I2493" s="116"/>
      <c r="L2493" s="170">
        <v>45674</v>
      </c>
      <c r="M2493" s="116">
        <v>6527.5</v>
      </c>
      <c r="N2493" s="116">
        <v>6553.7</v>
      </c>
      <c r="O2493" s="116">
        <v>6251.65</v>
      </c>
      <c r="P2493" s="116">
        <v>6300</v>
      </c>
      <c r="Q2493" s="116">
        <v>6527.5</v>
      </c>
      <c r="R2493">
        <v>385172</v>
      </c>
    </row>
    <row r="2494" spans="1:18" x14ac:dyDescent="0.25">
      <c r="A2494" s="170">
        <v>45677</v>
      </c>
      <c r="B2494" s="116">
        <v>6596.8</v>
      </c>
      <c r="C2494" s="116">
        <v>6522.7</v>
      </c>
      <c r="D2494" s="116">
        <v>6455.7</v>
      </c>
      <c r="E2494" s="116">
        <v>6596.8</v>
      </c>
      <c r="F2494" s="116">
        <v>6522.7</v>
      </c>
      <c r="G2494">
        <v>5970</v>
      </c>
      <c r="H2494" s="116"/>
      <c r="I2494" s="116"/>
      <c r="L2494" s="170">
        <v>45677</v>
      </c>
      <c r="M2494" s="116">
        <v>6525.25</v>
      </c>
      <c r="N2494" s="116">
        <v>6579.65</v>
      </c>
      <c r="O2494" s="116">
        <v>6455.05</v>
      </c>
      <c r="P2494" s="116">
        <v>6547.55</v>
      </c>
      <c r="Q2494" s="116">
        <v>6525.25</v>
      </c>
      <c r="R2494">
        <v>131130</v>
      </c>
    </row>
    <row r="2495" spans="1:18" x14ac:dyDescent="0.25">
      <c r="A2495" s="170">
        <v>45678</v>
      </c>
      <c r="B2495" s="116">
        <v>6556.8</v>
      </c>
      <c r="C2495" s="116">
        <v>6279.6</v>
      </c>
      <c r="D2495" s="116">
        <v>6265</v>
      </c>
      <c r="E2495" s="116">
        <v>6506.1</v>
      </c>
      <c r="F2495" s="116">
        <v>6279.6</v>
      </c>
      <c r="G2495">
        <v>6416</v>
      </c>
      <c r="H2495" s="116"/>
      <c r="I2495" s="116"/>
      <c r="L2495" s="170">
        <v>45678</v>
      </c>
      <c r="M2495" s="116">
        <v>6281.2</v>
      </c>
      <c r="N2495" s="116">
        <v>6542.2</v>
      </c>
      <c r="O2495" s="116">
        <v>6263.4</v>
      </c>
      <c r="P2495" s="116">
        <v>6525.25</v>
      </c>
      <c r="Q2495" s="116">
        <v>6281.2</v>
      </c>
      <c r="R2495">
        <v>337700</v>
      </c>
    </row>
    <row r="2496" spans="1:18" x14ac:dyDescent="0.25">
      <c r="A2496" s="170">
        <v>45679</v>
      </c>
      <c r="B2496" s="116">
        <v>6341</v>
      </c>
      <c r="C2496" s="116">
        <v>6277.4</v>
      </c>
      <c r="D2496" s="116">
        <v>6116.05</v>
      </c>
      <c r="E2496" s="116">
        <v>6341</v>
      </c>
      <c r="F2496" s="116">
        <v>6277.4</v>
      </c>
      <c r="G2496">
        <v>3614</v>
      </c>
      <c r="H2496" s="116"/>
      <c r="I2496" s="116"/>
      <c r="L2496" s="170">
        <v>45679</v>
      </c>
      <c r="M2496" s="116">
        <v>6279.65</v>
      </c>
      <c r="N2496" s="116">
        <v>6340</v>
      </c>
      <c r="O2496" s="116">
        <v>6114</v>
      </c>
      <c r="P2496" s="116">
        <v>6323.65</v>
      </c>
      <c r="Q2496" s="116">
        <v>6279.65</v>
      </c>
      <c r="R2496">
        <v>303115</v>
      </c>
    </row>
    <row r="2497" spans="1:18" x14ac:dyDescent="0.25">
      <c r="A2497" s="170">
        <v>45680</v>
      </c>
      <c r="B2497" s="116">
        <v>6482.9</v>
      </c>
      <c r="C2497" s="116">
        <v>6327.9</v>
      </c>
      <c r="D2497" s="116">
        <v>6260.9</v>
      </c>
      <c r="E2497" s="116">
        <v>6275.95</v>
      </c>
      <c r="F2497" s="116">
        <v>6327.9</v>
      </c>
      <c r="G2497">
        <v>3292</v>
      </c>
      <c r="H2497" s="116"/>
      <c r="I2497" s="116"/>
      <c r="L2497" s="170">
        <v>45680</v>
      </c>
      <c r="M2497" s="116">
        <v>6330.25</v>
      </c>
      <c r="N2497" s="116">
        <v>6488.95</v>
      </c>
      <c r="O2497" s="116">
        <v>6260.2</v>
      </c>
      <c r="P2497" s="116">
        <v>6279.65</v>
      </c>
      <c r="Q2497" s="116">
        <v>6330.25</v>
      </c>
      <c r="R2497">
        <v>243034</v>
      </c>
    </row>
    <row r="2498" spans="1:18" x14ac:dyDescent="0.25">
      <c r="A2498" s="170">
        <v>45681</v>
      </c>
      <c r="B2498" s="116">
        <v>6424.35</v>
      </c>
      <c r="C2498" s="116">
        <v>6169</v>
      </c>
      <c r="D2498" s="116">
        <v>6154.4</v>
      </c>
      <c r="E2498" s="116">
        <v>6424.35</v>
      </c>
      <c r="F2498" s="116">
        <v>6169</v>
      </c>
      <c r="G2498">
        <v>1992</v>
      </c>
      <c r="H2498" s="116"/>
      <c r="I2498" s="116"/>
      <c r="L2498" s="170">
        <v>45681</v>
      </c>
      <c r="M2498" s="116">
        <v>6178.9</v>
      </c>
      <c r="N2498" s="116">
        <v>6379.9</v>
      </c>
      <c r="O2498" s="116">
        <v>6152.3</v>
      </c>
      <c r="P2498" s="116">
        <v>6360</v>
      </c>
      <c r="Q2498" s="116">
        <v>6178.9</v>
      </c>
      <c r="R2498">
        <v>145838</v>
      </c>
    </row>
    <row r="2499" spans="1:18" x14ac:dyDescent="0.25">
      <c r="A2499" s="170">
        <v>45684</v>
      </c>
      <c r="B2499" s="116">
        <v>6179.2</v>
      </c>
      <c r="C2499" s="116">
        <v>6085.2</v>
      </c>
      <c r="D2499" s="116">
        <v>6009.75</v>
      </c>
      <c r="E2499" s="116">
        <v>6118.1</v>
      </c>
      <c r="F2499" s="116">
        <v>6085.2</v>
      </c>
      <c r="G2499">
        <v>3683</v>
      </c>
      <c r="H2499" s="116"/>
      <c r="I2499" s="116"/>
      <c r="L2499" s="170">
        <v>45684</v>
      </c>
      <c r="M2499" s="116">
        <v>6083.3</v>
      </c>
      <c r="N2499" s="116">
        <v>6177.8</v>
      </c>
      <c r="O2499" s="116">
        <v>6009</v>
      </c>
      <c r="P2499" s="116">
        <v>6100</v>
      </c>
      <c r="Q2499" s="116">
        <v>6083.3</v>
      </c>
      <c r="R2499">
        <v>241956</v>
      </c>
    </row>
    <row r="2500" spans="1:18" x14ac:dyDescent="0.25">
      <c r="A2500" s="170">
        <v>45685</v>
      </c>
      <c r="B2500" s="116">
        <v>6184.25</v>
      </c>
      <c r="C2500" s="116">
        <v>5996.35</v>
      </c>
      <c r="D2500" s="116">
        <v>5910.05</v>
      </c>
      <c r="E2500" s="116">
        <v>6100.9</v>
      </c>
      <c r="F2500" s="116">
        <v>5996.35</v>
      </c>
      <c r="G2500">
        <v>10647</v>
      </c>
      <c r="H2500" s="116"/>
      <c r="I2500" s="116"/>
      <c r="L2500" s="170">
        <v>45685</v>
      </c>
      <c r="M2500" s="116">
        <v>5998.95</v>
      </c>
      <c r="N2500" s="116">
        <v>6184.75</v>
      </c>
      <c r="O2500" s="116">
        <v>5909.4</v>
      </c>
      <c r="P2500" s="116">
        <v>6100</v>
      </c>
      <c r="Q2500" s="116">
        <v>5998.95</v>
      </c>
      <c r="R2500">
        <v>270318</v>
      </c>
    </row>
    <row r="2501" spans="1:18" x14ac:dyDescent="0.25">
      <c r="A2501" s="170">
        <v>45686</v>
      </c>
      <c r="B2501" s="116">
        <v>6142.25</v>
      </c>
      <c r="C2501" s="116">
        <v>6111.3</v>
      </c>
      <c r="D2501" s="116">
        <v>6030.55</v>
      </c>
      <c r="E2501" s="116">
        <v>6043.95</v>
      </c>
      <c r="F2501" s="116">
        <v>6111.3</v>
      </c>
      <c r="G2501">
        <v>3135</v>
      </c>
      <c r="H2501" s="116"/>
      <c r="I2501" s="116"/>
      <c r="L2501" s="170">
        <v>45686</v>
      </c>
      <c r="M2501" s="116">
        <v>6110.85</v>
      </c>
      <c r="N2501" s="116">
        <v>6139.2</v>
      </c>
      <c r="O2501" s="116">
        <v>6015</v>
      </c>
      <c r="P2501" s="116">
        <v>6015</v>
      </c>
      <c r="Q2501" s="116">
        <v>6110.85</v>
      </c>
      <c r="R2501">
        <v>119869</v>
      </c>
    </row>
    <row r="2502" spans="1:18" x14ac:dyDescent="0.25">
      <c r="A2502" s="170">
        <v>45687</v>
      </c>
      <c r="B2502" s="116">
        <v>6143.3</v>
      </c>
      <c r="C2502" s="116">
        <v>5720.05</v>
      </c>
      <c r="D2502" s="116">
        <v>5680</v>
      </c>
      <c r="E2502" s="116">
        <v>6143.3</v>
      </c>
      <c r="F2502" s="116">
        <v>5720.05</v>
      </c>
      <c r="G2502">
        <v>29595</v>
      </c>
      <c r="H2502" s="116"/>
      <c r="I2502" s="116"/>
      <c r="L2502" s="170">
        <v>45687</v>
      </c>
      <c r="M2502" s="116">
        <v>5719.35</v>
      </c>
      <c r="N2502" s="116">
        <v>6133.95</v>
      </c>
      <c r="O2502" s="116">
        <v>5678</v>
      </c>
      <c r="P2502" s="116">
        <v>6125</v>
      </c>
      <c r="Q2502" s="116">
        <v>5719.35</v>
      </c>
      <c r="R2502">
        <v>854672</v>
      </c>
    </row>
    <row r="2503" spans="1:18" x14ac:dyDescent="0.25">
      <c r="A2503" s="170">
        <v>45688</v>
      </c>
      <c r="B2503" s="116">
        <v>5950</v>
      </c>
      <c r="C2503" s="116">
        <v>5875.75</v>
      </c>
      <c r="D2503" s="116">
        <v>5712.45</v>
      </c>
      <c r="E2503" s="116">
        <v>5796.75</v>
      </c>
      <c r="F2503" s="116">
        <v>5875.75</v>
      </c>
      <c r="G2503">
        <v>16212</v>
      </c>
      <c r="H2503" s="116"/>
      <c r="I2503" s="116"/>
      <c r="L2503" s="170">
        <v>45688</v>
      </c>
      <c r="M2503" s="116">
        <v>5874.65</v>
      </c>
      <c r="N2503" s="116">
        <v>5947.85</v>
      </c>
      <c r="O2503" s="116">
        <v>5710.1</v>
      </c>
      <c r="P2503" s="116">
        <v>5740</v>
      </c>
      <c r="Q2503" s="116">
        <v>5874.65</v>
      </c>
      <c r="R2503">
        <v>511763</v>
      </c>
    </row>
    <row r="2504" spans="1:18" x14ac:dyDescent="0.25">
      <c r="A2504" s="170">
        <v>45689</v>
      </c>
      <c r="B2504" s="116">
        <v>5939.85</v>
      </c>
      <c r="C2504" s="116">
        <v>5500.15</v>
      </c>
      <c r="D2504" s="116">
        <v>5405.05</v>
      </c>
      <c r="E2504" s="116">
        <v>5939.85</v>
      </c>
      <c r="F2504" s="116">
        <v>5500.15</v>
      </c>
      <c r="G2504">
        <v>24097</v>
      </c>
      <c r="H2504" s="116"/>
      <c r="I2504" s="116"/>
      <c r="L2504" s="170">
        <v>45689</v>
      </c>
      <c r="M2504" s="116">
        <v>5499.5</v>
      </c>
      <c r="N2504" s="116">
        <v>5943.4</v>
      </c>
      <c r="O2504" s="116">
        <v>5405</v>
      </c>
      <c r="P2504" s="116">
        <v>5920</v>
      </c>
      <c r="Q2504" s="116">
        <v>5499.5</v>
      </c>
      <c r="R2504">
        <v>510445</v>
      </c>
    </row>
    <row r="2505" spans="1:18" x14ac:dyDescent="0.25">
      <c r="A2505" s="170">
        <v>45691</v>
      </c>
      <c r="B2505" s="116">
        <v>5463.9</v>
      </c>
      <c r="C2505" s="116">
        <v>5199.8</v>
      </c>
      <c r="D2505" s="116">
        <v>5105.05</v>
      </c>
      <c r="E2505" s="116">
        <v>5460.05</v>
      </c>
      <c r="F2505" s="116">
        <v>5199.8</v>
      </c>
      <c r="G2505">
        <v>35411</v>
      </c>
      <c r="H2505" s="116"/>
      <c r="I2505" s="116"/>
      <c r="L2505" s="170">
        <v>45691</v>
      </c>
      <c r="M2505" s="116">
        <v>5197.3500000000004</v>
      </c>
      <c r="N2505" s="116">
        <v>5499</v>
      </c>
      <c r="O2505" s="116">
        <v>5105.5</v>
      </c>
      <c r="P2505" s="116">
        <v>5480.1</v>
      </c>
      <c r="Q2505" s="116">
        <v>5197.3500000000004</v>
      </c>
      <c r="R2505">
        <v>1444875</v>
      </c>
    </row>
    <row r="2506" spans="1:18" x14ac:dyDescent="0.25">
      <c r="A2506" s="170">
        <v>45692</v>
      </c>
      <c r="B2506" s="116">
        <v>5648</v>
      </c>
      <c r="C2506" s="116">
        <v>5628.05</v>
      </c>
      <c r="D2506" s="116">
        <v>5257</v>
      </c>
      <c r="E2506" s="116">
        <v>5257</v>
      </c>
      <c r="F2506" s="116">
        <v>5628.05</v>
      </c>
      <c r="G2506">
        <v>43465</v>
      </c>
      <c r="H2506" s="116"/>
      <c r="I2506" s="116"/>
      <c r="L2506" s="170">
        <v>45692</v>
      </c>
      <c r="M2506" s="116">
        <v>5629.55</v>
      </c>
      <c r="N2506" s="116">
        <v>5650</v>
      </c>
      <c r="O2506" s="116">
        <v>5265</v>
      </c>
      <c r="P2506" s="116">
        <v>5271.35</v>
      </c>
      <c r="Q2506" s="116">
        <v>5629.55</v>
      </c>
      <c r="R2506">
        <v>1337087</v>
      </c>
    </row>
    <row r="2507" spans="1:18" x14ac:dyDescent="0.25">
      <c r="A2507" s="170">
        <v>45693</v>
      </c>
      <c r="B2507" s="116">
        <v>5805.75</v>
      </c>
      <c r="C2507" s="116">
        <v>5752.6</v>
      </c>
      <c r="D2507" s="116">
        <v>5637.4</v>
      </c>
      <c r="E2507" s="116">
        <v>5698.85</v>
      </c>
      <c r="F2507" s="116">
        <v>5752.6</v>
      </c>
      <c r="G2507">
        <v>16560</v>
      </c>
      <c r="H2507" s="116"/>
      <c r="I2507" s="116"/>
      <c r="L2507" s="170">
        <v>45693</v>
      </c>
      <c r="M2507" s="116">
        <v>5744.95</v>
      </c>
      <c r="N2507" s="116">
        <v>5805.55</v>
      </c>
      <c r="O2507" s="116">
        <v>5640.05</v>
      </c>
      <c r="P2507" s="116">
        <v>5676</v>
      </c>
      <c r="Q2507" s="116">
        <v>5744.95</v>
      </c>
      <c r="R2507">
        <v>699315</v>
      </c>
    </row>
    <row r="2508" spans="1:18" x14ac:dyDescent="0.25">
      <c r="A2508" s="170">
        <v>45694</v>
      </c>
      <c r="B2508" s="116">
        <v>5870</v>
      </c>
      <c r="C2508" s="116">
        <v>5681.85</v>
      </c>
      <c r="D2508" s="116">
        <v>5643.15</v>
      </c>
      <c r="E2508" s="116">
        <v>5787</v>
      </c>
      <c r="F2508" s="116">
        <v>5681.85</v>
      </c>
      <c r="G2508">
        <v>17353</v>
      </c>
      <c r="H2508" s="116"/>
      <c r="I2508" s="116"/>
      <c r="L2508" s="170">
        <v>45694</v>
      </c>
      <c r="M2508" s="116">
        <v>5681.4</v>
      </c>
      <c r="N2508" s="116">
        <v>5874.35</v>
      </c>
      <c r="O2508" s="116">
        <v>5642.25</v>
      </c>
      <c r="P2508" s="116">
        <v>5794.95</v>
      </c>
      <c r="Q2508" s="116">
        <v>5681.4</v>
      </c>
      <c r="R2508">
        <v>384010</v>
      </c>
    </row>
    <row r="2509" spans="1:18" x14ac:dyDescent="0.25">
      <c r="A2509" s="170">
        <v>45695</v>
      </c>
      <c r="B2509" s="116">
        <v>5757</v>
      </c>
      <c r="C2509" s="116">
        <v>5687.75</v>
      </c>
      <c r="D2509" s="116">
        <v>5598.3</v>
      </c>
      <c r="E2509" s="116">
        <v>5695</v>
      </c>
      <c r="F2509" s="116">
        <v>5687.75</v>
      </c>
      <c r="G2509">
        <v>10521</v>
      </c>
      <c r="H2509" s="116"/>
      <c r="I2509" s="116"/>
      <c r="L2509" s="170">
        <v>45695</v>
      </c>
      <c r="M2509" s="116">
        <v>5685.75</v>
      </c>
      <c r="N2509" s="116">
        <v>5758.85</v>
      </c>
      <c r="O2509" s="116">
        <v>5601.05</v>
      </c>
      <c r="P2509" s="116">
        <v>5712.8</v>
      </c>
      <c r="Q2509" s="116">
        <v>5685.75</v>
      </c>
      <c r="R2509">
        <v>284417</v>
      </c>
    </row>
    <row r="2510" spans="1:18" x14ac:dyDescent="0.25">
      <c r="A2510" s="170">
        <v>45698</v>
      </c>
      <c r="B2510" s="116">
        <v>5699.3</v>
      </c>
      <c r="C2510" s="116">
        <v>5577.25</v>
      </c>
      <c r="D2510" s="116">
        <v>5558</v>
      </c>
      <c r="E2510" s="116">
        <v>5697.7</v>
      </c>
      <c r="F2510" s="116">
        <v>5577.25</v>
      </c>
      <c r="G2510">
        <v>7939</v>
      </c>
      <c r="H2510" s="116"/>
      <c r="I2510" s="116"/>
      <c r="L2510" s="170">
        <v>45698</v>
      </c>
      <c r="M2510" s="116">
        <v>5580.5</v>
      </c>
      <c r="N2510" s="116">
        <v>5724.3</v>
      </c>
      <c r="O2510" s="116">
        <v>5558.5</v>
      </c>
      <c r="P2510" s="116">
        <v>5674.95</v>
      </c>
      <c r="Q2510" s="116">
        <v>5580.5</v>
      </c>
      <c r="R2510">
        <v>376402</v>
      </c>
    </row>
    <row r="2511" spans="1:18" x14ac:dyDescent="0.25">
      <c r="A2511" s="170">
        <v>45699</v>
      </c>
      <c r="B2511" s="116">
        <v>5577.05</v>
      </c>
      <c r="C2511" s="116">
        <v>5431.2</v>
      </c>
      <c r="D2511" s="116">
        <v>5407.05</v>
      </c>
      <c r="E2511" s="116">
        <v>5577.05</v>
      </c>
      <c r="F2511" s="116">
        <v>5431.2</v>
      </c>
      <c r="G2511">
        <v>6632</v>
      </c>
      <c r="H2511" s="116"/>
      <c r="I2511" s="116"/>
      <c r="L2511" s="170">
        <v>45699</v>
      </c>
      <c r="M2511" s="116">
        <v>5436.85</v>
      </c>
      <c r="N2511" s="116">
        <v>5596</v>
      </c>
      <c r="O2511" s="116">
        <v>5408.65</v>
      </c>
      <c r="P2511" s="116">
        <v>5596</v>
      </c>
      <c r="Q2511" s="116">
        <v>5436.85</v>
      </c>
      <c r="R2511">
        <v>350160</v>
      </c>
    </row>
    <row r="2512" spans="1:18" x14ac:dyDescent="0.25">
      <c r="A2512" s="170">
        <v>45700</v>
      </c>
      <c r="B2512" s="116">
        <v>5500</v>
      </c>
      <c r="C2512" s="116">
        <v>5465.3</v>
      </c>
      <c r="D2512" s="116">
        <v>5230</v>
      </c>
      <c r="E2512" s="116">
        <v>5439.2</v>
      </c>
      <c r="F2512" s="116">
        <v>5465.3</v>
      </c>
      <c r="G2512">
        <v>6638</v>
      </c>
      <c r="H2512" s="116"/>
      <c r="I2512" s="116"/>
      <c r="L2512" s="170">
        <v>45700</v>
      </c>
      <c r="M2512" s="116">
        <v>5449.55</v>
      </c>
      <c r="N2512" s="116">
        <v>5510</v>
      </c>
      <c r="O2512" s="116">
        <v>5226.3</v>
      </c>
      <c r="P2512" s="116">
        <v>5423</v>
      </c>
      <c r="Q2512" s="116">
        <v>5449.55</v>
      </c>
      <c r="R2512">
        <v>348968</v>
      </c>
    </row>
    <row r="2513" spans="1:18" x14ac:dyDescent="0.25">
      <c r="A2513" s="170">
        <v>45701</v>
      </c>
      <c r="B2513" s="116">
        <v>5566.75</v>
      </c>
      <c r="C2513" s="116">
        <v>5439.3</v>
      </c>
      <c r="D2513" s="116">
        <v>5403.3</v>
      </c>
      <c r="E2513" s="116">
        <v>5465</v>
      </c>
      <c r="F2513" s="116">
        <v>5439.3</v>
      </c>
      <c r="G2513">
        <v>7079</v>
      </c>
      <c r="H2513" s="116"/>
      <c r="I2513" s="116"/>
      <c r="L2513" s="170">
        <v>45701</v>
      </c>
      <c r="M2513" s="116">
        <v>5442.75</v>
      </c>
      <c r="N2513" s="116">
        <v>5569</v>
      </c>
      <c r="O2513" s="116">
        <v>5403.9</v>
      </c>
      <c r="P2513" s="116">
        <v>5450.1</v>
      </c>
      <c r="Q2513" s="116">
        <v>5442.75</v>
      </c>
      <c r="R2513">
        <v>297830</v>
      </c>
    </row>
    <row r="2514" spans="1:18" x14ac:dyDescent="0.25">
      <c r="A2514" s="170">
        <v>45702</v>
      </c>
      <c r="B2514" s="116">
        <v>5490.95</v>
      </c>
      <c r="C2514" s="116">
        <v>5259.15</v>
      </c>
      <c r="D2514" s="116">
        <v>5227.7</v>
      </c>
      <c r="E2514" s="116">
        <v>5469.95</v>
      </c>
      <c r="F2514" s="116">
        <v>5259.15</v>
      </c>
      <c r="G2514">
        <v>18522</v>
      </c>
      <c r="H2514" s="116"/>
      <c r="I2514" s="116"/>
      <c r="L2514" s="170">
        <v>45702</v>
      </c>
      <c r="M2514" s="116">
        <v>5263.75</v>
      </c>
      <c r="N2514" s="116">
        <v>5495.95</v>
      </c>
      <c r="O2514" s="116">
        <v>5223</v>
      </c>
      <c r="P2514" s="116">
        <v>5455</v>
      </c>
      <c r="Q2514" s="116">
        <v>5263.75</v>
      </c>
      <c r="R2514">
        <v>296054</v>
      </c>
    </row>
    <row r="2515" spans="1:18" x14ac:dyDescent="0.25">
      <c r="A2515" s="170">
        <v>45705</v>
      </c>
      <c r="B2515" s="116">
        <v>5268</v>
      </c>
      <c r="C2515" s="116">
        <v>5241.2</v>
      </c>
      <c r="D2515" s="116">
        <v>5146.7</v>
      </c>
      <c r="E2515" s="116">
        <v>5259.15</v>
      </c>
      <c r="F2515" s="116">
        <v>5241.2</v>
      </c>
      <c r="G2515">
        <v>7785</v>
      </c>
      <c r="H2515" s="116"/>
      <c r="I2515" s="116"/>
      <c r="L2515" s="170">
        <v>45705</v>
      </c>
      <c r="M2515" s="116">
        <v>5241.8999999999996</v>
      </c>
      <c r="N2515" s="116">
        <v>5275.95</v>
      </c>
      <c r="O2515" s="116">
        <v>5142</v>
      </c>
      <c r="P2515" s="116">
        <v>5263</v>
      </c>
      <c r="Q2515" s="116">
        <v>5241.8999999999996</v>
      </c>
      <c r="R2515">
        <v>252290</v>
      </c>
    </row>
    <row r="2516" spans="1:18" x14ac:dyDescent="0.25">
      <c r="A2516" s="170">
        <v>45706</v>
      </c>
      <c r="B2516" s="116">
        <v>5511</v>
      </c>
      <c r="C2516" s="116">
        <v>5140.75</v>
      </c>
      <c r="D2516" s="116">
        <v>5093.3999999999996</v>
      </c>
      <c r="E2516" s="116">
        <v>5470</v>
      </c>
      <c r="F2516" s="116">
        <v>5140.75</v>
      </c>
      <c r="G2516">
        <v>128610</v>
      </c>
      <c r="H2516" s="116"/>
      <c r="I2516" s="116"/>
      <c r="L2516" s="170">
        <v>45706</v>
      </c>
      <c r="M2516" s="116">
        <v>5142.05</v>
      </c>
      <c r="N2516" s="116">
        <v>5515</v>
      </c>
      <c r="O2516" s="116">
        <v>5093</v>
      </c>
      <c r="P2516" s="116">
        <v>5440</v>
      </c>
      <c r="Q2516" s="116">
        <v>5142.05</v>
      </c>
      <c r="R2516">
        <v>3924895</v>
      </c>
    </row>
    <row r="2517" spans="1:18" x14ac:dyDescent="0.25">
      <c r="A2517" s="170">
        <v>45707</v>
      </c>
      <c r="B2517" s="116">
        <v>5190.7</v>
      </c>
      <c r="C2517" s="116">
        <v>5122.8500000000004</v>
      </c>
      <c r="D2517" s="116">
        <v>5016.2</v>
      </c>
      <c r="E2517" s="116">
        <v>5124.25</v>
      </c>
      <c r="F2517" s="116">
        <v>5122.8500000000004</v>
      </c>
      <c r="G2517">
        <v>17852</v>
      </c>
      <c r="H2517" s="116"/>
      <c r="I2517" s="116"/>
      <c r="L2517" s="170">
        <v>45707</v>
      </c>
      <c r="M2517" s="116">
        <v>5123.8500000000004</v>
      </c>
      <c r="N2517" s="116">
        <v>5193.95</v>
      </c>
      <c r="O2517" s="116">
        <v>5019.75</v>
      </c>
      <c r="P2517" s="116">
        <v>5089.95</v>
      </c>
      <c r="Q2517" s="116">
        <v>5123.8500000000004</v>
      </c>
      <c r="R2517">
        <v>938108</v>
      </c>
    </row>
    <row r="2518" spans="1:18" x14ac:dyDescent="0.25">
      <c r="A2518" s="170">
        <v>45708</v>
      </c>
      <c r="B2518" s="116">
        <v>5365.1</v>
      </c>
      <c r="C2518" s="116">
        <v>5345.05</v>
      </c>
      <c r="D2518" s="116">
        <v>5075.05</v>
      </c>
      <c r="E2518" s="116">
        <v>5118.3</v>
      </c>
      <c r="F2518" s="116">
        <v>5345.05</v>
      </c>
      <c r="G2518">
        <v>22593</v>
      </c>
      <c r="H2518" s="116"/>
      <c r="I2518" s="116"/>
      <c r="L2518" s="170">
        <v>45708</v>
      </c>
      <c r="M2518" s="116">
        <v>5344.65</v>
      </c>
      <c r="N2518" s="116">
        <v>5356</v>
      </c>
      <c r="O2518" s="116">
        <v>5072</v>
      </c>
      <c r="P2518" s="116">
        <v>5100</v>
      </c>
      <c r="Q2518" s="116">
        <v>5344.65</v>
      </c>
      <c r="R2518">
        <v>757479</v>
      </c>
    </row>
    <row r="2519" spans="1:18" x14ac:dyDescent="0.25">
      <c r="A2519" s="170">
        <v>45709</v>
      </c>
      <c r="B2519" s="116">
        <v>5362.15</v>
      </c>
      <c r="C2519" s="116">
        <v>5287.2</v>
      </c>
      <c r="D2519" s="116">
        <v>5185.5</v>
      </c>
      <c r="E2519" s="116">
        <v>5344.3</v>
      </c>
      <c r="F2519" s="116">
        <v>5287.2</v>
      </c>
      <c r="G2519">
        <v>19135</v>
      </c>
      <c r="H2519" s="116"/>
      <c r="I2519" s="116"/>
      <c r="L2519" s="170">
        <v>45709</v>
      </c>
      <c r="M2519" s="116">
        <v>5291.4</v>
      </c>
      <c r="N2519" s="116">
        <v>5365.95</v>
      </c>
      <c r="O2519" s="116">
        <v>5185.05</v>
      </c>
      <c r="P2519" s="116">
        <v>5327</v>
      </c>
      <c r="Q2519" s="116">
        <v>5291.4</v>
      </c>
      <c r="R2519">
        <v>597090</v>
      </c>
    </row>
    <row r="2520" spans="1:18" x14ac:dyDescent="0.25">
      <c r="A2520" s="170">
        <v>45712</v>
      </c>
      <c r="B2520" s="116">
        <v>5409.95</v>
      </c>
      <c r="C2520" s="116">
        <v>5385.65</v>
      </c>
      <c r="D2520" s="116">
        <v>5194.55</v>
      </c>
      <c r="E2520" s="116">
        <v>5286.4</v>
      </c>
      <c r="F2520" s="116">
        <v>5385.65</v>
      </c>
      <c r="G2520">
        <v>11285</v>
      </c>
      <c r="H2520" s="116"/>
      <c r="I2520" s="116"/>
      <c r="L2520" s="170">
        <v>45712</v>
      </c>
      <c r="M2520" s="116">
        <v>5389.95</v>
      </c>
      <c r="N2520" s="116">
        <v>5409</v>
      </c>
      <c r="O2520" s="116">
        <v>5194.8999999999996</v>
      </c>
      <c r="P2520" s="116">
        <v>5248.2</v>
      </c>
      <c r="Q2520" s="116">
        <v>5389.95</v>
      </c>
      <c r="R2520">
        <v>557026</v>
      </c>
    </row>
    <row r="2521" spans="1:18" x14ac:dyDescent="0.25">
      <c r="A2521" s="170">
        <v>45713</v>
      </c>
      <c r="B2521" s="116">
        <v>5390</v>
      </c>
      <c r="C2521" s="116">
        <v>5289.35</v>
      </c>
      <c r="D2521" s="116">
        <v>5200</v>
      </c>
      <c r="E2521" s="116">
        <v>5389.95</v>
      </c>
      <c r="F2521" s="116">
        <v>5289.35</v>
      </c>
      <c r="G2521">
        <v>6911</v>
      </c>
      <c r="H2521" s="116"/>
      <c r="I2521" s="116"/>
      <c r="L2521" s="170">
        <v>45713</v>
      </c>
      <c r="M2521" s="116">
        <v>5301.8</v>
      </c>
      <c r="N2521" s="116">
        <v>5391.9</v>
      </c>
      <c r="O2521" s="116">
        <v>5241.45</v>
      </c>
      <c r="P2521" s="116">
        <v>5389</v>
      </c>
      <c r="Q2521" s="116">
        <v>5301.8</v>
      </c>
      <c r="R2521">
        <v>415818</v>
      </c>
    </row>
    <row r="2522" spans="1:18" x14ac:dyDescent="0.25">
      <c r="A2522" s="170">
        <v>45715</v>
      </c>
      <c r="B2522" s="116">
        <v>5321.5</v>
      </c>
      <c r="C2522" s="116">
        <v>5143.45</v>
      </c>
      <c r="D2522" s="116">
        <v>5105</v>
      </c>
      <c r="E2522" s="116">
        <v>5317.6</v>
      </c>
      <c r="F2522" s="116">
        <v>5143.45</v>
      </c>
      <c r="G2522">
        <v>5826</v>
      </c>
      <c r="H2522" s="116"/>
      <c r="I2522" s="116"/>
      <c r="L2522" s="170">
        <v>45715</v>
      </c>
      <c r="M2522" s="116">
        <v>5144.7</v>
      </c>
      <c r="N2522" s="116">
        <v>5317.7</v>
      </c>
      <c r="O2522" s="116">
        <v>5105.2</v>
      </c>
      <c r="P2522" s="116">
        <v>5301.8</v>
      </c>
      <c r="Q2522" s="116">
        <v>5144.7</v>
      </c>
      <c r="R2522">
        <v>541660</v>
      </c>
    </row>
    <row r="2523" spans="1:18" x14ac:dyDescent="0.25">
      <c r="A2523" s="170">
        <v>45716</v>
      </c>
      <c r="B2523" s="116">
        <v>5119.95</v>
      </c>
      <c r="C2523" s="116">
        <v>4931.6499999999996</v>
      </c>
      <c r="D2523" s="116">
        <v>4916.3500000000004</v>
      </c>
      <c r="E2523" s="116">
        <v>5119.95</v>
      </c>
      <c r="F2523" s="116">
        <v>4931.6499999999996</v>
      </c>
      <c r="G2523">
        <v>9705</v>
      </c>
      <c r="H2523" s="116"/>
      <c r="I2523" s="116"/>
      <c r="L2523" s="170">
        <v>45716</v>
      </c>
      <c r="M2523" s="116">
        <v>4935.3999999999996</v>
      </c>
      <c r="N2523" s="116">
        <v>5119</v>
      </c>
      <c r="O2523" s="116">
        <v>4918</v>
      </c>
      <c r="P2523" s="116">
        <v>5110</v>
      </c>
      <c r="Q2523" s="116">
        <v>4935.3999999999996</v>
      </c>
      <c r="R2523">
        <v>784607</v>
      </c>
    </row>
    <row r="2524" spans="1:18" x14ac:dyDescent="0.25">
      <c r="A2524" s="170">
        <v>45719</v>
      </c>
      <c r="B2524" s="116">
        <v>5146.25</v>
      </c>
      <c r="C2524" s="116">
        <v>5100</v>
      </c>
      <c r="D2524" s="116">
        <v>4893.1000000000004</v>
      </c>
      <c r="E2524" s="116">
        <v>4949.1000000000004</v>
      </c>
      <c r="F2524" s="116">
        <v>5100</v>
      </c>
      <c r="G2524">
        <v>11953</v>
      </c>
      <c r="H2524" s="116"/>
      <c r="I2524" s="116"/>
      <c r="L2524" s="170">
        <v>45719</v>
      </c>
      <c r="M2524" s="116">
        <v>5088.3</v>
      </c>
      <c r="N2524" s="116">
        <v>5145</v>
      </c>
      <c r="O2524" s="116">
        <v>4890</v>
      </c>
      <c r="P2524" s="116">
        <v>4954.8</v>
      </c>
      <c r="Q2524" s="116">
        <v>5088.3</v>
      </c>
      <c r="R2524">
        <v>558162</v>
      </c>
    </row>
    <row r="2525" spans="1:18" x14ac:dyDescent="0.25">
      <c r="A2525" s="170">
        <v>45720</v>
      </c>
      <c r="B2525" s="116">
        <v>5213.2</v>
      </c>
      <c r="C2525" s="116">
        <v>5190.5</v>
      </c>
      <c r="D2525" s="116">
        <v>5001.8500000000004</v>
      </c>
      <c r="E2525" s="116">
        <v>5079.95</v>
      </c>
      <c r="F2525" s="116">
        <v>5190.5</v>
      </c>
      <c r="G2525">
        <v>9928</v>
      </c>
      <c r="H2525" s="116"/>
      <c r="I2525" s="116"/>
      <c r="L2525" s="170">
        <v>45720</v>
      </c>
      <c r="M2525" s="116">
        <v>5191.3999999999996</v>
      </c>
      <c r="N2525" s="116">
        <v>5212</v>
      </c>
      <c r="O2525" s="116">
        <v>5000</v>
      </c>
      <c r="P2525" s="116">
        <v>5000</v>
      </c>
      <c r="Q2525" s="116">
        <v>5191.3999999999996</v>
      </c>
      <c r="R2525">
        <v>506485</v>
      </c>
    </row>
    <row r="2526" spans="1:18" x14ac:dyDescent="0.25">
      <c r="A2526" s="170">
        <v>45721</v>
      </c>
      <c r="B2526" s="116">
        <v>5355.9</v>
      </c>
      <c r="C2526" s="116">
        <v>5307.5</v>
      </c>
      <c r="D2526" s="116">
        <v>5090.3999999999996</v>
      </c>
      <c r="E2526" s="116">
        <v>5090.3999999999996</v>
      </c>
      <c r="F2526" s="116">
        <v>5307.5</v>
      </c>
      <c r="G2526">
        <v>11053</v>
      </c>
      <c r="H2526" s="116"/>
      <c r="I2526" s="116"/>
      <c r="L2526" s="170">
        <v>45721</v>
      </c>
      <c r="M2526" s="116">
        <v>5312.3</v>
      </c>
      <c r="N2526" s="116">
        <v>5356</v>
      </c>
      <c r="O2526" s="116">
        <v>5100</v>
      </c>
      <c r="P2526" s="116">
        <v>5100</v>
      </c>
      <c r="Q2526" s="116">
        <v>5312.3</v>
      </c>
      <c r="R2526">
        <v>445752</v>
      </c>
    </row>
    <row r="2527" spans="1:18" x14ac:dyDescent="0.25">
      <c r="A2527" s="170">
        <v>45722</v>
      </c>
      <c r="B2527" s="116">
        <v>5427.95</v>
      </c>
      <c r="C2527" s="116">
        <v>5372.7</v>
      </c>
      <c r="D2527" s="116">
        <v>5287.05</v>
      </c>
      <c r="E2527" s="116">
        <v>5350</v>
      </c>
      <c r="F2527" s="116">
        <v>5372.7</v>
      </c>
      <c r="G2527">
        <v>15973</v>
      </c>
      <c r="H2527" s="116"/>
      <c r="I2527" s="116"/>
      <c r="L2527" s="170">
        <v>45722</v>
      </c>
      <c r="M2527" s="116">
        <v>5370</v>
      </c>
      <c r="N2527" s="116">
        <v>5432</v>
      </c>
      <c r="O2527" s="116">
        <v>5283.6</v>
      </c>
      <c r="P2527" s="116">
        <v>5342</v>
      </c>
      <c r="Q2527" s="116">
        <v>5370</v>
      </c>
      <c r="R2527">
        <v>532908</v>
      </c>
    </row>
    <row r="2528" spans="1:18" x14ac:dyDescent="0.25">
      <c r="A2528" s="170">
        <v>45723</v>
      </c>
      <c r="B2528" s="116">
        <v>5399.95</v>
      </c>
      <c r="C2528" s="116">
        <v>5326.85</v>
      </c>
      <c r="D2528" s="116">
        <v>5280.35</v>
      </c>
      <c r="E2528" s="116">
        <v>5399.95</v>
      </c>
      <c r="F2528" s="116">
        <v>5326.85</v>
      </c>
      <c r="G2528">
        <v>8910</v>
      </c>
      <c r="H2528" s="116"/>
      <c r="I2528" s="116"/>
      <c r="L2528" s="170">
        <v>45723</v>
      </c>
      <c r="M2528" s="116">
        <v>5326.55</v>
      </c>
      <c r="N2528" s="116">
        <v>5370.05</v>
      </c>
      <c r="O2528" s="116">
        <v>5280</v>
      </c>
      <c r="P2528" s="116">
        <v>5370</v>
      </c>
      <c r="Q2528" s="116">
        <v>5326.55</v>
      </c>
      <c r="R2528">
        <v>482112</v>
      </c>
    </row>
    <row r="2529" spans="1:18" x14ac:dyDescent="0.25">
      <c r="A2529" s="170">
        <v>45726</v>
      </c>
      <c r="B2529" s="116">
        <v>5413</v>
      </c>
      <c r="C2529" s="116">
        <v>5157.95</v>
      </c>
      <c r="D2529" s="116">
        <v>5140</v>
      </c>
      <c r="E2529" s="116">
        <v>5399.8</v>
      </c>
      <c r="F2529" s="116">
        <v>5157.95</v>
      </c>
      <c r="G2529">
        <v>11852</v>
      </c>
      <c r="H2529" s="116"/>
      <c r="I2529" s="116"/>
      <c r="L2529" s="170">
        <v>45726</v>
      </c>
      <c r="M2529" s="116">
        <v>5160.3</v>
      </c>
      <c r="N2529" s="116">
        <v>5410.75</v>
      </c>
      <c r="O2529" s="116">
        <v>5139.6499999999996</v>
      </c>
      <c r="P2529" s="116">
        <v>5328</v>
      </c>
      <c r="Q2529" s="116">
        <v>5160.3</v>
      </c>
      <c r="R2529">
        <v>342786</v>
      </c>
    </row>
    <row r="2530" spans="1:18" x14ac:dyDescent="0.25">
      <c r="A2530" s="170">
        <v>45727</v>
      </c>
      <c r="B2530" s="116">
        <v>5180</v>
      </c>
      <c r="C2530" s="116">
        <v>5130.2</v>
      </c>
      <c r="D2530" s="116">
        <v>5083.5</v>
      </c>
      <c r="E2530" s="116">
        <v>5119.5</v>
      </c>
      <c r="F2530" s="116">
        <v>5130.2</v>
      </c>
      <c r="G2530">
        <v>6552</v>
      </c>
      <c r="H2530" s="116"/>
      <c r="I2530" s="116"/>
      <c r="L2530" s="170">
        <v>45727</v>
      </c>
      <c r="M2530" s="116">
        <v>5129.3</v>
      </c>
      <c r="N2530" s="116">
        <v>5182</v>
      </c>
      <c r="O2530" s="116">
        <v>5080</v>
      </c>
      <c r="P2530" s="116">
        <v>5100</v>
      </c>
      <c r="Q2530" s="116">
        <v>5129.3</v>
      </c>
      <c r="R2530">
        <v>549888</v>
      </c>
    </row>
    <row r="2531" spans="1:18" x14ac:dyDescent="0.25">
      <c r="A2531" s="170">
        <v>45728</v>
      </c>
      <c r="B2531" s="116">
        <v>5175</v>
      </c>
      <c r="C2531" s="116">
        <v>5140.05</v>
      </c>
      <c r="D2531" s="116">
        <v>5037</v>
      </c>
      <c r="E2531" s="116">
        <v>5133.05</v>
      </c>
      <c r="F2531" s="116">
        <v>5140.05</v>
      </c>
      <c r="G2531">
        <v>8323</v>
      </c>
      <c r="H2531" s="116"/>
      <c r="I2531" s="116"/>
      <c r="L2531" s="170">
        <v>45728</v>
      </c>
      <c r="M2531" s="116">
        <v>5139.7</v>
      </c>
      <c r="N2531" s="116">
        <v>5178.6000000000004</v>
      </c>
      <c r="O2531" s="116">
        <v>5035</v>
      </c>
      <c r="P2531" s="116">
        <v>5154.3500000000004</v>
      </c>
      <c r="Q2531" s="116">
        <v>5139.7</v>
      </c>
      <c r="R2531">
        <v>222937</v>
      </c>
    </row>
    <row r="2532" spans="1:18" x14ac:dyDescent="0.25">
      <c r="A2532" s="170">
        <v>45729</v>
      </c>
      <c r="B2532" s="116">
        <v>5303.85</v>
      </c>
      <c r="C2532" s="116">
        <v>5120</v>
      </c>
      <c r="D2532" s="116">
        <v>5110</v>
      </c>
      <c r="E2532" s="116">
        <v>5171.05</v>
      </c>
      <c r="F2532" s="116">
        <v>5120</v>
      </c>
      <c r="G2532">
        <v>11541</v>
      </c>
      <c r="H2532" s="116"/>
      <c r="I2532" s="116"/>
      <c r="L2532" s="170">
        <v>45729</v>
      </c>
      <c r="M2532" s="116">
        <v>5118.55</v>
      </c>
      <c r="N2532" s="116">
        <v>5304.7</v>
      </c>
      <c r="O2532" s="116">
        <v>5111</v>
      </c>
      <c r="P2532" s="116">
        <v>5152</v>
      </c>
      <c r="Q2532" s="116">
        <v>5118.55</v>
      </c>
      <c r="R2532">
        <v>367022</v>
      </c>
    </row>
    <row r="2533" spans="1:18" x14ac:dyDescent="0.25">
      <c r="A2533" s="170">
        <v>45733</v>
      </c>
      <c r="B2533" s="116">
        <v>5214.7</v>
      </c>
      <c r="C2533" s="116">
        <v>5187.3999999999996</v>
      </c>
      <c r="D2533" s="116">
        <v>5100.6000000000004</v>
      </c>
      <c r="E2533" s="116">
        <v>5150.05</v>
      </c>
      <c r="F2533" s="116">
        <v>5187.3999999999996</v>
      </c>
      <c r="G2533">
        <v>8832</v>
      </c>
      <c r="H2533" s="116"/>
      <c r="I2533" s="116"/>
      <c r="L2533" s="170">
        <v>45733</v>
      </c>
      <c r="M2533" s="116">
        <v>5187.6499999999996</v>
      </c>
      <c r="N2533" s="116">
        <v>5218.45</v>
      </c>
      <c r="O2533" s="116">
        <v>5101</v>
      </c>
      <c r="P2533" s="116">
        <v>5160</v>
      </c>
      <c r="Q2533" s="116">
        <v>5187.6499999999996</v>
      </c>
      <c r="R2533">
        <v>276511</v>
      </c>
    </row>
    <row r="2534" spans="1:18" x14ac:dyDescent="0.25">
      <c r="A2534" s="170">
        <v>45734</v>
      </c>
      <c r="B2534" s="116">
        <v>5424.7</v>
      </c>
      <c r="C2534" s="116">
        <v>5407.55</v>
      </c>
      <c r="D2534" s="116">
        <v>5210.55</v>
      </c>
      <c r="E2534" s="116">
        <v>5210.55</v>
      </c>
      <c r="F2534" s="116">
        <v>5407.55</v>
      </c>
      <c r="G2534">
        <v>10700</v>
      </c>
      <c r="H2534" s="116"/>
      <c r="I2534" s="116"/>
      <c r="L2534" s="170">
        <v>45734</v>
      </c>
      <c r="M2534" s="116">
        <v>5410.9</v>
      </c>
      <c r="N2534" s="116">
        <v>5425</v>
      </c>
      <c r="O2534" s="116">
        <v>5216.95</v>
      </c>
      <c r="P2534" s="116">
        <v>5216.95</v>
      </c>
      <c r="Q2534" s="116">
        <v>5410.9</v>
      </c>
      <c r="R2534">
        <v>508165</v>
      </c>
    </row>
    <row r="2535" spans="1:18" x14ac:dyDescent="0.25">
      <c r="A2535" s="170">
        <v>45735</v>
      </c>
      <c r="B2535" s="116">
        <v>5512.15</v>
      </c>
      <c r="C2535" s="116">
        <v>5474.6</v>
      </c>
      <c r="D2535" s="116">
        <v>5350</v>
      </c>
      <c r="E2535" s="116">
        <v>5446.95</v>
      </c>
      <c r="F2535" s="116">
        <v>5474.6</v>
      </c>
      <c r="G2535">
        <v>6372</v>
      </c>
      <c r="H2535" s="116"/>
      <c r="I2535" s="116"/>
      <c r="L2535" s="170">
        <v>45735</v>
      </c>
      <c r="M2535" s="116">
        <v>5475.6</v>
      </c>
      <c r="N2535" s="116">
        <v>5512.8</v>
      </c>
      <c r="O2535" s="116">
        <v>5346.75</v>
      </c>
      <c r="P2535" s="116">
        <v>5432.6</v>
      </c>
      <c r="Q2535" s="116">
        <v>5475.6</v>
      </c>
      <c r="R2535">
        <v>580679</v>
      </c>
    </row>
    <row r="2536" spans="1:18" x14ac:dyDescent="0.25">
      <c r="A2536" s="170">
        <v>45736</v>
      </c>
      <c r="B2536" s="116">
        <v>5519.8</v>
      </c>
      <c r="C2536" s="116">
        <v>5465.3</v>
      </c>
      <c r="D2536" s="116">
        <v>5341.05</v>
      </c>
      <c r="E2536" s="116">
        <v>5519.8</v>
      </c>
      <c r="F2536" s="116">
        <v>5465.3</v>
      </c>
      <c r="G2536">
        <v>10754</v>
      </c>
      <c r="H2536" s="116"/>
      <c r="I2536" s="116"/>
      <c r="L2536" s="170">
        <v>45736</v>
      </c>
      <c r="M2536" s="116">
        <v>5460.7</v>
      </c>
      <c r="N2536" s="116">
        <v>5505.6</v>
      </c>
      <c r="O2536" s="116">
        <v>5340.65</v>
      </c>
      <c r="P2536" s="116">
        <v>5500</v>
      </c>
      <c r="Q2536" s="116">
        <v>5460.7</v>
      </c>
      <c r="R2536">
        <v>442929</v>
      </c>
    </row>
    <row r="2537" spans="1:18" x14ac:dyDescent="0.25">
      <c r="A2537" s="170">
        <v>45737</v>
      </c>
      <c r="B2537" s="116">
        <v>5571.95</v>
      </c>
      <c r="C2537" s="116">
        <v>5457.4</v>
      </c>
      <c r="D2537" s="116">
        <v>5430.2</v>
      </c>
      <c r="E2537" s="116">
        <v>5455.45</v>
      </c>
      <c r="F2537" s="116">
        <v>5457.4</v>
      </c>
      <c r="G2537">
        <v>16739</v>
      </c>
      <c r="H2537" s="116"/>
      <c r="I2537" s="116"/>
      <c r="L2537" s="170">
        <v>45737</v>
      </c>
      <c r="M2537" s="116">
        <v>5457.5</v>
      </c>
      <c r="N2537" s="116">
        <v>5572.65</v>
      </c>
      <c r="O2537" s="116">
        <v>5433.4</v>
      </c>
      <c r="P2537" s="116">
        <v>5469.95</v>
      </c>
      <c r="Q2537" s="116">
        <v>5457.5</v>
      </c>
      <c r="R2537">
        <v>685475</v>
      </c>
    </row>
    <row r="2538" spans="1:18" x14ac:dyDescent="0.25">
      <c r="A2538" s="170">
        <v>45740</v>
      </c>
      <c r="B2538" s="116">
        <v>5601.4</v>
      </c>
      <c r="C2538" s="116">
        <v>5533.75</v>
      </c>
      <c r="D2538" s="116">
        <v>5471.45</v>
      </c>
      <c r="E2538" s="116">
        <v>5539.95</v>
      </c>
      <c r="F2538" s="116">
        <v>5533.75</v>
      </c>
      <c r="G2538">
        <v>9409</v>
      </c>
      <c r="H2538" s="116"/>
      <c r="I2538" s="116"/>
      <c r="L2538" s="170">
        <v>45740</v>
      </c>
      <c r="M2538" s="116">
        <v>5532.2</v>
      </c>
      <c r="N2538" s="116">
        <v>5598</v>
      </c>
      <c r="O2538" s="116">
        <v>5471.15</v>
      </c>
      <c r="P2538" s="116">
        <v>5471.15</v>
      </c>
      <c r="Q2538" s="116">
        <v>5532.2</v>
      </c>
      <c r="R2538">
        <v>310148</v>
      </c>
    </row>
    <row r="2539" spans="1:18" x14ac:dyDescent="0.25">
      <c r="A2539" s="170">
        <v>45741</v>
      </c>
      <c r="B2539" s="116">
        <v>5604.95</v>
      </c>
      <c r="C2539" s="116">
        <v>5410.05</v>
      </c>
      <c r="D2539" s="116">
        <v>5396.45</v>
      </c>
      <c r="E2539" s="116">
        <v>5604.95</v>
      </c>
      <c r="F2539" s="116">
        <v>5410.05</v>
      </c>
      <c r="G2539">
        <v>13692</v>
      </c>
      <c r="H2539" s="116"/>
      <c r="I2539" s="116"/>
      <c r="L2539" s="170">
        <v>45741</v>
      </c>
      <c r="M2539" s="116">
        <v>5414.15</v>
      </c>
      <c r="N2539" s="116">
        <v>5594.95</v>
      </c>
      <c r="O2539" s="116">
        <v>5397.5</v>
      </c>
      <c r="P2539" s="116">
        <v>5593</v>
      </c>
      <c r="Q2539" s="116">
        <v>5414.15</v>
      </c>
      <c r="R2539">
        <v>265207</v>
      </c>
    </row>
    <row r="2540" spans="1:18" x14ac:dyDescent="0.25">
      <c r="A2540" s="170">
        <v>45742</v>
      </c>
      <c r="B2540" s="116">
        <v>5621</v>
      </c>
      <c r="C2540" s="116">
        <v>5524.95</v>
      </c>
      <c r="D2540" s="116">
        <v>5410.05</v>
      </c>
      <c r="E2540" s="116">
        <v>5412.35</v>
      </c>
      <c r="F2540" s="116">
        <v>5524.95</v>
      </c>
      <c r="G2540">
        <v>21495</v>
      </c>
      <c r="H2540" s="116"/>
      <c r="I2540" s="116"/>
      <c r="L2540" s="170">
        <v>45742</v>
      </c>
      <c r="M2540" s="116">
        <v>5523.7</v>
      </c>
      <c r="N2540" s="116">
        <v>5622.85</v>
      </c>
      <c r="O2540" s="116">
        <v>5407.55</v>
      </c>
      <c r="P2540" s="116">
        <v>5454.2</v>
      </c>
      <c r="Q2540" s="116">
        <v>5523.7</v>
      </c>
      <c r="R2540">
        <v>729146</v>
      </c>
    </row>
    <row r="2541" spans="1:18" x14ac:dyDescent="0.25">
      <c r="A2541" s="170">
        <v>45743</v>
      </c>
      <c r="B2541" s="116">
        <v>5579.35</v>
      </c>
      <c r="C2541" s="116">
        <v>5544.35</v>
      </c>
      <c r="D2541" s="116">
        <v>5444</v>
      </c>
      <c r="E2541" s="116">
        <v>5522.2</v>
      </c>
      <c r="F2541" s="116">
        <v>5544.35</v>
      </c>
      <c r="G2541">
        <v>18051</v>
      </c>
      <c r="H2541" s="116"/>
      <c r="I2541" s="116"/>
      <c r="L2541" s="170">
        <v>45743</v>
      </c>
      <c r="M2541" s="116">
        <v>5540.35</v>
      </c>
      <c r="N2541" s="116">
        <v>5578.45</v>
      </c>
      <c r="O2541" s="116">
        <v>5445.05</v>
      </c>
      <c r="P2541" s="116">
        <v>5485</v>
      </c>
      <c r="Q2541" s="116">
        <v>5540.35</v>
      </c>
      <c r="R2541">
        <v>403518</v>
      </c>
    </row>
    <row r="2542" spans="1:18" x14ac:dyDescent="0.25">
      <c r="A2542" s="170">
        <v>45744</v>
      </c>
      <c r="B2542" s="116">
        <v>5626</v>
      </c>
      <c r="C2542" s="116">
        <v>5542.55</v>
      </c>
      <c r="D2542" s="116">
        <v>5505</v>
      </c>
      <c r="E2542" s="116">
        <v>5540.35</v>
      </c>
      <c r="F2542" s="116">
        <v>5542.55</v>
      </c>
      <c r="G2542">
        <v>19498</v>
      </c>
      <c r="H2542" s="116"/>
      <c r="I2542" s="116"/>
      <c r="L2542" s="170">
        <v>45744</v>
      </c>
      <c r="M2542" s="116">
        <v>5546.25</v>
      </c>
      <c r="N2542" s="116">
        <v>5625</v>
      </c>
      <c r="O2542" s="116">
        <v>5503.75</v>
      </c>
      <c r="P2542" s="116">
        <v>5559.95</v>
      </c>
      <c r="Q2542" s="116">
        <v>5546.25</v>
      </c>
      <c r="R2542">
        <v>420034</v>
      </c>
    </row>
    <row r="2543" spans="1:18" x14ac:dyDescent="0.25">
      <c r="A2543" s="170">
        <v>45748</v>
      </c>
      <c r="B2543" s="116">
        <v>5547.55</v>
      </c>
      <c r="C2543" s="116">
        <v>5387.65</v>
      </c>
      <c r="D2543" s="116">
        <v>5370</v>
      </c>
      <c r="E2543" s="116">
        <v>5545</v>
      </c>
      <c r="F2543" s="116">
        <v>5387.65</v>
      </c>
      <c r="G2543">
        <v>46771</v>
      </c>
      <c r="H2543" s="116"/>
      <c r="I2543" s="116"/>
      <c r="L2543" s="170">
        <v>45748</v>
      </c>
      <c r="M2543" s="116">
        <v>5399.15</v>
      </c>
      <c r="N2543" s="116">
        <v>5548</v>
      </c>
      <c r="O2543" s="116">
        <v>5373</v>
      </c>
      <c r="P2543" s="116">
        <v>5539.5</v>
      </c>
      <c r="Q2543" s="116">
        <v>5399.15</v>
      </c>
      <c r="R2543">
        <v>380081</v>
      </c>
    </row>
    <row r="2544" spans="1:18" x14ac:dyDescent="0.25">
      <c r="A2544" s="170">
        <v>45749</v>
      </c>
      <c r="B2544" s="116">
        <v>5479.85</v>
      </c>
      <c r="C2544" s="116">
        <v>5313.15</v>
      </c>
      <c r="D2544" s="116">
        <v>5212</v>
      </c>
      <c r="E2544" s="116">
        <v>5479.85</v>
      </c>
      <c r="F2544" s="116">
        <v>5313.15</v>
      </c>
      <c r="G2544">
        <v>19597</v>
      </c>
      <c r="H2544" s="116"/>
      <c r="I2544" s="116"/>
      <c r="L2544" s="170">
        <v>45749</v>
      </c>
      <c r="M2544" s="116">
        <v>5313.15</v>
      </c>
      <c r="N2544" s="116">
        <v>5431.9</v>
      </c>
      <c r="O2544" s="116">
        <v>5211.1000000000004</v>
      </c>
      <c r="P2544" s="116">
        <v>5425.2</v>
      </c>
      <c r="Q2544" s="116">
        <v>5313.15</v>
      </c>
      <c r="R2544">
        <v>682715</v>
      </c>
    </row>
    <row r="2545" spans="1:18" x14ac:dyDescent="0.25">
      <c r="A2545" s="170">
        <v>45750</v>
      </c>
      <c r="B2545" s="116">
        <v>5350.05</v>
      </c>
      <c r="C2545" s="116">
        <v>5331.05</v>
      </c>
      <c r="D2545" s="116">
        <v>5241.1000000000004</v>
      </c>
      <c r="E2545" s="116">
        <v>5250</v>
      </c>
      <c r="F2545" s="116">
        <v>5331.05</v>
      </c>
      <c r="G2545">
        <v>11620</v>
      </c>
      <c r="H2545" s="116"/>
      <c r="I2545" s="116"/>
      <c r="L2545" s="170">
        <v>45750</v>
      </c>
      <c r="M2545" s="116">
        <v>5327.3</v>
      </c>
      <c r="N2545" s="116">
        <v>5354.15</v>
      </c>
      <c r="O2545" s="116">
        <v>5242.7</v>
      </c>
      <c r="P2545" s="116">
        <v>5250</v>
      </c>
      <c r="Q2545" s="116">
        <v>5327.3</v>
      </c>
      <c r="R2545">
        <v>224578</v>
      </c>
    </row>
    <row r="2546" spans="1:18" x14ac:dyDescent="0.25">
      <c r="A2546" s="170">
        <v>45751</v>
      </c>
      <c r="B2546" s="116">
        <v>5332.6</v>
      </c>
      <c r="C2546" s="116">
        <v>5096.1000000000004</v>
      </c>
      <c r="D2546" s="116">
        <v>5068.6499999999996</v>
      </c>
      <c r="E2546" s="116">
        <v>5332.6</v>
      </c>
      <c r="F2546" s="116">
        <v>5096.1000000000004</v>
      </c>
      <c r="G2546">
        <v>20573</v>
      </c>
      <c r="H2546" s="116"/>
      <c r="I2546" s="116"/>
      <c r="L2546" s="170">
        <v>45751</v>
      </c>
      <c r="M2546" s="116">
        <v>5095.8999999999996</v>
      </c>
      <c r="N2546" s="116">
        <v>5331.05</v>
      </c>
      <c r="O2546" s="116">
        <v>5075.7</v>
      </c>
      <c r="P2546" s="116">
        <v>5325</v>
      </c>
      <c r="Q2546" s="116">
        <v>5095.8999999999996</v>
      </c>
      <c r="R2546">
        <v>457097</v>
      </c>
    </row>
    <row r="2547" spans="1:18" x14ac:dyDescent="0.25">
      <c r="A2547" s="170">
        <v>45754</v>
      </c>
      <c r="B2547" s="116">
        <v>5018.8999999999996</v>
      </c>
      <c r="C2547" s="116">
        <v>4969.1000000000004</v>
      </c>
      <c r="D2547" s="116">
        <v>4590.05</v>
      </c>
      <c r="E2547" s="116">
        <v>4590.05</v>
      </c>
      <c r="F2547" s="116">
        <v>4969.1000000000004</v>
      </c>
      <c r="G2547">
        <v>42253</v>
      </c>
      <c r="H2547" s="116"/>
      <c r="I2547" s="116"/>
      <c r="L2547" s="170">
        <v>45754</v>
      </c>
      <c r="M2547" s="116">
        <v>4963.55</v>
      </c>
      <c r="N2547" s="116">
        <v>5022.3500000000004</v>
      </c>
      <c r="O2547" s="116">
        <v>4684.45</v>
      </c>
      <c r="P2547" s="116">
        <v>4684.45</v>
      </c>
      <c r="Q2547" s="116">
        <v>4963.55</v>
      </c>
      <c r="R2547">
        <v>765239</v>
      </c>
    </row>
    <row r="2548" spans="1:18" x14ac:dyDescent="0.25">
      <c r="A2548" s="170">
        <v>45755</v>
      </c>
      <c r="B2548" s="116">
        <v>5124.95</v>
      </c>
      <c r="C2548" s="116">
        <v>5066.75</v>
      </c>
      <c r="D2548" s="116">
        <v>4972.3500000000004</v>
      </c>
      <c r="E2548" s="116">
        <v>5113.6000000000004</v>
      </c>
      <c r="F2548" s="116">
        <v>5066.75</v>
      </c>
      <c r="G2548">
        <v>9277</v>
      </c>
      <c r="H2548" s="116"/>
      <c r="I2548" s="116"/>
      <c r="L2548" s="170">
        <v>45755</v>
      </c>
      <c r="M2548" s="116">
        <v>5064.3999999999996</v>
      </c>
      <c r="N2548" s="116">
        <v>5119.95</v>
      </c>
      <c r="O2548" s="116">
        <v>4970</v>
      </c>
      <c r="P2548" s="116">
        <v>5041.05</v>
      </c>
      <c r="Q2548" s="116">
        <v>5064.3999999999996</v>
      </c>
      <c r="R2548">
        <v>304029</v>
      </c>
    </row>
    <row r="2549" spans="1:18" x14ac:dyDescent="0.25">
      <c r="A2549" s="170">
        <v>45756</v>
      </c>
      <c r="B2549" s="116">
        <v>5090.3999999999996</v>
      </c>
      <c r="C2549" s="116">
        <v>5034.55</v>
      </c>
      <c r="D2549" s="116">
        <v>4971.2</v>
      </c>
      <c r="E2549" s="116">
        <v>5066.8</v>
      </c>
      <c r="F2549" s="116">
        <v>5034.55</v>
      </c>
      <c r="G2549">
        <v>6336</v>
      </c>
      <c r="H2549" s="116"/>
      <c r="I2549" s="116"/>
      <c r="L2549" s="170">
        <v>45756</v>
      </c>
      <c r="M2549" s="116">
        <v>5036.2</v>
      </c>
      <c r="N2549" s="116">
        <v>5090.8999999999996</v>
      </c>
      <c r="O2549" s="116">
        <v>4970</v>
      </c>
      <c r="P2549" s="116">
        <v>5074</v>
      </c>
      <c r="Q2549" s="116">
        <v>5036.2</v>
      </c>
      <c r="R2549">
        <v>353532</v>
      </c>
    </row>
    <row r="2550" spans="1:18" x14ac:dyDescent="0.25">
      <c r="A2550" s="170">
        <v>45758</v>
      </c>
      <c r="B2550" s="116">
        <v>5179.8</v>
      </c>
      <c r="C2550" s="116">
        <v>5140.8500000000004</v>
      </c>
      <c r="D2550" s="116">
        <v>5058.05</v>
      </c>
      <c r="E2550" s="116">
        <v>5179.8</v>
      </c>
      <c r="F2550" s="116">
        <v>5140.8500000000004</v>
      </c>
      <c r="G2550">
        <v>5842</v>
      </c>
      <c r="H2550" s="116"/>
      <c r="I2550" s="116"/>
      <c r="L2550" s="170">
        <v>45758</v>
      </c>
      <c r="M2550" s="116">
        <v>5143.3</v>
      </c>
      <c r="N2550" s="116">
        <v>5173.95</v>
      </c>
      <c r="O2550" s="116">
        <v>5052.05</v>
      </c>
      <c r="P2550" s="116">
        <v>5149.5</v>
      </c>
      <c r="Q2550" s="116">
        <v>5143.3</v>
      </c>
      <c r="R2550">
        <v>416323</v>
      </c>
    </row>
    <row r="2551" spans="1:18" x14ac:dyDescent="0.25">
      <c r="A2551" s="170">
        <v>45762</v>
      </c>
      <c r="B2551" s="116">
        <v>5288</v>
      </c>
      <c r="C2551" s="116">
        <v>5248.35</v>
      </c>
      <c r="D2551" s="116">
        <v>5159.5</v>
      </c>
      <c r="E2551" s="116">
        <v>5284.8</v>
      </c>
      <c r="F2551" s="116">
        <v>5248.35</v>
      </c>
      <c r="G2551">
        <v>4723</v>
      </c>
      <c r="H2551" s="116"/>
      <c r="I2551" s="116"/>
      <c r="L2551" s="170">
        <v>45762</v>
      </c>
      <c r="M2551" s="116">
        <v>5246.5</v>
      </c>
      <c r="N2551" s="116">
        <v>5288.5</v>
      </c>
      <c r="O2551" s="116">
        <v>5158.5</v>
      </c>
      <c r="P2551" s="116">
        <v>5220</v>
      </c>
      <c r="Q2551" s="116">
        <v>5246.5</v>
      </c>
      <c r="R2551">
        <v>334196</v>
      </c>
    </row>
    <row r="2552" spans="1:18" x14ac:dyDescent="0.25">
      <c r="A2552" s="170">
        <v>45763</v>
      </c>
      <c r="B2552" s="116">
        <v>5455</v>
      </c>
      <c r="C2552" s="116">
        <v>5378.65</v>
      </c>
      <c r="D2552" s="116">
        <v>5248.55</v>
      </c>
      <c r="E2552" s="116">
        <v>5248.55</v>
      </c>
      <c r="F2552" s="116">
        <v>5378.65</v>
      </c>
      <c r="G2552">
        <v>23760</v>
      </c>
      <c r="H2552" s="116"/>
      <c r="I2552" s="116"/>
      <c r="L2552" s="170">
        <v>45763</v>
      </c>
      <c r="M2552" s="116">
        <v>5379.5</v>
      </c>
      <c r="N2552" s="116">
        <v>5457.5</v>
      </c>
      <c r="O2552" s="116">
        <v>5252.5</v>
      </c>
      <c r="P2552" s="116">
        <v>5280</v>
      </c>
      <c r="Q2552" s="116">
        <v>5379.5</v>
      </c>
      <c r="R2552">
        <v>566818</v>
      </c>
    </row>
    <row r="2553" spans="1:18" x14ac:dyDescent="0.25">
      <c r="A2553" s="170">
        <v>45764</v>
      </c>
      <c r="B2553" s="116">
        <v>5644.45</v>
      </c>
      <c r="C2553" s="116">
        <v>5567.95</v>
      </c>
      <c r="D2553" s="116">
        <v>5295</v>
      </c>
      <c r="E2553" s="116">
        <v>5448.95</v>
      </c>
      <c r="F2553" s="116">
        <v>5567.95</v>
      </c>
      <c r="G2553">
        <v>51100</v>
      </c>
      <c r="H2553" s="116"/>
      <c r="I2553" s="116"/>
      <c r="L2553" s="170">
        <v>45764</v>
      </c>
      <c r="M2553" s="116">
        <v>5571.5</v>
      </c>
      <c r="N2553" s="116">
        <v>5645</v>
      </c>
      <c r="O2553" s="116">
        <v>5294.5</v>
      </c>
      <c r="P2553" s="116">
        <v>5422.5</v>
      </c>
      <c r="Q2553" s="116">
        <v>5571.5</v>
      </c>
      <c r="R2553">
        <v>1143784</v>
      </c>
    </row>
    <row r="2554" spans="1:18" x14ac:dyDescent="0.25">
      <c r="A2554" s="170">
        <v>45768</v>
      </c>
      <c r="B2554" s="116">
        <v>5694.25</v>
      </c>
      <c r="C2554" s="116">
        <v>5627.7</v>
      </c>
      <c r="D2554" s="116">
        <v>5524.1</v>
      </c>
      <c r="E2554" s="116">
        <v>5682.95</v>
      </c>
      <c r="F2554" s="116">
        <v>5627.7</v>
      </c>
      <c r="G2554">
        <v>14029</v>
      </c>
      <c r="H2554" s="116"/>
      <c r="I2554" s="116"/>
      <c r="L2554" s="170">
        <v>45768</v>
      </c>
      <c r="M2554" s="116">
        <v>5629</v>
      </c>
      <c r="N2554" s="116">
        <v>5699</v>
      </c>
      <c r="O2554" s="116">
        <v>5519</v>
      </c>
      <c r="P2554" s="116">
        <v>5678.5</v>
      </c>
      <c r="Q2554" s="116">
        <v>5629</v>
      </c>
      <c r="R2554">
        <v>684672</v>
      </c>
    </row>
    <row r="2555" spans="1:18" x14ac:dyDescent="0.25">
      <c r="A2555" s="170">
        <v>45769</v>
      </c>
      <c r="B2555" s="116">
        <v>5705</v>
      </c>
      <c r="C2555" s="116">
        <v>5680.3</v>
      </c>
      <c r="D2555" s="116">
        <v>5593.9</v>
      </c>
      <c r="E2555" s="116">
        <v>5629</v>
      </c>
      <c r="F2555" s="116">
        <v>5680.3</v>
      </c>
      <c r="G2555">
        <v>9511</v>
      </c>
      <c r="H2555" s="116"/>
      <c r="I2555" s="116"/>
      <c r="L2555" s="170">
        <v>45769</v>
      </c>
      <c r="M2555" s="116">
        <v>5682.5</v>
      </c>
      <c r="N2555" s="116">
        <v>5704</v>
      </c>
      <c r="O2555" s="116">
        <v>5591.5</v>
      </c>
      <c r="P2555" s="116">
        <v>5649</v>
      </c>
      <c r="Q2555" s="116">
        <v>5682.5</v>
      </c>
      <c r="R2555">
        <v>325345</v>
      </c>
    </row>
    <row r="2556" spans="1:18" x14ac:dyDescent="0.25">
      <c r="A2556" s="170">
        <v>45770</v>
      </c>
      <c r="B2556" s="116">
        <v>5790</v>
      </c>
      <c r="C2556" s="116">
        <v>5710.95</v>
      </c>
      <c r="D2556" s="116">
        <v>5610.95</v>
      </c>
      <c r="E2556" s="116">
        <v>5749</v>
      </c>
      <c r="F2556" s="116">
        <v>5710.95</v>
      </c>
      <c r="G2556">
        <v>15270</v>
      </c>
      <c r="H2556" s="116"/>
      <c r="I2556" s="116"/>
      <c r="L2556" s="170">
        <v>45770</v>
      </c>
      <c r="M2556" s="116">
        <v>5713</v>
      </c>
      <c r="N2556" s="116">
        <v>5792</v>
      </c>
      <c r="O2556" s="116">
        <v>5609</v>
      </c>
      <c r="P2556" s="116">
        <v>5715</v>
      </c>
      <c r="Q2556" s="116">
        <v>5713</v>
      </c>
      <c r="R2556">
        <v>376059</v>
      </c>
    </row>
    <row r="2557" spans="1:18" x14ac:dyDescent="0.25">
      <c r="A2557" s="170">
        <v>45771</v>
      </c>
      <c r="B2557" s="116">
        <v>5734.4</v>
      </c>
      <c r="C2557" s="116">
        <v>5682.3</v>
      </c>
      <c r="D2557" s="116">
        <v>5628</v>
      </c>
      <c r="E2557" s="116">
        <v>5734.4</v>
      </c>
      <c r="F2557" s="116">
        <v>5682.3</v>
      </c>
      <c r="G2557">
        <v>6418</v>
      </c>
      <c r="H2557" s="116"/>
      <c r="I2557" s="116"/>
      <c r="L2557" s="170">
        <v>45771</v>
      </c>
      <c r="M2557" s="116">
        <v>5688.5</v>
      </c>
      <c r="N2557" s="116">
        <v>5733</v>
      </c>
      <c r="O2557" s="116">
        <v>5621.5</v>
      </c>
      <c r="P2557" s="116">
        <v>5720</v>
      </c>
      <c r="Q2557" s="116">
        <v>5688.5</v>
      </c>
      <c r="R2557">
        <v>374809</v>
      </c>
    </row>
    <row r="2558" spans="1:18" x14ac:dyDescent="0.25">
      <c r="A2558" s="170">
        <v>45772</v>
      </c>
      <c r="B2558" s="116">
        <v>5701.35</v>
      </c>
      <c r="C2558" s="116">
        <v>5497.45</v>
      </c>
      <c r="D2558" s="116">
        <v>5388.5</v>
      </c>
      <c r="E2558" s="116">
        <v>5688</v>
      </c>
      <c r="F2558" s="116">
        <v>5497.45</v>
      </c>
      <c r="G2558">
        <v>12042</v>
      </c>
      <c r="H2558" s="116"/>
      <c r="I2558" s="116"/>
      <c r="L2558" s="170">
        <v>45772</v>
      </c>
      <c r="M2558" s="116">
        <v>5499</v>
      </c>
      <c r="N2558" s="116">
        <v>5708.5</v>
      </c>
      <c r="O2558" s="116">
        <v>5385</v>
      </c>
      <c r="P2558" s="116">
        <v>5698</v>
      </c>
      <c r="Q2558" s="116">
        <v>5499</v>
      </c>
      <c r="R2558">
        <v>638225</v>
      </c>
    </row>
    <row r="2559" spans="1:18" x14ac:dyDescent="0.25">
      <c r="A2559" s="170">
        <v>45775</v>
      </c>
      <c r="B2559" s="116">
        <v>5562</v>
      </c>
      <c r="C2559" s="116">
        <v>5535.65</v>
      </c>
      <c r="D2559" s="116">
        <v>5460.05</v>
      </c>
      <c r="E2559" s="116">
        <v>5521.05</v>
      </c>
      <c r="F2559" s="116">
        <v>5535.65</v>
      </c>
      <c r="G2559">
        <v>5503</v>
      </c>
      <c r="H2559" s="116"/>
      <c r="I2559" s="116"/>
      <c r="L2559" s="170">
        <v>45775</v>
      </c>
      <c r="M2559" s="116">
        <v>5536</v>
      </c>
      <c r="N2559" s="116">
        <v>5558.5</v>
      </c>
      <c r="O2559" s="116">
        <v>5459</v>
      </c>
      <c r="P2559" s="116">
        <v>5499</v>
      </c>
      <c r="Q2559" s="116">
        <v>5536</v>
      </c>
      <c r="R2559">
        <v>205197</v>
      </c>
    </row>
    <row r="2560" spans="1:18" x14ac:dyDescent="0.25">
      <c r="A2560" s="170">
        <v>45776</v>
      </c>
      <c r="B2560" s="116">
        <v>5627.9</v>
      </c>
      <c r="C2560" s="116">
        <v>5584.5</v>
      </c>
      <c r="D2560" s="116">
        <v>5560.05</v>
      </c>
      <c r="E2560" s="116">
        <v>5560.05</v>
      </c>
      <c r="F2560" s="116">
        <v>5584.5</v>
      </c>
      <c r="G2560">
        <v>5069</v>
      </c>
      <c r="H2560" s="116"/>
      <c r="I2560" s="116"/>
      <c r="L2560" s="170">
        <v>45776</v>
      </c>
      <c r="M2560" s="116">
        <v>5583.5</v>
      </c>
      <c r="N2560" s="116">
        <v>5625</v>
      </c>
      <c r="O2560" s="116">
        <v>5560</v>
      </c>
      <c r="P2560" s="116">
        <v>5582</v>
      </c>
      <c r="Q2560" s="116">
        <v>5583.5</v>
      </c>
      <c r="R2560">
        <v>224766</v>
      </c>
    </row>
    <row r="2561" spans="1:18" x14ac:dyDescent="0.25">
      <c r="A2561" s="170">
        <v>45777</v>
      </c>
      <c r="B2561" s="116">
        <v>5600</v>
      </c>
      <c r="C2561" s="116">
        <v>5509</v>
      </c>
      <c r="D2561" s="116">
        <v>5473.3</v>
      </c>
      <c r="E2561" s="116">
        <v>5585</v>
      </c>
      <c r="F2561" s="116">
        <v>5509</v>
      </c>
      <c r="G2561">
        <v>9725</v>
      </c>
      <c r="H2561" s="116"/>
      <c r="I2561" s="116"/>
      <c r="L2561" s="170">
        <v>45777</v>
      </c>
      <c r="M2561" s="116">
        <v>5522.5</v>
      </c>
      <c r="N2561" s="116">
        <v>5604</v>
      </c>
      <c r="O2561" s="116">
        <v>5469</v>
      </c>
      <c r="P2561" s="116">
        <v>5590</v>
      </c>
      <c r="Q2561" s="116">
        <v>5522.5</v>
      </c>
      <c r="R2561">
        <v>316444</v>
      </c>
    </row>
    <row r="2562" spans="1:18" x14ac:dyDescent="0.25">
      <c r="A2562" s="170">
        <v>45779</v>
      </c>
      <c r="B2562" s="116">
        <v>5529.85</v>
      </c>
      <c r="C2562" s="116">
        <v>5449.15</v>
      </c>
      <c r="D2562" s="116">
        <v>5421.2</v>
      </c>
      <c r="E2562" s="116">
        <v>5508.95</v>
      </c>
      <c r="F2562" s="116">
        <v>5449.15</v>
      </c>
      <c r="G2562">
        <v>3506</v>
      </c>
      <c r="H2562" s="116"/>
      <c r="I2562" s="116"/>
      <c r="L2562" s="170">
        <v>45779</v>
      </c>
      <c r="M2562" s="116">
        <v>5451</v>
      </c>
      <c r="N2562" s="116">
        <v>5531</v>
      </c>
      <c r="O2562" s="116">
        <v>5420</v>
      </c>
      <c r="P2562" s="116">
        <v>5505</v>
      </c>
      <c r="Q2562" s="116">
        <v>5451</v>
      </c>
      <c r="R2562">
        <v>241380</v>
      </c>
    </row>
    <row r="2563" spans="1:18" x14ac:dyDescent="0.25">
      <c r="A2563" s="170">
        <v>45782</v>
      </c>
      <c r="B2563" s="116">
        <v>5549.95</v>
      </c>
      <c r="C2563" s="116">
        <v>5493.65</v>
      </c>
      <c r="D2563" s="116">
        <v>5418</v>
      </c>
      <c r="E2563" s="116">
        <v>5549.95</v>
      </c>
      <c r="F2563" s="116">
        <v>5493.65</v>
      </c>
      <c r="G2563">
        <v>3051</v>
      </c>
      <c r="H2563" s="116"/>
      <c r="I2563" s="116"/>
      <c r="L2563" s="170">
        <v>45782</v>
      </c>
      <c r="M2563" s="116">
        <v>5487.5</v>
      </c>
      <c r="N2563" s="116">
        <v>5504.5</v>
      </c>
      <c r="O2563" s="116">
        <v>5415.5</v>
      </c>
      <c r="P2563" s="116">
        <v>5499</v>
      </c>
      <c r="Q2563" s="116">
        <v>5487.5</v>
      </c>
      <c r="R2563">
        <v>241475</v>
      </c>
    </row>
    <row r="2564" spans="1:18" x14ac:dyDescent="0.25">
      <c r="A2564" s="170">
        <v>45783</v>
      </c>
      <c r="B2564" s="116">
        <v>5494.8</v>
      </c>
      <c r="C2564" s="116">
        <v>5333</v>
      </c>
      <c r="D2564" s="116">
        <v>5311.3</v>
      </c>
      <c r="E2564" s="116">
        <v>5494.8</v>
      </c>
      <c r="F2564" s="116">
        <v>5333</v>
      </c>
      <c r="G2564">
        <v>13285</v>
      </c>
      <c r="H2564" s="116"/>
      <c r="I2564" s="116"/>
      <c r="L2564" s="170">
        <v>45783</v>
      </c>
      <c r="M2564" s="116">
        <v>5334</v>
      </c>
      <c r="N2564" s="116">
        <v>5500</v>
      </c>
      <c r="O2564" s="116">
        <v>5310</v>
      </c>
      <c r="P2564" s="116">
        <v>5500</v>
      </c>
      <c r="Q2564" s="116">
        <v>5334</v>
      </c>
      <c r="R2564">
        <v>400370</v>
      </c>
    </row>
    <row r="2565" spans="1:18" x14ac:dyDescent="0.25">
      <c r="A2565" s="170">
        <v>45784</v>
      </c>
      <c r="B2565" s="116">
        <v>5442.85</v>
      </c>
      <c r="C2565" s="116">
        <v>5399.5</v>
      </c>
      <c r="D2565" s="116">
        <v>5264.55</v>
      </c>
      <c r="E2565" s="116">
        <v>5299.45</v>
      </c>
      <c r="F2565" s="116">
        <v>5399.5</v>
      </c>
      <c r="G2565">
        <v>6739</v>
      </c>
      <c r="H2565" s="116"/>
      <c r="I2565" s="116"/>
      <c r="L2565" s="170">
        <v>45784</v>
      </c>
      <c r="M2565" s="116">
        <v>5397.5</v>
      </c>
      <c r="N2565" s="116">
        <v>5445</v>
      </c>
      <c r="O2565" s="116">
        <v>5270</v>
      </c>
      <c r="P2565" s="116">
        <v>5270.5</v>
      </c>
      <c r="Q2565" s="116">
        <v>5397.5</v>
      </c>
      <c r="R2565">
        <v>270305</v>
      </c>
    </row>
    <row r="2566" spans="1:18" x14ac:dyDescent="0.25">
      <c r="A2566" s="170">
        <v>45785</v>
      </c>
      <c r="B2566" s="116">
        <v>5429.2</v>
      </c>
      <c r="C2566" s="116">
        <v>5273.45</v>
      </c>
      <c r="D2566" s="116">
        <v>5228</v>
      </c>
      <c r="E2566" s="116">
        <v>5401.5</v>
      </c>
      <c r="F2566" s="116">
        <v>5273.45</v>
      </c>
      <c r="G2566">
        <v>12650</v>
      </c>
      <c r="H2566" s="116"/>
      <c r="I2566" s="116"/>
      <c r="L2566" s="170">
        <v>45785</v>
      </c>
      <c r="M2566" s="116">
        <v>5287.5</v>
      </c>
      <c r="N2566" s="116">
        <v>5439.5</v>
      </c>
      <c r="O2566" s="116">
        <v>5210</v>
      </c>
      <c r="P2566" s="116">
        <v>5402</v>
      </c>
      <c r="Q2566" s="116">
        <v>5287.5</v>
      </c>
      <c r="R2566">
        <v>345691</v>
      </c>
    </row>
    <row r="2567" spans="1:18" x14ac:dyDescent="0.25">
      <c r="A2567" s="170">
        <v>45786</v>
      </c>
      <c r="B2567" s="116">
        <v>5472.45</v>
      </c>
      <c r="C2567" s="116">
        <v>5443.45</v>
      </c>
      <c r="D2567" s="116">
        <v>5070.3</v>
      </c>
      <c r="E2567" s="116">
        <v>5070.3</v>
      </c>
      <c r="F2567" s="116">
        <v>5443.45</v>
      </c>
      <c r="G2567">
        <v>13914</v>
      </c>
      <c r="H2567" s="116"/>
      <c r="I2567" s="116"/>
      <c r="L2567" s="170">
        <v>45786</v>
      </c>
      <c r="M2567" s="116">
        <v>5440.5</v>
      </c>
      <c r="N2567" s="116">
        <v>5468</v>
      </c>
      <c r="O2567" s="116">
        <v>5190</v>
      </c>
      <c r="P2567" s="116">
        <v>5190</v>
      </c>
      <c r="Q2567" s="116">
        <v>5440.5</v>
      </c>
      <c r="R2567">
        <v>321841</v>
      </c>
    </row>
    <row r="2568" spans="1:18" x14ac:dyDescent="0.25">
      <c r="A2568" s="170">
        <v>45789</v>
      </c>
      <c r="B2568" s="116">
        <v>5711</v>
      </c>
      <c r="C2568" s="116">
        <v>5586.2</v>
      </c>
      <c r="D2568" s="116">
        <v>5470</v>
      </c>
      <c r="E2568" s="116">
        <v>5484.1</v>
      </c>
      <c r="F2568" s="116">
        <v>5586.2</v>
      </c>
      <c r="G2568">
        <v>37270</v>
      </c>
      <c r="H2568" s="116"/>
      <c r="I2568" s="116"/>
      <c r="L2568" s="170">
        <v>45789</v>
      </c>
      <c r="M2568" s="116">
        <v>5587</v>
      </c>
      <c r="N2568" s="116">
        <v>5715</v>
      </c>
      <c r="O2568" s="116">
        <v>5472.5</v>
      </c>
      <c r="P2568" s="116">
        <v>5515</v>
      </c>
      <c r="Q2568" s="116">
        <v>5587</v>
      </c>
      <c r="R2568">
        <v>669665</v>
      </c>
    </row>
    <row r="2569" spans="1:18" x14ac:dyDescent="0.25">
      <c r="A2569" s="170">
        <v>45790</v>
      </c>
      <c r="B2569" s="116">
        <v>5698.35</v>
      </c>
      <c r="C2569" s="116">
        <v>5633.8</v>
      </c>
      <c r="D2569" s="116">
        <v>5530.95</v>
      </c>
      <c r="E2569" s="116">
        <v>5600</v>
      </c>
      <c r="F2569" s="116">
        <v>5633.8</v>
      </c>
      <c r="G2569">
        <v>9370</v>
      </c>
      <c r="H2569" s="116"/>
      <c r="I2569" s="116"/>
      <c r="L2569" s="170">
        <v>45790</v>
      </c>
      <c r="M2569" s="116">
        <v>5636.5</v>
      </c>
      <c r="N2569" s="116">
        <v>5699</v>
      </c>
      <c r="O2569" s="116">
        <v>5528</v>
      </c>
      <c r="P2569" s="116">
        <v>5590</v>
      </c>
      <c r="Q2569" s="116">
        <v>5636.5</v>
      </c>
      <c r="R2569">
        <v>638165</v>
      </c>
    </row>
    <row r="2570" spans="1:18" x14ac:dyDescent="0.25">
      <c r="A2570" s="170">
        <v>45791</v>
      </c>
      <c r="B2570" s="116">
        <v>5743</v>
      </c>
      <c r="C2570" s="116">
        <v>5635.55</v>
      </c>
      <c r="D2570" s="116">
        <v>5593.3</v>
      </c>
      <c r="E2570" s="116">
        <v>5633.8</v>
      </c>
      <c r="F2570" s="116">
        <v>5635.55</v>
      </c>
      <c r="G2570">
        <v>8098</v>
      </c>
      <c r="H2570" s="116"/>
      <c r="I2570" s="116"/>
      <c r="L2570" s="170">
        <v>45791</v>
      </c>
      <c r="M2570" s="116">
        <v>5635</v>
      </c>
      <c r="N2570" s="116">
        <v>5745</v>
      </c>
      <c r="O2570" s="116">
        <v>5591.5</v>
      </c>
      <c r="P2570" s="116">
        <v>5620</v>
      </c>
      <c r="Q2570" s="116">
        <v>5635</v>
      </c>
      <c r="R2570">
        <v>400038</v>
      </c>
    </row>
    <row r="2571" spans="1:18" x14ac:dyDescent="0.25">
      <c r="A2571" s="170">
        <v>45792</v>
      </c>
      <c r="B2571" s="116">
        <v>5745.45</v>
      </c>
      <c r="C2571" s="116">
        <v>5734.45</v>
      </c>
      <c r="D2571" s="116">
        <v>5607.45</v>
      </c>
      <c r="E2571" s="116">
        <v>5650</v>
      </c>
      <c r="F2571" s="116">
        <v>5734.45</v>
      </c>
      <c r="G2571">
        <v>16143</v>
      </c>
      <c r="H2571" s="116"/>
      <c r="I2571" s="116"/>
      <c r="L2571" s="170">
        <v>45792</v>
      </c>
      <c r="M2571" s="116">
        <v>5735</v>
      </c>
      <c r="N2571" s="116">
        <v>5747.5</v>
      </c>
      <c r="O2571" s="116">
        <v>5608</v>
      </c>
      <c r="P2571" s="116">
        <v>5640</v>
      </c>
      <c r="Q2571" s="116">
        <v>5735</v>
      </c>
      <c r="R2571">
        <v>356216</v>
      </c>
    </row>
    <row r="2572" spans="1:18" x14ac:dyDescent="0.25">
      <c r="A2572" s="170">
        <v>45793</v>
      </c>
      <c r="B2572" s="116">
        <v>5867.8</v>
      </c>
      <c r="C2572" s="116">
        <v>5825.8</v>
      </c>
      <c r="D2572" s="116">
        <v>5705.15</v>
      </c>
      <c r="E2572" s="116">
        <v>5745</v>
      </c>
      <c r="F2572" s="116">
        <v>5825.8</v>
      </c>
      <c r="G2572">
        <v>13829</v>
      </c>
      <c r="H2572" s="116"/>
      <c r="I2572" s="116"/>
      <c r="L2572" s="170">
        <v>45793</v>
      </c>
      <c r="M2572" s="116">
        <v>5820</v>
      </c>
      <c r="N2572" s="116">
        <v>5866</v>
      </c>
      <c r="O2572" s="116">
        <v>5701</v>
      </c>
      <c r="P2572" s="116">
        <v>5745</v>
      </c>
      <c r="Q2572" s="116">
        <v>5820</v>
      </c>
      <c r="R2572">
        <v>418266</v>
      </c>
    </row>
    <row r="2573" spans="1:18" x14ac:dyDescent="0.25">
      <c r="A2573" s="170">
        <v>45796</v>
      </c>
      <c r="B2573" s="116">
        <v>5911</v>
      </c>
      <c r="C2573" s="116">
        <v>5836.5</v>
      </c>
      <c r="D2573" s="116">
        <v>5825.8</v>
      </c>
      <c r="E2573" s="116">
        <v>5870</v>
      </c>
      <c r="F2573" s="116">
        <v>5836.5</v>
      </c>
      <c r="G2573">
        <v>11398</v>
      </c>
      <c r="H2573" s="116"/>
      <c r="I2573" s="116"/>
      <c r="L2573" s="170">
        <v>45796</v>
      </c>
      <c r="M2573" s="116">
        <v>5838</v>
      </c>
      <c r="N2573" s="116">
        <v>5913</v>
      </c>
      <c r="O2573" s="116">
        <v>5824</v>
      </c>
      <c r="P2573" s="116">
        <v>5869.5</v>
      </c>
      <c r="Q2573" s="116">
        <v>5838</v>
      </c>
      <c r="R2573">
        <v>181786</v>
      </c>
    </row>
    <row r="2574" spans="1:18" x14ac:dyDescent="0.25">
      <c r="A2574" s="170">
        <v>45797</v>
      </c>
      <c r="B2574" s="116">
        <v>5899.95</v>
      </c>
      <c r="C2574" s="116">
        <v>5735.2</v>
      </c>
      <c r="D2574" s="116">
        <v>5709.7</v>
      </c>
      <c r="E2574" s="116">
        <v>5855.05</v>
      </c>
      <c r="F2574" s="116">
        <v>5735.2</v>
      </c>
      <c r="G2574">
        <v>11550</v>
      </c>
      <c r="H2574" s="116"/>
      <c r="I2574" s="116"/>
      <c r="L2574" s="170">
        <v>45797</v>
      </c>
      <c r="M2574" s="116">
        <v>5738.5</v>
      </c>
      <c r="N2574" s="116">
        <v>5898</v>
      </c>
      <c r="O2574" s="116">
        <v>5710</v>
      </c>
      <c r="P2574" s="116">
        <v>5897.5</v>
      </c>
      <c r="Q2574" s="116">
        <v>5738.5</v>
      </c>
      <c r="R2574">
        <v>444180</v>
      </c>
    </row>
    <row r="2575" spans="1:18" x14ac:dyDescent="0.25">
      <c r="A2575" s="170">
        <v>45798</v>
      </c>
      <c r="B2575" s="116">
        <v>5899</v>
      </c>
      <c r="C2575" s="116">
        <v>5886.95</v>
      </c>
      <c r="D2575" s="116">
        <v>5725</v>
      </c>
      <c r="E2575" s="116">
        <v>5766.8</v>
      </c>
      <c r="F2575" s="116">
        <v>5886.95</v>
      </c>
      <c r="G2575">
        <v>11432</v>
      </c>
      <c r="H2575" s="116"/>
      <c r="I2575" s="116"/>
      <c r="L2575" s="170">
        <v>45798</v>
      </c>
      <c r="M2575" s="116">
        <v>5886.5</v>
      </c>
      <c r="N2575" s="116">
        <v>5899.5</v>
      </c>
      <c r="O2575" s="116">
        <v>5722</v>
      </c>
      <c r="P2575" s="116">
        <v>5750</v>
      </c>
      <c r="Q2575" s="116">
        <v>5886.5</v>
      </c>
      <c r="R2575">
        <v>266662</v>
      </c>
    </row>
    <row r="2576" spans="1:18" x14ac:dyDescent="0.25">
      <c r="A2576" s="170">
        <v>45799</v>
      </c>
      <c r="B2576" s="116">
        <v>5956</v>
      </c>
      <c r="C2576" s="116">
        <v>5923.6</v>
      </c>
      <c r="D2576" s="116">
        <v>5830</v>
      </c>
      <c r="E2576" s="116">
        <v>5881.5</v>
      </c>
      <c r="F2576" s="116">
        <v>5923.6</v>
      </c>
      <c r="G2576">
        <v>13892</v>
      </c>
      <c r="H2576" s="116"/>
      <c r="I2576" s="116"/>
      <c r="L2576" s="170">
        <v>45799</v>
      </c>
      <c r="M2576" s="116">
        <v>5924</v>
      </c>
      <c r="N2576" s="116">
        <v>5959</v>
      </c>
      <c r="O2576" s="116">
        <v>5826.5</v>
      </c>
      <c r="P2576" s="116">
        <v>5893.5</v>
      </c>
      <c r="Q2576" s="116">
        <v>5924</v>
      </c>
      <c r="R2576">
        <v>286074</v>
      </c>
    </row>
    <row r="2577" spans="1:18" x14ac:dyDescent="0.25">
      <c r="A2577" s="170">
        <v>45800</v>
      </c>
      <c r="B2577" s="116">
        <v>5991.35</v>
      </c>
      <c r="C2577" s="116">
        <v>5960.85</v>
      </c>
      <c r="D2577" s="116">
        <v>5878</v>
      </c>
      <c r="E2577" s="116">
        <v>5971.85</v>
      </c>
      <c r="F2577" s="116">
        <v>5960.85</v>
      </c>
      <c r="G2577">
        <v>7535</v>
      </c>
      <c r="H2577" s="116"/>
      <c r="I2577" s="116"/>
      <c r="L2577" s="170">
        <v>45800</v>
      </c>
      <c r="M2577" s="116">
        <v>5961</v>
      </c>
      <c r="N2577" s="116">
        <v>5989.5</v>
      </c>
      <c r="O2577" s="116">
        <v>5875</v>
      </c>
      <c r="P2577" s="116">
        <v>5950</v>
      </c>
      <c r="Q2577" s="116">
        <v>5961</v>
      </c>
      <c r="R2577">
        <v>208138</v>
      </c>
    </row>
    <row r="2578" spans="1:18" x14ac:dyDescent="0.25">
      <c r="A2578" s="170">
        <v>45803</v>
      </c>
      <c r="B2578" s="116">
        <v>6046</v>
      </c>
      <c r="C2578" s="116">
        <v>5992.95</v>
      </c>
      <c r="D2578" s="116">
        <v>5975.4</v>
      </c>
      <c r="E2578" s="116">
        <v>5991.95</v>
      </c>
      <c r="F2578" s="116">
        <v>5992.95</v>
      </c>
      <c r="G2578">
        <v>6840</v>
      </c>
      <c r="H2578" s="116"/>
      <c r="I2578" s="116"/>
      <c r="L2578" s="170">
        <v>45803</v>
      </c>
      <c r="M2578" s="116">
        <v>5996.5</v>
      </c>
      <c r="N2578" s="116">
        <v>6048</v>
      </c>
      <c r="O2578" s="116">
        <v>5965</v>
      </c>
      <c r="P2578" s="116">
        <v>5965</v>
      </c>
      <c r="Q2578" s="116">
        <v>5996.5</v>
      </c>
      <c r="R2578">
        <v>219984</v>
      </c>
    </row>
    <row r="2579" spans="1:18" x14ac:dyDescent="0.25">
      <c r="A2579" s="170">
        <v>45804</v>
      </c>
      <c r="B2579" s="116">
        <v>6048</v>
      </c>
      <c r="C2579" s="116">
        <v>6007</v>
      </c>
      <c r="D2579" s="116">
        <v>5959.9</v>
      </c>
      <c r="E2579" s="116">
        <v>6000</v>
      </c>
      <c r="F2579" s="116">
        <v>6007</v>
      </c>
      <c r="G2579">
        <v>7324</v>
      </c>
      <c r="H2579" s="116"/>
      <c r="I2579" s="116"/>
      <c r="L2579" s="170">
        <v>45804</v>
      </c>
      <c r="M2579" s="116">
        <v>6014.5</v>
      </c>
      <c r="N2579" s="116">
        <v>6050</v>
      </c>
      <c r="O2579" s="116">
        <v>5958</v>
      </c>
      <c r="P2579" s="116">
        <v>6000</v>
      </c>
      <c r="Q2579" s="116">
        <v>6014.5</v>
      </c>
      <c r="R2579">
        <v>244514</v>
      </c>
    </row>
    <row r="2580" spans="1:18" x14ac:dyDescent="0.25">
      <c r="A2580" s="170">
        <v>45805</v>
      </c>
      <c r="B2580" s="116">
        <v>6060.55</v>
      </c>
      <c r="C2580" s="116">
        <v>6010.4</v>
      </c>
      <c r="D2580" s="116">
        <v>5982.65</v>
      </c>
      <c r="E2580" s="116">
        <v>6047.95</v>
      </c>
      <c r="F2580" s="116">
        <v>6010.4</v>
      </c>
      <c r="G2580">
        <v>3143</v>
      </c>
      <c r="H2580" s="116"/>
      <c r="I2580" s="116"/>
      <c r="L2580" s="170">
        <v>45805</v>
      </c>
      <c r="M2580" s="116">
        <v>6015</v>
      </c>
      <c r="N2580" s="116">
        <v>6062</v>
      </c>
      <c r="O2580" s="116">
        <v>5981</v>
      </c>
      <c r="P2580" s="116">
        <v>6014.5</v>
      </c>
      <c r="Q2580" s="116">
        <v>6015</v>
      </c>
      <c r="R2580">
        <v>160963</v>
      </c>
    </row>
    <row r="2581" spans="1:18" x14ac:dyDescent="0.25">
      <c r="A2581" s="170">
        <v>45806</v>
      </c>
      <c r="B2581" s="116">
        <v>6069</v>
      </c>
      <c r="C2581" s="116">
        <v>6044.45</v>
      </c>
      <c r="D2581" s="116">
        <v>5985.65</v>
      </c>
      <c r="E2581" s="116">
        <v>6040.45</v>
      </c>
      <c r="F2581" s="116">
        <v>6044.45</v>
      </c>
      <c r="G2581">
        <v>7085</v>
      </c>
      <c r="H2581" s="116"/>
      <c r="I2581" s="116"/>
      <c r="L2581" s="170">
        <v>45806</v>
      </c>
      <c r="M2581" s="116">
        <v>6043.5</v>
      </c>
      <c r="N2581" s="116">
        <v>6070</v>
      </c>
      <c r="O2581" s="116">
        <v>5986.5</v>
      </c>
      <c r="P2581" s="116">
        <v>6015</v>
      </c>
      <c r="Q2581" s="116">
        <v>6043.5</v>
      </c>
      <c r="R2581">
        <v>160875</v>
      </c>
    </row>
    <row r="2582" spans="1:18" x14ac:dyDescent="0.25">
      <c r="A2582" s="170">
        <v>45807</v>
      </c>
      <c r="B2582" s="116">
        <v>6111</v>
      </c>
      <c r="C2582" s="116">
        <v>5969.2</v>
      </c>
      <c r="D2582" s="116">
        <v>5950</v>
      </c>
      <c r="E2582" s="116">
        <v>6060.05</v>
      </c>
      <c r="F2582" s="116">
        <v>5969.2</v>
      </c>
      <c r="G2582">
        <v>9078</v>
      </c>
      <c r="H2582" s="116"/>
      <c r="I2582" s="116"/>
      <c r="L2582" s="170">
        <v>45807</v>
      </c>
      <c r="M2582" s="116">
        <v>5971</v>
      </c>
      <c r="N2582" s="116">
        <v>6118</v>
      </c>
      <c r="O2582" s="116">
        <v>5945.5</v>
      </c>
      <c r="P2582" s="116">
        <v>6080</v>
      </c>
      <c r="Q2582" s="116">
        <v>5971</v>
      </c>
      <c r="R2582">
        <v>296253</v>
      </c>
    </row>
    <row r="2583" spans="1:18" x14ac:dyDescent="0.25">
      <c r="A2583" s="170">
        <v>45810</v>
      </c>
      <c r="B2583" s="116">
        <v>5993.8</v>
      </c>
      <c r="C2583" s="116">
        <v>5974.4</v>
      </c>
      <c r="D2583" s="116">
        <v>5896.6</v>
      </c>
      <c r="E2583" s="116">
        <v>5993.8</v>
      </c>
      <c r="F2583" s="116">
        <v>5974.4</v>
      </c>
      <c r="G2583">
        <v>4568</v>
      </c>
      <c r="H2583" s="116"/>
      <c r="I2583" s="116"/>
      <c r="L2583" s="170">
        <v>45810</v>
      </c>
      <c r="M2583" s="116">
        <v>5974.5</v>
      </c>
      <c r="N2583" s="116">
        <v>5990.5</v>
      </c>
      <c r="O2583" s="116">
        <v>5891</v>
      </c>
      <c r="P2583" s="116">
        <v>5960</v>
      </c>
      <c r="Q2583" s="116">
        <v>5974.5</v>
      </c>
      <c r="R2583">
        <v>159034</v>
      </c>
    </row>
    <row r="2584" spans="1:18" x14ac:dyDescent="0.25">
      <c r="A2584" s="170">
        <v>45811</v>
      </c>
      <c r="B2584" s="116">
        <v>6077</v>
      </c>
      <c r="C2584" s="116">
        <v>5996.6</v>
      </c>
      <c r="D2584" s="116">
        <v>5970.6</v>
      </c>
      <c r="E2584" s="116">
        <v>5984.35</v>
      </c>
      <c r="F2584" s="116">
        <v>5996.6</v>
      </c>
      <c r="G2584">
        <v>8194</v>
      </c>
      <c r="H2584" s="116"/>
      <c r="I2584" s="116"/>
      <c r="L2584" s="170">
        <v>45811</v>
      </c>
      <c r="M2584" s="116">
        <v>5995</v>
      </c>
      <c r="N2584" s="116">
        <v>6080</v>
      </c>
      <c r="O2584" s="116">
        <v>5966</v>
      </c>
      <c r="P2584" s="116">
        <v>5974.5</v>
      </c>
      <c r="Q2584" s="116">
        <v>5995</v>
      </c>
      <c r="R2584">
        <v>197089</v>
      </c>
    </row>
    <row r="2585" spans="1:18" x14ac:dyDescent="0.25">
      <c r="A2585" s="170">
        <v>45812</v>
      </c>
      <c r="B2585" s="116">
        <v>6047.9</v>
      </c>
      <c r="C2585" s="116">
        <v>6041.1</v>
      </c>
      <c r="D2585" s="116">
        <v>5972</v>
      </c>
      <c r="E2585" s="116">
        <v>6016.35</v>
      </c>
      <c r="F2585" s="116">
        <v>6041.1</v>
      </c>
      <c r="G2585">
        <v>13048</v>
      </c>
      <c r="H2585" s="116"/>
      <c r="I2585" s="116"/>
      <c r="L2585" s="170">
        <v>45812</v>
      </c>
      <c r="M2585" s="116">
        <v>6041.5</v>
      </c>
      <c r="N2585" s="116">
        <v>6050</v>
      </c>
      <c r="O2585" s="116">
        <v>5970</v>
      </c>
      <c r="P2585" s="116">
        <v>6009</v>
      </c>
      <c r="Q2585" s="116">
        <v>6041.5</v>
      </c>
      <c r="R2585">
        <v>171316</v>
      </c>
    </row>
    <row r="2586" spans="1:18" x14ac:dyDescent="0.25">
      <c r="A2586" s="170">
        <v>45813</v>
      </c>
      <c r="B2586" s="116">
        <v>6078</v>
      </c>
      <c r="C2586" s="116">
        <v>6031.55</v>
      </c>
      <c r="D2586" s="116">
        <v>6010.7</v>
      </c>
      <c r="E2586" s="116">
        <v>6035</v>
      </c>
      <c r="F2586" s="116">
        <v>6031.55</v>
      </c>
      <c r="G2586">
        <v>3255</v>
      </c>
      <c r="H2586" s="116"/>
      <c r="I2586" s="116"/>
      <c r="L2586" s="170">
        <v>45813</v>
      </c>
      <c r="M2586" s="116">
        <v>6031.5</v>
      </c>
      <c r="N2586" s="116">
        <v>6080</v>
      </c>
      <c r="O2586" s="116">
        <v>6010</v>
      </c>
      <c r="P2586" s="116">
        <v>6041</v>
      </c>
      <c r="Q2586" s="116">
        <v>6031.5</v>
      </c>
      <c r="R2586">
        <v>135626</v>
      </c>
    </row>
    <row r="2587" spans="1:18" x14ac:dyDescent="0.25">
      <c r="A2587" s="170">
        <v>45814</v>
      </c>
      <c r="B2587" s="116">
        <v>6175</v>
      </c>
      <c r="C2587" s="116">
        <v>6054.35</v>
      </c>
      <c r="D2587" s="116">
        <v>6030</v>
      </c>
      <c r="E2587" s="116">
        <v>6050.25</v>
      </c>
      <c r="F2587" s="116">
        <v>6054.35</v>
      </c>
      <c r="G2587">
        <v>16731</v>
      </c>
      <c r="H2587" s="116"/>
      <c r="I2587" s="116"/>
      <c r="L2587" s="170">
        <v>45814</v>
      </c>
      <c r="M2587" s="116">
        <v>6051.5</v>
      </c>
      <c r="N2587" s="116">
        <v>6175.5</v>
      </c>
      <c r="O2587" s="116">
        <v>6026.5</v>
      </c>
      <c r="P2587" s="116">
        <v>6069.5</v>
      </c>
      <c r="Q2587" s="116">
        <v>6051.5</v>
      </c>
      <c r="R2587">
        <v>336263</v>
      </c>
    </row>
    <row r="2588" spans="1:18" x14ac:dyDescent="0.25">
      <c r="A2588" s="170">
        <v>45817</v>
      </c>
      <c r="B2588" s="116">
        <v>6235</v>
      </c>
      <c r="C2588" s="116">
        <v>6210.6</v>
      </c>
      <c r="D2588" s="116">
        <v>6061.95</v>
      </c>
      <c r="E2588" s="116">
        <v>6061.95</v>
      </c>
      <c r="F2588" s="116">
        <v>6210.6</v>
      </c>
      <c r="G2588">
        <v>14491</v>
      </c>
      <c r="H2588" s="116"/>
      <c r="I2588" s="116"/>
      <c r="L2588" s="170">
        <v>45817</v>
      </c>
      <c r="M2588" s="116">
        <v>6215</v>
      </c>
      <c r="N2588" s="116">
        <v>6240.5</v>
      </c>
      <c r="O2588" s="116">
        <v>6071</v>
      </c>
      <c r="P2588" s="116">
        <v>6093.5</v>
      </c>
      <c r="Q2588" s="116">
        <v>6215</v>
      </c>
      <c r="R2588">
        <v>270782</v>
      </c>
    </row>
    <row r="2589" spans="1:18" x14ac:dyDescent="0.25">
      <c r="A2589" s="170">
        <v>45818</v>
      </c>
      <c r="B2589" s="116">
        <v>6299.8</v>
      </c>
      <c r="C2589" s="116">
        <v>6168.2</v>
      </c>
      <c r="D2589" s="116">
        <v>6158.15</v>
      </c>
      <c r="E2589" s="116">
        <v>6299.8</v>
      </c>
      <c r="F2589" s="116">
        <v>6168.2</v>
      </c>
      <c r="G2589">
        <v>5360</v>
      </c>
      <c r="H2589" s="116"/>
      <c r="I2589" s="116"/>
      <c r="L2589" s="170">
        <v>45818</v>
      </c>
      <c r="M2589" s="116">
        <v>6168</v>
      </c>
      <c r="N2589" s="116">
        <v>6260</v>
      </c>
      <c r="O2589" s="116">
        <v>6160</v>
      </c>
      <c r="P2589" s="116">
        <v>6260</v>
      </c>
      <c r="Q2589" s="116">
        <v>6168</v>
      </c>
      <c r="R2589">
        <v>207893</v>
      </c>
    </row>
    <row r="2590" spans="1:18" x14ac:dyDescent="0.25">
      <c r="A2590" s="170">
        <v>45819</v>
      </c>
      <c r="B2590" s="116">
        <v>6225.65</v>
      </c>
      <c r="C2590" s="116">
        <v>6077.75</v>
      </c>
      <c r="D2590" s="116">
        <v>6034.8</v>
      </c>
      <c r="E2590" s="116">
        <v>6225.65</v>
      </c>
      <c r="F2590" s="116">
        <v>6077.75</v>
      </c>
      <c r="G2590">
        <v>20871</v>
      </c>
      <c r="H2590" s="116"/>
      <c r="I2590" s="116"/>
      <c r="L2590" s="170">
        <v>45819</v>
      </c>
      <c r="M2590" s="116">
        <v>6077</v>
      </c>
      <c r="N2590" s="116">
        <v>6195</v>
      </c>
      <c r="O2590" s="116">
        <v>6034</v>
      </c>
      <c r="P2590" s="116">
        <v>6190</v>
      </c>
      <c r="Q2590" s="116">
        <v>6077</v>
      </c>
      <c r="R2590">
        <v>294907</v>
      </c>
    </row>
    <row r="2591" spans="1:18" x14ac:dyDescent="0.25">
      <c r="A2591" s="170">
        <v>45820</v>
      </c>
      <c r="B2591" s="116">
        <v>6099.5</v>
      </c>
      <c r="C2591" s="116">
        <v>6032.25</v>
      </c>
      <c r="D2591" s="116">
        <v>5975</v>
      </c>
      <c r="E2591" s="116">
        <v>6084.75</v>
      </c>
      <c r="F2591" s="116">
        <v>6032.25</v>
      </c>
      <c r="G2591">
        <v>12544</v>
      </c>
      <c r="H2591" s="116"/>
      <c r="I2591" s="116"/>
      <c r="L2591" s="170">
        <v>45820</v>
      </c>
      <c r="M2591" s="116">
        <v>6021</v>
      </c>
      <c r="N2591" s="116">
        <v>6099</v>
      </c>
      <c r="O2591" s="116">
        <v>5975</v>
      </c>
      <c r="P2591" s="116">
        <v>6079</v>
      </c>
      <c r="Q2591" s="116">
        <v>6021</v>
      </c>
      <c r="R2591">
        <v>369396</v>
      </c>
    </row>
    <row r="2592" spans="1:18" x14ac:dyDescent="0.25">
      <c r="A2592" s="170">
        <v>45821</v>
      </c>
      <c r="B2592" s="116">
        <v>6014.8</v>
      </c>
      <c r="C2592" s="116">
        <v>5996.85</v>
      </c>
      <c r="D2592" s="116">
        <v>5870.35</v>
      </c>
      <c r="E2592" s="116">
        <v>5870.35</v>
      </c>
      <c r="F2592" s="116">
        <v>5996.85</v>
      </c>
      <c r="G2592">
        <v>11060</v>
      </c>
      <c r="H2592" s="116"/>
      <c r="I2592" s="116"/>
      <c r="L2592" s="170">
        <v>45821</v>
      </c>
      <c r="M2592" s="116">
        <v>5999</v>
      </c>
      <c r="N2592" s="116">
        <v>6017.5</v>
      </c>
      <c r="O2592" s="116">
        <v>5885</v>
      </c>
      <c r="P2592" s="116">
        <v>5890</v>
      </c>
      <c r="Q2592" s="116">
        <v>5999</v>
      </c>
      <c r="R2592">
        <v>220342</v>
      </c>
    </row>
    <row r="2593" spans="1:18" x14ac:dyDescent="0.25">
      <c r="A2593" s="170">
        <v>45824</v>
      </c>
      <c r="B2593" s="116">
        <v>6044</v>
      </c>
      <c r="C2593" s="116">
        <v>6011.45</v>
      </c>
      <c r="D2593" s="116">
        <v>5943.35</v>
      </c>
      <c r="E2593" s="116">
        <v>5996.5</v>
      </c>
      <c r="F2593" s="116">
        <v>6011.45</v>
      </c>
      <c r="G2593">
        <v>3040</v>
      </c>
      <c r="H2593" s="116"/>
      <c r="I2593" s="116"/>
      <c r="L2593" s="170">
        <v>45824</v>
      </c>
      <c r="M2593" s="116">
        <v>6014</v>
      </c>
      <c r="N2593" s="116">
        <v>6045</v>
      </c>
      <c r="O2593" s="116">
        <v>5941</v>
      </c>
      <c r="P2593" s="116">
        <v>6001</v>
      </c>
      <c r="Q2593" s="116">
        <v>6014</v>
      </c>
      <c r="R2593">
        <v>133245</v>
      </c>
    </row>
    <row r="2594" spans="1:18" x14ac:dyDescent="0.25">
      <c r="A2594" s="170">
        <v>45825</v>
      </c>
      <c r="B2594" s="116">
        <v>6081</v>
      </c>
      <c r="C2594" s="116">
        <v>6031.85</v>
      </c>
      <c r="D2594" s="116">
        <v>6014.7</v>
      </c>
      <c r="E2594" s="116">
        <v>6040</v>
      </c>
      <c r="F2594" s="116">
        <v>6031.85</v>
      </c>
      <c r="G2594">
        <v>4942</v>
      </c>
      <c r="H2594" s="116"/>
      <c r="I2594" s="116"/>
      <c r="L2594" s="170">
        <v>45825</v>
      </c>
      <c r="M2594" s="116">
        <v>6034.5</v>
      </c>
      <c r="N2594" s="116">
        <v>6084</v>
      </c>
      <c r="O2594" s="116">
        <v>6014</v>
      </c>
      <c r="P2594" s="116">
        <v>6040</v>
      </c>
      <c r="Q2594" s="116">
        <v>6034.5</v>
      </c>
      <c r="R2594">
        <v>101944</v>
      </c>
    </row>
    <row r="2595" spans="1:18" x14ac:dyDescent="0.25">
      <c r="A2595" s="170">
        <v>45826</v>
      </c>
      <c r="B2595" s="116">
        <v>6085.85</v>
      </c>
      <c r="C2595" s="116">
        <v>6047.75</v>
      </c>
      <c r="D2595" s="116">
        <v>5995.65</v>
      </c>
      <c r="E2595" s="116">
        <v>5995.65</v>
      </c>
      <c r="F2595" s="116">
        <v>6047.75</v>
      </c>
      <c r="G2595">
        <v>3165</v>
      </c>
      <c r="H2595" s="116"/>
      <c r="I2595" s="116"/>
      <c r="L2595" s="170">
        <v>45826</v>
      </c>
      <c r="M2595" s="116">
        <v>6044</v>
      </c>
      <c r="N2595" s="116">
        <v>6089.5</v>
      </c>
      <c r="O2595" s="116">
        <v>6000</v>
      </c>
      <c r="P2595" s="116">
        <v>6001</v>
      </c>
      <c r="Q2595" s="116">
        <v>6044</v>
      </c>
      <c r="R2595">
        <v>165662</v>
      </c>
    </row>
    <row r="2596" spans="1:18" x14ac:dyDescent="0.25">
      <c r="A2596" s="170">
        <v>45827</v>
      </c>
      <c r="B2596" s="116">
        <v>6065</v>
      </c>
      <c r="C2596" s="116">
        <v>5865.45</v>
      </c>
      <c r="D2596" s="116">
        <v>5850</v>
      </c>
      <c r="E2596" s="116">
        <v>6011.85</v>
      </c>
      <c r="F2596" s="116">
        <v>5865.45</v>
      </c>
      <c r="G2596">
        <v>7280</v>
      </c>
      <c r="H2596" s="116"/>
      <c r="I2596" s="116"/>
      <c r="L2596" s="170">
        <v>45827</v>
      </c>
      <c r="M2596" s="116">
        <v>5869</v>
      </c>
      <c r="N2596" s="116">
        <v>6068.5</v>
      </c>
      <c r="O2596" s="116">
        <v>5850</v>
      </c>
      <c r="P2596" s="116">
        <v>6044</v>
      </c>
      <c r="Q2596" s="116">
        <v>5869</v>
      </c>
      <c r="R2596">
        <v>130952</v>
      </c>
    </row>
    <row r="2597" spans="1:18" x14ac:dyDescent="0.25">
      <c r="A2597" s="170">
        <v>45828</v>
      </c>
      <c r="B2597" s="116">
        <v>5990</v>
      </c>
      <c r="C2597" s="116">
        <v>5968.7</v>
      </c>
      <c r="D2597" s="116">
        <v>5860</v>
      </c>
      <c r="E2597" s="116">
        <v>5937.15</v>
      </c>
      <c r="F2597" s="116">
        <v>5968.7</v>
      </c>
      <c r="G2597">
        <v>3881</v>
      </c>
      <c r="H2597" s="116"/>
      <c r="I2597" s="116"/>
      <c r="L2597" s="170">
        <v>45828</v>
      </c>
      <c r="M2597" s="116">
        <v>5968.5</v>
      </c>
      <c r="N2597" s="116">
        <v>5991</v>
      </c>
      <c r="O2597" s="116">
        <v>5853.5</v>
      </c>
      <c r="P2597" s="116">
        <v>5897</v>
      </c>
      <c r="Q2597" s="116">
        <v>5968.5</v>
      </c>
      <c r="R2597">
        <v>241725</v>
      </c>
    </row>
    <row r="2598" spans="1:18" x14ac:dyDescent="0.25">
      <c r="A2598" s="170">
        <v>45831</v>
      </c>
      <c r="B2598" s="116">
        <v>5959.45</v>
      </c>
      <c r="C2598" s="116">
        <v>5920.05</v>
      </c>
      <c r="D2598" s="116">
        <v>5701.05</v>
      </c>
      <c r="E2598" s="116">
        <v>5701.05</v>
      </c>
      <c r="F2598" s="116">
        <v>5920.05</v>
      </c>
      <c r="G2598">
        <v>5273</v>
      </c>
      <c r="H2598" s="116"/>
      <c r="I2598" s="116"/>
      <c r="L2598" s="170">
        <v>45831</v>
      </c>
      <c r="M2598" s="116">
        <v>5923.5</v>
      </c>
      <c r="N2598" s="116">
        <v>5959</v>
      </c>
      <c r="O2598" s="116">
        <v>5880</v>
      </c>
      <c r="P2598" s="116">
        <v>5900</v>
      </c>
      <c r="Q2598" s="116">
        <v>5923.5</v>
      </c>
      <c r="R2598">
        <v>88496</v>
      </c>
    </row>
    <row r="2599" spans="1:18" x14ac:dyDescent="0.25">
      <c r="A2599" s="170">
        <v>45832</v>
      </c>
      <c r="B2599" s="116">
        <v>6065</v>
      </c>
      <c r="C2599" s="116">
        <v>6003</v>
      </c>
      <c r="D2599" s="116">
        <v>5948.25</v>
      </c>
      <c r="E2599" s="116">
        <v>5997.8</v>
      </c>
      <c r="F2599" s="116">
        <v>6003</v>
      </c>
      <c r="G2599">
        <v>4665</v>
      </c>
      <c r="H2599" s="116"/>
      <c r="I2599" s="116"/>
      <c r="L2599" s="170">
        <v>45832</v>
      </c>
      <c r="M2599" s="116">
        <v>6003.5</v>
      </c>
      <c r="N2599" s="116">
        <v>6067</v>
      </c>
      <c r="O2599" s="116">
        <v>5940.5</v>
      </c>
      <c r="P2599" s="116">
        <v>5975</v>
      </c>
      <c r="Q2599" s="116">
        <v>6003.5</v>
      </c>
      <c r="R2599">
        <v>228616</v>
      </c>
    </row>
    <row r="2600" spans="1:18" x14ac:dyDescent="0.25">
      <c r="A2600" s="170">
        <v>45833</v>
      </c>
      <c r="B2600" s="116">
        <v>6060</v>
      </c>
      <c r="C2600" s="116">
        <v>5966.6</v>
      </c>
      <c r="D2600" s="116">
        <v>5943.7</v>
      </c>
      <c r="E2600" s="116">
        <v>6033.3</v>
      </c>
      <c r="F2600" s="116">
        <v>5966.6</v>
      </c>
      <c r="G2600">
        <v>3306</v>
      </c>
      <c r="H2600" s="116"/>
      <c r="I2600" s="116"/>
      <c r="L2600" s="170">
        <v>45833</v>
      </c>
      <c r="M2600" s="116">
        <v>5966.5</v>
      </c>
      <c r="N2600" s="116">
        <v>6065</v>
      </c>
      <c r="O2600" s="116">
        <v>5941</v>
      </c>
      <c r="P2600" s="116">
        <v>6051</v>
      </c>
      <c r="Q2600" s="116">
        <v>5966.5</v>
      </c>
      <c r="R2600">
        <v>138938</v>
      </c>
    </row>
    <row r="2601" spans="1:18" x14ac:dyDescent="0.25">
      <c r="A2601" s="170">
        <v>45834</v>
      </c>
      <c r="B2601" s="116">
        <v>6030</v>
      </c>
      <c r="C2601" s="116">
        <v>6015.2</v>
      </c>
      <c r="D2601" s="116">
        <v>5953.75</v>
      </c>
      <c r="E2601" s="116">
        <v>5969.35</v>
      </c>
      <c r="F2601" s="116">
        <v>6015.2</v>
      </c>
      <c r="G2601">
        <v>5365</v>
      </c>
      <c r="H2601" s="116"/>
      <c r="I2601" s="116"/>
      <c r="L2601" s="170">
        <v>45834</v>
      </c>
      <c r="M2601" s="116">
        <v>6012.5</v>
      </c>
      <c r="N2601" s="116">
        <v>6025</v>
      </c>
      <c r="O2601" s="116">
        <v>5953</v>
      </c>
      <c r="P2601" s="116">
        <v>5985</v>
      </c>
      <c r="Q2601" s="116">
        <v>6012.5</v>
      </c>
      <c r="R2601">
        <v>110098</v>
      </c>
    </row>
    <row r="2602" spans="1:18" x14ac:dyDescent="0.25">
      <c r="A2602" s="170">
        <v>45835</v>
      </c>
      <c r="B2602" s="116">
        <v>6174.85</v>
      </c>
      <c r="C2602" s="116">
        <v>6069.6</v>
      </c>
      <c r="D2602" s="116">
        <v>6015.25</v>
      </c>
      <c r="E2602" s="116">
        <v>6015.25</v>
      </c>
      <c r="F2602" s="116">
        <v>6069.6</v>
      </c>
      <c r="G2602">
        <v>10518</v>
      </c>
      <c r="H2602" s="116"/>
      <c r="I2602" s="116"/>
      <c r="L2602" s="170">
        <v>45835</v>
      </c>
      <c r="M2602" s="116">
        <v>6069.5</v>
      </c>
      <c r="N2602" s="116">
        <v>6175</v>
      </c>
      <c r="O2602" s="116">
        <v>6030</v>
      </c>
      <c r="P2602" s="116">
        <v>6060</v>
      </c>
      <c r="Q2602" s="116">
        <v>6069.5</v>
      </c>
      <c r="R2602">
        <v>241168</v>
      </c>
    </row>
    <row r="2603" spans="1:18" x14ac:dyDescent="0.25">
      <c r="A2603" s="170">
        <v>45838</v>
      </c>
      <c r="B2603" s="116">
        <v>6133</v>
      </c>
      <c r="C2603" s="116">
        <v>6076.95</v>
      </c>
      <c r="D2603" s="116">
        <v>6060.05</v>
      </c>
      <c r="E2603" s="116">
        <v>6071.3</v>
      </c>
      <c r="F2603" s="116">
        <v>6076.95</v>
      </c>
      <c r="G2603">
        <v>4031</v>
      </c>
      <c r="H2603" s="116"/>
      <c r="I2603" s="116"/>
      <c r="L2603" s="170">
        <v>45838</v>
      </c>
      <c r="M2603" s="116">
        <v>6080.5</v>
      </c>
      <c r="N2603" s="116">
        <v>6133.5</v>
      </c>
      <c r="O2603" s="116">
        <v>6060</v>
      </c>
      <c r="P2603" s="116">
        <v>6090</v>
      </c>
      <c r="Q2603" s="116">
        <v>6080.5</v>
      </c>
      <c r="R2603">
        <v>157658</v>
      </c>
    </row>
    <row r="2604" spans="1:18" x14ac:dyDescent="0.25">
      <c r="A2604" s="170">
        <v>45839</v>
      </c>
      <c r="B2604" s="116">
        <v>6143.5</v>
      </c>
      <c r="C2604" s="116">
        <v>5951.15</v>
      </c>
      <c r="D2604" s="116">
        <v>5923.7</v>
      </c>
      <c r="E2604" s="116">
        <v>6107.35</v>
      </c>
      <c r="F2604" s="116">
        <v>5951.15</v>
      </c>
      <c r="G2604">
        <v>4654</v>
      </c>
      <c r="H2604" s="116"/>
      <c r="I2604" s="116"/>
      <c r="L2604" s="170">
        <v>45839</v>
      </c>
      <c r="M2604" s="116">
        <v>5949.5</v>
      </c>
      <c r="N2604" s="116">
        <v>6144.5</v>
      </c>
      <c r="O2604" s="116">
        <v>5921.5</v>
      </c>
      <c r="P2604" s="116">
        <v>6114.5</v>
      </c>
      <c r="Q2604" s="116">
        <v>5949.5</v>
      </c>
      <c r="R2604">
        <v>365605</v>
      </c>
    </row>
    <row r="2605" spans="1:18" x14ac:dyDescent="0.25">
      <c r="A2605" s="170">
        <v>45840</v>
      </c>
      <c r="B2605" s="116">
        <v>6069.6</v>
      </c>
      <c r="C2605" s="116">
        <v>5902.15</v>
      </c>
      <c r="D2605" s="116">
        <v>5843.1</v>
      </c>
      <c r="E2605" s="116">
        <v>6069.6</v>
      </c>
      <c r="F2605" s="116">
        <v>5902.15</v>
      </c>
      <c r="G2605">
        <v>11796</v>
      </c>
      <c r="H2605" s="116"/>
      <c r="I2605" s="116"/>
      <c r="L2605" s="170">
        <v>45840</v>
      </c>
      <c r="M2605" s="116">
        <v>5906</v>
      </c>
      <c r="N2605" s="116">
        <v>5989.5</v>
      </c>
      <c r="O2605" s="116">
        <v>5842</v>
      </c>
      <c r="P2605" s="116">
        <v>5979</v>
      </c>
      <c r="Q2605" s="116">
        <v>5906</v>
      </c>
      <c r="R2605">
        <v>284183</v>
      </c>
    </row>
    <row r="2606" spans="1:18" x14ac:dyDescent="0.25">
      <c r="A2606" s="170">
        <v>45841</v>
      </c>
      <c r="B2606" s="116">
        <v>5937.7</v>
      </c>
      <c r="C2606" s="116">
        <v>5870.45</v>
      </c>
      <c r="D2606" s="116">
        <v>5863</v>
      </c>
      <c r="E2606" s="116">
        <v>5905.2</v>
      </c>
      <c r="F2606" s="116">
        <v>5870.45</v>
      </c>
      <c r="G2606">
        <v>3583</v>
      </c>
      <c r="H2606" s="116"/>
      <c r="I2606" s="116"/>
      <c r="L2606" s="170">
        <v>45841</v>
      </c>
      <c r="M2606" s="116">
        <v>5871.5</v>
      </c>
      <c r="N2606" s="116">
        <v>5938.5</v>
      </c>
      <c r="O2606" s="116">
        <v>5862.5</v>
      </c>
      <c r="P2606" s="116">
        <v>5930</v>
      </c>
      <c r="Q2606" s="116">
        <v>5871.5</v>
      </c>
      <c r="R2606">
        <v>193225</v>
      </c>
    </row>
    <row r="2607" spans="1:18" x14ac:dyDescent="0.25">
      <c r="A2607" s="170">
        <v>45842</v>
      </c>
      <c r="B2607" s="116">
        <v>5900</v>
      </c>
      <c r="C2607" s="116">
        <v>5862.65</v>
      </c>
      <c r="D2607" s="116">
        <v>5843.05</v>
      </c>
      <c r="E2607" s="116">
        <v>5852.15</v>
      </c>
      <c r="F2607" s="116">
        <v>5862.65</v>
      </c>
      <c r="G2607">
        <v>16108</v>
      </c>
      <c r="H2607" s="116"/>
      <c r="I2607" s="116"/>
      <c r="L2607" s="170">
        <v>45842</v>
      </c>
      <c r="M2607" s="116">
        <v>5862</v>
      </c>
      <c r="N2607" s="116">
        <v>5901.5</v>
      </c>
      <c r="O2607" s="116">
        <v>5841</v>
      </c>
      <c r="P2607" s="116">
        <v>5892</v>
      </c>
      <c r="Q2607" s="116">
        <v>5862</v>
      </c>
      <c r="R2607">
        <v>153889</v>
      </c>
    </row>
    <row r="2608" spans="1:18" x14ac:dyDescent="0.25">
      <c r="A2608" s="170">
        <v>45845</v>
      </c>
      <c r="B2608" s="116">
        <v>5866.4</v>
      </c>
      <c r="C2608" s="116">
        <v>5844.75</v>
      </c>
      <c r="D2608" s="116">
        <v>5800</v>
      </c>
      <c r="E2608" s="116">
        <v>5866.4</v>
      </c>
      <c r="F2608" s="116">
        <v>5844.75</v>
      </c>
      <c r="G2608">
        <v>5643</v>
      </c>
      <c r="H2608" s="116"/>
      <c r="I2608" s="116"/>
      <c r="L2608" s="170">
        <v>45845</v>
      </c>
      <c r="M2608" s="116">
        <v>5844</v>
      </c>
      <c r="N2608" s="116">
        <v>5862</v>
      </c>
      <c r="O2608" s="116">
        <v>5802</v>
      </c>
      <c r="P2608" s="116">
        <v>5862</v>
      </c>
      <c r="Q2608" s="116">
        <v>5844</v>
      </c>
      <c r="R2608">
        <v>89857</v>
      </c>
    </row>
    <row r="2609" spans="1:18" x14ac:dyDescent="0.25">
      <c r="A2609" s="170">
        <v>45846</v>
      </c>
      <c r="B2609" s="116">
        <v>5885.95</v>
      </c>
      <c r="C2609" s="116">
        <v>5839.7</v>
      </c>
      <c r="D2609" s="116">
        <v>5821.05</v>
      </c>
      <c r="E2609" s="116">
        <v>5844.75</v>
      </c>
      <c r="F2609" s="116">
        <v>5839.7</v>
      </c>
      <c r="G2609">
        <v>3729</v>
      </c>
      <c r="H2609" s="116"/>
      <c r="I2609" s="116"/>
      <c r="L2609" s="170">
        <v>45846</v>
      </c>
      <c r="M2609" s="116">
        <v>5840</v>
      </c>
      <c r="N2609" s="116">
        <v>5885</v>
      </c>
      <c r="O2609" s="116">
        <v>5822</v>
      </c>
      <c r="P2609" s="116">
        <v>5848</v>
      </c>
      <c r="Q2609" s="116">
        <v>5840</v>
      </c>
      <c r="R2609">
        <v>242940</v>
      </c>
    </row>
    <row r="2610" spans="1:18" x14ac:dyDescent="0.25">
      <c r="A2610" s="170">
        <v>45847</v>
      </c>
      <c r="B2610" s="116">
        <v>5938.2</v>
      </c>
      <c r="C2610" s="116">
        <v>5899.4</v>
      </c>
      <c r="D2610" s="116">
        <v>5810.25</v>
      </c>
      <c r="E2610" s="116">
        <v>5810.25</v>
      </c>
      <c r="F2610" s="116">
        <v>5899.4</v>
      </c>
      <c r="G2610">
        <v>3516</v>
      </c>
      <c r="H2610" s="116"/>
      <c r="I2610" s="116"/>
      <c r="L2610" s="170">
        <v>45847</v>
      </c>
      <c r="M2610" s="116">
        <v>5898</v>
      </c>
      <c r="N2610" s="116">
        <v>5940</v>
      </c>
      <c r="O2610" s="116">
        <v>5821</v>
      </c>
      <c r="P2610" s="116">
        <v>5840.5</v>
      </c>
      <c r="Q2610" s="116">
        <v>5898</v>
      </c>
      <c r="R2610">
        <v>204872</v>
      </c>
    </row>
    <row r="2611" spans="1:18" x14ac:dyDescent="0.25">
      <c r="A2611" s="170">
        <v>45848</v>
      </c>
      <c r="B2611" s="116">
        <v>5915.9</v>
      </c>
      <c r="C2611" s="116">
        <v>5891.3</v>
      </c>
      <c r="D2611" s="116">
        <v>5830</v>
      </c>
      <c r="E2611" s="116">
        <v>5915.9</v>
      </c>
      <c r="F2611" s="116">
        <v>5891.3</v>
      </c>
      <c r="G2611">
        <v>5917</v>
      </c>
      <c r="H2611" s="116"/>
      <c r="I2611" s="116"/>
      <c r="L2611" s="170">
        <v>45848</v>
      </c>
      <c r="M2611" s="116">
        <v>5893.5</v>
      </c>
      <c r="N2611" s="116">
        <v>5929</v>
      </c>
      <c r="O2611" s="116">
        <v>5826.5</v>
      </c>
      <c r="P2611" s="116">
        <v>5898</v>
      </c>
      <c r="Q2611" s="116">
        <v>5893.5</v>
      </c>
      <c r="R2611">
        <v>189571</v>
      </c>
    </row>
    <row r="2612" spans="1:18" x14ac:dyDescent="0.25">
      <c r="A2612" s="170">
        <v>45849</v>
      </c>
      <c r="B2612" s="116">
        <v>5883.85</v>
      </c>
      <c r="C2612" s="116">
        <v>5751.85</v>
      </c>
      <c r="D2612" s="116">
        <v>5725.05</v>
      </c>
      <c r="E2612" s="116">
        <v>5850.65</v>
      </c>
      <c r="F2612" s="116">
        <v>5751.85</v>
      </c>
      <c r="G2612">
        <v>13531</v>
      </c>
      <c r="H2612" s="116"/>
      <c r="I2612" s="116"/>
      <c r="L2612" s="170">
        <v>45849</v>
      </c>
      <c r="M2612" s="116">
        <v>5756.5</v>
      </c>
      <c r="N2612" s="116">
        <v>5897</v>
      </c>
      <c r="O2612" s="116">
        <v>5718</v>
      </c>
      <c r="P2612" s="116">
        <v>5880</v>
      </c>
      <c r="Q2612" s="116">
        <v>5756.5</v>
      </c>
      <c r="R2612">
        <v>280804</v>
      </c>
    </row>
    <row r="2613" spans="1:18" x14ac:dyDescent="0.25">
      <c r="A2613" s="170">
        <v>45852</v>
      </c>
      <c r="B2613" s="116">
        <v>5783.4</v>
      </c>
      <c r="C2613" s="116">
        <v>5648.8</v>
      </c>
      <c r="D2613" s="116">
        <v>5578.2</v>
      </c>
      <c r="E2613" s="116">
        <v>5760</v>
      </c>
      <c r="F2613" s="116">
        <v>5648.8</v>
      </c>
      <c r="G2613">
        <v>9602</v>
      </c>
      <c r="H2613" s="116"/>
      <c r="I2613" s="116"/>
      <c r="L2613" s="170">
        <v>45852</v>
      </c>
      <c r="M2613" s="116">
        <v>5647.5</v>
      </c>
      <c r="N2613" s="116">
        <v>5782.5</v>
      </c>
      <c r="O2613" s="116">
        <v>5577</v>
      </c>
      <c r="P2613" s="116">
        <v>5756.5</v>
      </c>
      <c r="Q2613" s="116">
        <v>5647.5</v>
      </c>
      <c r="R2613">
        <v>456678</v>
      </c>
    </row>
    <row r="2614" spans="1:18" x14ac:dyDescent="0.25">
      <c r="A2614" s="170">
        <v>45853</v>
      </c>
      <c r="B2614" s="116">
        <v>5722</v>
      </c>
      <c r="C2614" s="116">
        <v>5606.55</v>
      </c>
      <c r="D2614" s="116">
        <v>5592</v>
      </c>
      <c r="E2614" s="116">
        <v>5655.35</v>
      </c>
      <c r="F2614" s="116">
        <v>5606.55</v>
      </c>
      <c r="G2614">
        <v>9931</v>
      </c>
      <c r="H2614" s="116"/>
      <c r="I2614" s="116"/>
      <c r="L2614" s="170">
        <v>45853</v>
      </c>
      <c r="M2614" s="116">
        <v>5608</v>
      </c>
      <c r="N2614" s="116">
        <v>5725</v>
      </c>
      <c r="O2614" s="116">
        <v>5590.5</v>
      </c>
      <c r="P2614" s="116">
        <v>5679.5</v>
      </c>
      <c r="Q2614" s="116">
        <v>5608</v>
      </c>
      <c r="R2614">
        <v>454138</v>
      </c>
    </row>
    <row r="2615" spans="1:18" x14ac:dyDescent="0.25">
      <c r="A2615" s="170">
        <v>45854</v>
      </c>
      <c r="B2615" s="116">
        <v>5623.9</v>
      </c>
      <c r="C2615" s="116">
        <v>5552.05</v>
      </c>
      <c r="D2615" s="116">
        <v>5501.8</v>
      </c>
      <c r="E2615" s="116">
        <v>5623.9</v>
      </c>
      <c r="F2615" s="116">
        <v>5552.05</v>
      </c>
      <c r="G2615">
        <v>15114</v>
      </c>
      <c r="H2615" s="116"/>
      <c r="I2615" s="116"/>
      <c r="L2615" s="170">
        <v>45854</v>
      </c>
      <c r="M2615" s="116">
        <v>5551</v>
      </c>
      <c r="N2615" s="116">
        <v>5618</v>
      </c>
      <c r="O2615" s="116">
        <v>5502.5</v>
      </c>
      <c r="P2615" s="116">
        <v>5608</v>
      </c>
      <c r="Q2615" s="116">
        <v>5551</v>
      </c>
      <c r="R2615">
        <v>590118</v>
      </c>
    </row>
    <row r="2616" spans="1:18" x14ac:dyDescent="0.25">
      <c r="A2616" s="170">
        <v>45855</v>
      </c>
      <c r="B2616" s="116">
        <v>5661.05</v>
      </c>
      <c r="C2616" s="116">
        <v>5637</v>
      </c>
      <c r="D2616" s="116">
        <v>5467.7</v>
      </c>
      <c r="E2616" s="116">
        <v>5555</v>
      </c>
      <c r="F2616" s="116">
        <v>5637</v>
      </c>
      <c r="G2616">
        <v>34118</v>
      </c>
      <c r="H2616" s="116"/>
      <c r="I2616" s="116"/>
      <c r="L2616" s="170">
        <v>45855</v>
      </c>
      <c r="M2616" s="116">
        <v>5637.5</v>
      </c>
      <c r="N2616" s="116">
        <v>5664</v>
      </c>
      <c r="O2616" s="116">
        <v>5468</v>
      </c>
      <c r="P2616" s="116">
        <v>5568</v>
      </c>
      <c r="Q2616" s="116">
        <v>5637.5</v>
      </c>
      <c r="R2616">
        <v>1071876</v>
      </c>
    </row>
    <row r="2617" spans="1:18" x14ac:dyDescent="0.25">
      <c r="A2617" s="170">
        <v>45856</v>
      </c>
      <c r="B2617" s="116">
        <v>5727</v>
      </c>
      <c r="C2617" s="116">
        <v>5651.25</v>
      </c>
      <c r="D2617" s="116">
        <v>5630.4</v>
      </c>
      <c r="E2617" s="116">
        <v>5640.05</v>
      </c>
      <c r="F2617" s="116">
        <v>5651.25</v>
      </c>
      <c r="G2617">
        <v>12327</v>
      </c>
      <c r="H2617" s="116"/>
      <c r="I2617" s="116"/>
      <c r="L2617" s="170">
        <v>45856</v>
      </c>
      <c r="M2617" s="116">
        <v>5646.5</v>
      </c>
      <c r="N2617" s="116">
        <v>5727.5</v>
      </c>
      <c r="O2617" s="116">
        <v>5630.5</v>
      </c>
      <c r="P2617" s="116">
        <v>5684</v>
      </c>
      <c r="Q2617" s="116">
        <v>5646.5</v>
      </c>
      <c r="R2617">
        <v>425486</v>
      </c>
    </row>
    <row r="2618" spans="1:18" x14ac:dyDescent="0.25">
      <c r="A2618" s="170">
        <v>45859</v>
      </c>
      <c r="B2618" s="116">
        <v>5846.9</v>
      </c>
      <c r="C2618" s="116">
        <v>5836.25</v>
      </c>
      <c r="D2618" s="116">
        <v>5638.1</v>
      </c>
      <c r="E2618" s="116">
        <v>5651.45</v>
      </c>
      <c r="F2618" s="116">
        <v>5836.25</v>
      </c>
      <c r="G2618">
        <v>25226</v>
      </c>
      <c r="H2618" s="116"/>
      <c r="I2618" s="116"/>
      <c r="L2618" s="170">
        <v>45859</v>
      </c>
      <c r="M2618" s="116">
        <v>5836</v>
      </c>
      <c r="N2618" s="116">
        <v>5845.5</v>
      </c>
      <c r="O2618" s="116">
        <v>5635.5</v>
      </c>
      <c r="P2618" s="116">
        <v>5666</v>
      </c>
      <c r="Q2618" s="116">
        <v>5836</v>
      </c>
      <c r="R2618">
        <v>428913</v>
      </c>
    </row>
    <row r="2619" spans="1:18" x14ac:dyDescent="0.25">
      <c r="A2619" s="170">
        <v>45860</v>
      </c>
      <c r="B2619" s="116">
        <v>5867</v>
      </c>
      <c r="C2619" s="116">
        <v>5755.6</v>
      </c>
      <c r="D2619" s="116">
        <v>5731.85</v>
      </c>
      <c r="E2619" s="116">
        <v>5867</v>
      </c>
      <c r="F2619" s="116">
        <v>5755.6</v>
      </c>
      <c r="G2619">
        <v>8532</v>
      </c>
      <c r="H2619" s="116"/>
      <c r="I2619" s="116"/>
      <c r="L2619" s="170">
        <v>45860</v>
      </c>
      <c r="M2619" s="116">
        <v>5755</v>
      </c>
      <c r="N2619" s="116">
        <v>5872</v>
      </c>
      <c r="O2619" s="116">
        <v>5731</v>
      </c>
      <c r="P2619" s="116">
        <v>5850.5</v>
      </c>
      <c r="Q2619" s="116">
        <v>5755</v>
      </c>
      <c r="R2619">
        <v>346363</v>
      </c>
    </row>
    <row r="2620" spans="1:18" x14ac:dyDescent="0.25">
      <c r="A2620" s="170">
        <v>45861</v>
      </c>
      <c r="B2620" s="116">
        <v>5781.7</v>
      </c>
      <c r="C2620" s="116">
        <v>5710.3</v>
      </c>
      <c r="D2620" s="116">
        <v>5675</v>
      </c>
      <c r="E2620" s="116">
        <v>5755.05</v>
      </c>
      <c r="F2620" s="116">
        <v>5710.3</v>
      </c>
      <c r="G2620">
        <v>13099</v>
      </c>
      <c r="H2620" s="116"/>
      <c r="I2620" s="116"/>
      <c r="L2620" s="170">
        <v>45861</v>
      </c>
      <c r="M2620" s="116">
        <v>5711</v>
      </c>
      <c r="N2620" s="116">
        <v>5788</v>
      </c>
      <c r="O2620" s="116">
        <v>5675</v>
      </c>
      <c r="P2620" s="116">
        <v>5771.5</v>
      </c>
      <c r="Q2620" s="116">
        <v>5711</v>
      </c>
      <c r="R2620">
        <v>186980</v>
      </c>
    </row>
    <row r="2621" spans="1:18" x14ac:dyDescent="0.25">
      <c r="A2621" s="170">
        <v>45862</v>
      </c>
      <c r="B2621" s="116">
        <v>5738.95</v>
      </c>
      <c r="C2621" s="116">
        <v>5701.05</v>
      </c>
      <c r="D2621" s="116">
        <v>5655.35</v>
      </c>
      <c r="E2621" s="116">
        <v>5713.75</v>
      </c>
      <c r="F2621" s="116">
        <v>5701.05</v>
      </c>
      <c r="G2621">
        <v>3467</v>
      </c>
      <c r="H2621" s="116"/>
      <c r="I2621" s="116"/>
      <c r="L2621" s="170">
        <v>45862</v>
      </c>
      <c r="M2621" s="116">
        <v>5699</v>
      </c>
      <c r="N2621" s="116">
        <v>5734.5</v>
      </c>
      <c r="O2621" s="116">
        <v>5655</v>
      </c>
      <c r="P2621" s="116">
        <v>5711</v>
      </c>
      <c r="Q2621" s="116">
        <v>5699</v>
      </c>
      <c r="R2621">
        <v>116292</v>
      </c>
    </row>
    <row r="2622" spans="1:18" x14ac:dyDescent="0.25">
      <c r="A2622" s="170">
        <v>45863</v>
      </c>
      <c r="B2622" s="116">
        <v>5715.55</v>
      </c>
      <c r="C2622" s="116">
        <v>5645.7</v>
      </c>
      <c r="D2622" s="116">
        <v>5612.4</v>
      </c>
      <c r="E2622" s="116">
        <v>5715.55</v>
      </c>
      <c r="F2622" s="116">
        <v>5645.7</v>
      </c>
      <c r="G2622">
        <v>35449</v>
      </c>
      <c r="H2622" s="116"/>
      <c r="I2622" s="116"/>
      <c r="L2622" s="170">
        <v>45863</v>
      </c>
      <c r="M2622" s="116">
        <v>5643</v>
      </c>
      <c r="N2622" s="116">
        <v>5710</v>
      </c>
      <c r="O2622" s="116">
        <v>5610.5</v>
      </c>
      <c r="P2622" s="116">
        <v>5699</v>
      </c>
      <c r="Q2622" s="116">
        <v>5643</v>
      </c>
      <c r="R2622">
        <v>340538</v>
      </c>
    </row>
    <row r="2623" spans="1:18" x14ac:dyDescent="0.25">
      <c r="A2623" s="170">
        <v>45866</v>
      </c>
      <c r="B2623" s="116">
        <v>5641.35</v>
      </c>
      <c r="C2623" s="116">
        <v>5552.25</v>
      </c>
      <c r="D2623" s="116">
        <v>5523.65</v>
      </c>
      <c r="E2623" s="116">
        <v>5641.35</v>
      </c>
      <c r="F2623" s="116">
        <v>5552.25</v>
      </c>
      <c r="G2623">
        <v>23655</v>
      </c>
      <c r="H2623" s="116"/>
      <c r="I2623" s="116"/>
      <c r="L2623" s="170">
        <v>45866</v>
      </c>
      <c r="M2623" s="116">
        <v>5545.5</v>
      </c>
      <c r="N2623" s="116">
        <v>5644</v>
      </c>
      <c r="O2623" s="116">
        <v>5525</v>
      </c>
      <c r="P2623" s="116">
        <v>5640</v>
      </c>
      <c r="Q2623" s="116">
        <v>5545.5</v>
      </c>
      <c r="R2623">
        <v>265335</v>
      </c>
    </row>
    <row r="2624" spans="1:18" x14ac:dyDescent="0.25">
      <c r="A2624" s="170">
        <v>45867</v>
      </c>
      <c r="B2624" s="116">
        <v>5597.5</v>
      </c>
      <c r="C2624" s="116">
        <v>5580.35</v>
      </c>
      <c r="D2624" s="116">
        <v>5480</v>
      </c>
      <c r="E2624" s="116">
        <v>5501.2</v>
      </c>
      <c r="F2624" s="116">
        <v>5580.35</v>
      </c>
      <c r="G2624">
        <v>7332</v>
      </c>
      <c r="H2624" s="116"/>
      <c r="I2624" s="116"/>
      <c r="L2624" s="170">
        <v>45867</v>
      </c>
      <c r="M2624" s="116">
        <v>5579</v>
      </c>
      <c r="N2624" s="116">
        <v>5592</v>
      </c>
      <c r="O2624" s="116">
        <v>5478</v>
      </c>
      <c r="P2624" s="116">
        <v>5545</v>
      </c>
      <c r="Q2624" s="116">
        <v>5579</v>
      </c>
      <c r="R2624">
        <v>209954</v>
      </c>
    </row>
    <row r="2625" spans="1:18" x14ac:dyDescent="0.25">
      <c r="A2625" s="170">
        <v>45868</v>
      </c>
      <c r="B2625" s="116">
        <v>5649.95</v>
      </c>
      <c r="C2625" s="116">
        <v>5555.7</v>
      </c>
      <c r="D2625" s="116">
        <v>5471</v>
      </c>
      <c r="E2625" s="116">
        <v>5649.95</v>
      </c>
      <c r="F2625" s="116">
        <v>5555.7</v>
      </c>
      <c r="G2625">
        <v>12368</v>
      </c>
      <c r="H2625" s="116"/>
      <c r="I2625" s="116"/>
      <c r="L2625" s="170">
        <v>45868</v>
      </c>
      <c r="M2625" s="116">
        <v>5554</v>
      </c>
      <c r="N2625" s="116">
        <v>5610</v>
      </c>
      <c r="O2625" s="116">
        <v>5470</v>
      </c>
      <c r="P2625" s="116">
        <v>5610</v>
      </c>
      <c r="Q2625" s="116">
        <v>5554</v>
      </c>
      <c r="R2625">
        <v>331867</v>
      </c>
    </row>
    <row r="2626" spans="1:18" x14ac:dyDescent="0.25">
      <c r="A2626" s="170">
        <v>45869</v>
      </c>
      <c r="B2626" s="116">
        <v>5575</v>
      </c>
      <c r="C2626" s="116">
        <v>5511.4</v>
      </c>
      <c r="D2626" s="116">
        <v>5451.2</v>
      </c>
      <c r="E2626" s="116">
        <v>5451.2</v>
      </c>
      <c r="F2626" s="116">
        <v>5511.4</v>
      </c>
      <c r="G2626">
        <v>6667</v>
      </c>
      <c r="H2626" s="116"/>
      <c r="I2626" s="116"/>
      <c r="L2626" s="170">
        <v>45869</v>
      </c>
      <c r="M2626" s="116">
        <v>5510</v>
      </c>
      <c r="N2626" s="116">
        <v>5574.5</v>
      </c>
      <c r="O2626" s="116">
        <v>5489.5</v>
      </c>
      <c r="P2626" s="116">
        <v>5510</v>
      </c>
      <c r="Q2626" s="116">
        <v>5510</v>
      </c>
      <c r="R2626">
        <v>255793</v>
      </c>
    </row>
    <row r="2627" spans="1:18" x14ac:dyDescent="0.25">
      <c r="A2627" s="170">
        <v>45870</v>
      </c>
      <c r="B2627" s="116">
        <v>5523.3</v>
      </c>
      <c r="C2627" s="116">
        <v>5397.45</v>
      </c>
      <c r="D2627" s="116">
        <v>5365.35</v>
      </c>
      <c r="E2627" s="116">
        <v>5512.15</v>
      </c>
      <c r="F2627" s="116">
        <v>5397.45</v>
      </c>
      <c r="G2627">
        <v>23520</v>
      </c>
      <c r="H2627" s="116"/>
      <c r="I2627" s="116"/>
      <c r="L2627" s="170">
        <v>45870</v>
      </c>
      <c r="M2627" s="116">
        <v>5387.5</v>
      </c>
      <c r="N2627" s="116">
        <v>5539</v>
      </c>
      <c r="O2627" s="116">
        <v>5360.5</v>
      </c>
      <c r="P2627" s="116">
        <v>5539</v>
      </c>
      <c r="Q2627" s="116">
        <v>5387.5</v>
      </c>
      <c r="R2627">
        <v>382061</v>
      </c>
    </row>
    <row r="2628" spans="1:18" x14ac:dyDescent="0.25">
      <c r="A2628" s="170">
        <v>45873</v>
      </c>
      <c r="B2628" s="116">
        <v>5362.45</v>
      </c>
      <c r="C2628" s="116">
        <v>5092.5</v>
      </c>
      <c r="D2628" s="116">
        <v>5015.45</v>
      </c>
      <c r="E2628" s="116">
        <v>5314.3</v>
      </c>
      <c r="F2628" s="116">
        <v>5092.5</v>
      </c>
      <c r="G2628">
        <v>96579</v>
      </c>
      <c r="H2628" s="116"/>
      <c r="I2628" s="116"/>
      <c r="L2628" s="170">
        <v>45873</v>
      </c>
      <c r="M2628" s="116">
        <v>5092.5</v>
      </c>
      <c r="N2628" s="116">
        <v>5364</v>
      </c>
      <c r="O2628" s="116">
        <v>5014.5</v>
      </c>
      <c r="P2628" s="116">
        <v>5310</v>
      </c>
      <c r="Q2628" s="116">
        <v>5092.5</v>
      </c>
      <c r="R2628">
        <v>1957165</v>
      </c>
    </row>
    <row r="2629" spans="1:18" x14ac:dyDescent="0.25">
      <c r="A2629" s="170">
        <v>45874</v>
      </c>
      <c r="B2629" s="116">
        <v>5099.8999999999996</v>
      </c>
      <c r="C2629" s="116">
        <v>5084.5</v>
      </c>
      <c r="D2629" s="116">
        <v>5020</v>
      </c>
      <c r="E2629" s="116">
        <v>5092.45</v>
      </c>
      <c r="F2629" s="116">
        <v>5084.5</v>
      </c>
      <c r="G2629">
        <v>21416</v>
      </c>
      <c r="H2629" s="116"/>
      <c r="I2629" s="116"/>
      <c r="L2629" s="170">
        <v>45874</v>
      </c>
      <c r="M2629" s="116">
        <v>5084</v>
      </c>
      <c r="N2629" s="116">
        <v>5099</v>
      </c>
      <c r="O2629" s="116">
        <v>5019.5</v>
      </c>
      <c r="P2629" s="116">
        <v>5070</v>
      </c>
      <c r="Q2629" s="116">
        <v>5084</v>
      </c>
      <c r="R2629">
        <v>614211</v>
      </c>
    </row>
    <row r="2630" spans="1:18" x14ac:dyDescent="0.25">
      <c r="A2630" s="170">
        <v>45875</v>
      </c>
      <c r="B2630" s="116">
        <v>5119.95</v>
      </c>
      <c r="C2630" s="116">
        <v>5098.05</v>
      </c>
      <c r="D2630" s="116">
        <v>5025.5</v>
      </c>
      <c r="E2630" s="116">
        <v>5105.3</v>
      </c>
      <c r="F2630" s="116">
        <v>5098.05</v>
      </c>
      <c r="G2630">
        <v>15590</v>
      </c>
      <c r="H2630" s="116"/>
      <c r="I2630" s="116"/>
      <c r="L2630" s="170">
        <v>45875</v>
      </c>
      <c r="M2630" s="116">
        <v>5097</v>
      </c>
      <c r="N2630" s="116">
        <v>5124</v>
      </c>
      <c r="O2630" s="116">
        <v>5024.5</v>
      </c>
      <c r="P2630" s="116">
        <v>5124</v>
      </c>
      <c r="Q2630" s="116">
        <v>5097</v>
      </c>
      <c r="R2630">
        <v>385429</v>
      </c>
    </row>
    <row r="2631" spans="1:18" x14ac:dyDescent="0.25">
      <c r="A2631" s="170">
        <v>45876</v>
      </c>
      <c r="B2631" s="116">
        <v>5139</v>
      </c>
      <c r="C2631" s="116">
        <v>5116.3999999999996</v>
      </c>
      <c r="D2631" s="116">
        <v>5015.1499999999996</v>
      </c>
      <c r="E2631" s="116">
        <v>5100</v>
      </c>
      <c r="F2631" s="116">
        <v>5116.3999999999996</v>
      </c>
      <c r="G2631">
        <v>18954</v>
      </c>
      <c r="H2631" s="116"/>
      <c r="I2631" s="116"/>
      <c r="L2631" s="170">
        <v>45876</v>
      </c>
      <c r="M2631" s="116">
        <v>5118.5</v>
      </c>
      <c r="N2631" s="116">
        <v>5140</v>
      </c>
      <c r="O2631" s="116">
        <v>5017</v>
      </c>
      <c r="P2631" s="116">
        <v>5092.5</v>
      </c>
      <c r="Q2631" s="116">
        <v>5118.5</v>
      </c>
      <c r="R2631">
        <v>355953</v>
      </c>
    </row>
    <row r="2632" spans="1:18" x14ac:dyDescent="0.25">
      <c r="A2632" s="170">
        <v>45877</v>
      </c>
      <c r="B2632" s="116">
        <v>5149.95</v>
      </c>
      <c r="C2632" s="116">
        <v>5021.25</v>
      </c>
      <c r="D2632" s="116">
        <v>5005</v>
      </c>
      <c r="E2632" s="116">
        <v>5149.95</v>
      </c>
      <c r="F2632" s="116">
        <v>5021.25</v>
      </c>
      <c r="G2632">
        <v>6416</v>
      </c>
      <c r="H2632" s="116"/>
      <c r="I2632" s="116"/>
      <c r="L2632" s="170">
        <v>45877</v>
      </c>
      <c r="M2632" s="116">
        <v>5022</v>
      </c>
      <c r="N2632" s="116">
        <v>5143.5</v>
      </c>
      <c r="O2632" s="116">
        <v>5005.5</v>
      </c>
      <c r="P2632" s="116">
        <v>5143.5</v>
      </c>
      <c r="Q2632" s="116">
        <v>5022</v>
      </c>
      <c r="R2632">
        <v>348746</v>
      </c>
    </row>
    <row r="2633" spans="1:18" x14ac:dyDescent="0.25">
      <c r="A2633" s="170">
        <v>45880</v>
      </c>
      <c r="B2633" s="116">
        <v>5123.2</v>
      </c>
      <c r="C2633" s="116">
        <v>5047.7</v>
      </c>
      <c r="D2633" s="116">
        <v>5005</v>
      </c>
      <c r="E2633" s="116">
        <v>5022.55</v>
      </c>
      <c r="F2633" s="116">
        <v>5047.7</v>
      </c>
      <c r="G2633">
        <v>6227</v>
      </c>
      <c r="H2633" s="116"/>
      <c r="I2633" s="116"/>
      <c r="L2633" s="170">
        <v>45880</v>
      </c>
      <c r="M2633" s="116">
        <v>5047</v>
      </c>
      <c r="N2633" s="116">
        <v>5122.5</v>
      </c>
      <c r="O2633" s="116">
        <v>5002.5</v>
      </c>
      <c r="P2633" s="116">
        <v>5057</v>
      </c>
      <c r="Q2633" s="116">
        <v>5047</v>
      </c>
      <c r="R2633">
        <v>429040</v>
      </c>
    </row>
    <row r="2634" spans="1:18" x14ac:dyDescent="0.25">
      <c r="A2634" s="170">
        <v>45881</v>
      </c>
      <c r="B2634" s="116">
        <v>5124.8</v>
      </c>
      <c r="C2634" s="116">
        <v>5072.1499999999996</v>
      </c>
      <c r="D2634" s="116">
        <v>5020</v>
      </c>
      <c r="E2634" s="116">
        <v>5124.8</v>
      </c>
      <c r="F2634" s="116">
        <v>5072.1499999999996</v>
      </c>
      <c r="G2634">
        <v>43462</v>
      </c>
      <c r="H2634" s="116"/>
      <c r="I2634" s="116"/>
      <c r="L2634" s="170">
        <v>45881</v>
      </c>
      <c r="M2634" s="116">
        <v>5071.5</v>
      </c>
      <c r="N2634" s="116">
        <v>5089.5</v>
      </c>
      <c r="O2634" s="116">
        <v>5017</v>
      </c>
      <c r="P2634" s="116">
        <v>5079.5</v>
      </c>
      <c r="Q2634" s="116">
        <v>5071.5</v>
      </c>
      <c r="R2634">
        <v>273262</v>
      </c>
    </row>
    <row r="2635" spans="1:18" x14ac:dyDescent="0.25">
      <c r="A2635" s="170">
        <v>45882</v>
      </c>
      <c r="B2635" s="116">
        <v>5102.45</v>
      </c>
      <c r="C2635" s="116">
        <v>5087.2</v>
      </c>
      <c r="D2635" s="116">
        <v>5040</v>
      </c>
      <c r="E2635" s="116">
        <v>5072.3500000000004</v>
      </c>
      <c r="F2635" s="116">
        <v>5087.2</v>
      </c>
      <c r="G2635">
        <v>19873</v>
      </c>
      <c r="H2635" s="116"/>
      <c r="I2635" s="116"/>
      <c r="L2635" s="170">
        <v>45882</v>
      </c>
      <c r="M2635" s="116">
        <v>5087</v>
      </c>
      <c r="N2635" s="116">
        <v>5102</v>
      </c>
      <c r="O2635" s="116">
        <v>5038.5</v>
      </c>
      <c r="P2635" s="116">
        <v>5097.5</v>
      </c>
      <c r="Q2635" s="116">
        <v>5087</v>
      </c>
      <c r="R2635">
        <v>231709</v>
      </c>
    </row>
    <row r="2636" spans="1:18" x14ac:dyDescent="0.25">
      <c r="A2636" s="170">
        <v>45883</v>
      </c>
      <c r="B2636" s="116">
        <v>5100</v>
      </c>
      <c r="C2636" s="116">
        <v>5028.7</v>
      </c>
      <c r="D2636" s="116">
        <v>5021.8999999999996</v>
      </c>
      <c r="E2636" s="116">
        <v>5090.05</v>
      </c>
      <c r="F2636" s="116">
        <v>5028.7</v>
      </c>
      <c r="G2636">
        <v>10797</v>
      </c>
      <c r="H2636" s="116"/>
      <c r="I2636" s="116"/>
      <c r="L2636" s="170">
        <v>45883</v>
      </c>
      <c r="M2636" s="116">
        <v>5030</v>
      </c>
      <c r="N2636" s="116">
        <v>5105.5</v>
      </c>
      <c r="O2636" s="116">
        <v>5023.5</v>
      </c>
      <c r="P2636" s="116">
        <v>5100</v>
      </c>
      <c r="Q2636" s="116">
        <v>5030</v>
      </c>
      <c r="R2636">
        <v>237754</v>
      </c>
    </row>
    <row r="2637" spans="1:18" x14ac:dyDescent="0.25">
      <c r="A2637" s="170">
        <v>45887</v>
      </c>
      <c r="B2637" s="116">
        <v>5099.55</v>
      </c>
      <c r="C2637" s="116">
        <v>5037.7</v>
      </c>
      <c r="D2637" s="116">
        <v>5002.95</v>
      </c>
      <c r="E2637" s="116">
        <v>5099.55</v>
      </c>
      <c r="F2637" s="116">
        <v>5037.7</v>
      </c>
      <c r="G2637">
        <v>26543</v>
      </c>
      <c r="H2637" s="116"/>
      <c r="I2637" s="116"/>
      <c r="L2637" s="170">
        <v>45887</v>
      </c>
      <c r="M2637" s="116">
        <v>5037.5</v>
      </c>
      <c r="N2637" s="116">
        <v>5090</v>
      </c>
      <c r="O2637" s="116">
        <v>5003.5</v>
      </c>
      <c r="P2637" s="116">
        <v>5090</v>
      </c>
      <c r="Q2637" s="116">
        <v>5037.5</v>
      </c>
      <c r="R2637">
        <v>307068</v>
      </c>
    </row>
    <row r="2638" spans="1:18" x14ac:dyDescent="0.25">
      <c r="A2638" s="170">
        <v>45888</v>
      </c>
      <c r="B2638" s="116">
        <v>5080.2</v>
      </c>
      <c r="C2638" s="116">
        <v>5066.6000000000004</v>
      </c>
      <c r="D2638" s="116">
        <v>5008.8500000000004</v>
      </c>
      <c r="E2638" s="116">
        <v>5037.7</v>
      </c>
      <c r="F2638" s="116">
        <v>5066.6000000000004</v>
      </c>
      <c r="G2638">
        <v>8987</v>
      </c>
      <c r="H2638" s="116"/>
      <c r="I2638" s="116"/>
      <c r="L2638" s="170">
        <v>45888</v>
      </c>
      <c r="M2638" s="116">
        <v>5068</v>
      </c>
      <c r="N2638" s="116">
        <v>5082</v>
      </c>
      <c r="O2638" s="116">
        <v>5007.5</v>
      </c>
      <c r="P2638" s="116">
        <v>5038</v>
      </c>
      <c r="Q2638" s="116">
        <v>5068</v>
      </c>
      <c r="R2638">
        <v>204663</v>
      </c>
    </row>
    <row r="2639" spans="1:18" x14ac:dyDescent="0.25">
      <c r="A2639" s="170">
        <v>45889</v>
      </c>
      <c r="B2639" s="116">
        <v>5139.5</v>
      </c>
      <c r="C2639" s="116">
        <v>5123.25</v>
      </c>
      <c r="D2639" s="116">
        <v>5072</v>
      </c>
      <c r="E2639" s="116">
        <v>5099.75</v>
      </c>
      <c r="F2639" s="116">
        <v>5123.25</v>
      </c>
      <c r="G2639">
        <v>11638</v>
      </c>
      <c r="H2639" s="116"/>
      <c r="I2639" s="116"/>
      <c r="L2639" s="170">
        <v>45889</v>
      </c>
      <c r="M2639" s="116">
        <v>5121.5</v>
      </c>
      <c r="N2639" s="116">
        <v>5140.5</v>
      </c>
      <c r="O2639" s="116">
        <v>5070</v>
      </c>
      <c r="P2639" s="116">
        <v>5084</v>
      </c>
      <c r="Q2639" s="116">
        <v>5121.5</v>
      </c>
      <c r="R2639">
        <v>312054</v>
      </c>
    </row>
    <row r="2640" spans="1:18" x14ac:dyDescent="0.25">
      <c r="A2640" s="170">
        <v>45890</v>
      </c>
      <c r="B2640" s="116">
        <v>5195</v>
      </c>
      <c r="C2640" s="116">
        <v>5140.55</v>
      </c>
      <c r="D2640" s="116">
        <v>5112.05</v>
      </c>
      <c r="E2640" s="116">
        <v>5150</v>
      </c>
      <c r="F2640" s="116">
        <v>5140.55</v>
      </c>
      <c r="G2640">
        <v>11755</v>
      </c>
      <c r="H2640" s="116"/>
      <c r="I2640" s="116"/>
      <c r="L2640" s="170">
        <v>45890</v>
      </c>
      <c r="M2640" s="116">
        <v>5141.5</v>
      </c>
      <c r="N2640" s="116">
        <v>5195</v>
      </c>
      <c r="O2640" s="116">
        <v>5112</v>
      </c>
      <c r="P2640" s="116">
        <v>5150</v>
      </c>
      <c r="Q2640" s="116">
        <v>5141.5</v>
      </c>
      <c r="R2640">
        <v>377717</v>
      </c>
    </row>
    <row r="2641" spans="1:18" x14ac:dyDescent="0.25">
      <c r="A2641" s="170">
        <v>45891</v>
      </c>
      <c r="B2641" s="116">
        <v>5189.45</v>
      </c>
      <c r="C2641" s="116">
        <v>5060.8500000000004</v>
      </c>
      <c r="D2641" s="116">
        <v>5054.8999999999996</v>
      </c>
      <c r="E2641" s="116">
        <v>5189.45</v>
      </c>
      <c r="F2641" s="116">
        <v>5060.8500000000004</v>
      </c>
      <c r="G2641">
        <v>8566</v>
      </c>
      <c r="H2641" s="116"/>
      <c r="I2641" s="116"/>
      <c r="L2641" s="170">
        <v>45891</v>
      </c>
      <c r="M2641" s="116">
        <v>5063</v>
      </c>
      <c r="N2641" s="116">
        <v>5170</v>
      </c>
      <c r="O2641" s="116">
        <v>5051</v>
      </c>
      <c r="P2641" s="116">
        <v>5170</v>
      </c>
      <c r="Q2641" s="116">
        <v>5063</v>
      </c>
      <c r="R2641">
        <v>219900</v>
      </c>
    </row>
    <row r="2642" spans="1:18" x14ac:dyDescent="0.25">
      <c r="A2642" s="170">
        <v>45894</v>
      </c>
      <c r="B2642" s="116">
        <v>5110.45</v>
      </c>
      <c r="C2642" s="116">
        <v>5101.3500000000004</v>
      </c>
      <c r="D2642" s="116">
        <v>5046</v>
      </c>
      <c r="E2642" s="116">
        <v>5110.45</v>
      </c>
      <c r="F2642" s="116">
        <v>5101.3500000000004</v>
      </c>
      <c r="G2642">
        <v>28910</v>
      </c>
      <c r="H2642" s="116"/>
      <c r="I2642" s="116"/>
      <c r="L2642" s="170">
        <v>45894</v>
      </c>
      <c r="M2642" s="116">
        <v>5100.5</v>
      </c>
      <c r="N2642" s="116">
        <v>5113.5</v>
      </c>
      <c r="O2642" s="116">
        <v>5045</v>
      </c>
      <c r="P2642" s="116">
        <v>5100</v>
      </c>
      <c r="Q2642" s="116">
        <v>5100.5</v>
      </c>
      <c r="R2642">
        <v>246352</v>
      </c>
    </row>
    <row r="2643" spans="1:18" x14ac:dyDescent="0.25">
      <c r="A2643" s="170">
        <v>45895</v>
      </c>
      <c r="B2643" s="116">
        <v>5090.6499999999996</v>
      </c>
      <c r="C2643" s="116">
        <v>5022.05</v>
      </c>
      <c r="D2643" s="116">
        <v>5012.1000000000004</v>
      </c>
      <c r="E2643" s="116">
        <v>5090.6499999999996</v>
      </c>
      <c r="F2643" s="116">
        <v>5022.05</v>
      </c>
      <c r="G2643">
        <v>13409</v>
      </c>
      <c r="H2643" s="116"/>
      <c r="I2643" s="116"/>
      <c r="L2643" s="170">
        <v>45895</v>
      </c>
      <c r="M2643" s="116">
        <v>5022</v>
      </c>
      <c r="N2643" s="116">
        <v>5109.5</v>
      </c>
      <c r="O2643" s="116">
        <v>5011</v>
      </c>
      <c r="P2643" s="116">
        <v>5100.5</v>
      </c>
      <c r="Q2643" s="116">
        <v>5022</v>
      </c>
      <c r="R2643">
        <v>482397</v>
      </c>
    </row>
    <row r="2644" spans="1:18" x14ac:dyDescent="0.25">
      <c r="A2644" s="170">
        <v>45897</v>
      </c>
      <c r="B2644" s="116">
        <v>5027.25</v>
      </c>
      <c r="C2644" s="116">
        <v>5001.05</v>
      </c>
      <c r="D2644" s="116">
        <v>4953.1499999999996</v>
      </c>
      <c r="E2644" s="116">
        <v>5010.2</v>
      </c>
      <c r="F2644" s="116">
        <v>5001.05</v>
      </c>
      <c r="G2644">
        <v>11147</v>
      </c>
      <c r="H2644" s="116"/>
      <c r="I2644" s="116"/>
      <c r="L2644" s="170">
        <v>45897</v>
      </c>
      <c r="M2644" s="116">
        <v>5000.5</v>
      </c>
      <c r="N2644" s="116">
        <v>5039.5</v>
      </c>
      <c r="O2644" s="116">
        <v>4953</v>
      </c>
      <c r="P2644" s="116">
        <v>5022</v>
      </c>
      <c r="Q2644" s="116">
        <v>5000.5</v>
      </c>
      <c r="R2644">
        <v>335387</v>
      </c>
    </row>
    <row r="2645" spans="1:18" x14ac:dyDescent="0.25">
      <c r="A2645" s="170">
        <v>45898</v>
      </c>
      <c r="B2645" s="116">
        <v>5056.25</v>
      </c>
      <c r="C2645" s="116">
        <v>4996.2</v>
      </c>
      <c r="D2645" s="116">
        <v>4940.5</v>
      </c>
      <c r="E2645" s="116">
        <v>5001</v>
      </c>
      <c r="F2645" s="116">
        <v>4996.2</v>
      </c>
      <c r="G2645">
        <v>11730</v>
      </c>
      <c r="H2645" s="116"/>
      <c r="I2645" s="116"/>
      <c r="L2645" s="170">
        <v>45898</v>
      </c>
      <c r="M2645" s="116">
        <v>4999</v>
      </c>
      <c r="N2645" s="116">
        <v>5060.5</v>
      </c>
      <c r="O2645" s="116">
        <v>4939.5</v>
      </c>
      <c r="P2645" s="116">
        <v>5003</v>
      </c>
      <c r="Q2645" s="116">
        <v>4999</v>
      </c>
      <c r="R2645">
        <v>251338</v>
      </c>
    </row>
    <row r="2646" spans="1:18" x14ac:dyDescent="0.25">
      <c r="A2646" s="170">
        <v>45901</v>
      </c>
      <c r="B2646" s="116">
        <v>5139.95</v>
      </c>
      <c r="C2646" s="116">
        <v>5127.8</v>
      </c>
      <c r="D2646" s="116">
        <v>5017.6000000000004</v>
      </c>
      <c r="E2646" s="116">
        <v>5067.1499999999996</v>
      </c>
      <c r="F2646" s="116">
        <v>5127.8</v>
      </c>
      <c r="G2646">
        <v>6056</v>
      </c>
      <c r="H2646" s="116"/>
      <c r="I2646" s="116"/>
      <c r="L2646" s="170">
        <v>45901</v>
      </c>
      <c r="M2646" s="116">
        <v>5127.3999999999996</v>
      </c>
      <c r="N2646" s="116">
        <v>5140.5</v>
      </c>
      <c r="O2646" s="116">
        <v>5017.6000000000004</v>
      </c>
      <c r="P2646" s="116">
        <v>5042</v>
      </c>
      <c r="Q2646" s="116">
        <v>5127.3999999999996</v>
      </c>
      <c r="R2646">
        <v>242505</v>
      </c>
    </row>
    <row r="2647" spans="1:18" x14ac:dyDescent="0.25">
      <c r="A2647" s="170">
        <v>45902</v>
      </c>
      <c r="B2647" s="116">
        <v>5173</v>
      </c>
      <c r="C2647" s="116">
        <v>5146.5</v>
      </c>
      <c r="D2647" s="116">
        <v>5097</v>
      </c>
      <c r="E2647" s="116">
        <v>5150</v>
      </c>
      <c r="F2647" s="116">
        <v>5146.5</v>
      </c>
      <c r="G2647">
        <v>13636</v>
      </c>
      <c r="H2647" s="116"/>
      <c r="I2647" s="116"/>
      <c r="L2647" s="170">
        <v>45902</v>
      </c>
      <c r="M2647" s="116">
        <v>5148.2</v>
      </c>
      <c r="N2647" s="116">
        <v>5174.5</v>
      </c>
      <c r="O2647" s="116">
        <v>5097</v>
      </c>
      <c r="P2647" s="116">
        <v>5127.3999999999996</v>
      </c>
      <c r="Q2647" s="116">
        <v>5148.2</v>
      </c>
      <c r="R2647">
        <v>306762</v>
      </c>
    </row>
    <row r="2648" spans="1:18" x14ac:dyDescent="0.25">
      <c r="A2648" s="170">
        <v>45903</v>
      </c>
      <c r="B2648" s="116">
        <v>5209.7</v>
      </c>
      <c r="C2648" s="116">
        <v>5188.25</v>
      </c>
      <c r="D2648" s="116">
        <v>5155</v>
      </c>
      <c r="E2648" s="116">
        <v>5177.3999999999996</v>
      </c>
      <c r="F2648" s="116">
        <v>5188.25</v>
      </c>
      <c r="G2648">
        <v>5406</v>
      </c>
      <c r="H2648" s="116"/>
      <c r="I2648" s="116"/>
      <c r="L2648" s="170">
        <v>45903</v>
      </c>
      <c r="M2648" s="116">
        <v>5188.3999999999996</v>
      </c>
      <c r="N2648" s="116">
        <v>5209.8999999999996</v>
      </c>
      <c r="O2648" s="116">
        <v>5148.2</v>
      </c>
      <c r="P2648" s="116">
        <v>5150</v>
      </c>
      <c r="Q2648" s="116">
        <v>5188.3999999999996</v>
      </c>
      <c r="R2648">
        <v>213167</v>
      </c>
    </row>
    <row r="2649" spans="1:18" x14ac:dyDescent="0.25">
      <c r="A2649" s="170">
        <v>45904</v>
      </c>
      <c r="B2649" s="116">
        <v>5249.95</v>
      </c>
      <c r="C2649" s="116">
        <v>5162.6499999999996</v>
      </c>
      <c r="D2649" s="116">
        <v>5149.45</v>
      </c>
      <c r="E2649" s="116">
        <v>5249.95</v>
      </c>
      <c r="F2649" s="116">
        <v>5162.6499999999996</v>
      </c>
      <c r="G2649">
        <v>38772</v>
      </c>
      <c r="H2649" s="116"/>
      <c r="I2649" s="116"/>
      <c r="L2649" s="170">
        <v>45904</v>
      </c>
      <c r="M2649" s="116">
        <v>5162.8</v>
      </c>
      <c r="N2649" s="116">
        <v>5221.8</v>
      </c>
      <c r="O2649" s="116">
        <v>5145</v>
      </c>
      <c r="P2649" s="116">
        <v>5220</v>
      </c>
      <c r="Q2649" s="116">
        <v>5162.8</v>
      </c>
      <c r="R2649">
        <v>350954</v>
      </c>
    </row>
    <row r="2650" spans="1:18" x14ac:dyDescent="0.25">
      <c r="A2650" s="170">
        <v>45905</v>
      </c>
      <c r="B2650" s="116">
        <v>5185.75</v>
      </c>
      <c r="C2650" s="116">
        <v>5123.8999999999996</v>
      </c>
      <c r="D2650" s="116">
        <v>5071</v>
      </c>
      <c r="E2650" s="116">
        <v>5156.1499999999996</v>
      </c>
      <c r="F2650" s="116">
        <v>5123.8999999999996</v>
      </c>
      <c r="G2650">
        <v>26376</v>
      </c>
      <c r="H2650" s="116"/>
      <c r="I2650" s="116"/>
      <c r="L2650" s="170">
        <v>45905</v>
      </c>
      <c r="M2650" s="116">
        <v>5117.3999999999996</v>
      </c>
      <c r="N2650" s="116">
        <v>5185.2</v>
      </c>
      <c r="O2650" s="116">
        <v>5070</v>
      </c>
      <c r="P2650" s="116">
        <v>5162.8</v>
      </c>
      <c r="Q2650" s="116">
        <v>5117.3999999999996</v>
      </c>
      <c r="R2650">
        <v>259197</v>
      </c>
    </row>
    <row r="2651" spans="1:18" x14ac:dyDescent="0.25">
      <c r="A2651" s="170">
        <v>45908</v>
      </c>
      <c r="B2651" s="116">
        <v>5187</v>
      </c>
      <c r="C2651" s="116">
        <v>5106.8500000000004</v>
      </c>
      <c r="D2651" s="116">
        <v>5095.7</v>
      </c>
      <c r="E2651" s="116">
        <v>5158.8500000000004</v>
      </c>
      <c r="F2651" s="116">
        <v>5106.8500000000004</v>
      </c>
      <c r="G2651">
        <v>6061</v>
      </c>
      <c r="H2651" s="116"/>
      <c r="I2651" s="116"/>
      <c r="L2651" s="170">
        <v>45908</v>
      </c>
      <c r="M2651" s="116">
        <v>5108.3</v>
      </c>
      <c r="N2651" s="116">
        <v>5187.3</v>
      </c>
      <c r="O2651" s="116">
        <v>5097.6000000000004</v>
      </c>
      <c r="P2651" s="116">
        <v>5140</v>
      </c>
      <c r="Q2651" s="116">
        <v>5108.3</v>
      </c>
      <c r="R2651">
        <v>101582</v>
      </c>
    </row>
    <row r="2652" spans="1:18" x14ac:dyDescent="0.25">
      <c r="A2652" s="170">
        <v>45909</v>
      </c>
      <c r="B2652" s="116">
        <v>5166.75</v>
      </c>
      <c r="C2652" s="116">
        <v>5131.1499999999996</v>
      </c>
      <c r="D2652" s="116">
        <v>5089.6000000000004</v>
      </c>
      <c r="E2652" s="116">
        <v>5166.75</v>
      </c>
      <c r="F2652" s="116">
        <v>5131.1499999999996</v>
      </c>
      <c r="G2652">
        <v>3661</v>
      </c>
      <c r="H2652" s="116"/>
      <c r="I2652" s="116"/>
      <c r="L2652" s="170">
        <v>45909</v>
      </c>
      <c r="M2652" s="116">
        <v>5131.8999999999996</v>
      </c>
      <c r="N2652" s="116">
        <v>5150</v>
      </c>
      <c r="O2652" s="116">
        <v>5091</v>
      </c>
      <c r="P2652" s="116">
        <v>5111</v>
      </c>
      <c r="Q2652" s="116">
        <v>5131.8999999999996</v>
      </c>
      <c r="R2652">
        <v>150868</v>
      </c>
    </row>
    <row r="2653" spans="1:18" x14ac:dyDescent="0.25">
      <c r="A2653" s="170">
        <v>45910</v>
      </c>
      <c r="B2653" s="116">
        <v>5194.8999999999996</v>
      </c>
      <c r="C2653" s="116">
        <v>5163.8</v>
      </c>
      <c r="D2653" s="116">
        <v>5124.05</v>
      </c>
      <c r="E2653" s="116">
        <v>5125</v>
      </c>
      <c r="F2653" s="116">
        <v>5163.8</v>
      </c>
      <c r="G2653">
        <v>2846</v>
      </c>
      <c r="H2653" s="116"/>
      <c r="I2653" s="116"/>
      <c r="L2653" s="170">
        <v>45910</v>
      </c>
      <c r="M2653" s="116">
        <v>5161.8999999999996</v>
      </c>
      <c r="N2653" s="116">
        <v>5195</v>
      </c>
      <c r="O2653" s="116">
        <v>5121</v>
      </c>
      <c r="P2653" s="116">
        <v>5129.8</v>
      </c>
      <c r="Q2653" s="116">
        <v>5161.8999999999996</v>
      </c>
      <c r="R2653">
        <v>184147</v>
      </c>
    </row>
    <row r="2654" spans="1:18" x14ac:dyDescent="0.25">
      <c r="A2654" s="170">
        <v>45911</v>
      </c>
      <c r="B2654" s="116">
        <v>5236.25</v>
      </c>
      <c r="C2654" s="116">
        <v>5217.55</v>
      </c>
      <c r="D2654" s="116">
        <v>5156</v>
      </c>
      <c r="E2654" s="116">
        <v>5198.95</v>
      </c>
      <c r="F2654" s="116">
        <v>5217.55</v>
      </c>
      <c r="G2654">
        <v>62233</v>
      </c>
      <c r="H2654" s="116"/>
      <c r="I2654" s="116"/>
      <c r="L2654" s="170">
        <v>45911</v>
      </c>
      <c r="M2654" s="116">
        <v>5218.1000000000004</v>
      </c>
      <c r="N2654" s="116">
        <v>5237</v>
      </c>
      <c r="O2654" s="116">
        <v>5157.1000000000004</v>
      </c>
      <c r="P2654" s="116">
        <v>5181.7</v>
      </c>
      <c r="Q2654" s="116">
        <v>5218.1000000000004</v>
      </c>
      <c r="R2654">
        <v>178386</v>
      </c>
    </row>
    <row r="2655" spans="1:18" x14ac:dyDescent="0.25">
      <c r="A2655" s="170">
        <v>45912</v>
      </c>
      <c r="B2655" s="116">
        <v>5252</v>
      </c>
      <c r="C2655" s="116">
        <v>5245.65</v>
      </c>
      <c r="D2655" s="116">
        <v>5202.3</v>
      </c>
      <c r="E2655" s="116">
        <v>5248.85</v>
      </c>
      <c r="F2655" s="116">
        <v>5245.65</v>
      </c>
      <c r="G2655">
        <v>3478</v>
      </c>
      <c r="H2655" s="116"/>
      <c r="I2655" s="116"/>
      <c r="L2655" s="170">
        <v>45912</v>
      </c>
      <c r="M2655" s="116">
        <v>5248.6</v>
      </c>
      <c r="N2655" s="116">
        <v>5265</v>
      </c>
      <c r="O2655" s="116">
        <v>5201</v>
      </c>
      <c r="P2655" s="116">
        <v>5224</v>
      </c>
      <c r="Q2655" s="116">
        <v>5248.6</v>
      </c>
      <c r="R2655">
        <v>196396</v>
      </c>
    </row>
    <row r="2656" spans="1:18" x14ac:dyDescent="0.25">
      <c r="A2656" s="170">
        <v>45915</v>
      </c>
      <c r="B2656" s="116">
        <v>5389</v>
      </c>
      <c r="C2656" s="116">
        <v>5338.95</v>
      </c>
      <c r="D2656" s="116">
        <v>5241.05</v>
      </c>
      <c r="E2656" s="116">
        <v>5269.95</v>
      </c>
      <c r="F2656" s="116">
        <v>5338.95</v>
      </c>
      <c r="G2656">
        <v>13323</v>
      </c>
      <c r="H2656" s="116"/>
      <c r="I2656" s="116"/>
      <c r="L2656" s="170">
        <v>45915</v>
      </c>
      <c r="M2656" s="116">
        <v>5338.8</v>
      </c>
      <c r="N2656" s="116">
        <v>5383.3</v>
      </c>
      <c r="O2656" s="116">
        <v>5241.2</v>
      </c>
      <c r="P2656" s="116">
        <v>5248.6</v>
      </c>
      <c r="Q2656" s="116">
        <v>5338.8</v>
      </c>
      <c r="R2656">
        <v>435154</v>
      </c>
    </row>
    <row r="2657" spans="1:18" x14ac:dyDescent="0.25">
      <c r="A2657" s="170">
        <v>45916</v>
      </c>
      <c r="B2657" s="116">
        <v>5377.85</v>
      </c>
      <c r="C2657" s="116">
        <v>5349.6</v>
      </c>
      <c r="D2657" s="116">
        <v>5314.9</v>
      </c>
      <c r="E2657" s="116">
        <v>5348</v>
      </c>
      <c r="F2657" s="116">
        <v>5349.6</v>
      </c>
      <c r="G2657">
        <v>12756</v>
      </c>
      <c r="H2657" s="116"/>
      <c r="I2657" s="116"/>
      <c r="L2657" s="170">
        <v>45916</v>
      </c>
      <c r="M2657" s="116">
        <v>5349</v>
      </c>
      <c r="N2657" s="116">
        <v>5376.9</v>
      </c>
      <c r="O2657" s="116">
        <v>5316.6</v>
      </c>
      <c r="P2657" s="116">
        <v>5370</v>
      </c>
      <c r="Q2657" s="116">
        <v>5349</v>
      </c>
      <c r="R2657">
        <v>154462</v>
      </c>
    </row>
    <row r="2658" spans="1:18" x14ac:dyDescent="0.25">
      <c r="A2658" s="170">
        <v>45917</v>
      </c>
      <c r="B2658" s="116">
        <v>5415.9</v>
      </c>
      <c r="C2658" s="116">
        <v>5386</v>
      </c>
      <c r="D2658" s="116">
        <v>5329.6</v>
      </c>
      <c r="E2658" s="116">
        <v>5365.45</v>
      </c>
      <c r="F2658" s="116">
        <v>5386</v>
      </c>
      <c r="G2658">
        <v>11276</v>
      </c>
      <c r="H2658" s="116"/>
      <c r="I2658" s="116"/>
      <c r="L2658" s="170">
        <v>45917</v>
      </c>
      <c r="M2658" s="116">
        <v>5385.8</v>
      </c>
      <c r="N2658" s="116">
        <v>5415.8</v>
      </c>
      <c r="O2658" s="116">
        <v>5331.7</v>
      </c>
      <c r="P2658" s="116">
        <v>5375.6</v>
      </c>
      <c r="Q2658" s="116">
        <v>5385.8</v>
      </c>
      <c r="R2658">
        <v>196332</v>
      </c>
    </row>
    <row r="2659" spans="1:18" x14ac:dyDescent="0.25">
      <c r="A2659" s="170">
        <v>45918</v>
      </c>
      <c r="B2659" s="116">
        <v>5468.95</v>
      </c>
      <c r="C2659" s="116">
        <v>5438.25</v>
      </c>
      <c r="D2659" s="116">
        <v>5400.05</v>
      </c>
      <c r="E2659" s="116">
        <v>5400.35</v>
      </c>
      <c r="F2659" s="116">
        <v>5438.25</v>
      </c>
      <c r="G2659">
        <v>13193</v>
      </c>
      <c r="H2659" s="116"/>
      <c r="I2659" s="116"/>
      <c r="L2659" s="170">
        <v>45918</v>
      </c>
      <c r="M2659" s="116">
        <v>5436</v>
      </c>
      <c r="N2659" s="116">
        <v>5471.3</v>
      </c>
      <c r="O2659" s="116">
        <v>5396</v>
      </c>
      <c r="P2659" s="116">
        <v>5410.1</v>
      </c>
      <c r="Q2659" s="116">
        <v>5436</v>
      </c>
      <c r="R2659">
        <v>293576</v>
      </c>
    </row>
    <row r="2660" spans="1:18" x14ac:dyDescent="0.25">
      <c r="A2660" s="170">
        <v>45919</v>
      </c>
      <c r="B2660" s="116">
        <v>5462.1</v>
      </c>
      <c r="C2660" s="116">
        <v>5437.65</v>
      </c>
      <c r="D2660" s="116">
        <v>5419.85</v>
      </c>
      <c r="E2660" s="116">
        <v>5443</v>
      </c>
      <c r="F2660" s="116">
        <v>5437.65</v>
      </c>
      <c r="G2660">
        <v>7517</v>
      </c>
      <c r="H2660" s="116"/>
      <c r="I2660" s="116"/>
      <c r="L2660" s="170">
        <v>45919</v>
      </c>
      <c r="M2660" s="116">
        <v>5436.9</v>
      </c>
      <c r="N2660" s="116">
        <v>5464.7</v>
      </c>
      <c r="O2660" s="116">
        <v>5418</v>
      </c>
      <c r="P2660" s="116">
        <v>5458.8</v>
      </c>
      <c r="Q2660" s="116">
        <v>5436.9</v>
      </c>
      <c r="R2660">
        <v>272034</v>
      </c>
    </row>
    <row r="2661" spans="1:18" x14ac:dyDescent="0.25">
      <c r="A2661" s="170">
        <v>45922</v>
      </c>
      <c r="B2661" s="116">
        <v>5452</v>
      </c>
      <c r="C2661" s="116">
        <v>5361.35</v>
      </c>
      <c r="D2661" s="116">
        <v>5338.85</v>
      </c>
      <c r="E2661" s="116">
        <v>5430</v>
      </c>
      <c r="F2661" s="116">
        <v>5361.35</v>
      </c>
      <c r="G2661">
        <v>10979</v>
      </c>
      <c r="H2661" s="116"/>
      <c r="I2661" s="116"/>
      <c r="L2661" s="170">
        <v>45922</v>
      </c>
      <c r="M2661" s="116">
        <v>5362.8</v>
      </c>
      <c r="N2661" s="116">
        <v>5455.3</v>
      </c>
      <c r="O2661" s="116">
        <v>5341</v>
      </c>
      <c r="P2661" s="116">
        <v>5430</v>
      </c>
      <c r="Q2661" s="116">
        <v>5362.8</v>
      </c>
      <c r="R2661">
        <v>155891</v>
      </c>
    </row>
    <row r="2662" spans="1:18" x14ac:dyDescent="0.25">
      <c r="A2662" s="170">
        <v>45923</v>
      </c>
      <c r="B2662" s="116">
        <v>5373.9</v>
      </c>
      <c r="C2662" s="116">
        <v>5296.45</v>
      </c>
      <c r="D2662" s="116">
        <v>5283.6</v>
      </c>
      <c r="E2662" s="116">
        <v>5348.05</v>
      </c>
      <c r="F2662" s="116">
        <v>5296.45</v>
      </c>
      <c r="G2662">
        <v>4912</v>
      </c>
      <c r="H2662" s="116"/>
      <c r="I2662" s="116"/>
      <c r="L2662" s="170">
        <v>45923</v>
      </c>
      <c r="M2662" s="116">
        <v>5298.7</v>
      </c>
      <c r="N2662" s="116">
        <v>5375.4</v>
      </c>
      <c r="O2662" s="116">
        <v>5285</v>
      </c>
      <c r="P2662" s="116">
        <v>5360.2</v>
      </c>
      <c r="Q2662" s="116">
        <v>5298.7</v>
      </c>
      <c r="R2662">
        <v>167342</v>
      </c>
    </row>
    <row r="2663" spans="1:18" x14ac:dyDescent="0.25">
      <c r="A2663" s="170">
        <v>45924</v>
      </c>
      <c r="B2663" s="116">
        <v>5348</v>
      </c>
      <c r="C2663" s="116">
        <v>5238.75</v>
      </c>
      <c r="D2663" s="116">
        <v>5223.3</v>
      </c>
      <c r="E2663" s="116">
        <v>5324.95</v>
      </c>
      <c r="F2663" s="116">
        <v>5238.75</v>
      </c>
      <c r="G2663">
        <v>3141</v>
      </c>
      <c r="H2663" s="116"/>
      <c r="I2663" s="116"/>
      <c r="L2663" s="170">
        <v>45924</v>
      </c>
      <c r="M2663" s="116">
        <v>5237.3</v>
      </c>
      <c r="N2663" s="116">
        <v>5349.8</v>
      </c>
      <c r="O2663" s="116">
        <v>5223.6000000000004</v>
      </c>
      <c r="P2663" s="116">
        <v>5298</v>
      </c>
      <c r="Q2663" s="116">
        <v>5237.3</v>
      </c>
      <c r="R2663">
        <v>137979</v>
      </c>
    </row>
    <row r="2664" spans="1:18" x14ac:dyDescent="0.25">
      <c r="A2664" s="170">
        <v>45925</v>
      </c>
      <c r="B2664" s="116">
        <v>5261.2</v>
      </c>
      <c r="C2664" s="116">
        <v>5197.5</v>
      </c>
      <c r="D2664" s="116">
        <v>5183.7</v>
      </c>
      <c r="E2664" s="116">
        <v>5238.75</v>
      </c>
      <c r="F2664" s="116">
        <v>5197.5</v>
      </c>
      <c r="G2664">
        <v>6905</v>
      </c>
      <c r="H2664" s="116"/>
      <c r="I2664" s="116"/>
      <c r="L2664" s="170">
        <v>45925</v>
      </c>
      <c r="M2664" s="116">
        <v>5200.7</v>
      </c>
      <c r="N2664" s="116">
        <v>5265</v>
      </c>
      <c r="O2664" s="116">
        <v>5184</v>
      </c>
      <c r="P2664" s="116">
        <v>5237</v>
      </c>
      <c r="Q2664" s="116">
        <v>5200.7</v>
      </c>
      <c r="R2664">
        <v>308529</v>
      </c>
    </row>
    <row r="2665" spans="1:18" x14ac:dyDescent="0.25">
      <c r="A2665" s="170">
        <v>45926</v>
      </c>
      <c r="B2665" s="116">
        <v>5200.8999999999996</v>
      </c>
      <c r="C2665" s="116">
        <v>5176.8500000000004</v>
      </c>
      <c r="D2665" s="116">
        <v>5119.5</v>
      </c>
      <c r="E2665" s="116">
        <v>5197.55</v>
      </c>
      <c r="F2665" s="116">
        <v>5176.8500000000004</v>
      </c>
      <c r="G2665">
        <v>7169</v>
      </c>
      <c r="H2665" s="116"/>
      <c r="I2665" s="116"/>
      <c r="L2665" s="170">
        <v>45926</v>
      </c>
      <c r="M2665" s="116">
        <v>5173.3999999999996</v>
      </c>
      <c r="N2665" s="116">
        <v>5210</v>
      </c>
      <c r="O2665" s="116">
        <v>5121</v>
      </c>
      <c r="P2665" s="116">
        <v>5200.8999999999996</v>
      </c>
      <c r="Q2665" s="116">
        <v>5173.3999999999996</v>
      </c>
      <c r="R2665">
        <v>348241</v>
      </c>
    </row>
    <row r="2666" spans="1:18" x14ac:dyDescent="0.25">
      <c r="A2666" s="170">
        <v>45929</v>
      </c>
      <c r="B2666" s="116">
        <v>5245</v>
      </c>
      <c r="C2666" s="116">
        <v>5206.95</v>
      </c>
      <c r="D2666" s="116">
        <v>5157</v>
      </c>
      <c r="E2666" s="116">
        <v>5157</v>
      </c>
      <c r="F2666" s="116">
        <v>5206.95</v>
      </c>
      <c r="G2666">
        <v>16569</v>
      </c>
      <c r="H2666" s="116"/>
      <c r="I2666" s="116"/>
      <c r="L2666" s="170">
        <v>45929</v>
      </c>
      <c r="M2666" s="116">
        <v>5207.8</v>
      </c>
      <c r="N2666" s="116">
        <v>5246</v>
      </c>
      <c r="O2666" s="116">
        <v>5167.1000000000004</v>
      </c>
      <c r="P2666" s="116">
        <v>5173.3999999999996</v>
      </c>
      <c r="Q2666" s="116">
        <v>5207.8</v>
      </c>
      <c r="R2666">
        <v>228230</v>
      </c>
    </row>
    <row r="2667" spans="1:18" x14ac:dyDescent="0.25">
      <c r="A2667" s="170">
        <v>45930</v>
      </c>
      <c r="B2667" s="116">
        <v>5303.9</v>
      </c>
      <c r="C2667" s="116">
        <v>5184.95</v>
      </c>
      <c r="D2667" s="116">
        <v>5175.6000000000004</v>
      </c>
      <c r="E2667" s="116">
        <v>5303.9</v>
      </c>
      <c r="F2667" s="116">
        <v>5184.95</v>
      </c>
      <c r="G2667">
        <v>10433</v>
      </c>
      <c r="H2667" s="116"/>
      <c r="I2667" s="116"/>
      <c r="L2667" s="170">
        <v>45930</v>
      </c>
      <c r="M2667" s="116">
        <v>5183.3</v>
      </c>
      <c r="N2667" s="116">
        <v>5232.6000000000004</v>
      </c>
      <c r="O2667" s="116">
        <v>5175.1000000000004</v>
      </c>
      <c r="P2667" s="116">
        <v>5201</v>
      </c>
      <c r="Q2667" s="116">
        <v>5183.3</v>
      </c>
      <c r="R2667">
        <v>215173</v>
      </c>
    </row>
    <row r="2668" spans="1:18" x14ac:dyDescent="0.25">
      <c r="A2668" s="170">
        <v>45931</v>
      </c>
      <c r="B2668" s="116">
        <v>5208.95</v>
      </c>
      <c r="C2668" s="116">
        <v>5198.1499999999996</v>
      </c>
      <c r="D2668" s="116">
        <v>5142.1499999999996</v>
      </c>
      <c r="E2668" s="116">
        <v>5196.95</v>
      </c>
      <c r="F2668" s="116">
        <v>5198.1499999999996</v>
      </c>
      <c r="G2668">
        <v>5709</v>
      </c>
      <c r="H2668" s="116"/>
      <c r="I2668" s="116"/>
      <c r="L2668" s="170">
        <v>45931</v>
      </c>
      <c r="M2668" s="116">
        <v>5199</v>
      </c>
      <c r="N2668" s="116">
        <v>5208</v>
      </c>
      <c r="O2668" s="116">
        <v>5143</v>
      </c>
      <c r="P2668" s="116">
        <v>5185</v>
      </c>
      <c r="Q2668" s="116">
        <v>5199</v>
      </c>
      <c r="R2668">
        <v>94280</v>
      </c>
    </row>
    <row r="2669" spans="1:18" x14ac:dyDescent="0.25">
      <c r="A2669" s="170">
        <v>45933</v>
      </c>
      <c r="B2669" s="116">
        <v>5205</v>
      </c>
      <c r="C2669" s="116">
        <v>5182.3500000000004</v>
      </c>
      <c r="D2669" s="116">
        <v>5150</v>
      </c>
      <c r="E2669" s="116">
        <v>5198.1499999999996</v>
      </c>
      <c r="F2669" s="116">
        <v>5182.3500000000004</v>
      </c>
      <c r="G2669">
        <v>2949</v>
      </c>
      <c r="H2669" s="116"/>
      <c r="I2669" s="116"/>
      <c r="L2669" s="170">
        <v>45933</v>
      </c>
      <c r="M2669" s="116">
        <v>5183.5</v>
      </c>
      <c r="N2669" s="116">
        <v>5208.5</v>
      </c>
      <c r="O2669" s="116">
        <v>5148.5</v>
      </c>
      <c r="P2669" s="116">
        <v>5190</v>
      </c>
      <c r="Q2669" s="116">
        <v>5183.5</v>
      </c>
      <c r="R2669">
        <v>291382</v>
      </c>
    </row>
    <row r="2670" spans="1:18" x14ac:dyDescent="0.25">
      <c r="A2670" s="170">
        <v>45936</v>
      </c>
      <c r="B2670" s="116">
        <v>5242.8500000000004</v>
      </c>
      <c r="C2670" s="116">
        <v>5216.5</v>
      </c>
      <c r="D2670" s="116">
        <v>5167.55</v>
      </c>
      <c r="E2670" s="116">
        <v>5167.55</v>
      </c>
      <c r="F2670" s="116">
        <v>5216.5</v>
      </c>
      <c r="G2670">
        <v>4050</v>
      </c>
      <c r="H2670" s="116"/>
      <c r="I2670" s="116"/>
      <c r="L2670" s="170">
        <v>45936</v>
      </c>
      <c r="M2670" s="116">
        <v>5218</v>
      </c>
      <c r="N2670" s="116">
        <v>5244.5</v>
      </c>
      <c r="O2670" s="116">
        <v>5176</v>
      </c>
      <c r="P2670" s="116">
        <v>5190.5</v>
      </c>
      <c r="Q2670" s="116">
        <v>5218</v>
      </c>
      <c r="R2670">
        <v>156474</v>
      </c>
    </row>
    <row r="2671" spans="1:18" x14ac:dyDescent="0.25">
      <c r="A2671" s="170">
        <v>45937</v>
      </c>
      <c r="B2671" s="116">
        <v>5344.55</v>
      </c>
      <c r="C2671" s="116">
        <v>5221.25</v>
      </c>
      <c r="D2671" s="116">
        <v>5210.8500000000004</v>
      </c>
      <c r="E2671" s="116">
        <v>5233</v>
      </c>
      <c r="F2671" s="116">
        <v>5221.25</v>
      </c>
      <c r="G2671">
        <v>9406</v>
      </c>
      <c r="H2671" s="116"/>
      <c r="I2671" s="116"/>
      <c r="L2671" s="170">
        <v>45937</v>
      </c>
      <c r="M2671" s="116">
        <v>5219.5</v>
      </c>
      <c r="N2671" s="116">
        <v>5343</v>
      </c>
      <c r="O2671" s="116">
        <v>5209.5</v>
      </c>
      <c r="P2671" s="116">
        <v>5233</v>
      </c>
      <c r="Q2671" s="116">
        <v>5219.5</v>
      </c>
      <c r="R2671">
        <v>382453</v>
      </c>
    </row>
    <row r="2672" spans="1:18" x14ac:dyDescent="0.25">
      <c r="A2672" s="170">
        <v>45938</v>
      </c>
      <c r="B2672" s="116">
        <v>5230.8500000000004</v>
      </c>
      <c r="C2672" s="116">
        <v>5124.3500000000004</v>
      </c>
      <c r="D2672" s="116">
        <v>5105</v>
      </c>
      <c r="E2672" s="116">
        <v>5205.05</v>
      </c>
      <c r="F2672" s="116">
        <v>5124.3500000000004</v>
      </c>
      <c r="G2672">
        <v>10678</v>
      </c>
      <c r="H2672" s="116"/>
      <c r="I2672" s="116"/>
      <c r="L2672" s="170">
        <v>45938</v>
      </c>
      <c r="M2672" s="116">
        <v>5128.5</v>
      </c>
      <c r="N2672" s="116">
        <v>5236.5</v>
      </c>
      <c r="O2672" s="116">
        <v>5101</v>
      </c>
      <c r="P2672" s="116">
        <v>5236.5</v>
      </c>
      <c r="Q2672" s="116">
        <v>5128.5</v>
      </c>
      <c r="R2672">
        <v>399870</v>
      </c>
    </row>
    <row r="2673" spans="1:18" x14ac:dyDescent="0.25">
      <c r="A2673" s="170">
        <v>45939</v>
      </c>
      <c r="B2673" s="116">
        <v>5163.7</v>
      </c>
      <c r="C2673" s="116">
        <v>5144.2</v>
      </c>
      <c r="D2673" s="116">
        <v>5076</v>
      </c>
      <c r="E2673" s="116">
        <v>5111.75</v>
      </c>
      <c r="F2673" s="116">
        <v>5144.2</v>
      </c>
      <c r="G2673">
        <v>13588</v>
      </c>
      <c r="H2673" s="116"/>
      <c r="I2673" s="116"/>
      <c r="L2673" s="170">
        <v>45939</v>
      </c>
      <c r="M2673" s="116">
        <v>5146.5</v>
      </c>
      <c r="N2673" s="116">
        <v>5162</v>
      </c>
      <c r="O2673" s="116">
        <v>5075</v>
      </c>
      <c r="P2673" s="116">
        <v>5120</v>
      </c>
      <c r="Q2673" s="116">
        <v>5146.5</v>
      </c>
      <c r="R2673">
        <v>212517</v>
      </c>
    </row>
    <row r="2674" spans="1:18" x14ac:dyDescent="0.25">
      <c r="A2674" s="170">
        <v>45940</v>
      </c>
      <c r="B2674" s="116">
        <v>5210.3999999999996</v>
      </c>
      <c r="C2674" s="116">
        <v>5185.3500000000004</v>
      </c>
      <c r="D2674" s="116">
        <v>5150</v>
      </c>
      <c r="E2674" s="116">
        <v>5150</v>
      </c>
      <c r="F2674" s="116">
        <v>5185.3500000000004</v>
      </c>
      <c r="G2674">
        <v>15647</v>
      </c>
      <c r="H2674" s="116"/>
      <c r="I2674" s="116"/>
      <c r="L2674" s="170">
        <v>45940</v>
      </c>
      <c r="M2674" s="116">
        <v>5186</v>
      </c>
      <c r="N2674" s="116">
        <v>5210</v>
      </c>
      <c r="O2674" s="116">
        <v>5147.5</v>
      </c>
      <c r="P2674" s="116">
        <v>5151</v>
      </c>
      <c r="Q2674" s="116">
        <v>5186</v>
      </c>
      <c r="R2674">
        <v>180079</v>
      </c>
    </row>
    <row r="2675" spans="1:18" x14ac:dyDescent="0.25">
      <c r="A2675" s="170">
        <v>45943</v>
      </c>
      <c r="B2675" s="116">
        <v>5185.05</v>
      </c>
      <c r="C2675" s="116">
        <v>5149.1499999999996</v>
      </c>
      <c r="D2675" s="116">
        <v>5100</v>
      </c>
      <c r="E2675" s="116">
        <v>5185.05</v>
      </c>
      <c r="F2675" s="116">
        <v>5149.1499999999996</v>
      </c>
      <c r="G2675">
        <v>32421</v>
      </c>
      <c r="H2675" s="116"/>
      <c r="I2675" s="116"/>
      <c r="L2675" s="170">
        <v>45943</v>
      </c>
      <c r="M2675" s="116">
        <v>5147.5</v>
      </c>
      <c r="N2675" s="116">
        <v>5175.5</v>
      </c>
      <c r="O2675" s="116">
        <v>5101</v>
      </c>
      <c r="P2675" s="116">
        <v>5160</v>
      </c>
      <c r="Q2675" s="116">
        <v>5147.5</v>
      </c>
      <c r="R2675">
        <v>284296</v>
      </c>
    </row>
    <row r="2676" spans="1:18" x14ac:dyDescent="0.25">
      <c r="A2676" s="170">
        <v>45944</v>
      </c>
      <c r="B2676" s="116">
        <v>5165</v>
      </c>
      <c r="C2676" s="116">
        <v>5116.6000000000004</v>
      </c>
      <c r="D2676" s="116">
        <v>5081</v>
      </c>
      <c r="E2676" s="116">
        <v>5152.3500000000004</v>
      </c>
      <c r="F2676" s="116">
        <v>5116.6000000000004</v>
      </c>
      <c r="G2676">
        <v>11764</v>
      </c>
      <c r="H2676" s="116"/>
      <c r="I2676" s="116"/>
      <c r="L2676" s="170">
        <v>45944</v>
      </c>
      <c r="M2676" s="116">
        <v>5119.5</v>
      </c>
      <c r="N2676" s="116">
        <v>5169.5</v>
      </c>
      <c r="O2676" s="116">
        <v>5081.5</v>
      </c>
      <c r="P2676" s="116">
        <v>5169.5</v>
      </c>
      <c r="Q2676" s="116">
        <v>5119.5</v>
      </c>
      <c r="R2676">
        <v>299352</v>
      </c>
    </row>
    <row r="2677" spans="1:18" x14ac:dyDescent="0.25">
      <c r="A2677" s="170">
        <v>45945</v>
      </c>
      <c r="B2677" s="116">
        <v>5226.1499999999996</v>
      </c>
      <c r="C2677" s="116">
        <v>5172.3500000000004</v>
      </c>
      <c r="D2677" s="116">
        <v>5098.3500000000004</v>
      </c>
      <c r="E2677" s="116">
        <v>5115</v>
      </c>
      <c r="F2677" s="116">
        <v>5172.3500000000004</v>
      </c>
      <c r="G2677">
        <v>4459</v>
      </c>
      <c r="H2677" s="116"/>
      <c r="I2677" s="116"/>
      <c r="L2677" s="170">
        <v>45945</v>
      </c>
      <c r="M2677" s="116">
        <v>5173.5</v>
      </c>
      <c r="N2677" s="116">
        <v>5228</v>
      </c>
      <c r="O2677" s="116">
        <v>5097.5</v>
      </c>
      <c r="P2677" s="116">
        <v>5119.5</v>
      </c>
      <c r="Q2677" s="116">
        <v>5173.5</v>
      </c>
      <c r="R2677">
        <v>218559</v>
      </c>
    </row>
    <row r="2678" spans="1:18" x14ac:dyDescent="0.25">
      <c r="A2678" s="170">
        <v>45946</v>
      </c>
      <c r="B2678" s="116">
        <v>5359.95</v>
      </c>
      <c r="C2678" s="116">
        <v>5210.7</v>
      </c>
      <c r="D2678" s="116">
        <v>5082.75</v>
      </c>
      <c r="E2678" s="116">
        <v>5359.95</v>
      </c>
      <c r="F2678" s="116">
        <v>5210.7</v>
      </c>
      <c r="G2678">
        <v>15997</v>
      </c>
      <c r="H2678" s="116"/>
      <c r="I2678" s="116"/>
      <c r="L2678" s="170">
        <v>45946</v>
      </c>
      <c r="M2678" s="116">
        <v>5212</v>
      </c>
      <c r="N2678" s="116">
        <v>5260</v>
      </c>
      <c r="O2678" s="116">
        <v>5077.5</v>
      </c>
      <c r="P2678" s="116">
        <v>5190</v>
      </c>
      <c r="Q2678" s="116">
        <v>5212</v>
      </c>
      <c r="R2678">
        <v>542569</v>
      </c>
    </row>
    <row r="2679" spans="1:18" x14ac:dyDescent="0.25">
      <c r="A2679" s="170">
        <v>45947</v>
      </c>
      <c r="B2679" s="116">
        <v>5257.95</v>
      </c>
      <c r="C2679" s="116">
        <v>5198.7</v>
      </c>
      <c r="D2679" s="116">
        <v>5175.1000000000004</v>
      </c>
      <c r="E2679" s="116">
        <v>5257.95</v>
      </c>
      <c r="F2679" s="116">
        <v>5198.7</v>
      </c>
      <c r="G2679">
        <v>4549</v>
      </c>
      <c r="H2679" s="116"/>
      <c r="I2679" s="116"/>
      <c r="L2679" s="170">
        <v>45947</v>
      </c>
      <c r="M2679" s="116">
        <v>5202</v>
      </c>
      <c r="N2679" s="116">
        <v>5227</v>
      </c>
      <c r="O2679" s="116">
        <v>5176</v>
      </c>
      <c r="P2679" s="116">
        <v>5208.5</v>
      </c>
      <c r="Q2679" s="116">
        <v>5202</v>
      </c>
      <c r="R2679">
        <v>145812</v>
      </c>
    </row>
    <row r="2680" spans="1:18" x14ac:dyDescent="0.25">
      <c r="A2680" s="170">
        <v>45950</v>
      </c>
      <c r="B2680" s="116">
        <v>5271.6</v>
      </c>
      <c r="C2680" s="116">
        <v>5229</v>
      </c>
      <c r="D2680" s="116">
        <v>5204.95</v>
      </c>
      <c r="E2680" s="116">
        <v>5204.95</v>
      </c>
      <c r="F2680" s="116">
        <v>5229</v>
      </c>
      <c r="G2680">
        <v>4690</v>
      </c>
      <c r="H2680" s="116"/>
      <c r="I2680" s="116"/>
      <c r="L2680" s="170">
        <v>45950</v>
      </c>
      <c r="M2680" s="116">
        <v>5231.5</v>
      </c>
      <c r="N2680" s="116">
        <v>5273.5</v>
      </c>
      <c r="O2680" s="116">
        <v>5203.5</v>
      </c>
      <c r="P2680" s="116">
        <v>5228</v>
      </c>
      <c r="Q2680" s="116">
        <v>5231.5</v>
      </c>
      <c r="R2680">
        <v>141485</v>
      </c>
    </row>
    <row r="2681" spans="1:18" x14ac:dyDescent="0.25">
      <c r="A2681" s="170">
        <v>45951</v>
      </c>
      <c r="B2681" s="116">
        <v>5299.9</v>
      </c>
      <c r="C2681" s="116">
        <v>5243.2</v>
      </c>
      <c r="D2681" s="116">
        <v>5221.1499999999996</v>
      </c>
      <c r="E2681" s="116">
        <v>5299.9</v>
      </c>
      <c r="F2681" s="116">
        <v>5243.2</v>
      </c>
      <c r="G2681">
        <v>2321</v>
      </c>
      <c r="H2681" s="116"/>
      <c r="I2681" s="116"/>
      <c r="L2681" s="170">
        <v>45951</v>
      </c>
      <c r="M2681" s="116">
        <v>5240</v>
      </c>
      <c r="N2681" s="116">
        <v>5262</v>
      </c>
      <c r="O2681" s="116">
        <v>5220</v>
      </c>
      <c r="P2681" s="116">
        <v>5248</v>
      </c>
      <c r="Q2681" s="116">
        <v>5240</v>
      </c>
      <c r="R2681">
        <v>26961</v>
      </c>
    </row>
    <row r="2682" spans="1:18" x14ac:dyDescent="0.25">
      <c r="A2682" s="170">
        <v>45953</v>
      </c>
      <c r="B2682" s="116">
        <v>5277.95</v>
      </c>
      <c r="C2682" s="116">
        <v>5185.8</v>
      </c>
      <c r="D2682" s="116">
        <v>5166.6000000000004</v>
      </c>
      <c r="E2682" s="116">
        <v>5240</v>
      </c>
      <c r="F2682" s="116">
        <v>5185.8</v>
      </c>
      <c r="G2682">
        <v>8258</v>
      </c>
      <c r="H2682" s="116"/>
      <c r="I2682" s="116"/>
      <c r="L2682" s="170">
        <v>45953</v>
      </c>
      <c r="M2682" s="116">
        <v>5181.5</v>
      </c>
      <c r="N2682" s="116">
        <v>5279.5</v>
      </c>
      <c r="O2682" s="116">
        <v>5165</v>
      </c>
      <c r="P2682" s="116">
        <v>5244</v>
      </c>
      <c r="Q2682" s="116">
        <v>5181.5</v>
      </c>
      <c r="R2682">
        <v>333500</v>
      </c>
    </row>
    <row r="2683" spans="1:18" x14ac:dyDescent="0.25">
      <c r="A2683" s="170">
        <v>45954</v>
      </c>
      <c r="B2683" s="116">
        <v>5207.5</v>
      </c>
      <c r="C2683" s="116">
        <v>5182.05</v>
      </c>
      <c r="D2683" s="116">
        <v>5157.45</v>
      </c>
      <c r="E2683" s="116">
        <v>5182.2</v>
      </c>
      <c r="F2683" s="116">
        <v>5182.05</v>
      </c>
      <c r="G2683">
        <v>5654</v>
      </c>
      <c r="H2683" s="116"/>
      <c r="I2683" s="116"/>
      <c r="L2683" s="170">
        <v>45954</v>
      </c>
      <c r="M2683" s="116">
        <v>5181</v>
      </c>
      <c r="N2683" s="116">
        <v>5210</v>
      </c>
      <c r="O2683" s="116">
        <v>5151.5</v>
      </c>
      <c r="P2683" s="116">
        <v>5198</v>
      </c>
      <c r="Q2683" s="116">
        <v>5181</v>
      </c>
      <c r="R2683">
        <v>245669</v>
      </c>
    </row>
    <row r="2684" spans="1:18" x14ac:dyDescent="0.25">
      <c r="A2684" s="170">
        <v>45957</v>
      </c>
      <c r="B2684" s="116">
        <v>5240</v>
      </c>
      <c r="C2684" s="116">
        <v>5235.2</v>
      </c>
      <c r="D2684" s="116">
        <v>5172.7</v>
      </c>
      <c r="E2684" s="116">
        <v>5200</v>
      </c>
      <c r="F2684" s="116">
        <v>5235.2</v>
      </c>
      <c r="G2684">
        <v>5121</v>
      </c>
      <c r="H2684" s="116"/>
      <c r="I2684" s="116"/>
      <c r="L2684" s="170">
        <v>45957</v>
      </c>
      <c r="M2684" s="116">
        <v>5238</v>
      </c>
      <c r="N2684" s="116">
        <v>5240</v>
      </c>
      <c r="O2684" s="116">
        <v>5172</v>
      </c>
      <c r="P2684" s="116">
        <v>5198</v>
      </c>
      <c r="Q2684" s="116">
        <v>5238</v>
      </c>
      <c r="R2684">
        <v>72330</v>
      </c>
    </row>
    <row r="2685" spans="1:18" x14ac:dyDescent="0.25">
      <c r="A2685" s="170">
        <v>45958</v>
      </c>
      <c r="B2685" s="116">
        <v>5279.05</v>
      </c>
      <c r="C2685" s="116">
        <v>5176.3999999999996</v>
      </c>
      <c r="D2685" s="116">
        <v>5143</v>
      </c>
      <c r="E2685" s="116">
        <v>5279.05</v>
      </c>
      <c r="F2685" s="116">
        <v>5176.3999999999996</v>
      </c>
      <c r="G2685">
        <v>4280</v>
      </c>
      <c r="H2685" s="116"/>
      <c r="I2685" s="116"/>
      <c r="L2685" s="170">
        <v>45958</v>
      </c>
      <c r="M2685" s="116">
        <v>5175.5</v>
      </c>
      <c r="N2685" s="116">
        <v>5275</v>
      </c>
      <c r="O2685" s="116">
        <v>5141.5</v>
      </c>
      <c r="P2685" s="116">
        <v>5260</v>
      </c>
      <c r="Q2685" s="116">
        <v>5175.5</v>
      </c>
      <c r="R2685">
        <v>236636</v>
      </c>
    </row>
    <row r="2686" spans="1:18" x14ac:dyDescent="0.25">
      <c r="A2686" s="170">
        <v>45959</v>
      </c>
      <c r="B2686" s="116">
        <v>5299.3</v>
      </c>
      <c r="C2686" s="116">
        <v>5290.55</v>
      </c>
      <c r="D2686" s="116">
        <v>5179.45</v>
      </c>
      <c r="E2686" s="116">
        <v>5180</v>
      </c>
      <c r="F2686" s="116">
        <v>5290.55</v>
      </c>
      <c r="G2686">
        <v>16058</v>
      </c>
      <c r="H2686" s="116"/>
      <c r="I2686" s="116"/>
      <c r="L2686" s="170">
        <v>45959</v>
      </c>
      <c r="M2686" s="116">
        <v>5289</v>
      </c>
      <c r="N2686" s="116">
        <v>5300</v>
      </c>
      <c r="O2686" s="116">
        <v>5175.5</v>
      </c>
      <c r="P2686" s="116">
        <v>5175.5</v>
      </c>
      <c r="Q2686" s="116">
        <v>5289</v>
      </c>
      <c r="R2686">
        <v>193168</v>
      </c>
    </row>
    <row r="2687" spans="1:18" x14ac:dyDescent="0.25">
      <c r="A2687" s="170">
        <v>45960</v>
      </c>
      <c r="B2687" s="116">
        <v>5309.25</v>
      </c>
      <c r="C2687" s="116">
        <v>5275.35</v>
      </c>
      <c r="D2687" s="116">
        <v>5238</v>
      </c>
      <c r="E2687" s="116">
        <v>5292.15</v>
      </c>
      <c r="F2687" s="116">
        <v>5275.35</v>
      </c>
      <c r="G2687">
        <v>7746</v>
      </c>
      <c r="H2687" s="116"/>
      <c r="I2687" s="116"/>
      <c r="L2687" s="170">
        <v>45960</v>
      </c>
      <c r="M2687" s="116">
        <v>5279</v>
      </c>
      <c r="N2687" s="116">
        <v>5306</v>
      </c>
      <c r="O2687" s="116">
        <v>5237</v>
      </c>
      <c r="P2687" s="116">
        <v>5297.5</v>
      </c>
      <c r="Q2687" s="116">
        <v>5279</v>
      </c>
      <c r="R2687">
        <v>121312</v>
      </c>
    </row>
    <row r="2688" spans="1:18" x14ac:dyDescent="0.25">
      <c r="A2688" s="170">
        <v>45961</v>
      </c>
      <c r="B2688" s="116">
        <v>5294.5</v>
      </c>
      <c r="C2688" s="116">
        <v>5214.8</v>
      </c>
      <c r="D2688" s="116">
        <v>5202.3</v>
      </c>
      <c r="E2688" s="116">
        <v>5268.85</v>
      </c>
      <c r="F2688" s="116">
        <v>5214.8</v>
      </c>
      <c r="G2688">
        <v>3344</v>
      </c>
      <c r="H2688" s="116"/>
      <c r="I2688" s="116"/>
      <c r="L2688" s="170">
        <v>45961</v>
      </c>
      <c r="M2688" s="116">
        <v>5220</v>
      </c>
      <c r="N2688" s="116">
        <v>5295.5</v>
      </c>
      <c r="O2688" s="116">
        <v>5204.5</v>
      </c>
      <c r="P2688" s="116">
        <v>5284</v>
      </c>
      <c r="Q2688" s="116">
        <v>5220</v>
      </c>
      <c r="R2688">
        <v>146857</v>
      </c>
    </row>
    <row r="2689" spans="1:18" x14ac:dyDescent="0.25">
      <c r="A2689" s="170">
        <v>45964</v>
      </c>
      <c r="B2689" s="116">
        <v>5276.9</v>
      </c>
      <c r="C2689" s="116">
        <v>5256.2</v>
      </c>
      <c r="D2689" s="116">
        <v>5192.05</v>
      </c>
      <c r="E2689" s="116">
        <v>5192.05</v>
      </c>
      <c r="F2689" s="116">
        <v>5256.2</v>
      </c>
      <c r="G2689">
        <v>2104</v>
      </c>
      <c r="H2689" s="116"/>
      <c r="I2689" s="116"/>
      <c r="L2689" s="170">
        <v>45964</v>
      </c>
      <c r="M2689" s="116">
        <v>5256</v>
      </c>
      <c r="N2689" s="116">
        <v>5279</v>
      </c>
      <c r="O2689" s="116">
        <v>5205</v>
      </c>
      <c r="P2689" s="116">
        <v>5215</v>
      </c>
      <c r="Q2689" s="116">
        <v>5256</v>
      </c>
      <c r="R2689">
        <v>79178</v>
      </c>
    </row>
    <row r="2690" spans="1:18" x14ac:dyDescent="0.25">
      <c r="A2690" s="170">
        <v>45965</v>
      </c>
      <c r="B2690" s="116">
        <v>5269</v>
      </c>
      <c r="C2690" s="116">
        <v>5240.1000000000004</v>
      </c>
      <c r="D2690" s="116">
        <v>5226.3999999999996</v>
      </c>
      <c r="E2690" s="116">
        <v>5256.25</v>
      </c>
      <c r="F2690" s="116">
        <v>5240.1000000000004</v>
      </c>
      <c r="G2690">
        <v>4505</v>
      </c>
      <c r="H2690" s="116"/>
      <c r="I2690" s="116"/>
      <c r="L2690" s="170">
        <v>45965</v>
      </c>
      <c r="M2690" s="116">
        <v>5244</v>
      </c>
      <c r="N2690" s="116">
        <v>5270.5</v>
      </c>
      <c r="O2690" s="116">
        <v>5225.5</v>
      </c>
      <c r="P2690" s="116">
        <v>5263</v>
      </c>
      <c r="Q2690" s="116">
        <v>5244</v>
      </c>
      <c r="R2690">
        <v>101847</v>
      </c>
    </row>
    <row r="2691" spans="1:18" x14ac:dyDescent="0.25">
      <c r="A2691" s="170">
        <v>45967</v>
      </c>
      <c r="B2691" s="116">
        <v>5278</v>
      </c>
      <c r="C2691" s="116">
        <v>5223.1499999999996</v>
      </c>
      <c r="D2691" s="116">
        <v>5181.45</v>
      </c>
      <c r="E2691" s="116">
        <v>5262</v>
      </c>
      <c r="F2691" s="116">
        <v>5223.1499999999996</v>
      </c>
      <c r="G2691">
        <v>5141</v>
      </c>
      <c r="H2691" s="116"/>
      <c r="I2691" s="116"/>
      <c r="L2691" s="170">
        <v>45967</v>
      </c>
      <c r="M2691" s="116">
        <v>5228</v>
      </c>
      <c r="N2691" s="116">
        <v>5280.5</v>
      </c>
      <c r="O2691" s="116">
        <v>5172</v>
      </c>
      <c r="P2691" s="116">
        <v>5258</v>
      </c>
      <c r="Q2691" s="116">
        <v>5228</v>
      </c>
      <c r="R2691">
        <v>302941</v>
      </c>
    </row>
    <row r="2692" spans="1:18" x14ac:dyDescent="0.25">
      <c r="A2692" s="170">
        <v>45968</v>
      </c>
      <c r="B2692" s="116">
        <v>5131.8500000000004</v>
      </c>
      <c r="C2692" s="116">
        <v>5013.8</v>
      </c>
      <c r="D2692" s="116">
        <v>4964</v>
      </c>
      <c r="E2692" s="116">
        <v>5114.6499999999996</v>
      </c>
      <c r="F2692" s="116">
        <v>5013.8</v>
      </c>
      <c r="G2692">
        <v>25010</v>
      </c>
      <c r="H2692" s="116"/>
      <c r="I2692" s="116"/>
      <c r="L2692" s="170">
        <v>45968</v>
      </c>
      <c r="M2692" s="116">
        <v>5016.5</v>
      </c>
      <c r="N2692" s="116">
        <v>5151</v>
      </c>
      <c r="O2692" s="116">
        <v>4962.5</v>
      </c>
      <c r="P2692" s="116">
        <v>5099</v>
      </c>
      <c r="Q2692" s="116">
        <v>5016.5</v>
      </c>
      <c r="R2692">
        <v>1147124</v>
      </c>
    </row>
    <row r="2693" spans="1:18" x14ac:dyDescent="0.25">
      <c r="A2693" s="170">
        <v>45971</v>
      </c>
      <c r="B2693" s="116">
        <v>5006</v>
      </c>
      <c r="C2693" s="116">
        <v>4993.1499999999996</v>
      </c>
      <c r="D2693" s="116">
        <v>4925</v>
      </c>
      <c r="E2693" s="116">
        <v>4991.6000000000004</v>
      </c>
      <c r="F2693" s="116">
        <v>4993.1499999999996</v>
      </c>
      <c r="G2693">
        <v>6608</v>
      </c>
      <c r="H2693" s="116"/>
      <c r="I2693" s="116"/>
      <c r="L2693" s="170">
        <v>45971</v>
      </c>
      <c r="M2693" s="116">
        <v>4992</v>
      </c>
      <c r="N2693" s="116">
        <v>5009</v>
      </c>
      <c r="O2693" s="116">
        <v>4921.5</v>
      </c>
      <c r="P2693" s="116">
        <v>4964</v>
      </c>
      <c r="Q2693" s="116">
        <v>4992</v>
      </c>
      <c r="R2693">
        <v>207748</v>
      </c>
    </row>
    <row r="2694" spans="1:18" x14ac:dyDescent="0.25">
      <c r="A2694" s="170">
        <v>45972</v>
      </c>
      <c r="B2694" s="116">
        <v>5018.8999999999996</v>
      </c>
      <c r="C2694" s="116">
        <v>4976.7</v>
      </c>
      <c r="D2694" s="116">
        <v>4943</v>
      </c>
      <c r="E2694" s="116">
        <v>5018.8999999999996</v>
      </c>
      <c r="F2694" s="116">
        <v>4976.7</v>
      </c>
      <c r="G2694">
        <v>8195</v>
      </c>
      <c r="H2694" s="116"/>
      <c r="I2694" s="116"/>
      <c r="L2694" s="170">
        <v>45972</v>
      </c>
      <c r="M2694" s="116">
        <v>4978.5</v>
      </c>
      <c r="N2694" s="116">
        <v>5026.5</v>
      </c>
      <c r="O2694" s="116">
        <v>4941</v>
      </c>
      <c r="P2694" s="116">
        <v>5021.5</v>
      </c>
      <c r="Q2694" s="116">
        <v>4978.5</v>
      </c>
      <c r="R2694">
        <v>202095</v>
      </c>
    </row>
    <row r="2695" spans="1:18" x14ac:dyDescent="0.25">
      <c r="A2695" s="170">
        <v>45973</v>
      </c>
      <c r="B2695" s="116">
        <v>4994.3999999999996</v>
      </c>
      <c r="C2695" s="116">
        <v>4924.5</v>
      </c>
      <c r="D2695" s="116">
        <v>4912.75</v>
      </c>
      <c r="E2695" s="116">
        <v>4984.05</v>
      </c>
      <c r="F2695" s="116">
        <v>4924.5</v>
      </c>
      <c r="G2695">
        <v>9346</v>
      </c>
      <c r="H2695" s="116"/>
      <c r="I2695" s="116"/>
      <c r="L2695" s="170">
        <v>45973</v>
      </c>
      <c r="M2695" s="116">
        <v>4924</v>
      </c>
      <c r="N2695" s="116">
        <v>5000</v>
      </c>
      <c r="O2695" s="116">
        <v>4911</v>
      </c>
      <c r="P2695" s="116">
        <v>4994</v>
      </c>
      <c r="Q2695" s="116">
        <v>4924</v>
      </c>
      <c r="R2695">
        <v>322415</v>
      </c>
    </row>
    <row r="2696" spans="1:18" x14ac:dyDescent="0.25">
      <c r="A2696" s="170">
        <v>45974</v>
      </c>
      <c r="B2696" s="116">
        <v>4960</v>
      </c>
      <c r="C2696" s="116">
        <v>4909.8999999999996</v>
      </c>
      <c r="D2696" s="116">
        <v>4896</v>
      </c>
      <c r="E2696" s="116">
        <v>4943.95</v>
      </c>
      <c r="F2696" s="116">
        <v>4909.8999999999996</v>
      </c>
      <c r="G2696">
        <v>7313</v>
      </c>
      <c r="H2696" s="116"/>
      <c r="I2696" s="116"/>
      <c r="L2696" s="170">
        <v>45974</v>
      </c>
      <c r="M2696" s="116">
        <v>4913</v>
      </c>
      <c r="N2696" s="116">
        <v>4959</v>
      </c>
      <c r="O2696" s="116">
        <v>4896</v>
      </c>
      <c r="P2696" s="116">
        <v>4933</v>
      </c>
      <c r="Q2696" s="116">
        <v>4913</v>
      </c>
      <c r="R2696">
        <v>308690</v>
      </c>
    </row>
    <row r="2697" spans="1:18" x14ac:dyDescent="0.25">
      <c r="A2697" s="170">
        <v>45975</v>
      </c>
      <c r="B2697" s="116">
        <v>4960</v>
      </c>
      <c r="C2697" s="116">
        <v>4954.05</v>
      </c>
      <c r="D2697" s="116">
        <v>4900.05</v>
      </c>
      <c r="E2697" s="116">
        <v>4948.45</v>
      </c>
      <c r="F2697" s="116">
        <v>4954.05</v>
      </c>
      <c r="G2697">
        <v>4998</v>
      </c>
      <c r="H2697" s="116"/>
      <c r="I2697" s="116"/>
      <c r="L2697" s="170">
        <v>45975</v>
      </c>
      <c r="M2697" s="116">
        <v>4952.5</v>
      </c>
      <c r="N2697" s="116">
        <v>4963</v>
      </c>
      <c r="O2697" s="116">
        <v>4899</v>
      </c>
      <c r="P2697" s="116">
        <v>4913</v>
      </c>
      <c r="Q2697" s="116">
        <v>4952.5</v>
      </c>
      <c r="R2697">
        <v>120184</v>
      </c>
    </row>
    <row r="2698" spans="1:18" x14ac:dyDescent="0.25">
      <c r="A2698" s="170">
        <v>45978</v>
      </c>
      <c r="B2698" s="116">
        <v>5054.75</v>
      </c>
      <c r="C2698" s="116">
        <v>5042.45</v>
      </c>
      <c r="D2698" s="116">
        <v>4950</v>
      </c>
      <c r="E2698" s="116">
        <v>4966</v>
      </c>
      <c r="F2698" s="116">
        <v>5042.45</v>
      </c>
      <c r="G2698">
        <v>11830</v>
      </c>
      <c r="H2698" s="116"/>
      <c r="I2698" s="116"/>
      <c r="L2698" s="170">
        <v>45978</v>
      </c>
      <c r="M2698" s="116">
        <v>5041.5</v>
      </c>
      <c r="N2698" s="116">
        <v>5060</v>
      </c>
      <c r="O2698" s="116">
        <v>4926</v>
      </c>
      <c r="P2698" s="116">
        <v>4955</v>
      </c>
      <c r="Q2698" s="116">
        <v>5041.5</v>
      </c>
      <c r="R2698">
        <v>201519</v>
      </c>
    </row>
    <row r="2699" spans="1:18" x14ac:dyDescent="0.25">
      <c r="A2699" s="170">
        <v>45979</v>
      </c>
      <c r="B2699" s="116">
        <v>5091.7</v>
      </c>
      <c r="C2699" s="116">
        <v>5079.75</v>
      </c>
      <c r="D2699" s="116">
        <v>5000</v>
      </c>
      <c r="E2699" s="116">
        <v>5049.95</v>
      </c>
      <c r="F2699" s="116">
        <v>5079.75</v>
      </c>
      <c r="G2699">
        <v>72778</v>
      </c>
      <c r="H2699" s="116"/>
      <c r="I2699" s="116"/>
      <c r="L2699" s="170">
        <v>45979</v>
      </c>
      <c r="M2699" s="116">
        <v>5080.5</v>
      </c>
      <c r="N2699" s="116">
        <v>5095</v>
      </c>
      <c r="O2699" s="116">
        <v>4998.5</v>
      </c>
      <c r="P2699" s="116">
        <v>5041.5</v>
      </c>
      <c r="Q2699" s="116">
        <v>5080.5</v>
      </c>
      <c r="R2699">
        <v>185933</v>
      </c>
    </row>
    <row r="2700" spans="1:18" x14ac:dyDescent="0.25">
      <c r="A2700" s="170">
        <v>45980</v>
      </c>
      <c r="B2700" s="116">
        <v>5094.95</v>
      </c>
      <c r="C2700" s="116">
        <v>5081.8</v>
      </c>
      <c r="D2700" s="116">
        <v>5037</v>
      </c>
      <c r="E2700" s="116">
        <v>5085</v>
      </c>
      <c r="F2700" s="116">
        <v>5081.8</v>
      </c>
      <c r="G2700">
        <v>22755</v>
      </c>
      <c r="H2700" s="116"/>
      <c r="I2700" s="116"/>
      <c r="L2700" s="170">
        <v>45980</v>
      </c>
      <c r="M2700" s="116">
        <v>5083</v>
      </c>
      <c r="N2700" s="116">
        <v>5099</v>
      </c>
      <c r="O2700" s="116">
        <v>5037</v>
      </c>
      <c r="P2700" s="116">
        <v>5081.5</v>
      </c>
      <c r="Q2700" s="116">
        <v>5083</v>
      </c>
      <c r="R2700">
        <v>241340</v>
      </c>
    </row>
    <row r="2701" spans="1:18" x14ac:dyDescent="0.25">
      <c r="A2701" s="170">
        <v>45981</v>
      </c>
      <c r="B2701" s="116">
        <v>5172.45</v>
      </c>
      <c r="C2701" s="116">
        <v>5137.8500000000004</v>
      </c>
      <c r="D2701" s="116">
        <v>5075.45</v>
      </c>
      <c r="E2701" s="116">
        <v>5075.45</v>
      </c>
      <c r="F2701" s="116">
        <v>5137.8500000000004</v>
      </c>
      <c r="G2701">
        <v>6560</v>
      </c>
      <c r="H2701" s="116"/>
      <c r="I2701" s="116"/>
      <c r="L2701" s="170">
        <v>45981</v>
      </c>
      <c r="M2701" s="116">
        <v>5147</v>
      </c>
      <c r="N2701" s="116">
        <v>5172</v>
      </c>
      <c r="O2701" s="116">
        <v>5083</v>
      </c>
      <c r="P2701" s="116">
        <v>5083</v>
      </c>
      <c r="Q2701" s="116">
        <v>5147</v>
      </c>
      <c r="R2701">
        <v>315841</v>
      </c>
    </row>
    <row r="2702" spans="1:18" x14ac:dyDescent="0.25">
      <c r="A2702" s="170">
        <v>45982</v>
      </c>
      <c r="B2702" s="116">
        <v>5134.45</v>
      </c>
      <c r="C2702" s="116">
        <v>5090.7</v>
      </c>
      <c r="D2702" s="116">
        <v>5070</v>
      </c>
      <c r="E2702" s="116">
        <v>5102.75</v>
      </c>
      <c r="F2702" s="116">
        <v>5090.7</v>
      </c>
      <c r="G2702">
        <v>2037</v>
      </c>
      <c r="H2702" s="116"/>
      <c r="I2702" s="116"/>
      <c r="L2702" s="170">
        <v>45982</v>
      </c>
      <c r="M2702" s="116">
        <v>5092</v>
      </c>
      <c r="N2702" s="116">
        <v>5132</v>
      </c>
      <c r="O2702" s="116">
        <v>5068.5</v>
      </c>
      <c r="P2702" s="116">
        <v>5130</v>
      </c>
      <c r="Q2702" s="116">
        <v>5092</v>
      </c>
      <c r="R2702">
        <v>195539</v>
      </c>
    </row>
    <row r="2703" spans="1:18" x14ac:dyDescent="0.25">
      <c r="A2703" s="170">
        <v>45985</v>
      </c>
      <c r="B2703" s="116">
        <v>5097.6499999999996</v>
      </c>
      <c r="C2703" s="116">
        <v>5055</v>
      </c>
      <c r="D2703" s="116">
        <v>5029.5</v>
      </c>
      <c r="E2703" s="116">
        <v>5085.05</v>
      </c>
      <c r="F2703" s="116">
        <v>5055</v>
      </c>
      <c r="G2703">
        <v>9236</v>
      </c>
      <c r="H2703" s="116"/>
      <c r="I2703" s="116"/>
      <c r="L2703" s="170">
        <v>45985</v>
      </c>
      <c r="M2703" s="116">
        <v>5057</v>
      </c>
      <c r="N2703" s="116">
        <v>5100</v>
      </c>
      <c r="O2703" s="116">
        <v>5024.5</v>
      </c>
      <c r="P2703" s="116">
        <v>5092</v>
      </c>
      <c r="Q2703" s="116">
        <v>5057</v>
      </c>
      <c r="R2703">
        <v>453211</v>
      </c>
    </row>
    <row r="2704" spans="1:18" x14ac:dyDescent="0.25">
      <c r="A2704" s="170">
        <v>45986</v>
      </c>
      <c r="B2704" s="116">
        <v>5086.8500000000004</v>
      </c>
      <c r="C2704" s="116">
        <v>5060.05</v>
      </c>
      <c r="D2704" s="116">
        <v>5037.55</v>
      </c>
      <c r="E2704" s="116">
        <v>5049.8</v>
      </c>
      <c r="F2704" s="116">
        <v>5060.05</v>
      </c>
      <c r="G2704">
        <v>2599</v>
      </c>
      <c r="H2704" s="116"/>
      <c r="I2704" s="116"/>
      <c r="L2704" s="170">
        <v>45986</v>
      </c>
      <c r="M2704" s="116">
        <v>5070.5</v>
      </c>
      <c r="N2704" s="116">
        <v>5092</v>
      </c>
      <c r="O2704" s="116">
        <v>5035</v>
      </c>
      <c r="P2704" s="116">
        <v>5042.5</v>
      </c>
      <c r="Q2704" s="116">
        <v>5070.5</v>
      </c>
      <c r="R2704">
        <v>179842</v>
      </c>
    </row>
    <row r="2705" spans="1:18" x14ac:dyDescent="0.25">
      <c r="A2705" s="170">
        <v>45987</v>
      </c>
      <c r="B2705" s="116">
        <v>5204.2</v>
      </c>
      <c r="C2705" s="116">
        <v>5198.1499999999996</v>
      </c>
      <c r="D2705" s="116">
        <v>5050.8</v>
      </c>
      <c r="E2705" s="116">
        <v>5060.1000000000004</v>
      </c>
      <c r="F2705" s="116">
        <v>5198.1499999999996</v>
      </c>
      <c r="G2705">
        <v>6573</v>
      </c>
      <c r="H2705" s="116"/>
      <c r="I2705" s="116"/>
      <c r="L2705" s="170">
        <v>45987</v>
      </c>
      <c r="M2705" s="116">
        <v>5197.5</v>
      </c>
      <c r="N2705" s="116">
        <v>5206.5</v>
      </c>
      <c r="O2705" s="116">
        <v>5058</v>
      </c>
      <c r="P2705" s="116">
        <v>5070.5</v>
      </c>
      <c r="Q2705" s="116">
        <v>5197.5</v>
      </c>
      <c r="R2705">
        <v>157689</v>
      </c>
    </row>
    <row r="2706" spans="1:18" x14ac:dyDescent="0.25">
      <c r="A2706" s="170">
        <v>45988</v>
      </c>
      <c r="B2706" s="116">
        <v>5260</v>
      </c>
      <c r="C2706" s="116">
        <v>5241.6000000000004</v>
      </c>
      <c r="D2706" s="116">
        <v>5188.05</v>
      </c>
      <c r="E2706" s="116">
        <v>5248.55</v>
      </c>
      <c r="F2706" s="116">
        <v>5241.6000000000004</v>
      </c>
      <c r="G2706">
        <v>9863</v>
      </c>
      <c r="H2706" s="116"/>
      <c r="I2706" s="116"/>
      <c r="L2706" s="170">
        <v>45988</v>
      </c>
      <c r="M2706" s="116">
        <v>5240.5</v>
      </c>
      <c r="N2706" s="116">
        <v>5264.5</v>
      </c>
      <c r="O2706" s="116">
        <v>5188.5</v>
      </c>
      <c r="P2706" s="116">
        <v>5235</v>
      </c>
      <c r="Q2706" s="116">
        <v>5240.5</v>
      </c>
      <c r="R2706">
        <v>123457</v>
      </c>
    </row>
    <row r="2707" spans="1:18" x14ac:dyDescent="0.25">
      <c r="A2707" s="170">
        <v>45989</v>
      </c>
      <c r="B2707" s="116">
        <v>5263.6</v>
      </c>
      <c r="C2707" s="116">
        <v>5172.6000000000004</v>
      </c>
      <c r="D2707" s="116">
        <v>5170</v>
      </c>
      <c r="E2707" s="116">
        <v>5242.3</v>
      </c>
      <c r="F2707" s="116">
        <v>5172.6000000000004</v>
      </c>
      <c r="G2707">
        <v>8070</v>
      </c>
      <c r="H2707" s="116"/>
      <c r="I2707" s="116"/>
      <c r="L2707" s="170">
        <v>45989</v>
      </c>
      <c r="M2707" s="116">
        <v>5175</v>
      </c>
      <c r="N2707" s="116">
        <v>5260.5</v>
      </c>
      <c r="O2707" s="116">
        <v>5170</v>
      </c>
      <c r="P2707" s="116">
        <v>5260</v>
      </c>
      <c r="Q2707" s="116">
        <v>5175</v>
      </c>
      <c r="R2707">
        <v>82669</v>
      </c>
    </row>
    <row r="2708" spans="1:18" x14ac:dyDescent="0.25">
      <c r="A2708" s="170">
        <v>45992</v>
      </c>
      <c r="B2708" s="116">
        <v>5239.8</v>
      </c>
      <c r="C2708" s="116">
        <v>5187.8999999999996</v>
      </c>
      <c r="D2708" s="116">
        <v>5150.45</v>
      </c>
      <c r="E2708" s="116">
        <v>5239.8</v>
      </c>
      <c r="F2708" s="116">
        <v>5187.8999999999996</v>
      </c>
      <c r="G2708">
        <v>3720</v>
      </c>
      <c r="H2708" s="116"/>
      <c r="I2708" s="116"/>
      <c r="L2708" s="170">
        <v>45992</v>
      </c>
      <c r="M2708" s="116">
        <v>5189.5</v>
      </c>
      <c r="N2708" s="116">
        <v>5219.5</v>
      </c>
      <c r="O2708" s="116">
        <v>5148.5</v>
      </c>
      <c r="P2708" s="116">
        <v>5218</v>
      </c>
      <c r="Q2708" s="116">
        <v>5189.5</v>
      </c>
      <c r="R2708">
        <v>68252</v>
      </c>
    </row>
    <row r="2709" spans="1:18" x14ac:dyDescent="0.25">
      <c r="A2709" s="170">
        <v>45993</v>
      </c>
      <c r="B2709">
        <v>5216.3999999999996</v>
      </c>
      <c r="C2709">
        <v>5182.6499999999996</v>
      </c>
      <c r="D2709">
        <v>5158.6499999999996</v>
      </c>
      <c r="E2709">
        <v>5184</v>
      </c>
      <c r="F2709">
        <v>5182.6499999999996</v>
      </c>
      <c r="G2709">
        <v>2972</v>
      </c>
      <c r="H2709" s="116"/>
      <c r="I2709" s="116"/>
      <c r="L2709" s="170">
        <v>45993</v>
      </c>
      <c r="M2709" s="116">
        <v>5183</v>
      </c>
      <c r="N2709" s="116">
        <v>5221.5</v>
      </c>
      <c r="O2709" s="116">
        <v>5161</v>
      </c>
      <c r="P2709" s="116">
        <v>5171</v>
      </c>
      <c r="Q2709" s="116">
        <v>5183</v>
      </c>
      <c r="R2709">
        <v>149427</v>
      </c>
    </row>
    <row r="2710" spans="1:18" x14ac:dyDescent="0.25">
      <c r="A2710" s="170">
        <v>45994</v>
      </c>
      <c r="B2710">
        <v>5182.6499999999996</v>
      </c>
      <c r="C2710">
        <v>5124.1499999999996</v>
      </c>
      <c r="D2710">
        <v>5088.5</v>
      </c>
      <c r="E2710">
        <v>5182.6499999999996</v>
      </c>
      <c r="F2710">
        <v>5124.1499999999996</v>
      </c>
      <c r="G2710">
        <v>2699</v>
      </c>
      <c r="H2710" s="116"/>
      <c r="I2710" s="116"/>
      <c r="L2710" s="170">
        <v>45994</v>
      </c>
      <c r="M2710" s="116">
        <v>5107</v>
      </c>
      <c r="N2710" s="116">
        <v>5183</v>
      </c>
      <c r="O2710" s="116">
        <v>5088.5</v>
      </c>
      <c r="P2710" s="116">
        <v>5183</v>
      </c>
      <c r="Q2710" s="116">
        <v>5107</v>
      </c>
      <c r="R2710">
        <v>81229</v>
      </c>
    </row>
    <row r="2711" spans="1:18" x14ac:dyDescent="0.25">
      <c r="A2711" s="170">
        <v>45995</v>
      </c>
      <c r="B2711">
        <v>5180</v>
      </c>
      <c r="C2711">
        <v>5170.55</v>
      </c>
      <c r="D2711">
        <v>5095</v>
      </c>
      <c r="E2711">
        <v>5122.3999999999996</v>
      </c>
      <c r="F2711">
        <v>5170.55</v>
      </c>
      <c r="G2711">
        <v>3640</v>
      </c>
      <c r="H2711" s="116"/>
      <c r="I2711" s="116"/>
      <c r="L2711" s="170">
        <v>45995</v>
      </c>
      <c r="M2711" s="116">
        <v>5172.5</v>
      </c>
      <c r="N2711" s="116">
        <v>5182</v>
      </c>
      <c r="O2711" s="116">
        <v>5095</v>
      </c>
      <c r="P2711" s="116">
        <v>5100</v>
      </c>
      <c r="Q2711" s="116">
        <v>5172.5</v>
      </c>
      <c r="R2711">
        <v>90233</v>
      </c>
    </row>
    <row r="2712" spans="1:18" x14ac:dyDescent="0.25">
      <c r="A2712" s="170">
        <v>45996</v>
      </c>
      <c r="B2712">
        <v>5190</v>
      </c>
      <c r="C2712">
        <v>5171.3500000000004</v>
      </c>
      <c r="D2712">
        <v>5146</v>
      </c>
      <c r="E2712">
        <v>5189.2</v>
      </c>
      <c r="F2712">
        <v>5171.3500000000004</v>
      </c>
      <c r="G2712">
        <v>2323</v>
      </c>
      <c r="H2712" s="116"/>
      <c r="I2712" s="116"/>
      <c r="L2712" s="170">
        <v>45996</v>
      </c>
      <c r="M2712" s="116">
        <v>5173.5</v>
      </c>
      <c r="N2712" s="116">
        <v>5194</v>
      </c>
      <c r="O2712" s="116">
        <v>5140.5</v>
      </c>
      <c r="P2712" s="116">
        <v>5172.5</v>
      </c>
      <c r="Q2712" s="116">
        <v>5173.5</v>
      </c>
      <c r="R2712">
        <v>99564</v>
      </c>
    </row>
    <row r="2713" spans="1:18" x14ac:dyDescent="0.25">
      <c r="A2713" s="170">
        <v>45999</v>
      </c>
      <c r="B2713">
        <v>5184.5</v>
      </c>
      <c r="C2713">
        <v>5056.3</v>
      </c>
      <c r="D2713">
        <v>5049.6499999999996</v>
      </c>
      <c r="E2713">
        <v>5171.3999999999996</v>
      </c>
      <c r="F2713">
        <v>5056.3</v>
      </c>
      <c r="G2713">
        <v>4936</v>
      </c>
      <c r="H2713" s="116"/>
      <c r="I2713" s="116"/>
      <c r="L2713" s="170">
        <v>45999</v>
      </c>
      <c r="M2713" s="116">
        <v>5057.5</v>
      </c>
      <c r="N2713" s="116">
        <v>5194</v>
      </c>
      <c r="O2713" s="116">
        <v>5049</v>
      </c>
      <c r="P2713" s="116">
        <v>5171.5</v>
      </c>
      <c r="Q2713" s="116">
        <v>5057.5</v>
      </c>
      <c r="R2713">
        <v>130551</v>
      </c>
    </row>
    <row r="2714" spans="1:18" x14ac:dyDescent="0.25">
      <c r="A2714" s="170">
        <v>46000</v>
      </c>
      <c r="B2714">
        <v>5199.05</v>
      </c>
      <c r="C2714">
        <v>5120.3999999999996</v>
      </c>
      <c r="D2714">
        <v>4982.8</v>
      </c>
      <c r="E2714">
        <v>5199.05</v>
      </c>
      <c r="F2714">
        <v>5120.3999999999996</v>
      </c>
      <c r="G2714">
        <v>3113</v>
      </c>
      <c r="H2714" s="116"/>
      <c r="I2714" s="116"/>
      <c r="L2714" s="170">
        <v>46000</v>
      </c>
      <c r="M2714" s="116">
        <v>5117</v>
      </c>
      <c r="N2714" s="116">
        <v>5128</v>
      </c>
      <c r="O2714" s="116">
        <v>4981</v>
      </c>
      <c r="P2714" s="116">
        <v>5051</v>
      </c>
      <c r="Q2714" s="116">
        <v>5117</v>
      </c>
      <c r="R2714">
        <v>113585</v>
      </c>
    </row>
    <row r="2715" spans="1:18" x14ac:dyDescent="0.25">
      <c r="A2715" s="170">
        <v>46001</v>
      </c>
      <c r="B2715">
        <v>5194</v>
      </c>
      <c r="C2715">
        <v>5154.6499999999996</v>
      </c>
      <c r="D2715">
        <v>5097.6499999999996</v>
      </c>
      <c r="E2715">
        <v>5120.45</v>
      </c>
      <c r="F2715">
        <v>5154.6499999999996</v>
      </c>
      <c r="G2715">
        <v>5769</v>
      </c>
      <c r="H2715" s="116"/>
      <c r="I2715" s="116"/>
      <c r="L2715" s="170">
        <v>46001</v>
      </c>
      <c r="M2715" s="116">
        <v>5152</v>
      </c>
      <c r="N2715" s="116">
        <v>5192</v>
      </c>
      <c r="O2715" s="116">
        <v>5098</v>
      </c>
      <c r="P2715" s="116">
        <v>5109.5</v>
      </c>
      <c r="Q2715" s="116">
        <v>5152</v>
      </c>
      <c r="R2715">
        <v>118196</v>
      </c>
    </row>
    <row r="2716" spans="1:18" x14ac:dyDescent="0.25">
      <c r="A2716" s="170">
        <v>46002</v>
      </c>
      <c r="B2716">
        <v>5252</v>
      </c>
      <c r="C2716">
        <v>5241.8999999999996</v>
      </c>
      <c r="D2716">
        <v>5150</v>
      </c>
      <c r="E2716">
        <v>5169.45</v>
      </c>
      <c r="F2716">
        <v>5241.8999999999996</v>
      </c>
      <c r="G2716">
        <v>14369</v>
      </c>
      <c r="H2716" s="116"/>
      <c r="I2716" s="116"/>
      <c r="L2716" s="170">
        <v>46002</v>
      </c>
      <c r="M2716" s="116">
        <v>5242.5</v>
      </c>
      <c r="N2716" s="116">
        <v>5257.5</v>
      </c>
      <c r="O2716" s="116">
        <v>5147</v>
      </c>
      <c r="P2716" s="116">
        <v>5154</v>
      </c>
      <c r="Q2716" s="116">
        <v>5242.5</v>
      </c>
      <c r="R2716">
        <v>197330</v>
      </c>
    </row>
    <row r="2717" spans="1:18" x14ac:dyDescent="0.25">
      <c r="A2717" s="170">
        <v>46003</v>
      </c>
      <c r="B2717">
        <v>5299</v>
      </c>
      <c r="C2717">
        <v>5274.5</v>
      </c>
      <c r="D2717">
        <v>5232.6000000000004</v>
      </c>
      <c r="E2717">
        <v>5274.55</v>
      </c>
      <c r="F2717">
        <v>5274.5</v>
      </c>
      <c r="G2717">
        <v>6498</v>
      </c>
      <c r="H2717" s="116"/>
      <c r="I2717" s="116"/>
      <c r="L2717" s="170">
        <v>46003</v>
      </c>
      <c r="M2717" s="116">
        <v>5278</v>
      </c>
      <c r="N2717" s="116">
        <v>5299</v>
      </c>
      <c r="O2717" s="116">
        <v>5230</v>
      </c>
      <c r="P2717" s="116">
        <v>5270</v>
      </c>
      <c r="Q2717" s="116">
        <v>5278</v>
      </c>
      <c r="R2717">
        <v>200377</v>
      </c>
    </row>
    <row r="2718" spans="1:18" x14ac:dyDescent="0.25">
      <c r="A2718" s="170">
        <v>46006</v>
      </c>
      <c r="B2718">
        <v>5299</v>
      </c>
      <c r="C2718">
        <v>5287.4</v>
      </c>
      <c r="D2718">
        <v>5205</v>
      </c>
      <c r="E2718">
        <v>5279.3</v>
      </c>
      <c r="F2718">
        <v>5287.4</v>
      </c>
      <c r="G2718">
        <v>6096</v>
      </c>
      <c r="H2718" s="116"/>
      <c r="I2718" s="116"/>
      <c r="L2718" s="170">
        <v>46006</v>
      </c>
      <c r="M2718" s="116">
        <v>5285</v>
      </c>
      <c r="N2718" s="116">
        <v>5298</v>
      </c>
      <c r="O2718" s="116">
        <v>5200.5</v>
      </c>
      <c r="P2718" s="116">
        <v>5288</v>
      </c>
      <c r="Q2718" s="116">
        <v>5285</v>
      </c>
      <c r="R2718">
        <v>191017</v>
      </c>
    </row>
    <row r="2719" spans="1:18" x14ac:dyDescent="0.25">
      <c r="A2719" s="170">
        <v>46007</v>
      </c>
      <c r="B2719">
        <v>5287.35</v>
      </c>
      <c r="C2719">
        <v>5239.55</v>
      </c>
      <c r="D2719">
        <v>5226.5</v>
      </c>
      <c r="E2719">
        <v>5287.35</v>
      </c>
      <c r="F2719">
        <v>5239.55</v>
      </c>
      <c r="G2719">
        <v>62879</v>
      </c>
      <c r="H2719" s="116"/>
      <c r="I2719" s="116"/>
      <c r="L2719" s="170">
        <v>46007</v>
      </c>
      <c r="M2719" s="116">
        <v>5242</v>
      </c>
      <c r="N2719" s="116">
        <v>5280</v>
      </c>
      <c r="O2719" s="116">
        <v>5227</v>
      </c>
      <c r="P2719" s="116">
        <v>5280</v>
      </c>
      <c r="Q2719" s="116">
        <v>5242</v>
      </c>
      <c r="R2719">
        <v>71299</v>
      </c>
    </row>
    <row r="2720" spans="1:18" x14ac:dyDescent="0.25">
      <c r="A2720" s="170">
        <v>46008</v>
      </c>
      <c r="B2720">
        <v>5260</v>
      </c>
      <c r="C2720">
        <v>5165.3500000000004</v>
      </c>
      <c r="D2720">
        <v>5155</v>
      </c>
      <c r="E2720">
        <v>5227.1499999999996</v>
      </c>
      <c r="F2720">
        <v>5165.3500000000004</v>
      </c>
      <c r="G2720">
        <v>1995</v>
      </c>
      <c r="H2720" s="116"/>
      <c r="I2720" s="116"/>
      <c r="L2720" s="170">
        <v>46008</v>
      </c>
      <c r="M2720" s="116">
        <v>5171</v>
      </c>
      <c r="N2720" s="116">
        <v>5262.5</v>
      </c>
      <c r="O2720" s="116">
        <v>5152</v>
      </c>
      <c r="P2720" s="116">
        <v>5238</v>
      </c>
      <c r="Q2720" s="116">
        <v>5171</v>
      </c>
      <c r="R2720">
        <v>85858</v>
      </c>
    </row>
    <row r="2721" spans="1:18" x14ac:dyDescent="0.25">
      <c r="A2721" s="170">
        <v>46009</v>
      </c>
      <c r="B2721">
        <v>5171.5</v>
      </c>
      <c r="C2721">
        <v>5087.8999999999996</v>
      </c>
      <c r="D2721">
        <v>5080</v>
      </c>
      <c r="E2721">
        <v>5165.3999999999996</v>
      </c>
      <c r="F2721">
        <v>5087.8999999999996</v>
      </c>
      <c r="G2721">
        <v>3096</v>
      </c>
      <c r="H2721" s="116"/>
      <c r="I2721" s="116"/>
      <c r="L2721" s="170">
        <v>46009</v>
      </c>
      <c r="M2721" s="116">
        <v>5097.5</v>
      </c>
      <c r="N2721" s="116">
        <v>5185</v>
      </c>
      <c r="O2721" s="116">
        <v>5075.5</v>
      </c>
      <c r="P2721" s="116">
        <v>5185</v>
      </c>
      <c r="Q2721" s="116">
        <v>5097.5</v>
      </c>
      <c r="R2721">
        <v>362593</v>
      </c>
    </row>
    <row r="2722" spans="1:18" x14ac:dyDescent="0.25">
      <c r="A2722" s="170">
        <v>46010</v>
      </c>
      <c r="B2722">
        <v>5190</v>
      </c>
      <c r="C2722">
        <v>5175.8</v>
      </c>
      <c r="D2722">
        <v>5100.05</v>
      </c>
      <c r="E2722">
        <v>5149.3</v>
      </c>
      <c r="F2722">
        <v>5175.8</v>
      </c>
      <c r="G2722">
        <v>2389</v>
      </c>
      <c r="H2722" s="116"/>
      <c r="I2722" s="116"/>
      <c r="L2722" s="170">
        <v>46010</v>
      </c>
      <c r="M2722" s="116">
        <v>5177</v>
      </c>
      <c r="N2722" s="116">
        <v>5191.5</v>
      </c>
      <c r="O2722" s="116">
        <v>5100</v>
      </c>
      <c r="P2722" s="116">
        <v>5106</v>
      </c>
      <c r="Q2722" s="116">
        <v>5177</v>
      </c>
      <c r="R2722">
        <v>351488</v>
      </c>
    </row>
    <row r="2723" spans="1:18" x14ac:dyDescent="0.25">
      <c r="A2723" s="170">
        <v>46013</v>
      </c>
      <c r="B2723">
        <v>5230</v>
      </c>
      <c r="C2723">
        <v>5184.1000000000004</v>
      </c>
      <c r="D2723">
        <v>5161.8500000000004</v>
      </c>
      <c r="E2723">
        <v>5161.8500000000004</v>
      </c>
      <c r="F2723">
        <v>5184.1000000000004</v>
      </c>
      <c r="G2723">
        <v>4399</v>
      </c>
      <c r="H2723" s="116"/>
      <c r="I2723" s="116"/>
      <c r="L2723" s="170">
        <v>46013</v>
      </c>
      <c r="M2723" s="116">
        <v>5181</v>
      </c>
      <c r="N2723" s="116">
        <v>5233</v>
      </c>
      <c r="O2723" s="116">
        <v>5170</v>
      </c>
      <c r="P2723" s="116">
        <v>5180.5</v>
      </c>
      <c r="Q2723" s="116">
        <v>5181</v>
      </c>
      <c r="R2723">
        <v>67499</v>
      </c>
    </row>
    <row r="2724" spans="1:18" x14ac:dyDescent="0.25">
      <c r="A2724" s="170">
        <v>46014</v>
      </c>
      <c r="B2724">
        <v>5215.8500000000004</v>
      </c>
      <c r="C2724">
        <v>5204.1000000000004</v>
      </c>
      <c r="D2724">
        <v>5149.8</v>
      </c>
      <c r="E2724">
        <v>5184.1000000000004</v>
      </c>
      <c r="F2724">
        <v>5204.1000000000004</v>
      </c>
      <c r="G2724">
        <v>4502</v>
      </c>
      <c r="H2724" s="116"/>
      <c r="I2724" s="116"/>
      <c r="L2724" s="170">
        <v>46014</v>
      </c>
      <c r="M2724" s="116">
        <v>5204</v>
      </c>
      <c r="N2724" s="116">
        <v>5215</v>
      </c>
      <c r="O2724" s="116">
        <v>5151</v>
      </c>
      <c r="P2724" s="116">
        <v>5185</v>
      </c>
      <c r="Q2724" s="116">
        <v>5204</v>
      </c>
      <c r="R2724">
        <v>64953</v>
      </c>
    </row>
    <row r="2725" spans="1:18" x14ac:dyDescent="0.25">
      <c r="A2725" s="170">
        <v>46015</v>
      </c>
      <c r="B2725">
        <v>5263.8</v>
      </c>
      <c r="C2725">
        <v>5211.1000000000004</v>
      </c>
      <c r="D2725">
        <v>5201.1499999999996</v>
      </c>
      <c r="E2725">
        <v>5201.1499999999996</v>
      </c>
      <c r="F2725">
        <v>5211.1000000000004</v>
      </c>
      <c r="G2725">
        <v>7016</v>
      </c>
      <c r="H2725" s="116"/>
      <c r="I2725" s="116"/>
      <c r="L2725" s="170">
        <v>46015</v>
      </c>
      <c r="M2725" s="116">
        <v>5215</v>
      </c>
      <c r="N2725" s="116">
        <v>5266</v>
      </c>
      <c r="O2725" s="116">
        <v>5202</v>
      </c>
      <c r="P2725" s="116">
        <v>5212.5</v>
      </c>
      <c r="Q2725" s="116">
        <v>5215</v>
      </c>
      <c r="R2725">
        <v>103441</v>
      </c>
    </row>
    <row r="2726" spans="1:18" x14ac:dyDescent="0.25">
      <c r="A2726" s="170">
        <v>46017</v>
      </c>
      <c r="B2726">
        <v>5245</v>
      </c>
      <c r="C2726">
        <v>5180.3500000000004</v>
      </c>
      <c r="D2726">
        <v>5141.3</v>
      </c>
      <c r="E2726">
        <v>5141.3</v>
      </c>
      <c r="F2726">
        <v>5180.3500000000004</v>
      </c>
      <c r="G2726">
        <v>1823</v>
      </c>
      <c r="H2726" s="116"/>
      <c r="I2726" s="116"/>
      <c r="L2726" s="170">
        <v>46017</v>
      </c>
      <c r="M2726" s="116">
        <v>5183</v>
      </c>
      <c r="N2726" s="116">
        <v>5244.5</v>
      </c>
      <c r="O2726" s="116">
        <v>5164.5</v>
      </c>
      <c r="P2726" s="116">
        <v>5215</v>
      </c>
      <c r="Q2726" s="116">
        <v>5183</v>
      </c>
      <c r="R2726">
        <v>54254</v>
      </c>
    </row>
    <row r="2727" spans="1:18" x14ac:dyDescent="0.25">
      <c r="A2727" s="170">
        <v>46020</v>
      </c>
      <c r="B2727">
        <v>5213.95</v>
      </c>
      <c r="C2727">
        <v>5167.2</v>
      </c>
      <c r="D2727">
        <v>5159</v>
      </c>
      <c r="E2727">
        <v>5186.7</v>
      </c>
      <c r="F2727">
        <v>5167.2</v>
      </c>
      <c r="G2727">
        <v>1624</v>
      </c>
      <c r="H2727" s="116"/>
      <c r="I2727" s="116"/>
      <c r="L2727" s="170">
        <v>46020</v>
      </c>
      <c r="M2727" s="116">
        <v>5165</v>
      </c>
      <c r="N2727" s="116">
        <v>5218.5</v>
      </c>
      <c r="O2727" s="116">
        <v>5155</v>
      </c>
      <c r="P2727" s="116">
        <v>5218.5</v>
      </c>
      <c r="Q2727" s="116">
        <v>5165</v>
      </c>
      <c r="R2727">
        <v>53679</v>
      </c>
    </row>
    <row r="2728" spans="1:18" x14ac:dyDescent="0.25">
      <c r="A2728" s="170">
        <v>46021</v>
      </c>
      <c r="B2728">
        <v>5166.75</v>
      </c>
      <c r="C2728">
        <v>5142.3999999999996</v>
      </c>
      <c r="D2728">
        <v>5104.8</v>
      </c>
      <c r="E2728">
        <v>5166.75</v>
      </c>
      <c r="F2728">
        <v>5142.3999999999996</v>
      </c>
      <c r="G2728">
        <v>4881</v>
      </c>
      <c r="H2728" s="116"/>
      <c r="I2728" s="116"/>
      <c r="L2728" s="170">
        <v>46021</v>
      </c>
      <c r="M2728" s="116">
        <v>5138.5</v>
      </c>
      <c r="N2728" s="116">
        <v>5169</v>
      </c>
      <c r="O2728" s="116">
        <v>5100</v>
      </c>
      <c r="P2728" s="116">
        <v>5155</v>
      </c>
      <c r="Q2728" s="116">
        <v>5138.5</v>
      </c>
      <c r="R2728">
        <v>107504</v>
      </c>
    </row>
    <row r="2729" spans="1:18" x14ac:dyDescent="0.25">
      <c r="A2729" s="170">
        <v>46022</v>
      </c>
      <c r="B2729">
        <v>5187.5</v>
      </c>
      <c r="C2729">
        <v>5170.3</v>
      </c>
      <c r="D2729">
        <v>5120.45</v>
      </c>
      <c r="E2729">
        <v>5120.45</v>
      </c>
      <c r="F2729">
        <v>5170.3</v>
      </c>
      <c r="G2729">
        <v>4178</v>
      </c>
      <c r="H2729" s="116"/>
      <c r="I2729" s="116"/>
      <c r="L2729" s="170">
        <v>46022</v>
      </c>
      <c r="M2729" s="116">
        <v>5170</v>
      </c>
      <c r="N2729" s="116">
        <v>5207.5</v>
      </c>
      <c r="O2729" s="116">
        <v>5141.5</v>
      </c>
      <c r="P2729" s="116">
        <v>5150</v>
      </c>
      <c r="Q2729" s="116">
        <v>5170</v>
      </c>
      <c r="R2729">
        <v>106827</v>
      </c>
    </row>
    <row r="2730" spans="1:18" x14ac:dyDescent="0.25">
      <c r="A2730" s="170">
        <v>46023</v>
      </c>
      <c r="B2730">
        <v>5192</v>
      </c>
      <c r="C2730">
        <v>5175.6499999999996</v>
      </c>
      <c r="D2730">
        <v>5145.55</v>
      </c>
      <c r="E2730">
        <v>5173.1000000000004</v>
      </c>
      <c r="F2730">
        <v>5175.6499999999996</v>
      </c>
      <c r="G2730">
        <v>3659</v>
      </c>
      <c r="H2730" s="116"/>
      <c r="I2730" s="116"/>
      <c r="L2730" s="170">
        <v>46023</v>
      </c>
      <c r="M2730" s="116">
        <v>5176.5</v>
      </c>
      <c r="N2730" s="116">
        <v>5195.5</v>
      </c>
      <c r="O2730" s="116">
        <v>5146</v>
      </c>
      <c r="P2730" s="116">
        <v>5183</v>
      </c>
      <c r="Q2730" s="116">
        <v>5176.5</v>
      </c>
      <c r="R2730">
        <v>37884</v>
      </c>
    </row>
    <row r="2731" spans="1:18" x14ac:dyDescent="0.25">
      <c r="A2731" s="170">
        <v>46024</v>
      </c>
      <c r="B2731">
        <v>5220</v>
      </c>
      <c r="C2731">
        <v>5197</v>
      </c>
      <c r="D2731">
        <v>5165</v>
      </c>
      <c r="E2731">
        <v>5168.05</v>
      </c>
      <c r="F2731">
        <v>5197</v>
      </c>
      <c r="G2731">
        <v>2784</v>
      </c>
      <c r="H2731" s="116"/>
      <c r="I2731" s="116"/>
      <c r="L2731" s="170">
        <v>46024</v>
      </c>
      <c r="M2731" s="116">
        <v>5205.5</v>
      </c>
      <c r="N2731" s="116">
        <v>5220</v>
      </c>
      <c r="O2731" s="116">
        <v>5156.5</v>
      </c>
      <c r="P2731" s="116">
        <v>5156.5</v>
      </c>
      <c r="Q2731" s="116">
        <v>5205.5</v>
      </c>
      <c r="R2731">
        <v>63490</v>
      </c>
    </row>
    <row r="2732" spans="1:18" x14ac:dyDescent="0.25">
      <c r="A2732" s="170">
        <v>46027</v>
      </c>
      <c r="B2732">
        <v>5252.6</v>
      </c>
      <c r="C2732">
        <v>5165.8500000000004</v>
      </c>
      <c r="D2732">
        <v>5131.7</v>
      </c>
      <c r="E2732">
        <v>5220.75</v>
      </c>
      <c r="F2732">
        <v>5165.8500000000004</v>
      </c>
      <c r="G2732">
        <v>2546</v>
      </c>
      <c r="H2732" s="116"/>
      <c r="I2732" s="116"/>
      <c r="L2732" s="170">
        <v>46027</v>
      </c>
      <c r="M2732" s="116">
        <v>5168.5</v>
      </c>
      <c r="N2732" s="116">
        <v>5249.5</v>
      </c>
      <c r="O2732" s="116">
        <v>5131</v>
      </c>
      <c r="P2732" s="116">
        <v>5230</v>
      </c>
      <c r="Q2732" s="116">
        <v>5168.5</v>
      </c>
      <c r="R2732">
        <v>101498</v>
      </c>
    </row>
    <row r="2733" spans="1:18" x14ac:dyDescent="0.25">
      <c r="A2733" s="170">
        <v>46028</v>
      </c>
      <c r="B2733">
        <v>5250.1</v>
      </c>
      <c r="C2733">
        <v>5222.45</v>
      </c>
      <c r="D2733">
        <v>5161.1499999999996</v>
      </c>
      <c r="E2733">
        <v>5165.8500000000004</v>
      </c>
      <c r="F2733">
        <v>5222.45</v>
      </c>
      <c r="G2733">
        <v>2973</v>
      </c>
      <c r="H2733" s="116"/>
      <c r="I2733" s="116"/>
      <c r="L2733" s="170">
        <v>46028</v>
      </c>
      <c r="M2733" s="116">
        <v>5224.5</v>
      </c>
      <c r="N2733" s="116">
        <v>5254.5</v>
      </c>
      <c r="O2733" s="116">
        <v>5160.5</v>
      </c>
      <c r="P2733" s="116">
        <v>5168.5</v>
      </c>
      <c r="Q2733" s="116">
        <v>5224.5</v>
      </c>
      <c r="R2733">
        <v>122892</v>
      </c>
    </row>
    <row r="2734" spans="1:18" x14ac:dyDescent="0.25">
      <c r="A2734" s="170">
        <v>46029</v>
      </c>
      <c r="B2734">
        <v>5306</v>
      </c>
      <c r="C2734">
        <v>5298.8</v>
      </c>
      <c r="D2734">
        <v>5184.8999999999996</v>
      </c>
      <c r="E2734">
        <v>5220</v>
      </c>
      <c r="F2734">
        <v>5298.8</v>
      </c>
      <c r="G2734">
        <v>3743</v>
      </c>
      <c r="H2734" s="116"/>
      <c r="I2734" s="116"/>
      <c r="L2734" s="170">
        <v>46029</v>
      </c>
      <c r="M2734" s="116">
        <v>5299</v>
      </c>
      <c r="N2734" s="116">
        <v>5307.5</v>
      </c>
      <c r="O2734" s="116">
        <v>5181.5</v>
      </c>
      <c r="P2734" s="116">
        <v>5215</v>
      </c>
      <c r="Q2734" s="116">
        <v>5299</v>
      </c>
      <c r="R2734">
        <v>123203</v>
      </c>
    </row>
    <row r="2735" spans="1:18" x14ac:dyDescent="0.25">
      <c r="A2735" s="170">
        <v>46030</v>
      </c>
      <c r="B2735">
        <v>5370</v>
      </c>
      <c r="C2735">
        <v>5041.3</v>
      </c>
      <c r="D2735">
        <v>4981</v>
      </c>
      <c r="E2735">
        <v>5298</v>
      </c>
      <c r="F2735">
        <v>5041.3</v>
      </c>
      <c r="G2735">
        <v>17683</v>
      </c>
      <c r="H2735" s="116"/>
      <c r="I2735" s="116"/>
      <c r="L2735" s="170">
        <v>46030</v>
      </c>
      <c r="M2735" s="116">
        <v>5021</v>
      </c>
      <c r="N2735" s="116">
        <v>5368</v>
      </c>
      <c r="O2735" s="116">
        <v>4983.5</v>
      </c>
      <c r="P2735" s="116">
        <v>5312</v>
      </c>
      <c r="Q2735" s="116">
        <v>5021</v>
      </c>
      <c r="R2735">
        <v>681840</v>
      </c>
    </row>
    <row r="2736" spans="1:18" x14ac:dyDescent="0.25">
      <c r="A2736" s="170">
        <v>46031</v>
      </c>
      <c r="B2736">
        <v>5137.5</v>
      </c>
      <c r="C2736">
        <v>5092.7</v>
      </c>
      <c r="D2736">
        <v>4985.3999999999996</v>
      </c>
      <c r="E2736">
        <v>5045</v>
      </c>
      <c r="F2736">
        <v>5092.7</v>
      </c>
      <c r="G2736">
        <v>13433</v>
      </c>
      <c r="H2736" s="116"/>
      <c r="I2736" s="116"/>
      <c r="L2736" s="170">
        <v>46031</v>
      </c>
      <c r="M2736" s="116">
        <v>5093</v>
      </c>
      <c r="N2736" s="116">
        <v>5138</v>
      </c>
      <c r="O2736" s="116">
        <v>4983.5</v>
      </c>
      <c r="P2736" s="116">
        <v>5050</v>
      </c>
      <c r="Q2736" s="116">
        <v>5093</v>
      </c>
      <c r="R2736">
        <v>329338</v>
      </c>
    </row>
    <row r="2737" spans="1:18" x14ac:dyDescent="0.25">
      <c r="A2737" s="170">
        <v>46034</v>
      </c>
      <c r="B2737">
        <v>5067.25</v>
      </c>
      <c r="C2737">
        <v>5048.3</v>
      </c>
      <c r="D2737">
        <v>4953.05</v>
      </c>
      <c r="E2737">
        <v>5032</v>
      </c>
      <c r="F2737">
        <v>5048.3</v>
      </c>
      <c r="G2737">
        <v>4269</v>
      </c>
      <c r="H2737" s="116"/>
      <c r="I2737" s="116"/>
      <c r="L2737" s="170">
        <v>46034</v>
      </c>
      <c r="M2737" s="116">
        <v>5048</v>
      </c>
      <c r="N2737" s="116">
        <v>5075.5</v>
      </c>
      <c r="O2737" s="116">
        <v>4951</v>
      </c>
      <c r="P2737" s="116">
        <v>5075</v>
      </c>
      <c r="Q2737" s="116">
        <v>5048</v>
      </c>
      <c r="R2737">
        <v>172796</v>
      </c>
    </row>
    <row r="2738" spans="1:18" x14ac:dyDescent="0.25">
      <c r="A2738" s="170">
        <v>46035</v>
      </c>
      <c r="B2738">
        <v>5080.2</v>
      </c>
      <c r="C2738">
        <v>4964.7</v>
      </c>
      <c r="D2738">
        <v>4924.8500000000004</v>
      </c>
      <c r="E2738">
        <v>5078.05</v>
      </c>
      <c r="F2738">
        <v>4964.7</v>
      </c>
      <c r="G2738">
        <v>6232</v>
      </c>
      <c r="H2738" s="116"/>
      <c r="I2738" s="116"/>
      <c r="L2738" s="170">
        <v>46035</v>
      </c>
      <c r="M2738" s="116">
        <v>4966</v>
      </c>
      <c r="N2738" s="116">
        <v>5081.5</v>
      </c>
      <c r="O2738" s="116">
        <v>4923</v>
      </c>
      <c r="P2738" s="116">
        <v>5050</v>
      </c>
      <c r="Q2738" s="116">
        <v>4966</v>
      </c>
      <c r="R2738">
        <v>113004</v>
      </c>
    </row>
    <row r="2739" spans="1:18" x14ac:dyDescent="0.25">
      <c r="A2739" s="170">
        <v>46036</v>
      </c>
      <c r="B2739">
        <v>4986.95</v>
      </c>
      <c r="C2739">
        <v>4932.55</v>
      </c>
      <c r="D2739">
        <v>4922.95</v>
      </c>
      <c r="E2739">
        <v>4964.7</v>
      </c>
      <c r="F2739">
        <v>4932.55</v>
      </c>
      <c r="G2739">
        <v>2974</v>
      </c>
      <c r="H2739" s="116"/>
      <c r="I2739" s="116"/>
      <c r="L2739" s="170">
        <v>46036</v>
      </c>
      <c r="M2739" s="116">
        <v>4935</v>
      </c>
      <c r="N2739" s="116">
        <v>4992</v>
      </c>
      <c r="O2739" s="116">
        <v>4925</v>
      </c>
      <c r="P2739" s="116">
        <v>4960.5</v>
      </c>
      <c r="Q2739" s="116">
        <v>4935</v>
      </c>
      <c r="R2739">
        <v>107017</v>
      </c>
    </row>
    <row r="2740" spans="1:18" x14ac:dyDescent="0.25">
      <c r="A2740" s="170">
        <v>46038</v>
      </c>
      <c r="B2740">
        <v>4958.55</v>
      </c>
      <c r="C2740">
        <v>4867.1499999999996</v>
      </c>
      <c r="D2740">
        <v>4856.5</v>
      </c>
      <c r="E2740">
        <v>4940.5</v>
      </c>
      <c r="F2740">
        <v>4867.1499999999996</v>
      </c>
      <c r="G2740">
        <v>4065</v>
      </c>
      <c r="H2740" s="116"/>
      <c r="I2740" s="116"/>
      <c r="L2740" s="170">
        <v>46038</v>
      </c>
      <c r="M2740" s="116">
        <v>4872.5</v>
      </c>
      <c r="N2740" s="116">
        <v>4960</v>
      </c>
      <c r="O2740" s="116">
        <v>4852</v>
      </c>
      <c r="P2740" s="116">
        <v>4935</v>
      </c>
      <c r="Q2740" s="116">
        <v>4872.5</v>
      </c>
      <c r="R2740">
        <v>186282</v>
      </c>
    </row>
    <row r="2741" spans="1:18" x14ac:dyDescent="0.25">
      <c r="A2741" s="170">
        <v>46041</v>
      </c>
      <c r="B2741">
        <v>4932.55</v>
      </c>
      <c r="C2741">
        <v>4861.55</v>
      </c>
      <c r="D2741">
        <v>4839.05</v>
      </c>
      <c r="E2741">
        <v>4896</v>
      </c>
      <c r="F2741">
        <v>4861.55</v>
      </c>
      <c r="G2741">
        <v>6284</v>
      </c>
      <c r="H2741" s="116"/>
      <c r="I2741" s="116"/>
      <c r="L2741" s="170">
        <v>46041</v>
      </c>
      <c r="M2741" s="116">
        <v>4865.5</v>
      </c>
      <c r="N2741" s="116">
        <v>4942</v>
      </c>
      <c r="O2741" s="116">
        <v>4839</v>
      </c>
      <c r="P2741" s="116">
        <v>4877.5</v>
      </c>
      <c r="Q2741" s="116">
        <v>4865.5</v>
      </c>
      <c r="R2741">
        <v>238177</v>
      </c>
    </row>
    <row r="2742" spans="1:18" x14ac:dyDescent="0.25">
      <c r="A2742" s="170">
        <v>46042</v>
      </c>
      <c r="B2742">
        <v>4864.95</v>
      </c>
      <c r="C2742">
        <v>4693.3</v>
      </c>
      <c r="D2742">
        <v>4675</v>
      </c>
      <c r="E2742">
        <v>4864.95</v>
      </c>
      <c r="F2742">
        <v>4693.3</v>
      </c>
      <c r="G2742">
        <v>7781</v>
      </c>
      <c r="H2742" s="116"/>
      <c r="I2742" s="116"/>
      <c r="L2742" s="170">
        <v>46042</v>
      </c>
      <c r="M2742" s="116">
        <v>4691.5</v>
      </c>
      <c r="N2742" s="116">
        <v>4855</v>
      </c>
      <c r="O2742" s="116">
        <v>4673</v>
      </c>
      <c r="P2742" s="116">
        <v>4855</v>
      </c>
      <c r="Q2742" s="116">
        <v>4691.5</v>
      </c>
      <c r="R2742">
        <v>413609</v>
      </c>
    </row>
    <row r="2743" spans="1:18" x14ac:dyDescent="0.25">
      <c r="A2743" s="170">
        <v>46043</v>
      </c>
      <c r="B2743">
        <v>4750.6499999999996</v>
      </c>
      <c r="C2743">
        <v>4706.3500000000004</v>
      </c>
      <c r="D2743">
        <v>4640.5</v>
      </c>
      <c r="E2743">
        <v>4691</v>
      </c>
      <c r="F2743">
        <v>4706.3500000000004</v>
      </c>
      <c r="G2743">
        <v>11704</v>
      </c>
      <c r="H2743" s="116"/>
      <c r="I2743" s="116"/>
      <c r="L2743" s="170">
        <v>46043</v>
      </c>
      <c r="M2743" s="116">
        <v>4707.5</v>
      </c>
      <c r="N2743" s="116">
        <v>4751.5</v>
      </c>
      <c r="O2743" s="116">
        <v>4637.5</v>
      </c>
      <c r="P2743" s="116">
        <v>4692.5</v>
      </c>
      <c r="Q2743" s="116">
        <v>4707.5</v>
      </c>
      <c r="R2743">
        <v>349292</v>
      </c>
    </row>
    <row r="2744" spans="1:18" x14ac:dyDescent="0.25">
      <c r="A2744" s="170">
        <v>46044</v>
      </c>
      <c r="B2744">
        <v>4806.45</v>
      </c>
      <c r="C2744">
        <v>4757.7</v>
      </c>
      <c r="D2744">
        <v>4720</v>
      </c>
      <c r="E2744">
        <v>4720.1499999999996</v>
      </c>
      <c r="F2744">
        <v>4757.7</v>
      </c>
      <c r="G2744">
        <v>2690</v>
      </c>
      <c r="H2744" s="116"/>
      <c r="I2744" s="116"/>
      <c r="L2744" s="170">
        <v>46044</v>
      </c>
      <c r="M2744" s="116">
        <v>4755.5</v>
      </c>
      <c r="N2744" s="116">
        <v>4807</v>
      </c>
      <c r="O2744" s="116">
        <v>4719</v>
      </c>
      <c r="P2744" s="116">
        <v>4725</v>
      </c>
      <c r="Q2744" s="116">
        <v>4755.5</v>
      </c>
      <c r="R2744">
        <v>145026</v>
      </c>
    </row>
    <row r="2745" spans="1:18" x14ac:dyDescent="0.25">
      <c r="A2745" s="170">
        <v>46045</v>
      </c>
      <c r="B2745">
        <v>4780.1499999999996</v>
      </c>
      <c r="C2745">
        <v>4691.75</v>
      </c>
      <c r="D2745">
        <v>4671</v>
      </c>
      <c r="E2745">
        <v>4757.7</v>
      </c>
      <c r="F2745">
        <v>4691.75</v>
      </c>
      <c r="G2745">
        <v>5031</v>
      </c>
      <c r="H2745" s="116"/>
      <c r="I2745" s="116"/>
      <c r="L2745" s="170">
        <v>46045</v>
      </c>
      <c r="M2745" s="116">
        <v>4694.5</v>
      </c>
      <c r="N2745" s="116">
        <v>4775</v>
      </c>
      <c r="O2745" s="116">
        <v>4668.5</v>
      </c>
      <c r="P2745" s="116">
        <v>4760</v>
      </c>
      <c r="Q2745" s="116">
        <v>4694.5</v>
      </c>
      <c r="R2745">
        <v>114255</v>
      </c>
    </row>
    <row r="2746" spans="1:18" x14ac:dyDescent="0.25">
      <c r="A2746" s="170">
        <v>46049</v>
      </c>
      <c r="B2746">
        <v>4747</v>
      </c>
      <c r="C2746">
        <v>4707.3999999999996</v>
      </c>
      <c r="D2746">
        <v>4650.05</v>
      </c>
      <c r="E2746">
        <v>4691.8</v>
      </c>
      <c r="F2746">
        <v>4707.3999999999996</v>
      </c>
      <c r="G2746">
        <v>8197</v>
      </c>
      <c r="H2746" s="116"/>
      <c r="I2746" s="116"/>
      <c r="L2746" s="170">
        <v>46049</v>
      </c>
      <c r="M2746" s="116">
        <v>4707.5</v>
      </c>
      <c r="N2746" s="116">
        <v>4777</v>
      </c>
      <c r="O2746" s="116">
        <v>4649.5</v>
      </c>
      <c r="P2746" s="116">
        <v>4694.5</v>
      </c>
      <c r="Q2746" s="116">
        <v>4707.5</v>
      </c>
      <c r="R2746">
        <v>178884</v>
      </c>
    </row>
    <row r="2747" spans="1:18" x14ac:dyDescent="0.25">
      <c r="A2747" s="170">
        <v>46050</v>
      </c>
      <c r="B2747">
        <v>5077.3</v>
      </c>
      <c r="C2747">
        <v>5046.1499999999996</v>
      </c>
      <c r="D2747">
        <v>4776</v>
      </c>
      <c r="E2747">
        <v>4776</v>
      </c>
      <c r="F2747">
        <v>5046.1499999999996</v>
      </c>
      <c r="G2747">
        <v>13514</v>
      </c>
      <c r="H2747" s="116"/>
      <c r="I2747" s="116"/>
      <c r="L2747" s="170">
        <v>46050</v>
      </c>
      <c r="M2747" s="116">
        <v>5043.5</v>
      </c>
      <c r="N2747" s="116">
        <v>5075</v>
      </c>
      <c r="O2747" s="116">
        <v>4750</v>
      </c>
      <c r="P2747" s="116">
        <v>4759</v>
      </c>
      <c r="Q2747" s="116">
        <v>5043.5</v>
      </c>
      <c r="R2747">
        <v>419235</v>
      </c>
    </row>
    <row r="2748" spans="1:18" x14ac:dyDescent="0.25">
      <c r="A2748" s="170">
        <v>46051</v>
      </c>
      <c r="B2748">
        <v>5550.75</v>
      </c>
      <c r="C2748">
        <v>5475.9</v>
      </c>
      <c r="D2748">
        <v>4985</v>
      </c>
      <c r="E2748">
        <v>5069.75</v>
      </c>
      <c r="F2748">
        <v>5475.9</v>
      </c>
      <c r="G2748">
        <v>155050</v>
      </c>
      <c r="H2748" s="116"/>
      <c r="I2748" s="116"/>
      <c r="L2748" s="170">
        <v>46051</v>
      </c>
      <c r="M2748" s="116">
        <v>5474</v>
      </c>
      <c r="N2748" s="116">
        <v>5547.5</v>
      </c>
      <c r="O2748" s="116">
        <v>4983.5</v>
      </c>
      <c r="P2748" s="116">
        <v>5050</v>
      </c>
      <c r="Q2748" s="116">
        <v>5474</v>
      </c>
      <c r="R2748">
        <v>2492153</v>
      </c>
    </row>
    <row r="2749" spans="1:18" x14ac:dyDescent="0.25">
      <c r="A2749" s="170">
        <v>46052</v>
      </c>
      <c r="B2749">
        <v>5608.35</v>
      </c>
      <c r="C2749">
        <v>5576.9</v>
      </c>
      <c r="D2749">
        <v>5410</v>
      </c>
      <c r="E2749">
        <v>5420</v>
      </c>
      <c r="F2749">
        <v>5576.9</v>
      </c>
      <c r="G2749">
        <v>39707</v>
      </c>
      <c r="H2749" s="116"/>
      <c r="I2749" s="116"/>
      <c r="L2749" s="170">
        <v>46052</v>
      </c>
      <c r="M2749" s="116">
        <v>5578.5</v>
      </c>
      <c r="N2749" s="116">
        <v>5605.5</v>
      </c>
      <c r="O2749" s="116">
        <v>5400</v>
      </c>
      <c r="P2749" s="116">
        <v>5440</v>
      </c>
      <c r="Q2749" s="116">
        <v>5578.5</v>
      </c>
      <c r="R2749">
        <v>634906</v>
      </c>
    </row>
    <row r="2750" spans="1:18" x14ac:dyDescent="0.25">
      <c r="A2750" s="170">
        <v>46054</v>
      </c>
      <c r="B2750">
        <v>5619.95</v>
      </c>
      <c r="C2750">
        <v>5437</v>
      </c>
      <c r="D2750">
        <v>5257.7</v>
      </c>
      <c r="E2750">
        <v>5515.65</v>
      </c>
      <c r="F2750">
        <v>5437</v>
      </c>
      <c r="G2750">
        <v>19630</v>
      </c>
      <c r="H2750" s="116"/>
      <c r="I2750" s="116"/>
      <c r="L2750" s="170">
        <v>46054</v>
      </c>
      <c r="M2750" s="116">
        <v>5437</v>
      </c>
      <c r="N2750" s="116">
        <v>5620</v>
      </c>
      <c r="O2750" s="116">
        <v>5255.5</v>
      </c>
      <c r="P2750" s="116">
        <v>5531</v>
      </c>
      <c r="Q2750" s="116">
        <v>5437</v>
      </c>
      <c r="R2750">
        <v>287431</v>
      </c>
    </row>
    <row r="2751" spans="1:18" x14ac:dyDescent="0.25">
      <c r="A2751" s="170">
        <v>46055</v>
      </c>
      <c r="B2751">
        <v>5543.55</v>
      </c>
      <c r="C2751">
        <v>5460.7</v>
      </c>
      <c r="D2751">
        <v>5365.35</v>
      </c>
      <c r="E2751">
        <v>5446.35</v>
      </c>
      <c r="F2751">
        <v>5460.7</v>
      </c>
      <c r="G2751">
        <v>18168</v>
      </c>
      <c r="H2751" s="116"/>
      <c r="I2751" s="116"/>
      <c r="L2751" s="170">
        <v>46055</v>
      </c>
      <c r="M2751" s="116">
        <v>5468</v>
      </c>
      <c r="N2751" s="116">
        <v>5537</v>
      </c>
      <c r="O2751" s="116">
        <v>5368.5</v>
      </c>
      <c r="P2751" s="116">
        <v>5490</v>
      </c>
      <c r="Q2751" s="116">
        <v>5468</v>
      </c>
      <c r="R2751">
        <v>156864</v>
      </c>
    </row>
    <row r="2752" spans="1:18" x14ac:dyDescent="0.25">
      <c r="A2752" s="170">
        <v>46056</v>
      </c>
      <c r="B2752">
        <v>5772.5</v>
      </c>
      <c r="C2752">
        <v>5669.7</v>
      </c>
      <c r="D2752">
        <v>5606.25</v>
      </c>
      <c r="E2752">
        <v>5652.55</v>
      </c>
      <c r="F2752">
        <v>5669.7</v>
      </c>
      <c r="G2752">
        <v>18617</v>
      </c>
      <c r="H2752" s="116"/>
      <c r="I2752" s="116"/>
      <c r="L2752" s="170">
        <v>46056</v>
      </c>
      <c r="M2752" s="116">
        <v>5668.5</v>
      </c>
      <c r="N2752" s="116">
        <v>5769</v>
      </c>
      <c r="O2752" s="116">
        <v>5608</v>
      </c>
      <c r="P2752" s="116">
        <v>5641.5</v>
      </c>
      <c r="Q2752" s="116">
        <v>5668.5</v>
      </c>
      <c r="R2752">
        <v>646658</v>
      </c>
    </row>
    <row r="2753" spans="1:18" x14ac:dyDescent="0.25">
      <c r="A2753" s="170">
        <v>46057</v>
      </c>
      <c r="B2753">
        <v>5865</v>
      </c>
      <c r="C2753">
        <v>5750.2</v>
      </c>
      <c r="D2753">
        <v>5581.25</v>
      </c>
      <c r="E2753">
        <v>5581.25</v>
      </c>
      <c r="F2753">
        <v>5750.2</v>
      </c>
      <c r="G2753">
        <v>19897</v>
      </c>
      <c r="H2753" s="116"/>
      <c r="I2753" s="116"/>
      <c r="L2753" s="170">
        <v>46057</v>
      </c>
      <c r="M2753" s="116">
        <v>5755</v>
      </c>
      <c r="N2753" s="116">
        <v>5867</v>
      </c>
      <c r="O2753" s="116">
        <v>5582.5</v>
      </c>
      <c r="P2753" s="116">
        <v>5661</v>
      </c>
      <c r="Q2753" s="116">
        <v>5755</v>
      </c>
      <c r="R2753">
        <v>509746</v>
      </c>
    </row>
    <row r="2754" spans="1:18" x14ac:dyDescent="0.25">
      <c r="A2754" s="170">
        <v>46058</v>
      </c>
      <c r="B2754">
        <v>5840</v>
      </c>
      <c r="C2754">
        <v>5769</v>
      </c>
      <c r="D2754">
        <v>5663.5</v>
      </c>
      <c r="E2754">
        <v>5740.2</v>
      </c>
      <c r="F2754">
        <v>5769</v>
      </c>
      <c r="G2754">
        <v>6028</v>
      </c>
      <c r="H2754" s="116"/>
      <c r="I2754" s="116"/>
      <c r="L2754" s="170">
        <v>46058</v>
      </c>
      <c r="M2754" s="116">
        <v>5770</v>
      </c>
      <c r="N2754" s="116">
        <v>5840.5</v>
      </c>
      <c r="O2754" s="116">
        <v>5663</v>
      </c>
      <c r="P2754" s="116">
        <v>5750</v>
      </c>
      <c r="Q2754" s="116">
        <v>5770</v>
      </c>
      <c r="R2754">
        <v>205411</v>
      </c>
    </row>
    <row r="2755" spans="1:18" x14ac:dyDescent="0.25">
      <c r="A2755" s="170">
        <v>46059</v>
      </c>
      <c r="B2755">
        <v>5846.95</v>
      </c>
      <c r="C2755">
        <v>5811.8</v>
      </c>
      <c r="D2755">
        <v>5726.75</v>
      </c>
      <c r="E2755">
        <v>5770</v>
      </c>
      <c r="F2755">
        <v>5811.8</v>
      </c>
      <c r="G2755">
        <v>6342</v>
      </c>
      <c r="H2755" s="116"/>
      <c r="I2755" s="116"/>
      <c r="L2755" s="170">
        <v>46059</v>
      </c>
      <c r="M2755" s="116">
        <v>5816</v>
      </c>
      <c r="N2755" s="116">
        <v>5845</v>
      </c>
      <c r="O2755" s="116">
        <v>5726.5</v>
      </c>
      <c r="P2755" s="116">
        <v>5769</v>
      </c>
      <c r="Q2755" s="116">
        <v>5816</v>
      </c>
      <c r="R2755">
        <v>304093</v>
      </c>
    </row>
    <row r="2756" spans="1:18" x14ac:dyDescent="0.25">
      <c r="A2756" s="170">
        <v>46062</v>
      </c>
      <c r="B2756">
        <v>5859.9</v>
      </c>
      <c r="C2756">
        <v>5812.85</v>
      </c>
      <c r="D2756">
        <v>5752</v>
      </c>
      <c r="E2756">
        <v>5859.9</v>
      </c>
      <c r="F2756">
        <v>5812.85</v>
      </c>
      <c r="G2756">
        <v>4850</v>
      </c>
      <c r="H2756" s="116"/>
      <c r="I2756" s="116"/>
      <c r="L2756" s="170">
        <v>46062</v>
      </c>
      <c r="M2756" s="116">
        <v>5815.5</v>
      </c>
      <c r="N2756" s="116">
        <v>5850</v>
      </c>
      <c r="O2756" s="116">
        <v>5748</v>
      </c>
      <c r="P2756" s="116">
        <v>5845</v>
      </c>
      <c r="Q2756" s="116">
        <v>5815.5</v>
      </c>
      <c r="R2756">
        <v>137449</v>
      </c>
    </row>
    <row r="2757" spans="1:18" x14ac:dyDescent="0.25">
      <c r="A2757" s="170">
        <v>46063</v>
      </c>
      <c r="B2757">
        <v>5886.65</v>
      </c>
      <c r="C2757">
        <v>5867.65</v>
      </c>
      <c r="D2757">
        <v>5808.6</v>
      </c>
      <c r="E2757">
        <v>5841</v>
      </c>
      <c r="F2757">
        <v>5867.65</v>
      </c>
      <c r="G2757">
        <v>4520</v>
      </c>
      <c r="H2757" s="116"/>
      <c r="I2757" s="116"/>
      <c r="L2757" s="170">
        <v>46063</v>
      </c>
      <c r="M2757" s="116">
        <v>5870</v>
      </c>
      <c r="N2757" s="116">
        <v>5884</v>
      </c>
      <c r="O2757" s="116">
        <v>5806</v>
      </c>
      <c r="P2757" s="116">
        <v>5850</v>
      </c>
      <c r="Q2757" s="116">
        <v>5870</v>
      </c>
      <c r="R2757">
        <v>155125</v>
      </c>
    </row>
    <row r="2758" spans="1:18" x14ac:dyDescent="0.25">
      <c r="A2758" s="170">
        <v>46064</v>
      </c>
      <c r="B2758">
        <v>5857.35</v>
      </c>
      <c r="C2758">
        <v>5826.4</v>
      </c>
      <c r="D2758">
        <v>5780</v>
      </c>
      <c r="E2758">
        <v>5840.85</v>
      </c>
      <c r="F2758">
        <v>5826.4</v>
      </c>
      <c r="G2758">
        <v>2853</v>
      </c>
      <c r="H2758" s="116"/>
      <c r="I2758" s="116"/>
      <c r="L2758" s="170">
        <v>46064</v>
      </c>
      <c r="M2758" s="116">
        <v>5825.5</v>
      </c>
      <c r="N2758" s="116">
        <v>5861</v>
      </c>
      <c r="O2758" s="116">
        <v>5781</v>
      </c>
      <c r="P2758" s="116">
        <v>5851</v>
      </c>
      <c r="Q2758" s="116">
        <v>5825.5</v>
      </c>
      <c r="R2758">
        <v>91365</v>
      </c>
    </row>
    <row r="2759" spans="1:18" x14ac:dyDescent="0.25">
      <c r="A2759" s="170">
        <v>46065</v>
      </c>
      <c r="B2759">
        <v>5859</v>
      </c>
      <c r="C2759">
        <v>5784.4</v>
      </c>
      <c r="D2759">
        <v>5758.2</v>
      </c>
      <c r="E2759">
        <v>5760.55</v>
      </c>
      <c r="F2759">
        <v>5784.4</v>
      </c>
      <c r="G2759">
        <v>7218</v>
      </c>
      <c r="H2759" s="116"/>
      <c r="I2759" s="116"/>
      <c r="L2759" s="170">
        <v>46065</v>
      </c>
      <c r="M2759" s="116">
        <v>5788.5</v>
      </c>
      <c r="N2759" s="116">
        <v>5864.5</v>
      </c>
      <c r="O2759" s="116">
        <v>5760</v>
      </c>
      <c r="P2759" s="116">
        <v>5819</v>
      </c>
      <c r="Q2759" s="116">
        <v>5788.5</v>
      </c>
      <c r="R2759">
        <v>169801</v>
      </c>
    </row>
    <row r="2760" spans="1:18" x14ac:dyDescent="0.25">
      <c r="A2760" s="170">
        <v>46066</v>
      </c>
      <c r="B2760">
        <v>5853</v>
      </c>
      <c r="C2760">
        <v>5793</v>
      </c>
      <c r="D2760">
        <v>5725</v>
      </c>
      <c r="E2760">
        <v>5784.4</v>
      </c>
      <c r="F2760">
        <v>5793</v>
      </c>
      <c r="G2760">
        <v>5228</v>
      </c>
      <c r="H2760" s="116"/>
      <c r="I2760" s="116"/>
      <c r="L2760" s="170">
        <v>46066</v>
      </c>
      <c r="M2760" s="116">
        <v>5780.5</v>
      </c>
      <c r="N2760" s="116">
        <v>5855</v>
      </c>
      <c r="O2760" s="116">
        <v>5726.5</v>
      </c>
      <c r="P2760" s="116">
        <v>5788.5</v>
      </c>
      <c r="Q2760" s="116">
        <v>5780.5</v>
      </c>
      <c r="R2760">
        <v>152957</v>
      </c>
    </row>
    <row r="2761" spans="1:18" x14ac:dyDescent="0.25">
      <c r="A2761" s="170">
        <v>46069</v>
      </c>
      <c r="B2761">
        <v>5910</v>
      </c>
      <c r="C2761">
        <v>5889.15</v>
      </c>
      <c r="D2761">
        <v>5742.5</v>
      </c>
      <c r="E2761">
        <v>5751.7</v>
      </c>
      <c r="F2761">
        <v>5889.15</v>
      </c>
      <c r="G2761">
        <v>11094</v>
      </c>
      <c r="H2761" s="116"/>
      <c r="I2761" s="116"/>
      <c r="L2761" s="170">
        <v>46069</v>
      </c>
      <c r="M2761" s="116">
        <v>5888</v>
      </c>
      <c r="N2761" s="116">
        <v>5914</v>
      </c>
      <c r="O2761" s="116">
        <v>5742.5</v>
      </c>
      <c r="P2761" s="116">
        <v>5781</v>
      </c>
      <c r="Q2761" s="116">
        <v>5888</v>
      </c>
      <c r="R2761">
        <v>188248</v>
      </c>
    </row>
    <row r="2762" spans="1:18" x14ac:dyDescent="0.25">
      <c r="A2762" s="170">
        <v>46070</v>
      </c>
      <c r="B2762">
        <v>5940</v>
      </c>
      <c r="C2762">
        <v>5835.2</v>
      </c>
      <c r="D2762">
        <v>5807</v>
      </c>
      <c r="E2762">
        <v>5883.7</v>
      </c>
      <c r="F2762">
        <v>5835.2</v>
      </c>
      <c r="G2762">
        <v>9577</v>
      </c>
      <c r="H2762" s="116"/>
      <c r="I2762" s="116"/>
      <c r="L2762" s="170">
        <v>46070</v>
      </c>
      <c r="M2762" s="116">
        <v>5836</v>
      </c>
      <c r="N2762" s="116">
        <v>5940</v>
      </c>
      <c r="O2762" s="116">
        <v>5806</v>
      </c>
      <c r="P2762" s="116">
        <v>5922.5</v>
      </c>
      <c r="Q2762" s="116">
        <v>5836</v>
      </c>
      <c r="R2762">
        <v>116120</v>
      </c>
    </row>
    <row r="2763" spans="1:18" x14ac:dyDescent="0.25">
      <c r="A2763" s="170">
        <v>46071</v>
      </c>
      <c r="B2763">
        <v>5908.85</v>
      </c>
      <c r="C2763">
        <v>5881.35</v>
      </c>
      <c r="D2763">
        <v>5772.45</v>
      </c>
      <c r="E2763">
        <v>5853.2</v>
      </c>
      <c r="F2763">
        <v>5881.35</v>
      </c>
      <c r="G2763">
        <v>3511</v>
      </c>
      <c r="H2763" s="116"/>
      <c r="I2763" s="116"/>
      <c r="L2763" s="170">
        <v>46071</v>
      </c>
      <c r="M2763" s="116">
        <v>5881.5</v>
      </c>
      <c r="N2763" s="116">
        <v>5909</v>
      </c>
      <c r="O2763" s="116">
        <v>5771.5</v>
      </c>
      <c r="P2763" s="116">
        <v>5836</v>
      </c>
      <c r="Q2763" s="116">
        <v>5881.5</v>
      </c>
      <c r="R2763">
        <v>178419</v>
      </c>
    </row>
    <row r="2764" spans="1:18" x14ac:dyDescent="0.25">
      <c r="A2764" s="170">
        <v>46072</v>
      </c>
      <c r="B2764">
        <v>5914.55</v>
      </c>
      <c r="C2764">
        <v>5715.65</v>
      </c>
      <c r="D2764">
        <v>5700.05</v>
      </c>
      <c r="E2764">
        <v>5914.55</v>
      </c>
      <c r="F2764">
        <v>5715.65</v>
      </c>
      <c r="G2764">
        <v>6986</v>
      </c>
      <c r="H2764" s="116"/>
      <c r="I2764" s="116"/>
      <c r="L2764" s="170">
        <v>46072</v>
      </c>
      <c r="M2764" s="116">
        <v>5719.5</v>
      </c>
      <c r="N2764" s="116">
        <v>5908</v>
      </c>
      <c r="O2764" s="116">
        <v>5695</v>
      </c>
      <c r="P2764" s="116">
        <v>5885</v>
      </c>
      <c r="Q2764" s="116">
        <v>5719.5</v>
      </c>
      <c r="R2764">
        <v>136031</v>
      </c>
    </row>
    <row r="2765" spans="1:18" x14ac:dyDescent="0.25">
      <c r="A2765" s="170">
        <v>46073</v>
      </c>
      <c r="B2765">
        <v>6246.75</v>
      </c>
      <c r="C2765">
        <v>5985.35</v>
      </c>
      <c r="D2765">
        <v>5700</v>
      </c>
      <c r="E2765">
        <v>5700</v>
      </c>
      <c r="F2765">
        <v>5985.35</v>
      </c>
      <c r="G2765">
        <v>272527</v>
      </c>
      <c r="H2765" s="116"/>
      <c r="I2765" s="116"/>
      <c r="L2765" s="170">
        <v>46073</v>
      </c>
      <c r="M2765" s="116">
        <v>5987</v>
      </c>
      <c r="N2765" s="116">
        <v>6246</v>
      </c>
      <c r="O2765" s="116">
        <v>5719.5</v>
      </c>
      <c r="P2765" s="116">
        <v>5725</v>
      </c>
      <c r="Q2765" s="116">
        <v>5987</v>
      </c>
      <c r="R2765">
        <v>4034978</v>
      </c>
    </row>
    <row r="2766" spans="1:18" x14ac:dyDescent="0.25">
      <c r="A2766" s="170">
        <v>46076</v>
      </c>
      <c r="B2766">
        <v>6077.65</v>
      </c>
      <c r="C2766">
        <v>5916.15</v>
      </c>
      <c r="D2766">
        <v>5777.45</v>
      </c>
      <c r="E2766">
        <v>6071.15</v>
      </c>
      <c r="F2766">
        <v>5916.15</v>
      </c>
      <c r="G2766">
        <v>49213</v>
      </c>
      <c r="H2766" s="116"/>
      <c r="I2766" s="116"/>
      <c r="L2766" s="170">
        <v>46076</v>
      </c>
      <c r="M2766" s="116">
        <v>5917.5</v>
      </c>
      <c r="N2766" s="116">
        <v>6090</v>
      </c>
      <c r="O2766" s="116">
        <v>5775</v>
      </c>
      <c r="P2766" s="116">
        <v>6090</v>
      </c>
      <c r="Q2766" s="116">
        <v>5917.5</v>
      </c>
      <c r="R2766">
        <v>831004</v>
      </c>
    </row>
    <row r="2767" spans="1:18" x14ac:dyDescent="0.25">
      <c r="A2767" s="170">
        <v>46077</v>
      </c>
      <c r="B2767">
        <v>6071.15</v>
      </c>
      <c r="C2767">
        <v>6053.95</v>
      </c>
      <c r="D2767">
        <v>5855.85</v>
      </c>
      <c r="E2767">
        <v>5855.85</v>
      </c>
      <c r="F2767">
        <v>6053.95</v>
      </c>
      <c r="G2767">
        <v>37056</v>
      </c>
      <c r="H2767" s="116"/>
      <c r="I2767" s="116"/>
      <c r="L2767" s="170">
        <v>46077</v>
      </c>
      <c r="M2767" s="116">
        <v>6056</v>
      </c>
      <c r="N2767" s="116">
        <v>6075</v>
      </c>
      <c r="O2767" s="116">
        <v>5881.5</v>
      </c>
      <c r="P2767" s="116">
        <v>5881.5</v>
      </c>
      <c r="Q2767" s="116">
        <v>6056</v>
      </c>
      <c r="R2767">
        <v>782563</v>
      </c>
    </row>
    <row r="2768" spans="1:18" x14ac:dyDescent="0.25">
      <c r="A2768" s="170">
        <v>46078</v>
      </c>
      <c r="B2768">
        <v>6181.85</v>
      </c>
      <c r="C2768">
        <v>6165.55</v>
      </c>
      <c r="D2768">
        <v>6055.15</v>
      </c>
      <c r="E2768">
        <v>6099.95</v>
      </c>
      <c r="F2768">
        <v>6165.55</v>
      </c>
      <c r="G2768">
        <v>11742</v>
      </c>
      <c r="H2768" s="116"/>
      <c r="I2768" s="116"/>
      <c r="L2768" s="170">
        <v>46078</v>
      </c>
      <c r="M2768" s="116">
        <v>6167.5</v>
      </c>
      <c r="N2768" s="116">
        <v>6180</v>
      </c>
      <c r="O2768" s="116">
        <v>6046.5</v>
      </c>
      <c r="P2768" s="116">
        <v>6101</v>
      </c>
      <c r="Q2768" s="116">
        <v>6167.5</v>
      </c>
      <c r="R2768">
        <v>363747</v>
      </c>
    </row>
    <row r="2769" spans="1:18" x14ac:dyDescent="0.25">
      <c r="A2769" s="170">
        <v>46079</v>
      </c>
      <c r="B2769">
        <v>6204.8</v>
      </c>
      <c r="C2769">
        <v>6123.85</v>
      </c>
      <c r="D2769">
        <v>6109.9</v>
      </c>
      <c r="E2769">
        <v>6161.05</v>
      </c>
      <c r="F2769">
        <v>6123.85</v>
      </c>
      <c r="G2769">
        <v>7644</v>
      </c>
      <c r="H2769" s="116"/>
      <c r="I2769" s="116"/>
      <c r="L2769" s="170">
        <v>46079</v>
      </c>
      <c r="M2769" s="116">
        <v>6133</v>
      </c>
      <c r="N2769" s="116">
        <v>6205.5</v>
      </c>
      <c r="O2769" s="116">
        <v>6110.5</v>
      </c>
      <c r="P2769" s="116">
        <v>6170</v>
      </c>
      <c r="Q2769" s="116">
        <v>6133</v>
      </c>
      <c r="R2769">
        <v>283878</v>
      </c>
    </row>
    <row r="2770" spans="1:18" x14ac:dyDescent="0.25">
      <c r="A2770" s="170">
        <v>46080</v>
      </c>
      <c r="B2770">
        <v>6134.05</v>
      </c>
      <c r="C2770">
        <v>6074.3</v>
      </c>
      <c r="D2770">
        <v>6040</v>
      </c>
      <c r="E2770">
        <v>6129.1</v>
      </c>
      <c r="F2770">
        <v>6074.3</v>
      </c>
      <c r="G2770">
        <v>6070</v>
      </c>
      <c r="H2770" s="116"/>
      <c r="I2770" s="116"/>
      <c r="L2770" s="170">
        <v>46080</v>
      </c>
      <c r="M2770" s="116">
        <v>6073</v>
      </c>
      <c r="N2770" s="116">
        <v>6128</v>
      </c>
      <c r="O2770" s="116">
        <v>6039</v>
      </c>
      <c r="P2770" s="116">
        <v>6128</v>
      </c>
      <c r="Q2770" s="116">
        <v>6073</v>
      </c>
      <c r="R2770">
        <v>602254</v>
      </c>
    </row>
    <row r="2771" spans="1:18" x14ac:dyDescent="0.25">
      <c r="A2771" s="170">
        <v>46083</v>
      </c>
      <c r="B2771">
        <v>6072.45</v>
      </c>
      <c r="C2771">
        <v>5985.65</v>
      </c>
      <c r="D2771">
        <v>5470.8</v>
      </c>
      <c r="E2771">
        <v>5470.8</v>
      </c>
      <c r="F2771">
        <v>5985.65</v>
      </c>
      <c r="G2771">
        <v>23967</v>
      </c>
      <c r="H2771" s="116"/>
      <c r="I2771" s="116"/>
      <c r="L2771" s="170">
        <v>46083</v>
      </c>
      <c r="M2771" s="116">
        <v>5983</v>
      </c>
      <c r="N2771" s="116">
        <v>6073</v>
      </c>
      <c r="O2771" s="116">
        <v>5835</v>
      </c>
      <c r="P2771" s="116">
        <v>5840</v>
      </c>
      <c r="Q2771" s="116">
        <v>5983</v>
      </c>
      <c r="R2771">
        <v>275442</v>
      </c>
    </row>
    <row r="2772" spans="1:18" x14ac:dyDescent="0.25">
      <c r="A2772" s="170">
        <v>46085</v>
      </c>
      <c r="B2772">
        <v>5919.95</v>
      </c>
      <c r="C2772">
        <v>5829.05</v>
      </c>
      <c r="D2772">
        <v>5795.05</v>
      </c>
      <c r="E2772">
        <v>5885.9</v>
      </c>
      <c r="F2772">
        <v>5829.05</v>
      </c>
      <c r="G2772">
        <v>17481</v>
      </c>
      <c r="H2772" s="116"/>
      <c r="I2772" s="116"/>
      <c r="L2772" s="170">
        <v>46085</v>
      </c>
      <c r="M2772" s="116">
        <v>5830.5</v>
      </c>
      <c r="N2772" s="116">
        <v>5911.5</v>
      </c>
      <c r="O2772" s="116">
        <v>5793.5</v>
      </c>
      <c r="P2772" s="116">
        <v>5900</v>
      </c>
      <c r="Q2772" s="116">
        <v>5830.5</v>
      </c>
      <c r="R2772">
        <v>275613</v>
      </c>
    </row>
    <row r="2773" spans="1:18" x14ac:dyDescent="0.25">
      <c r="A2773" s="170">
        <v>46086</v>
      </c>
      <c r="B2773">
        <v>5995.75</v>
      </c>
      <c r="C2773">
        <v>5928.4</v>
      </c>
      <c r="D2773">
        <v>5815.25</v>
      </c>
      <c r="E2773">
        <v>5815.25</v>
      </c>
      <c r="F2773">
        <v>5928.4</v>
      </c>
      <c r="G2773">
        <v>9673</v>
      </c>
      <c r="H2773" s="116"/>
      <c r="I2773" s="116"/>
      <c r="L2773" s="170">
        <v>46086</v>
      </c>
      <c r="M2773" s="116">
        <v>5929</v>
      </c>
      <c r="N2773" s="116">
        <v>6000.5</v>
      </c>
      <c r="O2773" s="116">
        <v>5833.5</v>
      </c>
      <c r="P2773" s="116">
        <v>5844</v>
      </c>
      <c r="Q2773" s="116">
        <v>5929</v>
      </c>
      <c r="R2773">
        <v>268401</v>
      </c>
    </row>
    <row r="2774" spans="1:18" x14ac:dyDescent="0.25">
      <c r="A2774" s="170">
        <v>46087</v>
      </c>
      <c r="B2774">
        <v>6116</v>
      </c>
      <c r="C2774">
        <v>6065.9</v>
      </c>
      <c r="D2774">
        <v>5875.55</v>
      </c>
      <c r="E2774">
        <v>5879.55</v>
      </c>
      <c r="F2774">
        <v>6065.9</v>
      </c>
      <c r="G2774">
        <v>8409</v>
      </c>
      <c r="H2774" s="116"/>
      <c r="I2774" s="116"/>
      <c r="L2774" s="170">
        <v>46087</v>
      </c>
      <c r="M2774" s="116">
        <v>6062</v>
      </c>
      <c r="N2774" s="116">
        <v>6118</v>
      </c>
      <c r="O2774" s="116">
        <v>5869</v>
      </c>
      <c r="P2774" s="116">
        <v>5900</v>
      </c>
      <c r="Q2774" s="116">
        <v>6062</v>
      </c>
      <c r="R2774">
        <v>377080</v>
      </c>
    </row>
    <row r="2775" spans="1:18" x14ac:dyDescent="0.25">
      <c r="A2775" s="170">
        <v>46090</v>
      </c>
      <c r="B2775">
        <v>6009.6</v>
      </c>
      <c r="C2775">
        <v>5979.3</v>
      </c>
      <c r="D2775">
        <v>5851.65</v>
      </c>
      <c r="E2775">
        <v>6009.6</v>
      </c>
      <c r="F2775">
        <v>5979.3</v>
      </c>
      <c r="G2775">
        <v>14645</v>
      </c>
      <c r="H2775" s="116"/>
      <c r="I2775" s="116"/>
      <c r="L2775" s="170">
        <v>46090</v>
      </c>
      <c r="M2775" s="116">
        <v>5982.5</v>
      </c>
      <c r="N2775" s="116">
        <v>6000</v>
      </c>
      <c r="O2775" s="116">
        <v>5853</v>
      </c>
      <c r="P2775" s="116">
        <v>5982</v>
      </c>
      <c r="Q2775" s="116">
        <v>5982.5</v>
      </c>
      <c r="R2775">
        <v>249926</v>
      </c>
    </row>
    <row r="2776" spans="1:18" x14ac:dyDescent="0.25">
      <c r="A2776" s="170">
        <v>46091</v>
      </c>
      <c r="B2776">
        <v>6250</v>
      </c>
      <c r="C2776">
        <v>6223.45</v>
      </c>
      <c r="D2776">
        <v>6028.05</v>
      </c>
      <c r="E2776">
        <v>6049.95</v>
      </c>
      <c r="F2776">
        <v>6223.45</v>
      </c>
      <c r="G2776">
        <v>59553</v>
      </c>
      <c r="H2776" s="116"/>
      <c r="I2776" s="116"/>
      <c r="L2776" s="170">
        <v>46091</v>
      </c>
      <c r="M2776" s="116">
        <v>6224.5</v>
      </c>
      <c r="N2776" s="116">
        <v>6250</v>
      </c>
      <c r="O2776" s="116">
        <v>6032</v>
      </c>
      <c r="P2776" s="116">
        <v>6032.5</v>
      </c>
      <c r="Q2776" s="116">
        <v>6224.5</v>
      </c>
      <c r="R2776">
        <v>474110</v>
      </c>
    </row>
    <row r="2777" spans="1:18" x14ac:dyDescent="0.25">
      <c r="A2777" s="170">
        <v>46092</v>
      </c>
      <c r="B2777">
        <v>6322</v>
      </c>
      <c r="C2777">
        <v>6280.5</v>
      </c>
      <c r="D2777">
        <v>6184.5</v>
      </c>
      <c r="E2777">
        <v>6216.75</v>
      </c>
      <c r="F2777">
        <v>6280.5</v>
      </c>
      <c r="G2777">
        <v>20414</v>
      </c>
      <c r="H2777" s="116"/>
      <c r="I2777" s="116"/>
      <c r="L2777" s="170">
        <v>46092</v>
      </c>
      <c r="M2777" s="116">
        <v>6280</v>
      </c>
      <c r="N2777" s="116">
        <v>6325</v>
      </c>
      <c r="O2777" s="116">
        <v>6181</v>
      </c>
      <c r="P2777" s="116">
        <v>6230</v>
      </c>
      <c r="Q2777" s="116">
        <v>6280</v>
      </c>
      <c r="R2777">
        <v>599883</v>
      </c>
    </row>
    <row r="2778" spans="1:18" x14ac:dyDescent="0.25">
      <c r="A2778" s="170">
        <v>46093</v>
      </c>
      <c r="B2778">
        <v>6430</v>
      </c>
      <c r="C2778">
        <v>6412.5</v>
      </c>
      <c r="D2778">
        <v>6145.05</v>
      </c>
      <c r="E2778">
        <v>6249.95</v>
      </c>
      <c r="F2778">
        <v>6412.5</v>
      </c>
      <c r="G2778">
        <v>107201</v>
      </c>
      <c r="H2778" s="116"/>
      <c r="I2778" s="116"/>
      <c r="L2778" s="170">
        <v>46093</v>
      </c>
      <c r="M2778" s="116">
        <v>6409</v>
      </c>
      <c r="N2778" s="116">
        <v>6429.5</v>
      </c>
      <c r="O2778" s="116">
        <v>6146</v>
      </c>
      <c r="P2778" s="116">
        <v>6242</v>
      </c>
      <c r="Q2778" s="116">
        <v>6409</v>
      </c>
      <c r="R2778">
        <v>596298</v>
      </c>
    </row>
    <row r="2779" spans="1:18" x14ac:dyDescent="0.25">
      <c r="A2779" s="170">
        <v>46094</v>
      </c>
      <c r="B2779">
        <v>6555</v>
      </c>
      <c r="C2779">
        <v>6394.6</v>
      </c>
      <c r="D2779">
        <v>6337.4</v>
      </c>
      <c r="E2779">
        <v>6413.65</v>
      </c>
      <c r="F2779">
        <v>6394.6</v>
      </c>
      <c r="G2779">
        <v>111497</v>
      </c>
      <c r="H2779" s="116"/>
      <c r="I2779" s="116"/>
      <c r="L2779" s="170">
        <v>46094</v>
      </c>
      <c r="M2779" s="116">
        <v>6392.5</v>
      </c>
      <c r="N2779" s="116">
        <v>6554</v>
      </c>
      <c r="O2779" s="116">
        <v>6339.5</v>
      </c>
      <c r="P2779" s="116">
        <v>6439.5</v>
      </c>
      <c r="Q2779" s="116">
        <v>6392.5</v>
      </c>
      <c r="R2779">
        <v>1070957</v>
      </c>
    </row>
    <row r="2780" spans="1:18" x14ac:dyDescent="0.25">
      <c r="A2780" s="170">
        <v>46097</v>
      </c>
      <c r="B2780">
        <v>6412</v>
      </c>
      <c r="C2780">
        <v>6218.6</v>
      </c>
      <c r="D2780">
        <v>6164.55</v>
      </c>
      <c r="E2780">
        <v>6402.05</v>
      </c>
      <c r="F2780">
        <v>6218.6</v>
      </c>
      <c r="G2780">
        <v>26950</v>
      </c>
      <c r="H2780" s="116"/>
      <c r="I2780" s="116"/>
      <c r="L2780" s="170">
        <v>46097</v>
      </c>
      <c r="M2780" s="116">
        <v>6218</v>
      </c>
      <c r="N2780" s="116">
        <v>6417</v>
      </c>
      <c r="O2780" s="116">
        <v>6162.5</v>
      </c>
      <c r="P2780" s="116">
        <v>6400</v>
      </c>
      <c r="Q2780" s="116">
        <v>6218</v>
      </c>
      <c r="R2780">
        <v>371084</v>
      </c>
    </row>
    <row r="2781" spans="1:18" x14ac:dyDescent="0.25">
      <c r="A2781" s="170">
        <v>46098</v>
      </c>
      <c r="B2781">
        <v>6336.25</v>
      </c>
      <c r="C2781">
        <v>6312.45</v>
      </c>
      <c r="D2781">
        <v>6179.8</v>
      </c>
      <c r="E2781">
        <v>6218.65</v>
      </c>
      <c r="F2781">
        <v>6312.45</v>
      </c>
      <c r="G2781">
        <v>14938</v>
      </c>
      <c r="H2781" s="116"/>
      <c r="I2781" s="116"/>
      <c r="L2781" s="170">
        <v>46098</v>
      </c>
      <c r="M2781" s="116">
        <v>6310.5</v>
      </c>
      <c r="N2781" s="116">
        <v>6337.5</v>
      </c>
      <c r="O2781" s="116">
        <v>6176.5</v>
      </c>
      <c r="P2781" s="116">
        <v>6237.5</v>
      </c>
      <c r="Q2781" s="116">
        <v>6310.5</v>
      </c>
      <c r="R2781">
        <v>297126</v>
      </c>
    </row>
    <row r="2782" spans="1:18" x14ac:dyDescent="0.25">
      <c r="A2782" s="170">
        <v>46099</v>
      </c>
      <c r="B2782">
        <v>6417.45</v>
      </c>
      <c r="C2782">
        <v>6336.2</v>
      </c>
      <c r="D2782">
        <v>6279</v>
      </c>
      <c r="E2782">
        <v>6314</v>
      </c>
      <c r="F2782">
        <v>6336.2</v>
      </c>
      <c r="G2782">
        <v>17504</v>
      </c>
      <c r="H2782" s="116"/>
      <c r="I2782" s="116"/>
      <c r="L2782" s="170">
        <v>46099</v>
      </c>
      <c r="M2782" s="116">
        <v>6337.5</v>
      </c>
      <c r="N2782" s="116">
        <v>6415.5</v>
      </c>
      <c r="O2782" s="116">
        <v>6280.5</v>
      </c>
      <c r="P2782" s="116">
        <v>6320.5</v>
      </c>
      <c r="Q2782" s="116">
        <v>6337.5</v>
      </c>
      <c r="R2782">
        <v>280678</v>
      </c>
    </row>
    <row r="2783" spans="1:18" x14ac:dyDescent="0.25">
      <c r="A2783" s="170">
        <v>46100</v>
      </c>
      <c r="B2783">
        <v>6325</v>
      </c>
      <c r="C2783">
        <v>6196.1</v>
      </c>
      <c r="D2783">
        <v>6176.65</v>
      </c>
      <c r="E2783">
        <v>6251.1</v>
      </c>
      <c r="F2783">
        <v>6196.1</v>
      </c>
      <c r="G2783">
        <v>8891</v>
      </c>
      <c r="H2783" s="116"/>
      <c r="I2783" s="116"/>
      <c r="L2783" s="170">
        <v>46100</v>
      </c>
      <c r="M2783" s="116">
        <v>6214</v>
      </c>
      <c r="N2783" s="116">
        <v>6322</v>
      </c>
      <c r="O2783" s="116">
        <v>6178.5</v>
      </c>
      <c r="P2783" s="116">
        <v>6261</v>
      </c>
      <c r="Q2783" s="116">
        <v>6214</v>
      </c>
      <c r="R2783">
        <v>212355</v>
      </c>
    </row>
    <row r="2784" spans="1:18" x14ac:dyDescent="0.25">
      <c r="A2784" s="170">
        <v>46101</v>
      </c>
      <c r="B2784">
        <v>6379</v>
      </c>
      <c r="C2784">
        <v>6297.4</v>
      </c>
      <c r="D2784">
        <v>6278.1</v>
      </c>
      <c r="E2784">
        <v>6284.4</v>
      </c>
      <c r="F2784">
        <v>6297.4</v>
      </c>
      <c r="G2784">
        <v>10823</v>
      </c>
      <c r="H2784" s="116"/>
      <c r="I2784" s="116"/>
      <c r="L2784" s="170">
        <v>46101</v>
      </c>
      <c r="M2784" s="116">
        <v>6297</v>
      </c>
      <c r="N2784" s="116">
        <v>6380</v>
      </c>
      <c r="O2784" s="116">
        <v>6250</v>
      </c>
      <c r="P2784" s="116">
        <v>6250</v>
      </c>
      <c r="Q2784" s="116">
        <v>6297</v>
      </c>
      <c r="R2784">
        <v>274862</v>
      </c>
    </row>
    <row r="2785" spans="1:18" x14ac:dyDescent="0.25">
      <c r="A2785" s="170">
        <v>46104</v>
      </c>
      <c r="B2785">
        <v>6255.6</v>
      </c>
      <c r="C2785">
        <v>6039.3</v>
      </c>
      <c r="D2785">
        <v>5971.4</v>
      </c>
      <c r="E2785">
        <v>6251.05</v>
      </c>
      <c r="F2785">
        <v>6039.3</v>
      </c>
      <c r="G2785">
        <v>18077</v>
      </c>
      <c r="H2785" s="116"/>
      <c r="I2785" s="116"/>
      <c r="L2785" s="170">
        <v>46104</v>
      </c>
      <c r="M2785" s="116">
        <v>6041.5</v>
      </c>
      <c r="N2785" s="116">
        <v>6264</v>
      </c>
      <c r="O2785" s="116">
        <v>5975</v>
      </c>
      <c r="P2785" s="116">
        <v>6264</v>
      </c>
      <c r="Q2785" s="116">
        <v>6041.5</v>
      </c>
      <c r="R2785">
        <v>274731</v>
      </c>
    </row>
    <row r="2786" spans="1:18" x14ac:dyDescent="0.25">
      <c r="A2786" s="170">
        <v>46105</v>
      </c>
      <c r="B2786">
        <v>6266.3</v>
      </c>
      <c r="C2786">
        <v>6157.45</v>
      </c>
      <c r="D2786">
        <v>6050</v>
      </c>
      <c r="E2786">
        <v>6266.3</v>
      </c>
      <c r="F2786">
        <v>6157.45</v>
      </c>
      <c r="G2786">
        <v>7927</v>
      </c>
      <c r="H2786" s="116"/>
      <c r="I2786" s="116"/>
      <c r="L2786" s="170">
        <v>46105</v>
      </c>
      <c r="M2786" s="116">
        <v>6162</v>
      </c>
      <c r="N2786" s="116">
        <v>6244.5</v>
      </c>
      <c r="O2786" s="116">
        <v>6045</v>
      </c>
      <c r="P2786" s="116">
        <v>6200</v>
      </c>
      <c r="Q2786" s="116">
        <v>6162</v>
      </c>
      <c r="R2786">
        <v>280421</v>
      </c>
    </row>
    <row r="2787" spans="1:18" x14ac:dyDescent="0.25">
      <c r="A2787" s="170">
        <v>46106</v>
      </c>
      <c r="B2787">
        <v>6291.95</v>
      </c>
      <c r="C2787">
        <v>6212.2</v>
      </c>
      <c r="D2787">
        <v>6190</v>
      </c>
      <c r="E2787">
        <v>6190.5</v>
      </c>
      <c r="F2787">
        <v>6212.2</v>
      </c>
      <c r="G2787">
        <v>4859</v>
      </c>
      <c r="H2787" s="116"/>
      <c r="I2787" s="116"/>
      <c r="L2787" s="170">
        <v>46106</v>
      </c>
      <c r="M2787" s="116">
        <v>6212.5</v>
      </c>
      <c r="N2787" s="116">
        <v>6290</v>
      </c>
      <c r="O2787" s="116">
        <v>6185.5</v>
      </c>
      <c r="P2787" s="116">
        <v>6200</v>
      </c>
      <c r="Q2787" s="116">
        <v>6212.5</v>
      </c>
      <c r="R2787">
        <v>231844</v>
      </c>
    </row>
    <row r="2788" spans="1:18" x14ac:dyDescent="0.25">
      <c r="A2788" s="170">
        <v>46108</v>
      </c>
      <c r="B2788">
        <v>6211.65</v>
      </c>
      <c r="C2788">
        <v>6106.7</v>
      </c>
      <c r="D2788">
        <v>5992</v>
      </c>
      <c r="E2788">
        <v>6211.65</v>
      </c>
      <c r="F2788">
        <v>6106.7</v>
      </c>
      <c r="G2788">
        <v>8737</v>
      </c>
      <c r="H2788" s="116"/>
      <c r="I2788" s="116"/>
      <c r="L2788" s="170">
        <v>46108</v>
      </c>
      <c r="M2788" s="116">
        <v>6105</v>
      </c>
      <c r="N2788" s="116">
        <v>6190</v>
      </c>
      <c r="O2788" s="116">
        <v>5987</v>
      </c>
      <c r="P2788" s="116">
        <v>6190</v>
      </c>
      <c r="Q2788" s="116">
        <v>6105</v>
      </c>
      <c r="R2788">
        <v>425645</v>
      </c>
    </row>
    <row r="2789" spans="1:18" x14ac:dyDescent="0.25">
      <c r="A2789" s="170">
        <v>46111</v>
      </c>
      <c r="B2789">
        <v>6100</v>
      </c>
      <c r="C2789">
        <v>5936.5</v>
      </c>
      <c r="D2789">
        <v>5908</v>
      </c>
      <c r="E2789">
        <v>5970</v>
      </c>
      <c r="F2789">
        <v>5936.5</v>
      </c>
      <c r="G2789">
        <v>14736</v>
      </c>
      <c r="H2789" s="116"/>
      <c r="I2789" s="116"/>
      <c r="L2789" s="170">
        <v>46111</v>
      </c>
      <c r="M2789" s="116">
        <v>5941.5</v>
      </c>
      <c r="N2789" s="116">
        <v>6100</v>
      </c>
      <c r="O2789" s="116">
        <v>5911</v>
      </c>
      <c r="P2789" s="116">
        <v>5995</v>
      </c>
      <c r="Q2789" s="116">
        <v>5941.5</v>
      </c>
      <c r="R2789">
        <v>342351</v>
      </c>
    </row>
    <row r="2790" spans="1:18" x14ac:dyDescent="0.25">
      <c r="A2790" s="170">
        <v>46113</v>
      </c>
      <c r="B2790">
        <v>6189.85</v>
      </c>
      <c r="C2790">
        <v>6058.65</v>
      </c>
      <c r="D2790">
        <v>6011.7</v>
      </c>
      <c r="E2790">
        <v>6189.85</v>
      </c>
      <c r="F2790">
        <v>6058.65</v>
      </c>
      <c r="G2790">
        <v>10206</v>
      </c>
      <c r="H2790" s="116"/>
      <c r="I2790" s="116"/>
      <c r="L2790" s="170">
        <v>46113</v>
      </c>
      <c r="M2790" s="116">
        <v>6063</v>
      </c>
      <c r="N2790" s="116">
        <v>6188.5</v>
      </c>
      <c r="O2790" s="116">
        <v>6012</v>
      </c>
      <c r="P2790" s="116">
        <v>6180</v>
      </c>
      <c r="Q2790" s="116">
        <v>6063</v>
      </c>
      <c r="R2790">
        <v>339497</v>
      </c>
    </row>
    <row r="2791" spans="1:18" x14ac:dyDescent="0.25">
      <c r="A2791" s="170">
        <v>46114</v>
      </c>
      <c r="B2791">
        <v>6157</v>
      </c>
      <c r="C2791">
        <v>6144.65</v>
      </c>
      <c r="D2791">
        <v>5917.95</v>
      </c>
      <c r="E2791">
        <v>6029.25</v>
      </c>
      <c r="F2791">
        <v>6144.65</v>
      </c>
      <c r="G2791">
        <v>5960</v>
      </c>
      <c r="H2791" s="116"/>
      <c r="I2791" s="116"/>
      <c r="L2791" s="170">
        <v>46114</v>
      </c>
      <c r="M2791" s="116">
        <v>6142</v>
      </c>
      <c r="N2791" s="116">
        <v>6158</v>
      </c>
      <c r="O2791" s="116">
        <v>5916.5</v>
      </c>
      <c r="P2791" s="116">
        <v>6021.5</v>
      </c>
      <c r="Q2791" s="116">
        <v>6142</v>
      </c>
      <c r="R2791">
        <v>275527</v>
      </c>
    </row>
    <row r="2792" spans="1:18" x14ac:dyDescent="0.25">
      <c r="A2792" s="170">
        <v>46118</v>
      </c>
      <c r="B2792">
        <v>6244.9</v>
      </c>
      <c r="C2792">
        <v>6188.8</v>
      </c>
      <c r="D2792">
        <v>6087.3</v>
      </c>
      <c r="E2792">
        <v>6144.65</v>
      </c>
      <c r="F2792">
        <v>6188.8</v>
      </c>
      <c r="G2792">
        <v>13265</v>
      </c>
      <c r="H2792" s="116"/>
      <c r="I2792" s="116"/>
      <c r="L2792" s="170">
        <v>46118</v>
      </c>
      <c r="M2792" s="116">
        <v>6193.5</v>
      </c>
      <c r="N2792" s="116">
        <v>6247.5</v>
      </c>
      <c r="O2792" s="116">
        <v>6088</v>
      </c>
      <c r="P2792" s="116">
        <v>6150</v>
      </c>
      <c r="Q2792" s="116">
        <v>6193.5</v>
      </c>
      <c r="R2792">
        <v>259645</v>
      </c>
    </row>
    <row r="2793" spans="1:18" x14ac:dyDescent="0.25">
      <c r="A2793" s="170">
        <v>46119</v>
      </c>
      <c r="B2793">
        <v>6279.95</v>
      </c>
      <c r="C2793">
        <v>6269.4</v>
      </c>
      <c r="D2793">
        <v>6094.1</v>
      </c>
      <c r="E2793">
        <v>6188.8</v>
      </c>
      <c r="F2793">
        <v>6269.4</v>
      </c>
      <c r="G2793">
        <v>5286</v>
      </c>
      <c r="H2793" s="116"/>
      <c r="I2793" s="116"/>
      <c r="L2793" s="170">
        <v>46119</v>
      </c>
      <c r="M2793" s="116">
        <v>6269</v>
      </c>
      <c r="N2793" s="116">
        <v>6280</v>
      </c>
      <c r="O2793" s="116">
        <v>6081.5</v>
      </c>
      <c r="P2793" s="116">
        <v>6175</v>
      </c>
      <c r="Q2793" s="116">
        <v>6269</v>
      </c>
      <c r="R2793">
        <v>253657</v>
      </c>
    </row>
    <row r="2794" spans="1:18" x14ac:dyDescent="0.25">
      <c r="A2794" s="170">
        <v>46120</v>
      </c>
      <c r="B2794">
        <v>6580.5</v>
      </c>
      <c r="C2794">
        <v>6564.65</v>
      </c>
      <c r="D2794">
        <v>6368.85</v>
      </c>
      <c r="E2794">
        <v>6398.95</v>
      </c>
      <c r="F2794">
        <v>6564.65</v>
      </c>
      <c r="G2794">
        <v>28277</v>
      </c>
      <c r="H2794" s="116"/>
      <c r="I2794" s="116"/>
      <c r="L2794" s="170">
        <v>46120</v>
      </c>
      <c r="M2794" s="116">
        <v>6565</v>
      </c>
      <c r="N2794" s="116">
        <v>6584.5</v>
      </c>
      <c r="O2794" s="116">
        <v>6370</v>
      </c>
      <c r="P2794" s="116">
        <v>6399</v>
      </c>
      <c r="Q2794" s="116">
        <v>6565</v>
      </c>
      <c r="R2794">
        <v>626418</v>
      </c>
    </row>
    <row r="2795" spans="1:18" x14ac:dyDescent="0.25">
      <c r="A2795" s="170">
        <v>46121</v>
      </c>
      <c r="B2795">
        <v>6640</v>
      </c>
      <c r="C2795">
        <v>6613.5</v>
      </c>
      <c r="D2795">
        <v>6489</v>
      </c>
      <c r="E2795">
        <v>6571.05</v>
      </c>
      <c r="F2795">
        <v>6613.5</v>
      </c>
      <c r="G2795">
        <v>22889</v>
      </c>
      <c r="H2795" s="116"/>
      <c r="I2795" s="116"/>
      <c r="L2795" s="170">
        <v>46121</v>
      </c>
      <c r="M2795" s="116">
        <v>6614</v>
      </c>
      <c r="N2795" s="116">
        <v>6642</v>
      </c>
      <c r="O2795" s="116">
        <v>6483.5</v>
      </c>
      <c r="P2795" s="116">
        <v>6575</v>
      </c>
      <c r="Q2795" s="116">
        <v>6614</v>
      </c>
      <c r="R2795">
        <v>591302</v>
      </c>
    </row>
    <row r="2796" spans="1:18" x14ac:dyDescent="0.25">
      <c r="A2796" s="170">
        <v>46122</v>
      </c>
      <c r="B2796">
        <v>6902.2</v>
      </c>
      <c r="C2796">
        <v>6865.95</v>
      </c>
      <c r="D2796">
        <v>6615</v>
      </c>
      <c r="E2796">
        <v>6665.25</v>
      </c>
      <c r="F2796">
        <v>6865.95</v>
      </c>
      <c r="G2796">
        <v>18932</v>
      </c>
      <c r="H2796" s="116"/>
      <c r="I2796" s="116"/>
      <c r="L2796" s="170">
        <v>46122</v>
      </c>
      <c r="M2796" s="116">
        <v>6859.5</v>
      </c>
      <c r="N2796" s="116">
        <v>6905.5</v>
      </c>
      <c r="O2796" s="116">
        <v>6612.5</v>
      </c>
      <c r="P2796" s="116">
        <v>6642</v>
      </c>
      <c r="Q2796" s="116">
        <v>6859.5</v>
      </c>
      <c r="R2796">
        <v>798909</v>
      </c>
    </row>
    <row r="2797" spans="1:18" x14ac:dyDescent="0.25">
      <c r="A2797" s="170">
        <v>46125</v>
      </c>
      <c r="B2797">
        <v>6878.35</v>
      </c>
      <c r="C2797">
        <v>6829.75</v>
      </c>
      <c r="D2797">
        <v>6587.45</v>
      </c>
      <c r="E2797">
        <v>6587.45</v>
      </c>
      <c r="F2797">
        <v>6829.75</v>
      </c>
      <c r="G2797">
        <v>30239</v>
      </c>
      <c r="H2797" s="116"/>
      <c r="I2797" s="116"/>
      <c r="L2797" s="170">
        <v>46125</v>
      </c>
      <c r="M2797" s="116">
        <v>6828.5</v>
      </c>
      <c r="N2797" s="116">
        <v>6878.5</v>
      </c>
      <c r="O2797" s="116">
        <v>6688</v>
      </c>
      <c r="P2797" s="116">
        <v>6725</v>
      </c>
      <c r="Q2797" s="116">
        <v>6828.5</v>
      </c>
      <c r="R2797">
        <v>320237</v>
      </c>
    </row>
    <row r="2798" spans="1:18" x14ac:dyDescent="0.25">
      <c r="A2798" s="170">
        <v>46127</v>
      </c>
      <c r="B2798">
        <v>6993</v>
      </c>
      <c r="C2798">
        <v>6867.25</v>
      </c>
      <c r="D2798">
        <v>6840.5</v>
      </c>
      <c r="E2798">
        <v>6880</v>
      </c>
      <c r="F2798">
        <v>6867.25</v>
      </c>
      <c r="G2798">
        <v>19081</v>
      </c>
      <c r="H2798" s="116"/>
      <c r="I2798" s="116"/>
      <c r="L2798" s="170">
        <v>46127</v>
      </c>
      <c r="M2798" s="116">
        <v>6873</v>
      </c>
      <c r="N2798" s="116">
        <v>6993</v>
      </c>
      <c r="O2798" s="116">
        <v>6844</v>
      </c>
      <c r="P2798" s="116">
        <v>6890</v>
      </c>
      <c r="Q2798" s="116">
        <v>6873</v>
      </c>
      <c r="R2798">
        <v>499662</v>
      </c>
    </row>
    <row r="2799" spans="1:18" x14ac:dyDescent="0.25">
      <c r="A2799" s="170">
        <v>46128</v>
      </c>
      <c r="B2799">
        <v>6909.4</v>
      </c>
      <c r="C2799">
        <v>6887.6</v>
      </c>
      <c r="D2799">
        <v>6734</v>
      </c>
      <c r="E2799">
        <v>6879.95</v>
      </c>
      <c r="F2799">
        <v>6887.6</v>
      </c>
      <c r="G2799">
        <v>11388</v>
      </c>
      <c r="H2799" s="116"/>
      <c r="I2799" s="116"/>
      <c r="L2799" s="170">
        <v>46128</v>
      </c>
      <c r="M2799" s="116">
        <v>6883.5</v>
      </c>
      <c r="N2799" s="116">
        <v>6907</v>
      </c>
      <c r="O2799" s="116">
        <v>6732.5</v>
      </c>
      <c r="P2799" s="116">
        <v>6873.5</v>
      </c>
      <c r="Q2799" s="116">
        <v>6883.5</v>
      </c>
      <c r="R2799">
        <v>548523</v>
      </c>
    </row>
    <row r="2800" spans="1:18" x14ac:dyDescent="0.25">
      <c r="A2800" s="170">
        <v>46129</v>
      </c>
      <c r="B2800">
        <v>7085.9</v>
      </c>
      <c r="C2800">
        <v>7029.95</v>
      </c>
      <c r="D2800">
        <v>6847.1</v>
      </c>
      <c r="E2800">
        <v>6854.7</v>
      </c>
      <c r="F2800">
        <v>7029.95</v>
      </c>
      <c r="G2800">
        <v>18172</v>
      </c>
      <c r="H2800" s="116"/>
      <c r="I2800" s="116"/>
      <c r="L2800" s="170">
        <v>46129</v>
      </c>
      <c r="M2800" s="116">
        <v>7029.5</v>
      </c>
      <c r="N2800" s="116">
        <v>7083</v>
      </c>
      <c r="O2800" s="116">
        <v>6833.5</v>
      </c>
      <c r="P2800" s="116">
        <v>6880</v>
      </c>
      <c r="Q2800" s="116">
        <v>7029.5</v>
      </c>
      <c r="R2800">
        <v>558816</v>
      </c>
    </row>
    <row r="2801" spans="1:18" x14ac:dyDescent="0.25">
      <c r="A2801" s="170">
        <v>46132</v>
      </c>
      <c r="B2801">
        <v>7319.3</v>
      </c>
      <c r="C2801">
        <v>7155.7</v>
      </c>
      <c r="D2801">
        <v>6992.3</v>
      </c>
      <c r="E2801">
        <v>7031.15</v>
      </c>
      <c r="F2801">
        <v>7155.7</v>
      </c>
      <c r="G2801">
        <v>27100</v>
      </c>
      <c r="H2801" s="116"/>
      <c r="I2801" s="116"/>
      <c r="L2801" s="170">
        <v>46132</v>
      </c>
      <c r="M2801" s="116">
        <v>7158</v>
      </c>
      <c r="N2801" s="116">
        <v>7319.5</v>
      </c>
      <c r="O2801" s="116">
        <v>6993.5</v>
      </c>
      <c r="P2801" s="116">
        <v>7054.5</v>
      </c>
      <c r="Q2801" s="116">
        <v>7158</v>
      </c>
      <c r="R2801">
        <v>559841</v>
      </c>
    </row>
    <row r="2802" spans="1:18" x14ac:dyDescent="0.25">
      <c r="A2802" s="170">
        <v>46133</v>
      </c>
      <c r="B2802">
        <v>7301.65</v>
      </c>
      <c r="C2802">
        <v>7254.8</v>
      </c>
      <c r="D2802">
        <v>7190.85</v>
      </c>
      <c r="E2802">
        <v>7197</v>
      </c>
      <c r="F2802">
        <v>7254.8</v>
      </c>
      <c r="G2802">
        <v>8880</v>
      </c>
      <c r="H2802" s="116"/>
      <c r="I2802" s="116"/>
      <c r="L2802" s="170">
        <v>46133</v>
      </c>
      <c r="M2802" s="116">
        <v>7255</v>
      </c>
      <c r="N2802" s="116">
        <v>7300</v>
      </c>
      <c r="O2802" s="116">
        <v>7184</v>
      </c>
      <c r="P2802" s="116">
        <v>7200</v>
      </c>
      <c r="Q2802" s="116">
        <v>7255</v>
      </c>
      <c r="R2802">
        <v>260767</v>
      </c>
    </row>
    <row r="2803" spans="1:18" x14ac:dyDescent="0.25">
      <c r="A2803" s="170">
        <v>46134</v>
      </c>
      <c r="B2803">
        <v>7824.95</v>
      </c>
      <c r="C2803">
        <v>7586.95</v>
      </c>
      <c r="D2803">
        <v>7169.8</v>
      </c>
      <c r="E2803">
        <v>7294.45</v>
      </c>
      <c r="F2803">
        <v>7586.95</v>
      </c>
      <c r="G2803">
        <v>70304</v>
      </c>
      <c r="H2803" s="116"/>
      <c r="I2803" s="116"/>
      <c r="L2803" s="170">
        <v>46134</v>
      </c>
      <c r="M2803" s="116">
        <v>7587</v>
      </c>
      <c r="N2803" s="116">
        <v>7822.5</v>
      </c>
      <c r="O2803" s="116">
        <v>7161</v>
      </c>
      <c r="P2803" s="116">
        <v>7253</v>
      </c>
      <c r="Q2803" s="116">
        <v>7587</v>
      </c>
      <c r="R2803">
        <v>1729200</v>
      </c>
    </row>
    <row r="2804" spans="1:18" x14ac:dyDescent="0.25">
      <c r="A2804" s="170">
        <v>46135</v>
      </c>
      <c r="B2804">
        <v>7651.95</v>
      </c>
      <c r="C2804">
        <v>7570.2</v>
      </c>
      <c r="D2804">
        <v>7533.7</v>
      </c>
      <c r="E2804">
        <v>7613.4</v>
      </c>
      <c r="F2804">
        <v>7570.2</v>
      </c>
      <c r="G2804">
        <v>59866</v>
      </c>
      <c r="H2804" s="116"/>
      <c r="I2804" s="116"/>
      <c r="L2804" s="170">
        <v>46135</v>
      </c>
      <c r="M2804" s="116">
        <v>7575.5</v>
      </c>
      <c r="N2804" s="116">
        <v>7650</v>
      </c>
      <c r="O2804" s="116">
        <v>7533.5</v>
      </c>
      <c r="P2804" s="116">
        <v>7587</v>
      </c>
      <c r="Q2804" s="116">
        <v>7575.5</v>
      </c>
      <c r="R2804">
        <v>376857</v>
      </c>
    </row>
    <row r="2805" spans="1:18" x14ac:dyDescent="0.25">
      <c r="A2805" s="170">
        <v>46136</v>
      </c>
      <c r="B2805">
        <v>7592.45</v>
      </c>
      <c r="C2805">
        <v>7327</v>
      </c>
      <c r="D2805">
        <v>7303.65</v>
      </c>
      <c r="E2805">
        <v>7560.95</v>
      </c>
      <c r="F2805">
        <v>7327</v>
      </c>
      <c r="G2805">
        <v>16466</v>
      </c>
      <c r="H2805" s="116"/>
      <c r="I2805" s="116"/>
      <c r="L2805" s="170">
        <v>46136</v>
      </c>
      <c r="M2805" s="116">
        <v>7328.5</v>
      </c>
      <c r="N2805" s="116">
        <v>7594</v>
      </c>
      <c r="O2805" s="116">
        <v>7304</v>
      </c>
      <c r="P2805" s="116">
        <v>7575.5</v>
      </c>
      <c r="Q2805" s="116">
        <v>7328.5</v>
      </c>
      <c r="R2805">
        <v>343502</v>
      </c>
    </row>
    <row r="2806" spans="1:18" x14ac:dyDescent="0.25">
      <c r="A2806" s="170">
        <v>46139</v>
      </c>
      <c r="B2806">
        <v>7473.5</v>
      </c>
      <c r="C2806">
        <v>7431.85</v>
      </c>
      <c r="D2806">
        <v>7280.55</v>
      </c>
      <c r="E2806">
        <v>7449.75</v>
      </c>
      <c r="F2806">
        <v>7431.85</v>
      </c>
      <c r="G2806">
        <v>11712</v>
      </c>
      <c r="H2806" s="116"/>
      <c r="I2806" s="116"/>
      <c r="L2806" s="170">
        <v>46139</v>
      </c>
      <c r="M2806" s="116">
        <v>7430.5</v>
      </c>
      <c r="N2806" s="116">
        <v>7475</v>
      </c>
      <c r="O2806" s="116">
        <v>7282.5</v>
      </c>
      <c r="P2806" s="116">
        <v>7330.5</v>
      </c>
      <c r="Q2806" s="116">
        <v>7430.5</v>
      </c>
      <c r="R2806">
        <v>267337</v>
      </c>
    </row>
    <row r="2807" spans="1:18" x14ac:dyDescent="0.25">
      <c r="A2807" s="170">
        <v>46140</v>
      </c>
      <c r="B2807">
        <v>7494.45</v>
      </c>
      <c r="C2807">
        <v>7289.85</v>
      </c>
      <c r="D2807">
        <v>7251</v>
      </c>
      <c r="E2807">
        <v>7434.15</v>
      </c>
      <c r="F2807">
        <v>7289.85</v>
      </c>
      <c r="G2807">
        <v>15317</v>
      </c>
      <c r="H2807" s="116"/>
      <c r="I2807" s="116"/>
      <c r="L2807" s="170">
        <v>46140</v>
      </c>
      <c r="M2807" s="116">
        <v>7288</v>
      </c>
      <c r="N2807" s="116">
        <v>7490</v>
      </c>
      <c r="O2807" s="116">
        <v>7251.5</v>
      </c>
      <c r="P2807" s="116">
        <v>7449</v>
      </c>
      <c r="Q2807" s="116">
        <v>7288</v>
      </c>
      <c r="R2807">
        <v>296110</v>
      </c>
    </row>
    <row r="2808" spans="1:18" x14ac:dyDescent="0.25">
      <c r="A2808" s="170">
        <v>46141</v>
      </c>
      <c r="B2808">
        <v>7369.25</v>
      </c>
      <c r="C2808">
        <v>7265</v>
      </c>
      <c r="D2808">
        <v>7210.45</v>
      </c>
      <c r="E2808">
        <v>7315.75</v>
      </c>
      <c r="F2808">
        <v>7265</v>
      </c>
      <c r="G2808">
        <v>11062</v>
      </c>
      <c r="H2808" s="116"/>
      <c r="I2808" s="116"/>
      <c r="L2808" s="170">
        <v>46141</v>
      </c>
      <c r="M2808" s="116">
        <v>7264.5</v>
      </c>
      <c r="N2808" s="116">
        <v>7373</v>
      </c>
      <c r="O2808" s="116">
        <v>7212</v>
      </c>
      <c r="P2808" s="116">
        <v>7340</v>
      </c>
      <c r="Q2808" s="116">
        <v>7264.5</v>
      </c>
      <c r="R2808">
        <v>361430</v>
      </c>
    </row>
    <row r="2809" spans="1:18" x14ac:dyDescent="0.25">
      <c r="A2809" s="170">
        <v>46142</v>
      </c>
      <c r="B2809">
        <v>7304.3</v>
      </c>
      <c r="C2809">
        <v>7229.05</v>
      </c>
      <c r="D2809">
        <v>7102</v>
      </c>
      <c r="E2809">
        <v>7259.05</v>
      </c>
      <c r="F2809">
        <v>7229.05</v>
      </c>
      <c r="G2809">
        <v>15935</v>
      </c>
      <c r="H2809" s="116"/>
      <c r="I2809" s="116"/>
      <c r="L2809" s="170">
        <v>46142</v>
      </c>
      <c r="M2809" s="116">
        <v>7230</v>
      </c>
      <c r="N2809" s="116">
        <v>7305</v>
      </c>
      <c r="O2809" s="116">
        <v>7102</v>
      </c>
      <c r="P2809" s="116">
        <v>7250</v>
      </c>
      <c r="Q2809" s="116">
        <v>7230</v>
      </c>
      <c r="R2809">
        <v>327820</v>
      </c>
    </row>
    <row r="2810" spans="1:18" x14ac:dyDescent="0.25">
      <c r="A2810" s="170">
        <v>46146</v>
      </c>
      <c r="B2810">
        <v>7358.35</v>
      </c>
      <c r="C2810">
        <v>7245.55</v>
      </c>
      <c r="D2810">
        <v>7190</v>
      </c>
      <c r="E2810">
        <v>7279.95</v>
      </c>
      <c r="F2810">
        <v>7245.55</v>
      </c>
      <c r="G2810">
        <v>7476</v>
      </c>
      <c r="H2810" s="116"/>
      <c r="I2810" s="116"/>
      <c r="L2810" s="170">
        <v>46146</v>
      </c>
      <c r="M2810" s="116">
        <v>7236.5</v>
      </c>
      <c r="N2810" s="116">
        <v>7363</v>
      </c>
      <c r="O2810" s="116">
        <v>7185</v>
      </c>
      <c r="P2810" s="116">
        <v>7269</v>
      </c>
      <c r="Q2810" s="116">
        <v>7236.5</v>
      </c>
      <c r="R2810">
        <v>364239</v>
      </c>
    </row>
    <row r="2811" spans="1:18" x14ac:dyDescent="0.25">
      <c r="A2811" s="170">
        <v>46147</v>
      </c>
      <c r="B2811">
        <v>7346.9</v>
      </c>
      <c r="C2811">
        <v>7329.3</v>
      </c>
      <c r="D2811">
        <v>7215.05</v>
      </c>
      <c r="E2811">
        <v>7308.75</v>
      </c>
      <c r="F2811">
        <v>7329.3</v>
      </c>
      <c r="G2811">
        <v>10348</v>
      </c>
      <c r="H2811" s="116"/>
      <c r="I2811" s="116"/>
      <c r="L2811" s="170">
        <v>46147</v>
      </c>
      <c r="M2811" s="116">
        <v>7328</v>
      </c>
      <c r="N2811" s="116">
        <v>7349</v>
      </c>
      <c r="O2811" s="116">
        <v>7215</v>
      </c>
      <c r="P2811" s="116">
        <v>7248</v>
      </c>
      <c r="Q2811" s="116">
        <v>7328</v>
      </c>
      <c r="R2811">
        <v>324323</v>
      </c>
    </row>
    <row r="2812" spans="1:18" x14ac:dyDescent="0.25">
      <c r="A2812" s="170">
        <v>46148</v>
      </c>
      <c r="B2812">
        <v>7365</v>
      </c>
      <c r="C2812">
        <v>7180.75</v>
      </c>
      <c r="D2812">
        <v>7133.05</v>
      </c>
      <c r="E2812">
        <v>7350.15</v>
      </c>
      <c r="F2812">
        <v>7180.75</v>
      </c>
      <c r="G2812">
        <v>16927</v>
      </c>
      <c r="H2812" s="116"/>
      <c r="I2812" s="116"/>
      <c r="L2812" s="170">
        <v>46148</v>
      </c>
      <c r="M2812" s="116">
        <v>7182.5</v>
      </c>
      <c r="N2812" s="116">
        <v>7389</v>
      </c>
      <c r="O2812" s="116">
        <v>7135</v>
      </c>
      <c r="P2812" s="116">
        <v>7389</v>
      </c>
      <c r="Q2812" s="116">
        <v>7182.5</v>
      </c>
      <c r="R2812">
        <v>282411</v>
      </c>
    </row>
    <row r="2813" spans="1:18" x14ac:dyDescent="0.25">
      <c r="A2813" s="170">
        <v>46149</v>
      </c>
      <c r="B2813">
        <v>7270.6</v>
      </c>
      <c r="C2813">
        <v>7189.4</v>
      </c>
      <c r="D2813">
        <v>7000.05</v>
      </c>
      <c r="E2813">
        <v>7254.4</v>
      </c>
      <c r="F2813">
        <v>7189.4</v>
      </c>
      <c r="G2813">
        <v>10418</v>
      </c>
      <c r="H2813" s="116"/>
      <c r="I2813" s="116"/>
      <c r="L2813" s="170">
        <v>46149</v>
      </c>
      <c r="M2813" s="116">
        <v>7188</v>
      </c>
      <c r="N2813" s="116">
        <v>7279.5</v>
      </c>
      <c r="O2813" s="116">
        <v>7000</v>
      </c>
      <c r="P2813" s="116">
        <v>7183</v>
      </c>
      <c r="Q2813" s="116">
        <v>7188</v>
      </c>
      <c r="R2813">
        <v>367185</v>
      </c>
    </row>
    <row r="2814" spans="1:18" x14ac:dyDescent="0.25">
      <c r="A2814" s="170">
        <v>46150</v>
      </c>
      <c r="B2814">
        <v>7211.8</v>
      </c>
      <c r="C2814">
        <v>7009.05</v>
      </c>
      <c r="D2814">
        <v>6990.05</v>
      </c>
      <c r="E2814">
        <v>7211.8</v>
      </c>
      <c r="F2814">
        <v>7009.05</v>
      </c>
      <c r="G2814">
        <v>21192</v>
      </c>
      <c r="H2814" s="116"/>
      <c r="I2814" s="116"/>
      <c r="L2814" s="170">
        <v>46150</v>
      </c>
      <c r="M2814" s="116">
        <v>7012.5</v>
      </c>
      <c r="N2814" s="116">
        <v>7210</v>
      </c>
      <c r="O2814" s="116">
        <v>6991.5</v>
      </c>
      <c r="P2814" s="116">
        <v>7210</v>
      </c>
      <c r="Q2814" s="116">
        <v>7012.5</v>
      </c>
      <c r="R2814">
        <v>443952</v>
      </c>
    </row>
    <row r="2815" spans="1:18" x14ac:dyDescent="0.25">
      <c r="A2815" s="170">
        <v>46153</v>
      </c>
      <c r="B2815">
        <v>6729.85</v>
      </c>
      <c r="C2815">
        <v>6382.45</v>
      </c>
      <c r="D2815">
        <v>6323.15</v>
      </c>
      <c r="E2815">
        <v>6729.85</v>
      </c>
      <c r="F2815">
        <v>6382.45</v>
      </c>
      <c r="G2815">
        <v>89457</v>
      </c>
      <c r="H2815" s="116"/>
      <c r="I2815" s="116"/>
      <c r="L2815" s="170">
        <v>46153</v>
      </c>
      <c r="M2815" s="116">
        <v>6387.5</v>
      </c>
      <c r="N2815" s="116">
        <v>6687</v>
      </c>
      <c r="O2815" s="116">
        <v>6323.5</v>
      </c>
      <c r="P2815" s="116">
        <v>6662</v>
      </c>
      <c r="Q2815" s="116">
        <v>6387.5</v>
      </c>
      <c r="R2815">
        <v>2419336</v>
      </c>
    </row>
    <row r="2816" spans="1:18" x14ac:dyDescent="0.25">
      <c r="A2816" s="170">
        <v>46154</v>
      </c>
      <c r="B2816">
        <v>6401.8</v>
      </c>
      <c r="C2816">
        <v>6330.2</v>
      </c>
      <c r="D2816">
        <v>6171.7</v>
      </c>
      <c r="E2816">
        <v>6379.85</v>
      </c>
      <c r="F2816">
        <v>6330.2</v>
      </c>
      <c r="G2816">
        <v>34080</v>
      </c>
      <c r="H2816" s="116"/>
      <c r="I2816" s="116"/>
      <c r="L2816" s="170">
        <v>46154</v>
      </c>
      <c r="M2816" s="116">
        <v>6328.5</v>
      </c>
      <c r="N2816" s="116">
        <v>6403</v>
      </c>
      <c r="O2816" s="116">
        <v>6171.5</v>
      </c>
      <c r="P2816" s="116">
        <v>6360</v>
      </c>
      <c r="Q2816" s="116">
        <v>6328.5</v>
      </c>
      <c r="R2816">
        <v>976463</v>
      </c>
    </row>
    <row r="2817" spans="1:18" x14ac:dyDescent="0.25">
      <c r="A2817" s="170">
        <v>46155</v>
      </c>
      <c r="B2817">
        <v>6399.6</v>
      </c>
      <c r="C2817">
        <v>6302.85</v>
      </c>
      <c r="D2817">
        <v>6213.3</v>
      </c>
      <c r="E2817">
        <v>6321.15</v>
      </c>
      <c r="F2817">
        <v>6302.85</v>
      </c>
      <c r="G2817">
        <v>26184</v>
      </c>
      <c r="H2817" s="116"/>
      <c r="I2817" s="116"/>
      <c r="L2817" s="170">
        <v>46155</v>
      </c>
      <c r="M2817" s="116">
        <v>6305</v>
      </c>
      <c r="N2817" s="116">
        <v>6395</v>
      </c>
      <c r="O2817" s="116">
        <v>6212.5</v>
      </c>
      <c r="P2817" s="116">
        <v>6344</v>
      </c>
      <c r="Q2817" s="116">
        <v>6305</v>
      </c>
      <c r="R2817">
        <v>367052</v>
      </c>
    </row>
    <row r="2818" spans="1:18" x14ac:dyDescent="0.25">
      <c r="A2818" s="170">
        <v>46156</v>
      </c>
      <c r="B2818">
        <v>6437.85</v>
      </c>
      <c r="C2818">
        <v>6428.75</v>
      </c>
      <c r="D2818">
        <v>6221</v>
      </c>
      <c r="E2818">
        <v>6398.8</v>
      </c>
      <c r="F2818">
        <v>6428.75</v>
      </c>
      <c r="G2818">
        <v>17248</v>
      </c>
      <c r="H2818" s="116"/>
      <c r="I2818" s="116"/>
      <c r="L2818" s="170">
        <v>46156</v>
      </c>
      <c r="M2818" s="116">
        <v>6429</v>
      </c>
      <c r="N2818" s="116">
        <v>6439</v>
      </c>
      <c r="O2818" s="116">
        <v>6220</v>
      </c>
      <c r="P2818" s="116">
        <v>6350</v>
      </c>
      <c r="Q2818" s="116">
        <v>6429</v>
      </c>
      <c r="R2818">
        <v>327209</v>
      </c>
    </row>
    <row r="2819" spans="1:18" x14ac:dyDescent="0.25">
      <c r="A2819" s="170">
        <v>46157</v>
      </c>
      <c r="B2819">
        <v>6453.7</v>
      </c>
      <c r="C2819">
        <v>6382.35</v>
      </c>
      <c r="D2819">
        <v>6307.25</v>
      </c>
      <c r="E2819">
        <v>6453.7</v>
      </c>
      <c r="F2819">
        <v>6382.35</v>
      </c>
      <c r="G2819">
        <v>18122</v>
      </c>
      <c r="H2819" s="116"/>
      <c r="I2819" s="116"/>
      <c r="L2819" s="170">
        <v>46157</v>
      </c>
      <c r="M2819" s="116">
        <v>6381</v>
      </c>
      <c r="N2819" s="116">
        <v>6433.5</v>
      </c>
      <c r="O2819" s="116">
        <v>6307</v>
      </c>
      <c r="P2819" s="116">
        <v>6425</v>
      </c>
      <c r="Q2819" s="116">
        <v>6381</v>
      </c>
      <c r="R2819">
        <v>249403</v>
      </c>
    </row>
    <row r="2820" spans="1:18" x14ac:dyDescent="0.25">
      <c r="A2820" s="170">
        <v>46160</v>
      </c>
      <c r="B2820">
        <v>6437.3</v>
      </c>
      <c r="C2820">
        <v>6418.05</v>
      </c>
      <c r="D2820">
        <v>6226.85</v>
      </c>
      <c r="E2820">
        <v>6257.7</v>
      </c>
      <c r="F2820">
        <v>6418.05</v>
      </c>
      <c r="G2820">
        <v>19880</v>
      </c>
      <c r="H2820" s="116"/>
      <c r="I2820" s="116"/>
      <c r="L2820" s="170">
        <v>46160</v>
      </c>
      <c r="M2820" s="116">
        <v>6413.5</v>
      </c>
      <c r="N2820" s="116">
        <v>6445</v>
      </c>
      <c r="O2820" s="116">
        <v>6225</v>
      </c>
      <c r="P2820" s="116">
        <v>6310</v>
      </c>
      <c r="Q2820" s="116">
        <v>6413.5</v>
      </c>
      <c r="R2820">
        <v>370285</v>
      </c>
    </row>
    <row r="2821" spans="1:18" x14ac:dyDescent="0.25">
      <c r="A2821" s="170">
        <v>46161</v>
      </c>
      <c r="B2821">
        <v>6458.75</v>
      </c>
      <c r="C2821">
        <v>6326.05</v>
      </c>
      <c r="D2821">
        <v>6315.85</v>
      </c>
      <c r="E2821">
        <v>6458.75</v>
      </c>
      <c r="F2821">
        <v>6326.05</v>
      </c>
      <c r="G2821">
        <v>12633</v>
      </c>
      <c r="H2821" s="116"/>
      <c r="I2821" s="116"/>
      <c r="L2821" s="170">
        <v>46161</v>
      </c>
      <c r="M2821" s="116">
        <v>6329</v>
      </c>
      <c r="N2821" s="116">
        <v>6463.5</v>
      </c>
      <c r="O2821" s="116">
        <v>6310</v>
      </c>
      <c r="P2821" s="116">
        <v>6430.5</v>
      </c>
      <c r="Q2821" s="116">
        <v>6329</v>
      </c>
      <c r="R2821">
        <v>344676</v>
      </c>
    </row>
    <row r="2822" spans="1:18" x14ac:dyDescent="0.25">
      <c r="A2822" s="170">
        <v>46162</v>
      </c>
      <c r="B2822">
        <v>6620.2</v>
      </c>
      <c r="C2822">
        <v>6606.4</v>
      </c>
      <c r="D2822">
        <v>6264.55</v>
      </c>
      <c r="E2822">
        <v>6289.3</v>
      </c>
      <c r="F2822">
        <v>6606.4</v>
      </c>
      <c r="G2822">
        <v>22155</v>
      </c>
      <c r="H2822" s="116"/>
      <c r="I2822" s="116"/>
      <c r="L2822" s="170">
        <v>46162</v>
      </c>
      <c r="M2822" s="116">
        <v>6605</v>
      </c>
      <c r="N2822" s="116">
        <v>6624</v>
      </c>
      <c r="O2822" s="116">
        <v>6259.5</v>
      </c>
      <c r="P2822" s="116">
        <v>6260</v>
      </c>
      <c r="Q2822" s="116">
        <v>6605</v>
      </c>
      <c r="R2822">
        <v>546490</v>
      </c>
    </row>
    <row r="2823" spans="1:18" x14ac:dyDescent="0.25">
      <c r="A2823" s="170">
        <v>46163</v>
      </c>
      <c r="B2823">
        <v>6717.3</v>
      </c>
      <c r="C2823">
        <v>6600.15</v>
      </c>
      <c r="D2823">
        <v>6570</v>
      </c>
      <c r="E2823">
        <v>6666</v>
      </c>
      <c r="F2823">
        <v>6600.15</v>
      </c>
      <c r="G2823">
        <v>24261</v>
      </c>
      <c r="H2823" s="116"/>
      <c r="I2823" s="116"/>
      <c r="L2823" s="170">
        <v>46163</v>
      </c>
      <c r="M2823" s="116">
        <v>6598</v>
      </c>
      <c r="N2823" s="116">
        <v>6718</v>
      </c>
      <c r="O2823" s="116">
        <v>6566</v>
      </c>
      <c r="P2823" s="116">
        <v>6673</v>
      </c>
      <c r="Q2823" s="116">
        <v>6598</v>
      </c>
      <c r="R2823">
        <v>498808</v>
      </c>
    </row>
    <row r="2824" spans="1:18" x14ac:dyDescent="0.25">
      <c r="A2824" s="170">
        <v>46164</v>
      </c>
      <c r="B2824">
        <v>6743.8</v>
      </c>
      <c r="C2824">
        <v>6688.85</v>
      </c>
      <c r="D2824">
        <v>6589.95</v>
      </c>
      <c r="E2824">
        <v>6648.5</v>
      </c>
      <c r="F2824">
        <v>6688.85</v>
      </c>
      <c r="G2824">
        <v>17132</v>
      </c>
      <c r="H2824" s="116"/>
      <c r="I2824" s="116"/>
      <c r="L2824" s="170">
        <v>46164</v>
      </c>
      <c r="M2824" s="116">
        <v>6689.5</v>
      </c>
      <c r="N2824" s="116">
        <v>6741</v>
      </c>
      <c r="O2824" s="116">
        <v>6594</v>
      </c>
      <c r="P2824" s="116">
        <v>6600.5</v>
      </c>
      <c r="Q2824" s="116">
        <v>6689.5</v>
      </c>
      <c r="R2824">
        <v>371775</v>
      </c>
    </row>
    <row r="2825" spans="1:18" x14ac:dyDescent="0.25">
      <c r="A2825" s="170">
        <v>46167</v>
      </c>
      <c r="B2825">
        <v>6826</v>
      </c>
      <c r="C2825">
        <v>6754.15</v>
      </c>
      <c r="D2825">
        <v>6720.3</v>
      </c>
      <c r="E2825">
        <v>6732</v>
      </c>
      <c r="F2825">
        <v>6754.15</v>
      </c>
      <c r="G2825">
        <v>23299</v>
      </c>
      <c r="H2825" s="116"/>
      <c r="I2825" s="116"/>
      <c r="L2825" s="170">
        <v>46167</v>
      </c>
      <c r="M2825" s="116">
        <v>6755</v>
      </c>
      <c r="N2825" s="116">
        <v>6826</v>
      </c>
      <c r="O2825" s="116">
        <v>6712.5</v>
      </c>
      <c r="P2825" s="116">
        <v>6734</v>
      </c>
      <c r="Q2825" s="116">
        <v>6755</v>
      </c>
      <c r="R2825">
        <v>263153</v>
      </c>
    </row>
    <row r="2826" spans="1:18" x14ac:dyDescent="0.25">
      <c r="A2826" s="170">
        <v>46168</v>
      </c>
      <c r="B2826">
        <v>6820</v>
      </c>
      <c r="C2826">
        <v>6806.25</v>
      </c>
      <c r="D2826">
        <v>6720.55</v>
      </c>
      <c r="E2826">
        <v>6756</v>
      </c>
      <c r="F2826">
        <v>6806.25</v>
      </c>
      <c r="G2826">
        <v>4710</v>
      </c>
      <c r="H2826" s="116"/>
      <c r="I2826" s="116"/>
      <c r="L2826" s="170">
        <v>46168</v>
      </c>
      <c r="M2826" s="116">
        <v>6804</v>
      </c>
      <c r="N2826" s="116">
        <v>6822</v>
      </c>
      <c r="O2826" s="116">
        <v>6722</v>
      </c>
      <c r="P2826" s="116">
        <v>6755</v>
      </c>
      <c r="Q2826" s="116">
        <v>6804</v>
      </c>
      <c r="R2826">
        <v>200573</v>
      </c>
    </row>
    <row r="2827" spans="1:18" x14ac:dyDescent="0.25">
      <c r="A2827" s="170">
        <v>46169</v>
      </c>
      <c r="B2827">
        <v>7244</v>
      </c>
      <c r="C2827">
        <v>7217.3</v>
      </c>
      <c r="D2827">
        <v>6807.15</v>
      </c>
      <c r="E2827">
        <v>6807.15</v>
      </c>
      <c r="F2827">
        <v>7217.3</v>
      </c>
      <c r="G2827">
        <v>56115</v>
      </c>
      <c r="H2827" s="116"/>
      <c r="I2827" s="116"/>
      <c r="L2827" s="170">
        <v>46169</v>
      </c>
      <c r="M2827" s="116">
        <v>7219</v>
      </c>
      <c r="N2827" s="116">
        <v>7244</v>
      </c>
      <c r="O2827" s="116">
        <v>6808</v>
      </c>
      <c r="P2827" s="116">
        <v>6841.5</v>
      </c>
      <c r="Q2827" s="116">
        <v>7219</v>
      </c>
      <c r="R2827">
        <v>636096</v>
      </c>
    </row>
    <row r="2828" spans="1:18" x14ac:dyDescent="0.25">
      <c r="A2828" s="170">
        <v>46171</v>
      </c>
      <c r="B2828">
        <v>7335</v>
      </c>
      <c r="C2828">
        <v>7229.6</v>
      </c>
      <c r="D2828">
        <v>7125</v>
      </c>
      <c r="E2828">
        <v>7321.3</v>
      </c>
      <c r="F2828">
        <v>7229.6</v>
      </c>
      <c r="G2828">
        <v>31488</v>
      </c>
      <c r="H2828" s="116"/>
      <c r="I2828" s="116"/>
      <c r="L2828" s="170">
        <v>46171</v>
      </c>
      <c r="M2828" s="116">
        <v>7253</v>
      </c>
      <c r="N2828" s="116">
        <v>7340</v>
      </c>
      <c r="O2828" s="116">
        <v>7121</v>
      </c>
      <c r="P2828" s="116">
        <v>7280</v>
      </c>
      <c r="Q2828" s="116">
        <v>7253</v>
      </c>
      <c r="R2828">
        <v>1105117</v>
      </c>
    </row>
    <row r="2829" spans="1:18" x14ac:dyDescent="0.25">
      <c r="A2829" s="170">
        <v>46174</v>
      </c>
      <c r="B2829">
        <v>7289.55</v>
      </c>
      <c r="C2829">
        <v>7030.1</v>
      </c>
      <c r="D2829">
        <v>7006.65</v>
      </c>
      <c r="E2829">
        <v>7289.55</v>
      </c>
      <c r="F2829">
        <v>7030.1</v>
      </c>
      <c r="G2829">
        <v>20069</v>
      </c>
      <c r="H2829" s="116"/>
      <c r="I2829" s="116"/>
      <c r="L2829" s="170">
        <v>46174</v>
      </c>
      <c r="M2829" s="116">
        <v>7027.5</v>
      </c>
      <c r="N2829" s="116">
        <v>7254</v>
      </c>
      <c r="O2829" s="116">
        <v>7004</v>
      </c>
      <c r="P2829" s="116">
        <v>7253</v>
      </c>
      <c r="Q2829" s="116">
        <v>7027.5</v>
      </c>
      <c r="R2829">
        <v>452205</v>
      </c>
    </row>
    <row r="2830" spans="1:18" x14ac:dyDescent="0.25">
      <c r="A2830" s="170">
        <v>46175</v>
      </c>
      <c r="B2830">
        <v>7166.5</v>
      </c>
      <c r="C2830">
        <v>7147.1</v>
      </c>
      <c r="D2830">
        <v>6958.9</v>
      </c>
      <c r="E2830">
        <v>6960.3</v>
      </c>
      <c r="F2830">
        <v>7147.1</v>
      </c>
      <c r="G2830">
        <v>18673</v>
      </c>
      <c r="H2830" s="116"/>
      <c r="I2830" s="116"/>
      <c r="L2830" s="170">
        <v>46175</v>
      </c>
      <c r="M2830" s="116">
        <v>7146</v>
      </c>
      <c r="N2830" s="116">
        <v>7169</v>
      </c>
      <c r="O2830" s="116">
        <v>6957</v>
      </c>
      <c r="P2830" s="116">
        <v>6970</v>
      </c>
      <c r="Q2830" s="116">
        <v>7146</v>
      </c>
      <c r="R2830">
        <v>511846</v>
      </c>
    </row>
    <row r="2831" spans="1:18" x14ac:dyDescent="0.25">
      <c r="A2831" s="170">
        <v>46176</v>
      </c>
      <c r="B2831">
        <v>7240.9</v>
      </c>
      <c r="C2831">
        <v>7184.95</v>
      </c>
      <c r="D2831">
        <v>7084.6</v>
      </c>
      <c r="E2831">
        <v>7106.45</v>
      </c>
      <c r="F2831">
        <v>7184.95</v>
      </c>
      <c r="G2831">
        <v>15723</v>
      </c>
      <c r="H2831" s="116"/>
      <c r="I2831" s="116"/>
      <c r="L2831" s="170">
        <v>46176</v>
      </c>
      <c r="M2831" s="116">
        <v>7196</v>
      </c>
      <c r="N2831" s="116">
        <v>7247</v>
      </c>
      <c r="O2831" s="116">
        <v>7083</v>
      </c>
      <c r="P2831" s="116">
        <v>7146</v>
      </c>
      <c r="Q2831" s="116">
        <v>7196</v>
      </c>
      <c r="R2831">
        <v>309040</v>
      </c>
    </row>
    <row r="2832" spans="1:18" x14ac:dyDescent="0.25">
      <c r="A2832" s="170">
        <v>46177</v>
      </c>
      <c r="B2832">
        <v>7328.75</v>
      </c>
      <c r="C2832">
        <v>7160.2</v>
      </c>
      <c r="D2832">
        <v>7129.7</v>
      </c>
      <c r="E2832">
        <v>7185</v>
      </c>
      <c r="F2832">
        <v>7160.2</v>
      </c>
      <c r="G2832">
        <v>10548</v>
      </c>
      <c r="H2832" s="116"/>
      <c r="I2832" s="116"/>
      <c r="L2832" s="170">
        <v>46177</v>
      </c>
      <c r="M2832" s="116">
        <v>7156</v>
      </c>
      <c r="N2832" s="116">
        <v>7327</v>
      </c>
      <c r="O2832" s="116">
        <v>7122.5</v>
      </c>
      <c r="P2832" s="116">
        <v>7192</v>
      </c>
      <c r="Q2832" s="116">
        <v>7156</v>
      </c>
      <c r="R2832">
        <v>298566</v>
      </c>
    </row>
    <row r="2833" spans="1:18" x14ac:dyDescent="0.25">
      <c r="A2833" s="170">
        <v>46178</v>
      </c>
      <c r="B2833">
        <v>7213.65</v>
      </c>
      <c r="C2833">
        <v>7163.65</v>
      </c>
      <c r="D2833">
        <v>7114</v>
      </c>
      <c r="E2833">
        <v>7160.9</v>
      </c>
      <c r="F2833">
        <v>7163.65</v>
      </c>
      <c r="G2833">
        <v>8853</v>
      </c>
      <c r="H2833" s="116"/>
      <c r="I2833" s="116"/>
      <c r="L2833" s="170">
        <v>46178</v>
      </c>
      <c r="M2833" s="116">
        <v>7167.5</v>
      </c>
      <c r="N2833" s="116">
        <v>7217</v>
      </c>
      <c r="O2833" s="116">
        <v>7108.5</v>
      </c>
      <c r="P2833" s="116">
        <v>7175</v>
      </c>
      <c r="Q2833" s="116">
        <v>7167.5</v>
      </c>
      <c r="R2833">
        <v>249982</v>
      </c>
    </row>
    <row r="2834" spans="1:18" x14ac:dyDescent="0.25">
      <c r="A2834" s="170">
        <v>46181</v>
      </c>
      <c r="B2834">
        <v>7173.15</v>
      </c>
      <c r="C2834">
        <v>6944.2</v>
      </c>
      <c r="D2834">
        <v>6895</v>
      </c>
      <c r="E2834">
        <v>7173.15</v>
      </c>
      <c r="F2834">
        <v>6944.2</v>
      </c>
      <c r="G2834">
        <v>7936</v>
      </c>
      <c r="H2834" s="116"/>
      <c r="I2834" s="116"/>
      <c r="L2834" s="170">
        <v>46181</v>
      </c>
      <c r="M2834" s="116">
        <v>6958</v>
      </c>
      <c r="N2834" s="116">
        <v>7129.5</v>
      </c>
      <c r="O2834" s="116">
        <v>6893</v>
      </c>
      <c r="P2834" s="116">
        <v>7105.5</v>
      </c>
      <c r="Q2834" s="116">
        <v>6958</v>
      </c>
      <c r="R2834">
        <v>240753</v>
      </c>
    </row>
    <row r="2835" spans="1:18" x14ac:dyDescent="0.25">
      <c r="A2835" s="170">
        <v>46182</v>
      </c>
      <c r="B2835">
        <v>7060</v>
      </c>
      <c r="C2835">
        <v>6925.25</v>
      </c>
      <c r="D2835">
        <v>6908.1</v>
      </c>
      <c r="E2835">
        <v>7039.1</v>
      </c>
      <c r="F2835">
        <v>6925.25</v>
      </c>
      <c r="G2835">
        <v>6932</v>
      </c>
      <c r="H2835" s="116"/>
      <c r="I2835" s="116"/>
      <c r="L2835" s="170">
        <v>46182</v>
      </c>
      <c r="M2835" s="116">
        <v>6931</v>
      </c>
      <c r="N2835" s="116">
        <v>7063.5</v>
      </c>
      <c r="O2835" s="116">
        <v>6908</v>
      </c>
      <c r="P2835" s="116">
        <v>7000</v>
      </c>
      <c r="Q2835" s="116">
        <v>6931</v>
      </c>
      <c r="R2835">
        <v>254364</v>
      </c>
    </row>
    <row r="2836" spans="1:18" x14ac:dyDescent="0.25">
      <c r="A2836" s="170">
        <v>46183</v>
      </c>
      <c r="B2836">
        <v>6943.5</v>
      </c>
      <c r="C2836">
        <v>6800.05</v>
      </c>
      <c r="D2836">
        <v>6768.05</v>
      </c>
      <c r="E2836">
        <v>6925.15</v>
      </c>
      <c r="F2836">
        <v>6800.05</v>
      </c>
      <c r="G2836">
        <v>15894</v>
      </c>
      <c r="H2836" s="116"/>
      <c r="I2836" s="116"/>
      <c r="L2836" s="170">
        <v>46183</v>
      </c>
      <c r="M2836" s="116">
        <v>6801</v>
      </c>
      <c r="N2836" s="116">
        <v>6951.5</v>
      </c>
      <c r="O2836" s="116">
        <v>6769</v>
      </c>
      <c r="P2836" s="116">
        <v>6905.5</v>
      </c>
      <c r="Q2836" s="116">
        <v>6801</v>
      </c>
      <c r="R2836">
        <v>463997</v>
      </c>
    </row>
    <row r="2837" spans="1:18" x14ac:dyDescent="0.25">
      <c r="A2837" s="170">
        <v>46184</v>
      </c>
      <c r="B2837">
        <v>6821</v>
      </c>
      <c r="C2837">
        <v>6723</v>
      </c>
      <c r="D2837">
        <v>6651</v>
      </c>
      <c r="E2837">
        <v>6821</v>
      </c>
      <c r="F2837">
        <v>6723</v>
      </c>
      <c r="G2837">
        <v>15731</v>
      </c>
      <c r="H2837" s="116"/>
      <c r="I2837" s="116"/>
      <c r="L2837" s="170">
        <v>46184</v>
      </c>
      <c r="M2837" s="116">
        <v>6719</v>
      </c>
      <c r="N2837" s="116">
        <v>6815.5</v>
      </c>
      <c r="O2837" s="116">
        <v>6653</v>
      </c>
      <c r="P2837" s="116">
        <v>6782</v>
      </c>
      <c r="Q2837" s="116">
        <v>6719</v>
      </c>
      <c r="R2837">
        <v>262862</v>
      </c>
    </row>
    <row r="2838" spans="1:18" x14ac:dyDescent="0.25">
      <c r="A2838" s="170">
        <v>46185</v>
      </c>
      <c r="B2838">
        <v>6843.35</v>
      </c>
      <c r="C2838">
        <v>6766.1</v>
      </c>
      <c r="D2838">
        <v>6723.05</v>
      </c>
      <c r="E2838">
        <v>6786</v>
      </c>
      <c r="F2838">
        <v>6766.1</v>
      </c>
      <c r="G2838">
        <v>11347</v>
      </c>
      <c r="H2838" s="116"/>
      <c r="I2838" s="116"/>
      <c r="L2838" s="170">
        <v>46185</v>
      </c>
      <c r="M2838" s="116">
        <v>6770.5</v>
      </c>
      <c r="N2838" s="116">
        <v>6854.5</v>
      </c>
      <c r="O2838" s="116">
        <v>6722</v>
      </c>
      <c r="P2838" s="116">
        <v>6783</v>
      </c>
      <c r="Q2838" s="116">
        <v>6770.5</v>
      </c>
      <c r="R2838">
        <v>188800</v>
      </c>
    </row>
    <row r="2839" spans="1:18" x14ac:dyDescent="0.25">
      <c r="A2839" s="170">
        <v>46188</v>
      </c>
      <c r="B2839">
        <v>6975</v>
      </c>
      <c r="C2839">
        <v>6925.5</v>
      </c>
      <c r="D2839">
        <v>6822.5</v>
      </c>
      <c r="E2839">
        <v>6926.2</v>
      </c>
      <c r="F2839">
        <v>6925.5</v>
      </c>
      <c r="G2839">
        <v>8916</v>
      </c>
      <c r="H2839" s="116"/>
      <c r="I2839" s="116"/>
      <c r="L2839" s="170">
        <v>46188</v>
      </c>
      <c r="M2839" s="116">
        <v>6922.5</v>
      </c>
      <c r="N2839" s="116">
        <v>6977.5</v>
      </c>
      <c r="O2839" s="116">
        <v>6821</v>
      </c>
      <c r="P2839" s="116">
        <v>6880</v>
      </c>
      <c r="Q2839" s="116">
        <v>6922.5</v>
      </c>
      <c r="R2839">
        <v>227935</v>
      </c>
    </row>
    <row r="2840" spans="1:18" x14ac:dyDescent="0.25">
      <c r="A2840" s="170">
        <v>46189</v>
      </c>
      <c r="B2840">
        <v>7079.05</v>
      </c>
      <c r="C2840">
        <v>7017.2</v>
      </c>
      <c r="D2840">
        <v>6936.25</v>
      </c>
      <c r="E2840">
        <v>6936.25</v>
      </c>
      <c r="F2840">
        <v>7017.2</v>
      </c>
      <c r="G2840">
        <v>11992</v>
      </c>
      <c r="H2840" s="116"/>
      <c r="I2840" s="116"/>
      <c r="L2840" s="170">
        <v>46189</v>
      </c>
      <c r="M2840" s="116">
        <v>7021</v>
      </c>
      <c r="N2840" s="116">
        <v>7079.5</v>
      </c>
      <c r="O2840" s="116">
        <v>6939</v>
      </c>
      <c r="P2840" s="116">
        <v>6955</v>
      </c>
      <c r="Q2840" s="116">
        <v>7021</v>
      </c>
      <c r="R2840">
        <v>366666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2026-06-17T09:38:34Z</dcterms:modified>
  <cp:category/>
  <cp:contentStatus/>
</cp:coreProperties>
</file>